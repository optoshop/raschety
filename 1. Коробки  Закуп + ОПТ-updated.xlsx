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7575" windowWidth="38640" windowHeight="15840" tabRatio="600" firstSheet="0" activeTab="2" autoFilterDateGrouping="1"/>
  </bookViews>
  <sheets>
    <sheet name="Закуп" sheetId="1" state="visible" r:id="rId1"/>
    <sheet name="Calc" sheetId="2" state="visible" r:id="rId2"/>
    <sheet name="Массив" sheetId="3" state="visible" r:id="rId3"/>
    <sheet name="Опт" sheetId="4" state="visible" r:id="rId4"/>
    <sheet name="нет в наличии" sheetId="5" state="visible" r:id="rId5"/>
    <sheet name="Листы гк" sheetId="6" state="visible" r:id="rId6"/>
    <sheet name="Диапазоны" sheetId="7" state="visible" r:id="rId7"/>
    <sheet name="Kr173" sheetId="8" state="visible" r:id="rId8"/>
  </sheets>
  <definedNames>
    <definedName name="_xlnm._FilterDatabase" localSheetId="0" hidden="1">'Закуп'!$A$1:$AC$348</definedName>
    <definedName name="_xlnm._FilterDatabase" localSheetId="1" hidden="1">'Calc'!$A$1:$AB$1746</definedName>
    <definedName name="_xlnm._FilterDatabase" localSheetId="2" hidden="1">'Массив'!$A$1:$Q$502</definedName>
    <definedName name="_xlnm._FilterDatabase" localSheetId="3" hidden="1">'Опт'!$A$1:$R$349</definedName>
  </definedNames>
  <calcPr calcId="191029" fullCalcOnLoad="1"/>
</workbook>
</file>

<file path=xl/styles.xml><?xml version="1.0" encoding="utf-8"?>
<styleSheet xmlns="http://schemas.openxmlformats.org/spreadsheetml/2006/main">
  <numFmts count="1">
    <numFmt numFmtId="164" formatCode="0.0000"/>
  </numFmts>
  <fonts count="77">
    <font>
      <name val="Calibri"/>
      <family val="2"/>
      <color theme="1"/>
      <sz val="11"/>
      <scheme val="minor"/>
    </font>
    <font>
      <name val="Calibri"/>
      <charset val="204"/>
      <family val="2"/>
      <color theme="1"/>
      <sz val="11"/>
      <scheme val="minor"/>
    </font>
    <font>
      <name val="Calibri"/>
      <charset val="204"/>
      <family val="2"/>
      <color theme="1"/>
      <sz val="11"/>
      <scheme val="minor"/>
    </font>
    <font>
      <name val="Calibri"/>
      <charset val="204"/>
      <family val="2"/>
      <color theme="1"/>
      <sz val="11"/>
      <scheme val="minor"/>
    </font>
    <font>
      <name val="Calibri"/>
      <family val="2"/>
      <sz val="8"/>
    </font>
    <font>
      <name val="Calibri"/>
      <family val="2"/>
      <color theme="1"/>
      <sz val="8"/>
      <scheme val="minor"/>
    </font>
    <font>
      <name val="Calibri"/>
      <family val="2"/>
      <sz val="8"/>
      <scheme val="minor"/>
    </font>
    <font>
      <name val="Calibri"/>
      <charset val="204"/>
      <family val="2"/>
      <b val="1"/>
      <sz val="10"/>
      <scheme val="minor"/>
    </font>
    <font>
      <name val="Calibri"/>
      <charset val="204"/>
      <family val="2"/>
      <b val="1"/>
      <color theme="1"/>
      <sz val="11"/>
      <scheme val="minor"/>
    </font>
    <font>
      <name val="Calibri"/>
      <family val="2"/>
      <sz val="11"/>
      <scheme val="minor"/>
    </font>
    <font>
      <name val="Calibri"/>
      <charset val="204"/>
      <family val="2"/>
      <b val="1"/>
      <sz val="8"/>
    </font>
    <font>
      <name val="Calibri"/>
      <charset val="204"/>
      <family val="2"/>
      <color theme="1"/>
      <sz val="8"/>
    </font>
    <font>
      <name val="Calibri"/>
      <family val="2"/>
      <color theme="0" tint="-0.249977111117893"/>
      <sz val="11"/>
      <scheme val="minor"/>
    </font>
    <font>
      <name val="Calibri"/>
      <charset val="204"/>
      <family val="2"/>
      <b val="1"/>
      <color theme="1"/>
      <sz val="8"/>
      <scheme val="minor"/>
    </font>
    <font>
      <name val="Calibri"/>
      <charset val="204"/>
      <family val="2"/>
      <b val="1"/>
      <sz val="11"/>
      <scheme val="minor"/>
    </font>
    <font>
      <name val="Calibri"/>
      <charset val="204"/>
      <family val="2"/>
      <sz val="6"/>
    </font>
    <font>
      <name val="Calibri"/>
      <charset val="204"/>
      <family val="2"/>
      <sz val="8"/>
      <scheme val="minor"/>
    </font>
    <font>
      <name val="Consolas"/>
      <charset val="204"/>
      <family val="3"/>
      <color rgb="FF0F1115"/>
      <sz val="8"/>
    </font>
    <font>
      <name val="Calibri"/>
      <family val="2"/>
      <color theme="0" tint="-0.249977111117893"/>
      <sz val="8"/>
    </font>
    <font>
      <name val="Calibri"/>
      <charset val="204"/>
      <family val="2"/>
      <sz val="11"/>
      <scheme val="minor"/>
    </font>
    <font>
      <name val="Calibri"/>
      <charset val="204"/>
      <family val="2"/>
      <color theme="0" tint="-0.499984740745262"/>
      <sz val="10"/>
      <scheme val="minor"/>
    </font>
    <font>
      <name val="Calibri"/>
      <charset val="204"/>
      <family val="2"/>
      <color theme="0" tint="-0.499984740745262"/>
      <sz val="11"/>
      <scheme val="minor"/>
    </font>
    <font>
      <name val="Calibri"/>
      <charset val="204"/>
      <family val="2"/>
      <color theme="1"/>
      <sz val="11"/>
    </font>
    <font>
      <name val="Calibri"/>
      <charset val="204"/>
      <family val="2"/>
      <b val="1"/>
      <color theme="1"/>
      <sz val="12"/>
    </font>
    <font>
      <name val="Calibri"/>
      <charset val="204"/>
      <family val="2"/>
      <color theme="1"/>
      <sz val="9"/>
    </font>
    <font>
      <name val="Calibri"/>
      <charset val="204"/>
      <family val="2"/>
      <b val="1"/>
      <color theme="1"/>
      <sz val="11"/>
    </font>
    <font>
      <name val="Calibri"/>
      <charset val="204"/>
      <family val="2"/>
      <color theme="0" tint="-0.1499984740745262"/>
      <sz val="11"/>
    </font>
    <font>
      <name val="Calibri"/>
      <charset val="204"/>
      <family val="2"/>
      <b val="1"/>
      <color theme="0" tint="-0.1499984740745262"/>
      <sz val="11"/>
    </font>
    <font>
      <name val="Calibri"/>
      <charset val="204"/>
      <family val="2"/>
      <sz val="9"/>
    </font>
    <font>
      <name val="Calibri"/>
      <charset val="204"/>
      <family val="2"/>
      <sz val="11"/>
    </font>
    <font>
      <name val="Calibri"/>
      <family val="2"/>
      <color theme="0" tint="-0.249977111117893"/>
      <sz val="8"/>
      <scheme val="minor"/>
    </font>
    <font>
      <name val="Calibri"/>
      <charset val="204"/>
      <family val="2"/>
      <color rgb="FF92D050"/>
      <sz val="8"/>
    </font>
    <font>
      <name val="Calibri"/>
      <charset val="204"/>
      <family val="2"/>
      <color rgb="FF92D050"/>
      <sz val="8"/>
      <scheme val="minor"/>
    </font>
    <font>
      <name val="Calibri"/>
      <charset val="204"/>
      <family val="2"/>
      <b val="1"/>
      <sz val="8"/>
      <scheme val="minor"/>
    </font>
    <font>
      <name val="Calibri"/>
      <charset val="204"/>
      <family val="2"/>
      <color theme="0" tint="-0.249977111117893"/>
      <sz val="10"/>
      <scheme val="minor"/>
    </font>
    <font>
      <name val="Calibri"/>
      <charset val="204"/>
      <family val="2"/>
      <color theme="0" tint="-0.249977111117893"/>
      <sz val="11"/>
      <scheme val="minor"/>
    </font>
    <font>
      <name val="Calibri"/>
      <charset val="204"/>
      <family val="2"/>
      <b val="1"/>
      <color rgb="FF009999"/>
      <sz val="11"/>
      <scheme val="minor"/>
    </font>
    <font>
      <name val="Calibri"/>
      <family val="2"/>
      <b val="1"/>
      <color theme="0" tint="-0.249977111117893"/>
      <sz val="10"/>
      <scheme val="minor"/>
    </font>
    <font>
      <name val="Calibri"/>
      <charset val="204"/>
      <family val="2"/>
      <sz val="8"/>
    </font>
    <font>
      <name val="Consolas"/>
      <charset val="204"/>
      <family val="3"/>
      <b val="1"/>
      <sz val="8"/>
    </font>
    <font>
      <name val="Calibri"/>
      <charset val="204"/>
      <family val="2"/>
      <color theme="5"/>
      <sz val="8"/>
      <scheme val="minor"/>
    </font>
    <font>
      <name val="Calibri"/>
      <charset val="204"/>
      <family val="2"/>
      <color theme="0" tint="-0.249977111117893"/>
      <sz val="8"/>
    </font>
    <font>
      <name val="Consolas"/>
      <charset val="204"/>
      <family val="3"/>
      <color theme="0" tint="-0.249977111117893"/>
      <sz val="8"/>
    </font>
    <font>
      <name val="Calibri"/>
      <family val="2"/>
      <color rgb="FFFF0000"/>
      <sz val="8"/>
      <scheme val="minor"/>
    </font>
    <font>
      <name val="Calibri"/>
      <family val="2"/>
      <b val="1"/>
      <color theme="5" tint="-0.249977111117893"/>
      <sz val="8"/>
    </font>
    <font>
      <name val="Calibri"/>
      <family val="2"/>
      <color theme="5" tint="-0.249977111117893"/>
      <sz val="8"/>
      <scheme val="minor"/>
    </font>
    <font>
      <name val="Roboto Condensed"/>
      <charset val="204"/>
      <b val="1"/>
      <sz val="8"/>
    </font>
    <font>
      <name val="Roboto Condensed"/>
      <charset val="204"/>
      <b val="1"/>
      <sz val="11"/>
    </font>
    <font>
      <name val="Calibri"/>
      <charset val="204"/>
      <family val="2"/>
      <b val="1"/>
      <color rgb="FFFF0000"/>
      <sz val="8"/>
      <scheme val="minor"/>
    </font>
    <font>
      <name val="Calibri"/>
      <charset val="204"/>
      <family val="2"/>
      <b val="1"/>
      <color theme="5" tint="-0.249977111117893"/>
      <sz val="11"/>
      <scheme val="minor"/>
    </font>
    <font>
      <name val="Calibri"/>
      <charset val="204"/>
      <family val="2"/>
      <b val="1"/>
      <color rgb="FF009999"/>
      <sz val="10"/>
      <scheme val="minor"/>
    </font>
    <font>
      <name val="Calibri"/>
      <charset val="204"/>
      <family val="2"/>
      <b val="1"/>
      <color rgb="FF4682B4"/>
      <sz val="11"/>
      <scheme val="minor"/>
    </font>
    <font>
      <name val="Calibri"/>
      <charset val="204"/>
      <family val="2"/>
      <b val="1"/>
      <color rgb="FF5F9EA0"/>
      <sz val="11"/>
      <scheme val="minor"/>
    </font>
    <font>
      <name val="Calibri"/>
      <charset val="204"/>
      <family val="2"/>
      <b val="1"/>
      <color rgb="FF46D1CC"/>
      <sz val="11"/>
      <scheme val="minor"/>
    </font>
    <font>
      <name val="Calibri"/>
      <charset val="204"/>
      <family val="2"/>
      <b val="1"/>
      <color rgb="FF40E0D0"/>
      <sz val="11"/>
      <scheme val="minor"/>
    </font>
    <font>
      <name val="Calibri"/>
      <family val="2"/>
      <color theme="5"/>
      <sz val="8"/>
      <scheme val="minor"/>
    </font>
    <font>
      <name val="Calibri"/>
      <family val="2"/>
      <color theme="5"/>
      <sz val="11"/>
      <scheme val="minor"/>
    </font>
    <font>
      <name val="Calibri"/>
      <charset val="204"/>
      <family val="2"/>
      <b val="1"/>
      <color rgb="FF92D050"/>
      <sz val="8"/>
      <scheme val="minor"/>
    </font>
    <font>
      <name val="Calibri"/>
      <charset val="204"/>
      <family val="2"/>
      <b val="1"/>
      <color rgb="FF92D050"/>
      <sz val="11"/>
      <scheme val="minor"/>
    </font>
    <font>
      <name val="Calibri"/>
      <charset val="204"/>
      <family val="2"/>
      <b val="1"/>
      <color rgb="FF009999"/>
      <sz val="6"/>
    </font>
    <font>
      <name val="Consolas"/>
      <charset val="204"/>
      <family val="3"/>
      <b val="1"/>
      <color rgb="FF009999"/>
      <sz val="6"/>
    </font>
    <font>
      <name val="Calibri"/>
      <charset val="204"/>
      <family val="2"/>
      <b val="1"/>
      <color rgb="FF009999"/>
      <sz val="8"/>
    </font>
    <font>
      <name val="Calibri"/>
      <charset val="204"/>
      <family val="2"/>
      <color theme="0" tint="-0.249977111117893"/>
      <sz val="8"/>
      <scheme val="minor"/>
    </font>
    <font>
      <name val="Calibri"/>
      <charset val="204"/>
      <family val="2"/>
      <color theme="0" tint="-0.249977111117893"/>
      <sz val="6"/>
    </font>
    <font>
      <name val="Calibri"/>
      <charset val="204"/>
      <family val="2"/>
      <b val="1"/>
      <color theme="0" tint="-0.249977111117893"/>
      <sz val="11"/>
      <scheme val="minor"/>
    </font>
    <font>
      <name val="Consolas"/>
      <charset val="204"/>
      <family val="3"/>
      <sz val="8"/>
    </font>
    <font>
      <name val="Calibri"/>
      <charset val="204"/>
      <family val="2"/>
      <b val="1"/>
      <color theme="5"/>
      <sz val="8"/>
      <scheme val="minor"/>
    </font>
    <font>
      <name val="Calibri"/>
      <family val="2"/>
      <b val="1"/>
      <sz val="16"/>
      <scheme val="minor"/>
    </font>
    <font>
      <name val="Calibri"/>
      <family val="2"/>
      <sz val="16"/>
      <scheme val="minor"/>
    </font>
    <font>
      <name val="Tahoma"/>
      <charset val="204"/>
      <family val="2"/>
      <color indexed="81"/>
      <sz val="9"/>
    </font>
    <font>
      <name val="Tahoma"/>
      <charset val="204"/>
      <family val="2"/>
      <b val="1"/>
      <color indexed="81"/>
      <sz val="9"/>
    </font>
    <font>
      <name val="Calibri"/>
      <charset val="204"/>
      <family val="2"/>
      <color theme="0" tint="-0.249977111117893"/>
      <sz val="5"/>
    </font>
    <font>
      <name val="Calibri"/>
      <charset val="204"/>
      <family val="2"/>
      <color theme="0" tint="-0.249977111117893"/>
      <sz val="5"/>
      <scheme val="minor"/>
    </font>
    <font>
      <name val="Calibri"/>
      <charset val="204"/>
      <family val="2"/>
      <b val="1"/>
      <color theme="4" tint="-0.249977111117893"/>
      <sz val="11"/>
      <scheme val="minor"/>
    </font>
    <font>
      <name val="Calibri"/>
      <charset val="204"/>
      <family val="2"/>
      <b val="1"/>
      <color rgb="FF0070C0"/>
      <sz val="11"/>
      <scheme val="minor"/>
    </font>
    <font>
      <name val="Calibri"/>
      <charset val="204"/>
      <family val="2"/>
      <b val="1"/>
      <color rgb="FFFF0000"/>
      <sz val="11"/>
      <scheme val="minor"/>
    </font>
    <font>
      <name val="Calibri"/>
      <charset val="204"/>
      <family val="2"/>
      <color theme="9" tint="0.3999755851924192"/>
      <sz val="8"/>
      <scheme val="minor"/>
    </font>
  </fonts>
  <fills count="12">
    <fill>
      <patternFill/>
    </fill>
    <fill>
      <patternFill patternType="gray125"/>
    </fill>
    <fill>
      <patternFill patternType="solid">
        <fgColor rgb="FFFFFF00"/>
        <bgColor indexed="64"/>
      </patternFill>
    </fill>
    <fill>
      <patternFill patternType="solid">
        <fgColor rgb="FF33CCCC"/>
        <bgColor indexed="64"/>
      </patternFill>
    </fill>
    <fill>
      <patternFill patternType="solid">
        <fgColor rgb="FFBFBFBF"/>
        <bgColor rgb="FFBFBFBF"/>
      </patternFill>
    </fill>
    <fill>
      <patternFill patternType="solid">
        <fgColor theme="0" tint="-0.0499893185216834"/>
        <bgColor rgb="FFB2A1C7"/>
      </patternFill>
    </fill>
    <fill>
      <patternFill patternType="solid">
        <fgColor theme="0" tint="-0.1499984740745262"/>
        <bgColor rgb="FFB2A1C7"/>
      </patternFill>
    </fill>
    <fill>
      <patternFill patternType="solid">
        <fgColor theme="4" tint="0.3999755851924192"/>
        <bgColor indexed="64"/>
      </patternFill>
    </fill>
    <fill>
      <patternFill patternType="solid">
        <fgColor rgb="FF92D050"/>
        <bgColor indexed="64"/>
      </patternFill>
    </fill>
    <fill>
      <patternFill patternType="solid">
        <fgColor theme="0" tint="-0.1499984740745262"/>
        <bgColor indexed="64"/>
      </patternFill>
    </fill>
    <fill>
      <patternFill patternType="solid">
        <fgColor theme="7"/>
        <bgColor indexed="64"/>
      </patternFill>
    </fill>
    <fill>
      <patternFill patternType="solid">
        <fgColor rgb="0092D050"/>
      </patternFill>
    </fill>
  </fills>
  <borders count="6">
    <border>
      <left/>
      <right/>
      <top/>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5">
    <xf numFmtId="0" fontId="0" fillId="0" borderId="0"/>
    <xf numFmtId="0" fontId="3" fillId="0" borderId="0"/>
    <xf numFmtId="0" fontId="3" fillId="0" borderId="0"/>
    <xf numFmtId="0" fontId="3" fillId="0" borderId="0"/>
    <xf numFmtId="0" fontId="3" fillId="0" borderId="0"/>
  </cellStyleXfs>
  <cellXfs count="243">
    <xf numFmtId="0" fontId="0" fillId="0" borderId="0" pivotButton="0" quotePrefix="0" xfId="0"/>
    <xf numFmtId="0" fontId="5" fillId="0" borderId="0" pivotButton="0" quotePrefix="0" xfId="0"/>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0" fillId="0" borderId="0" applyAlignment="1" pivotButton="0" quotePrefix="0" xfId="0">
      <alignment wrapText="1"/>
    </xf>
    <xf numFmtId="2" fontId="0" fillId="0" borderId="0" applyAlignment="1" pivotButton="0" quotePrefix="0" xfId="0">
      <alignment horizontal="center"/>
    </xf>
    <xf numFmtId="0" fontId="12" fillId="0" borderId="0" applyAlignment="1" pivotButton="0" quotePrefix="0" xfId="0">
      <alignment horizontal="center" vertical="center" wrapText="1"/>
    </xf>
    <xf numFmtId="0" fontId="12" fillId="0" borderId="0" applyAlignment="1" pivotButton="0" quotePrefix="0" xfId="0">
      <alignment horizontal="center" vertical="center"/>
    </xf>
    <xf numFmtId="0" fontId="12" fillId="0" borderId="0" pivotButton="0" quotePrefix="0" xfId="0"/>
    <xf numFmtId="2" fontId="7" fillId="3" borderId="0" applyAlignment="1" pivotButton="0" quotePrefix="0" xfId="0">
      <alignment horizontal="center" vertical="center" wrapText="1"/>
    </xf>
    <xf numFmtId="2" fontId="7" fillId="0" borderId="0" applyAlignment="1" pivotButton="0" quotePrefix="0" xfId="0">
      <alignment horizontal="center" vertical="center" wrapText="1"/>
    </xf>
    <xf numFmtId="0" fontId="12" fillId="0" borderId="0" applyAlignment="1" pivotButton="0" quotePrefix="0" xfId="0">
      <alignment horizontal="center" vertical="center"/>
    </xf>
    <xf numFmtId="0" fontId="12" fillId="0" borderId="0" applyAlignment="1" pivotButton="0" quotePrefix="0" xfId="0">
      <alignment horizontal="left" vertical="center"/>
    </xf>
    <xf numFmtId="2" fontId="12" fillId="0" borderId="0" applyAlignment="1" pivotButton="0" quotePrefix="0" xfId="0">
      <alignment horizontal="center" vertical="center"/>
    </xf>
    <xf numFmtId="0" fontId="14" fillId="0" borderId="0" applyAlignment="1" pivotButton="0" quotePrefix="0" xfId="0">
      <alignment horizontal="center"/>
    </xf>
    <xf numFmtId="1" fontId="7" fillId="3" borderId="0" applyAlignment="1" pivotButton="0" quotePrefix="0" xfId="0">
      <alignment horizontal="center" vertical="center" wrapText="1"/>
    </xf>
    <xf numFmtId="2" fontId="18" fillId="0" borderId="0" applyAlignment="1" pivotButton="0" quotePrefix="0" xfId="0">
      <alignment horizontal="center" vertical="center" wrapText="1"/>
    </xf>
    <xf numFmtId="0" fontId="5" fillId="0" borderId="0" applyAlignment="1" pivotButton="0" quotePrefix="0" xfId="0">
      <alignment horizontal="center" vertical="center"/>
    </xf>
    <xf numFmtId="2" fontId="20" fillId="0" borderId="0" applyAlignment="1" pivotButton="0" quotePrefix="0" xfId="0">
      <alignment horizontal="center" vertical="center" wrapText="1"/>
    </xf>
    <xf numFmtId="0" fontId="20" fillId="0" borderId="0" applyAlignment="1" pivotButton="0" quotePrefix="0" xfId="0">
      <alignment horizontal="center" vertical="center" wrapText="1"/>
    </xf>
    <xf numFmtId="2" fontId="21" fillId="0" borderId="0" applyAlignment="1" pivotButton="0" quotePrefix="0" xfId="0">
      <alignment horizontal="center"/>
    </xf>
    <xf numFmtId="0" fontId="21" fillId="0" borderId="0" applyAlignment="1" pivotButton="0" quotePrefix="0" xfId="0">
      <alignment horizontal="center"/>
    </xf>
    <xf numFmtId="0" fontId="8" fillId="0" borderId="0" applyAlignment="1" pivotButton="0" quotePrefix="0" xfId="0">
      <alignment horizontal="center" vertical="center"/>
    </xf>
    <xf numFmtId="0" fontId="23" fillId="4" borderId="0" applyAlignment="1" pivotButton="0" quotePrefix="0" xfId="0">
      <alignment horizontal="center" vertical="center"/>
    </xf>
    <xf numFmtId="49" fontId="24" fillId="4" borderId="0" applyAlignment="1" pivotButton="0" quotePrefix="0" xfId="0">
      <alignment horizontal="center" vertical="center" wrapText="1"/>
    </xf>
    <xf numFmtId="0" fontId="13"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center" vertical="center"/>
    </xf>
    <xf numFmtId="0" fontId="25" fillId="0" borderId="0" applyAlignment="1" pivotButton="0" quotePrefix="0" xfId="0">
      <alignment horizontal="left" vertical="center" wrapText="1"/>
    </xf>
    <xf numFmtId="49" fontId="22" fillId="5" borderId="0" applyAlignment="1" pivotButton="0" quotePrefix="0" xfId="0">
      <alignment horizontal="center" vertical="center" wrapText="1"/>
    </xf>
    <xf numFmtId="2" fontId="1" fillId="0" borderId="0" applyAlignment="1" pivotButton="0" quotePrefix="0" xfId="0">
      <alignment horizontal="center" vertical="center"/>
    </xf>
    <xf numFmtId="0" fontId="1" fillId="0" borderId="0" applyAlignment="1" pivotButton="0" quotePrefix="0" xfId="0">
      <alignment horizontal="center" vertical="center"/>
    </xf>
    <xf numFmtId="0" fontId="25" fillId="0" borderId="0" applyAlignment="1" pivotButton="0" quotePrefix="0" xfId="0">
      <alignment horizontal="left" vertical="center"/>
    </xf>
    <xf numFmtId="49" fontId="22" fillId="6" borderId="0" applyAlignment="1" pivotButton="0" quotePrefix="0" xfId="0">
      <alignment horizontal="center" vertical="center" wrapText="1"/>
    </xf>
    <xf numFmtId="49" fontId="22" fillId="0" borderId="0" applyAlignment="1" pivotButton="0" quotePrefix="0" xfId="0">
      <alignment horizontal="center" vertical="center" wrapText="1"/>
    </xf>
    <xf numFmtId="0" fontId="27" fillId="0" borderId="0" applyAlignment="1" pivotButton="0" quotePrefix="0" xfId="0">
      <alignment horizontal="left" vertical="center"/>
    </xf>
    <xf numFmtId="49" fontId="26" fillId="0" borderId="0" applyAlignment="1" pivotButton="0" quotePrefix="0" xfId="0">
      <alignment horizontal="center" vertical="center" wrapText="1"/>
    </xf>
    <xf numFmtId="49" fontId="11" fillId="0" borderId="0" applyAlignment="1" pivotButton="0" quotePrefix="0" xfId="0">
      <alignment horizontal="center" vertical="center" wrapText="1"/>
    </xf>
    <xf numFmtId="0" fontId="25" fillId="0" borderId="0" pivotButton="0" quotePrefix="0" xfId="0"/>
    <xf numFmtId="49" fontId="11" fillId="0" borderId="0" applyAlignment="1" pivotButton="0" quotePrefix="0" xfId="0">
      <alignment horizontal="center" vertical="center"/>
    </xf>
    <xf numFmtId="0" fontId="0" fillId="7" borderId="0" applyAlignment="1" pivotButton="0" quotePrefix="0" xfId="0">
      <alignment horizontal="center" vertical="center"/>
    </xf>
    <xf numFmtId="0" fontId="12" fillId="0" borderId="0" applyAlignment="1" pivotButton="0" quotePrefix="0" xfId="0">
      <alignment horizontal="center" vertical="center"/>
    </xf>
    <xf numFmtId="0" fontId="12" fillId="0" borderId="0" pivotButton="0" quotePrefix="0" xfId="0"/>
    <xf numFmtId="2" fontId="28" fillId="4" borderId="0" applyAlignment="1" pivotButton="0" quotePrefix="0" xfId="0">
      <alignment horizontal="center" vertical="center" wrapText="1"/>
    </xf>
    <xf numFmtId="2" fontId="29" fillId="0" borderId="0" applyAlignment="1" pivotButton="0" quotePrefix="0" xfId="0">
      <alignment horizontal="center" vertical="center"/>
    </xf>
    <xf numFmtId="2" fontId="19" fillId="0" borderId="0" applyAlignment="1" pivotButton="0" quotePrefix="0" xfId="0">
      <alignment horizontal="center" vertical="center"/>
    </xf>
    <xf numFmtId="0" fontId="19" fillId="0" borderId="0" pivotButton="0" quotePrefix="0" xfId="0"/>
    <xf numFmtId="0" fontId="12" fillId="0" borderId="0" applyAlignment="1" pivotButton="0" quotePrefix="0" xfId="0">
      <alignment horizontal="center" vertical="center"/>
    </xf>
    <xf numFmtId="0" fontId="15" fillId="0" borderId="0" applyAlignment="1" pivotButton="0" quotePrefix="0" xfId="1">
      <alignment horizontal="center" vertical="center" textRotation="90" wrapText="1"/>
    </xf>
    <xf numFmtId="2" fontId="11" fillId="0" borderId="0" applyAlignment="1" pivotButton="0" quotePrefix="0" xfId="1">
      <alignment horizontal="center" vertical="center" wrapText="1"/>
    </xf>
    <xf numFmtId="0" fontId="5" fillId="0" borderId="0" pivotButton="0" quotePrefix="0" xfId="0"/>
    <xf numFmtId="0" fontId="5" fillId="0" borderId="0" applyAlignment="1" pivotButton="0" quotePrefix="0" xfId="0">
      <alignment horizontal="center" vertical="center"/>
    </xf>
    <xf numFmtId="2" fontId="5" fillId="0" borderId="0" applyAlignment="1" pivotButton="0" quotePrefix="0" xfId="0">
      <alignment horizontal="center" vertical="center"/>
    </xf>
    <xf numFmtId="0" fontId="32" fillId="0" borderId="0" applyAlignment="1" pivotButton="0" quotePrefix="0" xfId="0">
      <alignment horizontal="center"/>
    </xf>
    <xf numFmtId="2" fontId="31" fillId="0" borderId="0" applyAlignment="1" pivotButton="0" quotePrefix="0" xfId="0">
      <alignment horizontal="center" vertical="center"/>
    </xf>
    <xf numFmtId="0" fontId="0" fillId="0" borderId="0" pivotButton="0" quotePrefix="0" xfId="0"/>
    <xf numFmtId="0" fontId="0" fillId="0" borderId="0" pivotButton="0" quotePrefix="0" xfId="1"/>
    <xf numFmtId="0" fontId="8" fillId="0" borderId="0" pivotButton="0" quotePrefix="0" xfId="0"/>
    <xf numFmtId="0" fontId="18" fillId="0" borderId="0" applyAlignment="1" pivotButton="0" quotePrefix="0" xfId="1">
      <alignment horizontal="center" vertical="center" wrapText="1"/>
    </xf>
    <xf numFmtId="2" fontId="18" fillId="0" borderId="0" applyAlignment="1" pivotButton="0" quotePrefix="0" xfId="0">
      <alignment horizontal="center" vertical="center"/>
    </xf>
    <xf numFmtId="0" fontId="17" fillId="0" borderId="0" applyAlignment="1" pivotButton="0" quotePrefix="0" xfId="0">
      <alignment horizontal="right" vertical="center" indent="1"/>
    </xf>
    <xf numFmtId="0" fontId="5" fillId="0" borderId="0" pivotButton="0" quotePrefix="0" xfId="0"/>
    <xf numFmtId="0" fontId="10" fillId="0" borderId="0" applyAlignment="1" pivotButton="0" quotePrefix="0" xfId="0">
      <alignment horizontal="center" vertical="center"/>
    </xf>
    <xf numFmtId="2" fontId="30" fillId="0" borderId="0" applyAlignment="1" pivotButton="0" quotePrefix="0" xfId="0">
      <alignment horizontal="center" vertical="center"/>
    </xf>
    <xf numFmtId="0" fontId="32" fillId="0" borderId="0" applyAlignment="1" pivotButton="0" quotePrefix="0" xfId="0">
      <alignment horizontal="center"/>
    </xf>
    <xf numFmtId="2" fontId="18" fillId="0" borderId="0" applyAlignment="1" pivotButton="0" quotePrefix="0" xfId="0">
      <alignment horizontal="center" vertical="center"/>
    </xf>
    <xf numFmtId="2" fontId="18" fillId="0" borderId="0" applyAlignment="1" pivotButton="0" quotePrefix="0" xfId="0">
      <alignment horizontal="center" vertical="center" wrapText="1"/>
    </xf>
    <xf numFmtId="2" fontId="34" fillId="0" borderId="0" applyAlignment="1" pivotButton="0" quotePrefix="0" xfId="0">
      <alignment horizontal="center" vertical="center" wrapText="1"/>
    </xf>
    <xf numFmtId="2" fontId="35" fillId="0" borderId="0" applyAlignment="1" pivotButton="0" quotePrefix="0" xfId="0">
      <alignment horizontal="center"/>
    </xf>
    <xf numFmtId="2" fontId="36" fillId="0" borderId="0" applyAlignment="1" pivotButton="0" quotePrefix="0" xfId="0">
      <alignment horizontal="center"/>
    </xf>
    <xf numFmtId="2" fontId="36" fillId="0" borderId="0" applyAlignment="1" pivotButton="0" quotePrefix="0" xfId="0">
      <alignment horizontal="center"/>
    </xf>
    <xf numFmtId="2" fontId="37" fillId="0" borderId="0" applyAlignment="1" pivotButton="0" quotePrefix="0" xfId="0">
      <alignment horizontal="center" vertical="center" wrapText="1"/>
    </xf>
    <xf numFmtId="2" fontId="12" fillId="0" borderId="0" applyAlignment="1" pivotButton="0" quotePrefix="0" xfId="0">
      <alignment horizontal="center"/>
    </xf>
    <xf numFmtId="1" fontId="14" fillId="0" borderId="0" applyAlignment="1" pivotButton="0" quotePrefix="0" xfId="0">
      <alignment horizontal="center" vertical="center"/>
    </xf>
    <xf numFmtId="2" fontId="38" fillId="0" borderId="0" applyAlignment="1" pivotButton="0" quotePrefix="0" xfId="0">
      <alignment horizontal="center" vertical="center" wrapText="1"/>
    </xf>
    <xf numFmtId="2" fontId="16" fillId="0" borderId="0" applyAlignment="1" pivotButton="0" quotePrefix="0" xfId="0">
      <alignment horizontal="center" vertical="center"/>
    </xf>
    <xf numFmtId="2" fontId="16" fillId="0" borderId="0" applyAlignment="1" pivotButton="0" quotePrefix="0" xfId="0">
      <alignment horizontal="left" vertical="center"/>
    </xf>
    <xf numFmtId="2" fontId="16" fillId="0" borderId="0" applyAlignment="1" pivotButton="0" quotePrefix="0" xfId="0">
      <alignment horizontal="center" vertical="center"/>
    </xf>
    <xf numFmtId="2" fontId="16" fillId="0" borderId="0" applyAlignment="1" pivotButton="0" quotePrefix="0" xfId="0">
      <alignment horizontal="left" vertical="center"/>
    </xf>
    <xf numFmtId="2" fontId="38" fillId="0" borderId="0" applyAlignment="1" pivotButton="0" quotePrefix="0" xfId="1">
      <alignment horizontal="center" vertical="center" wrapText="1"/>
    </xf>
    <xf numFmtId="2" fontId="38"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33" fillId="0" borderId="0" applyAlignment="1" pivotButton="0" quotePrefix="0" xfId="0">
      <alignment horizontal="center" vertical="center"/>
    </xf>
    <xf numFmtId="0" fontId="33" fillId="0" borderId="0" applyAlignment="1" pivotButton="0" quotePrefix="0" xfId="0">
      <alignment horizontal="center" vertical="center"/>
    </xf>
    <xf numFmtId="0" fontId="38" fillId="3" borderId="0" applyAlignment="1" pivotButton="0" quotePrefix="0" xfId="1">
      <alignment horizontal="center" vertical="center" wrapText="1"/>
    </xf>
    <xf numFmtId="0" fontId="39" fillId="3" borderId="0" applyAlignment="1" pivotButton="0" quotePrefix="0" xfId="1">
      <alignment horizontal="center" vertical="center" wrapText="1"/>
    </xf>
    <xf numFmtId="0" fontId="39" fillId="0" borderId="0" applyAlignment="1" pivotButton="0" quotePrefix="0" xfId="0">
      <alignment horizontal="center" vertical="center"/>
    </xf>
    <xf numFmtId="0" fontId="39" fillId="0" borderId="0" applyAlignment="1" pivotButton="0" quotePrefix="0" xfId="0">
      <alignment horizontal="center"/>
    </xf>
    <xf numFmtId="0" fontId="39" fillId="0" borderId="0" applyAlignment="1" pivotButton="0" quotePrefix="0" xfId="0">
      <alignment horizontal="center"/>
    </xf>
    <xf numFmtId="49" fontId="39" fillId="0" borderId="0" applyAlignment="1" pivotButton="0" quotePrefix="0" xfId="0">
      <alignment horizontal="center" vertical="center"/>
    </xf>
    <xf numFmtId="0" fontId="40" fillId="0" borderId="0" applyAlignment="1" pivotButton="0" quotePrefix="0" xfId="0">
      <alignment horizontal="center"/>
    </xf>
    <xf numFmtId="0" fontId="40" fillId="0" borderId="0" applyAlignment="1" pivotButton="0" quotePrefix="0" xfId="0">
      <alignment horizontal="center"/>
    </xf>
    <xf numFmtId="164" fontId="40" fillId="0" borderId="0" applyAlignment="1" pivotButton="0" quotePrefix="0" xfId="0">
      <alignment horizontal="center"/>
    </xf>
    <xf numFmtId="0" fontId="30" fillId="0" borderId="0" applyAlignment="1" pivotButton="0" quotePrefix="0" xfId="0">
      <alignment horizontal="center" vertical="center" wrapText="1"/>
    </xf>
    <xf numFmtId="0" fontId="30" fillId="0" borderId="0" applyAlignment="1" pivotButton="0" quotePrefix="0" xfId="0">
      <alignment horizontal="center"/>
    </xf>
    <xf numFmtId="0" fontId="9" fillId="0" borderId="0" applyAlignment="1" pivotButton="0" quotePrefix="0" xfId="0">
      <alignment horizontal="center" wrapText="1"/>
    </xf>
    <xf numFmtId="0" fontId="5" fillId="0" borderId="0" applyAlignment="1" pivotButton="0" quotePrefix="0" xfId="0">
      <alignment horizontal="center" vertical="center" wrapText="1"/>
    </xf>
    <xf numFmtId="0" fontId="5" fillId="0" borderId="0" applyAlignment="1" pivotButton="0" quotePrefix="0" xfId="0">
      <alignment horizontal="center" vertical="center"/>
    </xf>
    <xf numFmtId="0" fontId="6" fillId="0" borderId="0" applyAlignment="1" pivotButton="0" quotePrefix="0" xfId="0">
      <alignment horizontal="center" vertical="center" wrapText="1"/>
    </xf>
    <xf numFmtId="2" fontId="41" fillId="0" borderId="0" applyAlignment="1" pivotButton="0" quotePrefix="0" xfId="1">
      <alignment horizontal="center" vertical="center" wrapText="1"/>
    </xf>
    <xf numFmtId="0" fontId="42" fillId="0" borderId="0" applyAlignment="1" pivotButton="0" quotePrefix="0" xfId="0">
      <alignment horizontal="center" vertical="center"/>
    </xf>
    <xf numFmtId="0" fontId="42" fillId="0" borderId="0" applyAlignment="1" pivotButton="0" quotePrefix="0" xfId="0">
      <alignment horizontal="center" vertical="center"/>
    </xf>
    <xf numFmtId="0" fontId="8" fillId="0" borderId="0" applyAlignment="1" pivotButton="0" quotePrefix="0" xfId="0">
      <alignment horizontal="center" vertical="center" wrapText="1"/>
    </xf>
    <xf numFmtId="0" fontId="45" fillId="0" borderId="0" applyAlignment="1" pivotButton="0" quotePrefix="0" xfId="0">
      <alignment horizontal="center" vertical="center"/>
    </xf>
    <xf numFmtId="2" fontId="38" fillId="2" borderId="0" applyAlignment="1" pivotButton="0" quotePrefix="0" xfId="0">
      <alignment horizontal="center" vertical="center" wrapText="1"/>
    </xf>
    <xf numFmtId="0" fontId="42" fillId="2" borderId="0" applyAlignment="1" pivotButton="0" quotePrefix="0" xfId="0">
      <alignment horizontal="center" vertical="center"/>
    </xf>
    <xf numFmtId="49" fontId="0" fillId="0" borderId="0" pivotButton="0" quotePrefix="0" xfId="0"/>
    <xf numFmtId="1" fontId="46" fillId="0" borderId="0" applyAlignment="1" pivotButton="0" quotePrefix="0" xfId="1">
      <alignment horizontal="center" vertical="center" wrapText="1"/>
    </xf>
    <xf numFmtId="1" fontId="46" fillId="0" borderId="0" applyAlignment="1" pivotButton="0" quotePrefix="0" xfId="0">
      <alignment horizontal="center" vertical="center" wrapText="1"/>
    </xf>
    <xf numFmtId="1" fontId="46" fillId="0" borderId="0" applyAlignment="1" pivotButton="0" quotePrefix="0" xfId="0">
      <alignment horizontal="center" vertical="center" wrapText="1"/>
    </xf>
    <xf numFmtId="1" fontId="46" fillId="0" borderId="0" pivotButton="0" quotePrefix="0" xfId="0"/>
    <xf numFmtId="0" fontId="47" fillId="0" borderId="0" applyAlignment="1" pivotButton="0" quotePrefix="0" xfId="0">
      <alignment horizontal="center" vertical="center" wrapText="1"/>
    </xf>
    <xf numFmtId="0" fontId="47" fillId="0" borderId="0" pivotButton="0" quotePrefix="0" xfId="0"/>
    <xf numFmtId="0" fontId="39" fillId="9" borderId="0" applyAlignment="1" pivotButton="0" quotePrefix="0" xfId="0">
      <alignment horizontal="center"/>
    </xf>
    <xf numFmtId="2" fontId="10" fillId="0" borderId="0" applyAlignment="1" pivotButton="0" quotePrefix="0" xfId="0">
      <alignment horizontal="center" vertical="center" wrapText="1"/>
    </xf>
    <xf numFmtId="2" fontId="33" fillId="0" borderId="0" applyAlignment="1" pivotButton="0" quotePrefix="0" xfId="0">
      <alignment horizontal="center" vertical="center"/>
    </xf>
    <xf numFmtId="2" fontId="33" fillId="0" borderId="0" applyAlignment="1" pivotButton="0" quotePrefix="0" xfId="0">
      <alignment horizontal="center" vertical="center"/>
    </xf>
    <xf numFmtId="0" fontId="50" fillId="0" borderId="0" applyAlignment="1" pivotButton="0" quotePrefix="0" xfId="0">
      <alignment horizontal="center" vertical="center" wrapText="1"/>
    </xf>
    <xf numFmtId="0" fontId="14" fillId="0" borderId="0" applyAlignment="1" pivotButton="0" quotePrefix="0" xfId="0">
      <alignment horizontal="center"/>
    </xf>
    <xf numFmtId="2" fontId="21" fillId="0" borderId="0" applyAlignment="1" pivotButton="0" quotePrefix="0" xfId="0">
      <alignment horizontal="center"/>
    </xf>
    <xf numFmtId="0" fontId="21" fillId="0" borderId="0" applyAlignment="1" pivotButton="0" quotePrefix="0" xfId="0">
      <alignment horizontal="center"/>
    </xf>
    <xf numFmtId="2" fontId="35" fillId="0" borderId="0" applyAlignment="1" pivotButton="0" quotePrefix="0" xfId="0">
      <alignment horizontal="center"/>
    </xf>
    <xf numFmtId="2" fontId="12" fillId="0" borderId="0" applyAlignment="1" pivotButton="0" quotePrefix="0" xfId="0">
      <alignment horizontal="center"/>
    </xf>
    <xf numFmtId="1" fontId="14" fillId="0" borderId="0" applyAlignment="1" pivotButton="0" quotePrefix="0" xfId="0">
      <alignment horizontal="center" vertical="center"/>
    </xf>
    <xf numFmtId="0" fontId="12" fillId="0" borderId="0" applyAlignment="1" pivotButton="0" quotePrefix="0" xfId="0">
      <alignment horizontal="left" vertical="center"/>
    </xf>
    <xf numFmtId="2" fontId="12" fillId="0" borderId="0" applyAlignment="1" pivotButton="0" quotePrefix="0" xfId="0">
      <alignment horizontal="center" vertical="center"/>
    </xf>
    <xf numFmtId="0" fontId="51" fillId="0" borderId="0" applyAlignment="1" pivotButton="0" quotePrefix="0" xfId="0">
      <alignment horizontal="center" vertical="center" wrapText="1"/>
    </xf>
    <xf numFmtId="2" fontId="51" fillId="0" borderId="0"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16" fillId="0" borderId="0" applyAlignment="1" pivotButton="0" quotePrefix="0" xfId="0">
      <alignment horizontal="center" vertical="center" wrapText="1"/>
    </xf>
    <xf numFmtId="2" fontId="16" fillId="7" borderId="0" applyAlignment="1" pivotButton="0" quotePrefix="0" xfId="0">
      <alignment horizontal="center" vertical="center" wrapText="1"/>
    </xf>
    <xf numFmtId="2" fontId="16" fillId="0" borderId="0" applyAlignment="1" pivotButton="0" quotePrefix="0" xfId="0">
      <alignment horizontal="center" vertical="center" wrapText="1"/>
    </xf>
    <xf numFmtId="49" fontId="55" fillId="0" borderId="0" applyAlignment="1" pivotButton="0" quotePrefix="0" xfId="0">
      <alignment horizontal="center" vertical="center" wrapText="1"/>
    </xf>
    <xf numFmtId="0" fontId="16" fillId="0" borderId="0" pivotButton="0" quotePrefix="0" xfId="0"/>
    <xf numFmtId="2" fontId="52" fillId="0" borderId="0" applyAlignment="1" pivotButton="0" quotePrefix="0" xfId="0">
      <alignment horizontal="center" vertical="center" wrapText="1"/>
    </xf>
    <xf numFmtId="2" fontId="53" fillId="0" borderId="0" applyAlignment="1" pivotButton="0" quotePrefix="0" xfId="0">
      <alignment horizontal="center" vertical="center" wrapText="1"/>
    </xf>
    <xf numFmtId="2" fontId="54" fillId="0" borderId="0" applyAlignment="1" pivotButton="0" quotePrefix="0" xfId="0">
      <alignment horizontal="center" vertical="center" wrapText="1"/>
    </xf>
    <xf numFmtId="0" fontId="56" fillId="0" borderId="0" applyAlignment="1" pivotButton="0" quotePrefix="0" xfId="0">
      <alignment horizontal="center" vertical="center"/>
    </xf>
    <xf numFmtId="49" fontId="55" fillId="0" borderId="0" applyAlignment="1" pivotButton="0" quotePrefix="0" xfId="0">
      <alignment horizontal="center" vertical="center"/>
    </xf>
    <xf numFmtId="0" fontId="5" fillId="0" borderId="0" applyAlignment="1" pivotButton="0" quotePrefix="0" xfId="0">
      <alignment horizontal="center" vertical="center"/>
    </xf>
    <xf numFmtId="0" fontId="57" fillId="0" borderId="0" applyAlignment="1" pivotButton="0" quotePrefix="0" xfId="0">
      <alignment horizontal="center" vertical="center" textRotation="90"/>
    </xf>
    <xf numFmtId="0" fontId="48" fillId="0" borderId="0" applyAlignment="1" pivotButton="0" quotePrefix="0" xfId="0">
      <alignment horizontal="center" vertical="center"/>
    </xf>
    <xf numFmtId="0" fontId="58" fillId="0" borderId="0" applyAlignment="1" pivotButton="0" quotePrefix="0" xfId="0">
      <alignment horizontal="center" vertical="center"/>
    </xf>
    <xf numFmtId="2" fontId="33" fillId="0" borderId="0" applyAlignment="1" pivotButton="0" quotePrefix="0" xfId="2">
      <alignment horizontal="center" vertical="center" wrapText="1"/>
    </xf>
    <xf numFmtId="49" fontId="39" fillId="0" borderId="0" applyAlignment="1" pivotButton="0" quotePrefix="0" xfId="0">
      <alignment horizontal="center" vertical="center"/>
    </xf>
    <xf numFmtId="49" fontId="59" fillId="0" borderId="0" applyAlignment="1" pivotButton="0" quotePrefix="0" xfId="2">
      <alignment horizontal="center" vertical="center" textRotation="90"/>
    </xf>
    <xf numFmtId="49" fontId="60" fillId="0" borderId="0" applyAlignment="1" pivotButton="0" quotePrefix="0" xfId="1">
      <alignment horizontal="center" vertical="center" wrapText="1"/>
    </xf>
    <xf numFmtId="0" fontId="59" fillId="0" borderId="0" applyAlignment="1" pivotButton="0" quotePrefix="0" xfId="1">
      <alignment horizontal="center" vertical="center" textRotation="90" wrapText="1"/>
    </xf>
    <xf numFmtId="0" fontId="61" fillId="0" borderId="0" applyAlignment="1" pivotButton="0" quotePrefix="0" xfId="1">
      <alignment horizontal="center" vertical="center" wrapText="1"/>
    </xf>
    <xf numFmtId="2" fontId="61" fillId="0" borderId="0" applyAlignment="1" pivotButton="0" quotePrefix="0" xfId="1">
      <alignment horizontal="center" vertical="center" wrapText="1"/>
    </xf>
    <xf numFmtId="0" fontId="44" fillId="0" borderId="0" applyAlignment="1" pivotButton="0" quotePrefix="0" xfId="1">
      <alignment horizontal="center" vertical="center" textRotation="90" wrapText="1"/>
    </xf>
    <xf numFmtId="0" fontId="41" fillId="0" borderId="0" applyAlignment="1" pivotButton="0" quotePrefix="0" xfId="0">
      <alignment horizontal="center" vertical="center" wrapText="1"/>
    </xf>
    <xf numFmtId="0" fontId="62" fillId="0" borderId="0" applyAlignment="1" pivotButton="0" quotePrefix="0" xfId="0">
      <alignment horizontal="center" vertical="center"/>
    </xf>
    <xf numFmtId="1" fontId="48" fillId="0" borderId="0" applyAlignment="1" pivotButton="0" quotePrefix="0" xfId="0">
      <alignment horizontal="center" vertical="center"/>
    </xf>
    <xf numFmtId="0" fontId="62" fillId="0" borderId="0" applyAlignment="1" pivotButton="0" quotePrefix="0" xfId="1">
      <alignment horizontal="center" vertical="center" wrapText="1"/>
    </xf>
    <xf numFmtId="0" fontId="30" fillId="0" borderId="0" applyAlignment="1" pivotButton="0" quotePrefix="0" xfId="0">
      <alignment horizontal="center" vertical="center"/>
    </xf>
    <xf numFmtId="0" fontId="30" fillId="0" borderId="0" applyAlignment="1" pivotButton="0" quotePrefix="0" xfId="0">
      <alignment horizontal="center" vertical="center" wrapText="1"/>
    </xf>
    <xf numFmtId="0" fontId="30" fillId="0" borderId="0" applyAlignment="1" pivotButton="0" quotePrefix="0" xfId="0">
      <alignment horizontal="center" vertical="center"/>
    </xf>
    <xf numFmtId="0" fontId="30" fillId="0" borderId="0" applyAlignment="1" pivotButton="0" quotePrefix="0" xfId="0">
      <alignment horizontal="center" vertical="center"/>
    </xf>
    <xf numFmtId="0" fontId="41" fillId="0" borderId="0" applyAlignment="1" pivotButton="0" quotePrefix="0" xfId="1">
      <alignment horizontal="center" vertical="center" wrapText="1"/>
    </xf>
    <xf numFmtId="0" fontId="41" fillId="0" borderId="0" applyAlignment="1" pivotButton="0" quotePrefix="0" xfId="0">
      <alignment horizontal="center" vertical="center" wrapText="1"/>
    </xf>
    <xf numFmtId="0" fontId="14" fillId="10" borderId="0" applyAlignment="1" pivotButton="0" quotePrefix="0" xfId="0">
      <alignment horizontal="center" vertical="center"/>
    </xf>
    <xf numFmtId="0" fontId="9" fillId="8" borderId="0" applyAlignment="1" pivotButton="0" quotePrefix="0" xfId="0">
      <alignment horizontal="center" vertical="center"/>
    </xf>
    <xf numFmtId="0" fontId="64" fillId="0" borderId="0" applyAlignment="1" pivotButton="0" quotePrefix="0" xfId="0">
      <alignment horizontal="center" vertical="center"/>
    </xf>
    <xf numFmtId="0" fontId="9" fillId="0" borderId="0" applyAlignment="1" pivotButton="0" quotePrefix="0" xfId="0">
      <alignment horizontal="center" vertical="center"/>
    </xf>
    <xf numFmtId="0" fontId="65" fillId="0" borderId="0" applyAlignment="1" pivotButton="0" quotePrefix="0" xfId="0">
      <alignment horizontal="center" vertical="center"/>
    </xf>
    <xf numFmtId="0" fontId="9" fillId="0" borderId="0" pivotButton="0" quotePrefix="0" xfId="0"/>
    <xf numFmtId="1" fontId="14" fillId="2" borderId="0" applyAlignment="1" pivotButton="0" quotePrefix="0" xfId="0">
      <alignment horizontal="center" vertical="center"/>
    </xf>
    <xf numFmtId="2" fontId="36" fillId="2" borderId="0" applyAlignment="1" pivotButton="0" quotePrefix="0" xfId="0">
      <alignment horizontal="center"/>
    </xf>
    <xf numFmtId="0" fontId="5" fillId="0" borderId="0" applyAlignment="1" pivotButton="0" quotePrefix="0" xfId="0">
      <alignment horizontal="center" vertical="center"/>
    </xf>
    <xf numFmtId="0" fontId="55" fillId="0" borderId="0" applyAlignment="1" pivotButton="0" quotePrefix="0" xfId="0">
      <alignment horizontal="center" vertical="center" wrapText="1"/>
    </xf>
    <xf numFmtId="0" fontId="55" fillId="0" borderId="0" applyAlignment="1" pivotButton="0" quotePrefix="0" xfId="0">
      <alignment horizontal="center"/>
    </xf>
    <xf numFmtId="0" fontId="7" fillId="0" borderId="0" applyAlignment="1" pivotButton="0" quotePrefix="0" xfId="0">
      <alignment horizontal="center" vertical="center" wrapText="1"/>
    </xf>
    <xf numFmtId="0" fontId="7" fillId="0" borderId="0" applyAlignment="1" pivotButton="0" quotePrefix="0" xfId="0">
      <alignment horizontal="center"/>
    </xf>
    <xf numFmtId="0" fontId="67" fillId="8" borderId="0" applyAlignment="1" pivotButton="0" quotePrefix="0" xfId="0">
      <alignment horizontal="center" vertical="center"/>
    </xf>
    <xf numFmtId="0" fontId="16" fillId="0" borderId="0" applyAlignment="1" pivotButton="0" quotePrefix="0" xfId="0">
      <alignment horizontal="center" vertical="center" wrapText="1"/>
    </xf>
    <xf numFmtId="2" fontId="51" fillId="0" borderId="0" applyAlignment="1" pivotButton="0" quotePrefix="0" xfId="0">
      <alignment horizontal="center" vertical="center" wrapText="1"/>
    </xf>
    <xf numFmtId="2" fontId="52" fillId="0" borderId="0" applyAlignment="1" pivotButton="0" quotePrefix="0" xfId="0">
      <alignment horizontal="center" vertical="center" wrapText="1"/>
    </xf>
    <xf numFmtId="2" fontId="53" fillId="0" borderId="0" applyAlignment="1" pivotButton="0" quotePrefix="0" xfId="0">
      <alignment horizontal="center" vertical="center" wrapText="1"/>
    </xf>
    <xf numFmtId="2" fontId="54" fillId="0" borderId="0" applyAlignment="1" pivotButton="0" quotePrefix="0" xfId="0">
      <alignment horizontal="center" vertical="center" wrapText="1"/>
    </xf>
    <xf numFmtId="2" fontId="16" fillId="0" borderId="0" applyAlignment="1" pivotButton="0" quotePrefix="0" xfId="0">
      <alignment horizontal="center" vertical="center" wrapText="1"/>
    </xf>
    <xf numFmtId="0" fontId="56" fillId="0" borderId="0" applyAlignment="1" pivotButton="0" quotePrefix="0" xfId="0">
      <alignment horizontal="center" vertical="center"/>
    </xf>
    <xf numFmtId="1" fontId="48" fillId="0" borderId="0" applyAlignment="1" pivotButton="0" quotePrefix="0" xfId="0">
      <alignment horizontal="center" vertical="center"/>
    </xf>
    <xf numFmtId="0" fontId="16" fillId="9" borderId="0" applyAlignment="1" pivotButton="0" quotePrefix="0" xfId="0">
      <alignment horizontal="center" vertical="center" wrapText="1"/>
    </xf>
    <xf numFmtId="2" fontId="51" fillId="9" borderId="0" applyAlignment="1" pivotButton="0" quotePrefix="0" xfId="0">
      <alignment horizontal="center" vertical="center" wrapText="1"/>
    </xf>
    <xf numFmtId="2" fontId="52" fillId="9" borderId="0" applyAlignment="1" pivotButton="0" quotePrefix="0" xfId="0">
      <alignment horizontal="center" vertical="center" wrapText="1"/>
    </xf>
    <xf numFmtId="2" fontId="53" fillId="9" borderId="0" applyAlignment="1" pivotButton="0" quotePrefix="0" xfId="0">
      <alignment horizontal="center" vertical="center" wrapText="1"/>
    </xf>
    <xf numFmtId="2" fontId="54" fillId="9" borderId="0" applyAlignment="1" pivotButton="0" quotePrefix="0" xfId="0">
      <alignment horizontal="center" vertical="center" wrapText="1"/>
    </xf>
    <xf numFmtId="2" fontId="16" fillId="9" borderId="0" applyAlignment="1" pivotButton="0" quotePrefix="0" xfId="0">
      <alignment horizontal="center" vertical="center" wrapText="1"/>
    </xf>
    <xf numFmtId="0" fontId="56" fillId="9" borderId="0" applyAlignment="1" pivotButton="0" quotePrefix="0" xfId="0">
      <alignment horizontal="center" vertical="center"/>
    </xf>
    <xf numFmtId="1" fontId="48" fillId="9" borderId="0" applyAlignment="1" pivotButton="0" quotePrefix="0" xfId="0">
      <alignment horizontal="center" vertical="center"/>
    </xf>
    <xf numFmtId="0" fontId="13" fillId="0" borderId="2" applyAlignment="1" pivotButton="0" quotePrefix="0" xfId="0">
      <alignment horizontal="center" vertical="center" wrapText="1"/>
    </xf>
    <xf numFmtId="0" fontId="13" fillId="0" borderId="3" applyAlignment="1" pivotButton="0" quotePrefix="0" xfId="0">
      <alignment horizontal="center" vertical="center" wrapText="1"/>
    </xf>
    <xf numFmtId="0" fontId="5" fillId="0" borderId="4" applyAlignment="1" pivotButton="0" quotePrefix="0" xfId="0">
      <alignment horizontal="center" vertical="center"/>
    </xf>
    <xf numFmtId="0" fontId="5" fillId="0" borderId="5" applyAlignment="1" pivotButton="0" quotePrefix="0" xfId="0">
      <alignment horizontal="center" vertical="center"/>
    </xf>
    <xf numFmtId="0" fontId="16" fillId="0" borderId="2" applyAlignment="1" pivotButton="0" quotePrefix="0" xfId="1">
      <alignment horizontal="center" vertical="center" wrapText="1"/>
    </xf>
    <xf numFmtId="0" fontId="16" fillId="0" borderId="1" applyAlignment="1" pivotButton="0" quotePrefix="0" xfId="1">
      <alignment horizontal="center" vertical="center" wrapText="1"/>
    </xf>
    <xf numFmtId="0" fontId="16" fillId="0" borderId="3" applyAlignment="1" pivotButton="0" quotePrefix="0" xfId="1">
      <alignment horizontal="center" vertical="center" wrapText="1"/>
    </xf>
    <xf numFmtId="0" fontId="0"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5" applyAlignment="1" pivotButton="0" quotePrefix="0" xfId="0">
      <alignment horizontal="center" vertical="center" wrapText="1"/>
    </xf>
    <xf numFmtId="0" fontId="33" fillId="0" borderId="2" applyAlignment="1" pivotButton="0" quotePrefix="0" xfId="0">
      <alignment horizontal="center" vertical="center" wrapText="1"/>
    </xf>
    <xf numFmtId="0" fontId="33" fillId="0" borderId="1" applyAlignment="1" pivotButton="0" quotePrefix="0" xfId="0">
      <alignment horizontal="center" vertical="center" wrapText="1"/>
    </xf>
    <xf numFmtId="2" fontId="13" fillId="0" borderId="3" applyAlignment="1" pivotButton="0" quotePrefix="0" xfId="0">
      <alignment horizontal="center" vertical="center" wrapText="1"/>
    </xf>
    <xf numFmtId="0" fontId="5" fillId="0" borderId="4" pivotButton="0" quotePrefix="0" xfId="0"/>
    <xf numFmtId="0" fontId="5" fillId="0" borderId="0" pivotButton="0" quotePrefix="0" xfId="0"/>
    <xf numFmtId="2" fontId="5" fillId="0" borderId="5" applyAlignment="1" pivotButton="0" quotePrefix="0" xfId="0">
      <alignment horizontal="center" vertical="center" wrapText="1"/>
    </xf>
    <xf numFmtId="0" fontId="5" fillId="0" borderId="3" applyAlignment="1" pivotButton="0" quotePrefix="0" xfId="0">
      <alignment horizontal="center" vertical="center" wrapText="1"/>
    </xf>
    <xf numFmtId="0" fontId="9" fillId="0" borderId="0" applyAlignment="1" pivotButton="0" quotePrefix="0" xfId="0">
      <alignment horizontal="center"/>
    </xf>
    <xf numFmtId="0" fontId="71" fillId="0" borderId="0" applyAlignment="1" pivotButton="0" quotePrefix="0" xfId="0">
      <alignment horizontal="center" vertical="center" wrapText="1"/>
    </xf>
    <xf numFmtId="0" fontId="72" fillId="0" borderId="0" applyAlignment="1" pivotButton="0" quotePrefix="0" xfId="0">
      <alignment horizontal="center" vertical="center" wrapText="1"/>
    </xf>
    <xf numFmtId="0" fontId="72" fillId="0" borderId="0" applyAlignment="1" pivotButton="0" quotePrefix="0" xfId="0">
      <alignment horizontal="center" vertical="center" wrapText="1"/>
    </xf>
    <xf numFmtId="0" fontId="73" fillId="0" borderId="0" pivotButton="0" quotePrefix="0" xfId="0"/>
    <xf numFmtId="0" fontId="74" fillId="0" borderId="2" applyAlignment="1" pivotButton="0" quotePrefix="0" xfId="0">
      <alignment horizontal="center" vertical="center" wrapText="1"/>
    </xf>
    <xf numFmtId="0" fontId="74" fillId="0" borderId="4" applyAlignment="1" pivotButton="0" quotePrefix="0" xfId="0">
      <alignment horizontal="center" vertical="center"/>
    </xf>
    <xf numFmtId="0" fontId="48" fillId="0" borderId="0" applyAlignment="1" pivotButton="0" quotePrefix="0" xfId="0">
      <alignment horizontal="center" vertical="center" wrapText="1"/>
    </xf>
    <xf numFmtId="0" fontId="48" fillId="9" borderId="0" applyAlignment="1" pivotButton="0" quotePrefix="0" xfId="0">
      <alignment horizontal="center" vertical="center" wrapText="1"/>
    </xf>
    <xf numFmtId="0" fontId="48" fillId="0" borderId="0" pivotButton="0" quotePrefix="0" xfId="0"/>
    <xf numFmtId="0" fontId="75" fillId="0" borderId="0" applyAlignment="1" pivotButton="0" quotePrefix="0" xfId="0">
      <alignment horizontal="center" vertical="center" wrapText="1"/>
    </xf>
    <xf numFmtId="0" fontId="76" fillId="0" borderId="0" applyAlignment="1" pivotButton="0" quotePrefix="0" xfId="0">
      <alignment horizontal="center"/>
    </xf>
    <xf numFmtId="0" fontId="5" fillId="0" borderId="5" applyAlignment="1" pivotButton="0" quotePrefix="0" xfId="0">
      <alignment horizontal="center" vertical="center"/>
    </xf>
    <xf numFmtId="0" fontId="74" fillId="0" borderId="4" applyAlignment="1" pivotButton="0" quotePrefix="0" xfId="0">
      <alignment horizontal="center" vertical="center"/>
    </xf>
    <xf numFmtId="0" fontId="49" fillId="0" borderId="0" applyAlignment="1" pivotButton="0" quotePrefix="0" xfId="0">
      <alignment horizontal="center" vertical="center" wrapText="1"/>
    </xf>
    <xf numFmtId="0" fontId="9" fillId="0" borderId="0" applyAlignment="1" pivotButton="0" quotePrefix="0" xfId="0">
      <alignment horizontal="center" vertical="center" wrapText="1"/>
    </xf>
    <xf numFmtId="2" fontId="5" fillId="0" borderId="5" applyAlignment="1" pivotButton="0" quotePrefix="0" xfId="0">
      <alignment horizontal="center" vertical="center" wrapText="1"/>
    </xf>
    <xf numFmtId="0" fontId="0" fillId="0" borderId="0" applyAlignment="1" pivotButton="0" quotePrefix="0" xfId="0">
      <alignment horizontal="center" vertical="center" wrapText="1"/>
    </xf>
    <xf numFmtId="0" fontId="5" fillId="0" borderId="4" applyAlignment="1" pivotButton="0" quotePrefix="0" xfId="0">
      <alignment horizontal="center" vertical="center"/>
    </xf>
    <xf numFmtId="0" fontId="5" fillId="0" borderId="0" applyAlignment="1" pivotButton="0" quotePrefix="0" xfId="0">
      <alignment horizontal="center" vertical="center" wrapText="1"/>
    </xf>
    <xf numFmtId="0" fontId="47" fillId="0" borderId="0" applyAlignment="1" pivotButton="0" quotePrefix="0" xfId="0">
      <alignment horizontal="center" vertical="center"/>
    </xf>
    <xf numFmtId="0" fontId="7" fillId="0" borderId="0" applyAlignment="1" pivotButton="0" quotePrefix="0" xfId="0">
      <alignment horizontal="center" vertical="center" wrapText="1"/>
    </xf>
    <xf numFmtId="0" fontId="47" fillId="0" borderId="0" applyAlignment="1" pivotButton="0" quotePrefix="0" xfId="0">
      <alignment horizontal="center" vertical="center"/>
    </xf>
    <xf numFmtId="0" fontId="36" fillId="0" borderId="0" applyAlignment="1" pivotButton="0" quotePrefix="0" xfId="0">
      <alignment horizontal="center" vertical="center" wrapText="1"/>
    </xf>
    <xf numFmtId="2" fontId="43" fillId="0" borderId="5" applyAlignment="1" pivotButton="0" quotePrefix="0" xfId="0">
      <alignment horizontal="center" vertical="center" wrapText="1"/>
    </xf>
    <xf numFmtId="0" fontId="5" fillId="0" borderId="4" applyAlignment="1" pivotButton="0" quotePrefix="0" xfId="0">
      <alignment horizontal="center" vertical="center"/>
    </xf>
    <xf numFmtId="0" fontId="0"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5" applyAlignment="1" pivotButton="0" quotePrefix="0" xfId="0">
      <alignment horizontal="center" vertical="center" wrapText="1"/>
    </xf>
    <xf numFmtId="0" fontId="5" fillId="0" borderId="0" applyAlignment="1" pivotButton="0" quotePrefix="0" xfId="0">
      <alignment horizontal="center" vertical="center"/>
    </xf>
    <xf numFmtId="0" fontId="0" fillId="0" borderId="4" pivotButton="0" quotePrefix="0" xfId="0"/>
    <xf numFmtId="0" fontId="0" fillId="0" borderId="5" pivotButton="0" quotePrefix="0" xfId="0"/>
    <xf numFmtId="2" fontId="36" fillId="11" borderId="0" applyAlignment="1" pivotButton="0" quotePrefix="0" xfId="0">
      <alignment horizontal="center"/>
    </xf>
  </cellXfs>
  <cellStyles count="5">
    <cellStyle name="Обычный" xfId="0" builtinId="0"/>
    <cellStyle name="Обычный 2" xfId="1"/>
    <cellStyle name="Обычный 3" xfId="2"/>
    <cellStyle name="Обычный 4" xfId="3"/>
    <cellStyle name="Обычный 3 3" xfId="4"/>
  </cellStyles>
  <dxfs count="23">
    <dxf>
      <font>
        <color rgb="FF9C0006"/>
      </font>
      <fill>
        <patternFill>
          <bgColor rgb="FFFFC7CE"/>
        </patternFill>
      </fill>
    </dxf>
    <dxf>
      <font>
        <color theme="5"/>
      </font>
    </dxf>
    <dxf>
      <font>
        <color rgb="FFFF0000"/>
      </font>
    </dxf>
    <dxf>
      <font>
        <color rgb="FF92D050"/>
      </font>
    </dxf>
    <dxf>
      <font>
        <b val="1"/>
        <color theme="5"/>
      </font>
    </dxf>
    <dxf>
      <border>
        <left/>
        <right/>
        <top style="thin">
          <color auto="1"/>
        </top>
        <bottom/>
        <vertical/>
        <horizontal/>
      </border>
    </dxf>
    <dxf>
      <border>
        <left/>
        <right/>
        <top/>
        <bottom style="thin">
          <color auto="1"/>
        </bottom>
        <vertical/>
        <horizontal/>
      </border>
    </dxf>
    <dxf>
      <border>
        <left/>
        <right/>
        <top/>
        <bottom style="thin">
          <color auto="1"/>
        </bottom>
        <vertical/>
        <horizontal/>
      </border>
    </dxf>
    <dxf>
      <border>
        <left/>
        <right/>
        <top style="thin">
          <color auto="1"/>
        </top>
        <bottom/>
        <vertical/>
        <horizontal/>
      </border>
    </dxf>
    <dxf>
      <border>
        <left/>
        <right/>
        <top/>
        <bottom style="thin">
          <color auto="1"/>
        </bottom>
        <vertical/>
        <horizontal/>
      </border>
    </dxf>
    <dxf>
      <border>
        <bottom style="thin">
          <color auto="1"/>
        </bottom>
        <vertical/>
        <horizontal/>
      </border>
    </dxf>
    <dxf>
      <border>
        <bottom style="thin">
          <color auto="1"/>
        </bottom>
        <vertical/>
        <horizontal/>
      </border>
    </dxf>
    <dxf>
      <border>
        <left/>
        <right/>
        <top style="thin">
          <color auto="1"/>
        </top>
        <bottom/>
        <vertical/>
        <horizontal/>
      </border>
    </dxf>
    <dxf>
      <border>
        <bottom style="thin">
          <color auto="1"/>
        </bottom>
        <vertical/>
        <horizontal/>
      </border>
    </dxf>
    <dxf>
      <font>
        <b val="1"/>
        <color theme="5"/>
      </font>
    </dxf>
    <dxf>
      <font>
        <b val="1"/>
        <color rgb="FFC00000"/>
      </font>
    </dxf>
    <dxf>
      <font>
        <b val="1"/>
        <color rgb="FF009999"/>
      </font>
    </dxf>
    <dxf>
      <font>
        <b val="1"/>
        <color theme="5" tint="-0.249946592608417"/>
      </font>
    </dxf>
    <dxf>
      <font>
        <b val="1"/>
        <color theme="5"/>
      </font>
    </dxf>
    <dxf>
      <font>
        <color theme="0" tint="-0.1499679555650502"/>
      </font>
    </dxf>
    <dxf>
      <font>
        <b val="1"/>
        <color rgb="FF009999"/>
      </font>
    </dxf>
    <dxf>
      <font>
        <b val="1"/>
        <color theme="5" tint="-0.249946592608417"/>
      </font>
    </dxf>
    <dxf>
      <font>
        <color theme="0" tint="-0.1499679555650502"/>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mr</author>
  </authors>
  <commentList>
    <comment ref="A333" authorId="0" shapeId="0">
      <text>
        <t>mr:
50 шт</t>
      </text>
    </comment>
  </commentList>
</comments>
</file>

<file path=xl/comments/comment2.xml><?xml version="1.0" encoding="utf-8"?>
<comments xmlns="http://schemas.openxmlformats.org/spreadsheetml/2006/main">
  <authors>
    <author>mr</author>
  </authors>
  <commentList>
    <comment ref="H1" authorId="0" shapeId="0">
      <text>
        <t>mr:
для калькулятора</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theme="9" tint="0.5999938962981048"/>
    <outlinePr summaryBelow="1" summaryRight="1"/>
    <pageSetUpPr/>
  </sheetPr>
  <dimension ref="A1:AC348"/>
  <sheetViews>
    <sheetView zoomScale="235" zoomScaleNormal="235" workbookViewId="0">
      <pane ySplit="1" topLeftCell="A304" activePane="bottomLeft" state="frozen"/>
      <selection pane="bottomLeft" activeCell="E314" sqref="E314"/>
    </sheetView>
  </sheetViews>
  <sheetFormatPr baseColWidth="8" defaultColWidth="8.84375" defaultRowHeight="10.75"/>
  <cols>
    <col width="6.765625" customWidth="1" style="64" min="1" max="1"/>
    <col width="4.4609375" bestFit="1" customWidth="1" style="94" min="2" max="2"/>
    <col width="3.23046875" bestFit="1" customWidth="1" style="110" min="3" max="3"/>
    <col width="6.07421875" customWidth="1" style="77" min="4" max="4"/>
    <col width="16.765625" bestFit="1" customWidth="1" style="88" min="5" max="5"/>
    <col width="6.3046875" customWidth="1" style="213" min="6" max="6"/>
    <col width="3.765625" customWidth="1" style="83" min="7" max="7"/>
    <col width="4" customWidth="1" style="146" min="8" max="8"/>
    <col width="2.23046875" customWidth="1" style="83" min="9" max="9"/>
    <col width="5.07421875" customWidth="1" style="83" min="10" max="10"/>
    <col width="4.23046875" customWidth="1" style="116" min="11" max="11"/>
    <col width="2.69140625" customWidth="1" style="103" min="12" max="12"/>
    <col width="2.84375" customWidth="1" style="239" min="13" max="13"/>
    <col width="4.07421875" customWidth="1" style="239" min="14" max="14"/>
    <col width="7.23046875" customWidth="1" style="77" min="15" max="15"/>
    <col width="10.53515625" customWidth="1" style="160" min="16" max="16"/>
    <col width="8.53515625" customWidth="1" style="63" min="17" max="17"/>
    <col width="4.3046875" customWidth="1" style="154" min="18" max="18"/>
    <col width="3.23046875" customWidth="1" style="154" min="19" max="19"/>
    <col width="5.4609375" customWidth="1" style="154" min="20" max="20"/>
    <col width="8.3046875" customWidth="1" style="52" min="21" max="21"/>
    <col width="6.53515625" customWidth="1" style="52" min="22" max="22"/>
    <col width="6.07421875" customWidth="1" style="52" min="23" max="23"/>
    <col width="8.84375" customWidth="1" style="160" min="24" max="26"/>
    <col width="15.07421875" customWidth="1" style="160" min="27" max="27"/>
    <col width="6.53515625" customWidth="1" style="52" min="28" max="28"/>
    <col width="12.69140625" customWidth="1" style="63" min="29" max="29"/>
    <col width="8.84375" customWidth="1" style="207" min="30" max="16384"/>
  </cols>
  <sheetData>
    <row r="1" ht="42" customFormat="1" customHeight="1" s="207">
      <c r="A1" s="84" t="inlineStr">
        <is>
          <t>Закуп без НДС</t>
        </is>
      </c>
      <c r="B1" s="58" t="inlineStr">
        <is>
          <t>Закуп
с НДС</t>
        </is>
      </c>
      <c r="C1" s="107" t="inlineStr">
        <is>
          <t>№</t>
        </is>
      </c>
      <c r="D1" s="145" t="inlineStr">
        <is>
          <t>Поставщ Произв 0-нет</t>
        </is>
      </c>
      <c r="E1" s="85" t="inlineStr">
        <is>
          <t>✔️ Коробки</t>
        </is>
      </c>
      <c r="F1" s="150" t="inlineStr">
        <is>
          <t>Коммент</t>
        </is>
      </c>
      <c r="G1" s="147" t="inlineStr">
        <is>
          <t>Тип</t>
        </is>
      </c>
      <c r="H1" s="148" t="inlineStr">
        <is>
          <t>Fefco</t>
        </is>
      </c>
      <c r="I1" s="149" t="inlineStr">
        <is>
          <t>Профиль В Е</t>
        </is>
      </c>
      <c r="J1" s="150" t="inlineStr">
        <is>
          <t>Форма чья?</t>
        </is>
      </c>
      <c r="K1" s="151" t="inlineStr">
        <is>
          <t>SKU eng</t>
        </is>
      </c>
      <c r="L1" s="152" t="inlineStr">
        <is>
          <t>sale</t>
        </is>
      </c>
      <c r="M1" s="48" t="inlineStr">
        <is>
          <t>Ц или М</t>
        </is>
      </c>
      <c r="N1" s="142" t="inlineStr">
        <is>
          <t>Каталог</t>
        </is>
      </c>
      <c r="O1" s="79" t="inlineStr">
        <is>
          <t>V л знач</t>
        </is>
      </c>
      <c r="P1" s="158" t="inlineStr">
        <is>
          <t>V л
сайт</t>
        </is>
      </c>
      <c r="Q1" s="99" t="inlineStr">
        <is>
          <t>V л
прайс</t>
        </is>
      </c>
      <c r="R1" s="161" t="inlineStr">
        <is>
          <t>Д</t>
        </is>
      </c>
      <c r="S1" s="161" t="inlineStr">
        <is>
          <t>Ш</t>
        </is>
      </c>
      <c r="T1" s="161" t="inlineStr">
        <is>
          <t>В</t>
        </is>
      </c>
      <c r="U1" s="99" t="inlineStr">
        <is>
          <t>S загот м2
F/Знач
(2×(Д+Ш)+60) × (Ш+В+8)</t>
        </is>
      </c>
      <c r="V1" s="49" t="inlineStr">
        <is>
          <t>Длинные</t>
        </is>
      </c>
      <c r="W1" s="49" t="inlineStr">
        <is>
          <t>Плоские</t>
        </is>
      </c>
      <c r="X1" s="156" t="inlineStr">
        <is>
          <t>Наибольшые сторона, мм	&amp;emsp;</t>
        </is>
      </c>
      <c r="Y1" s="156" t="inlineStr">
        <is>
          <t>Средняя сторона, мм	&amp;emsp;</t>
        </is>
      </c>
      <c r="Z1" s="156" t="inlineStr">
        <is>
          <t>Наименьшые сторона, мм	&amp;emsp;</t>
        </is>
      </c>
      <c r="AA1" s="160" t="inlineStr">
        <is>
          <t>Тип коробки	&amp;emsp;</t>
        </is>
      </c>
      <c r="AB1" s="49" t="inlineStr">
        <is>
          <t>Цена м2 руб без НДС</t>
        </is>
      </c>
      <c r="AC1" s="99" t="inlineStr">
        <is>
          <t>Объем,  литров
для сайта старые</t>
        </is>
      </c>
    </row>
    <row r="2">
      <c r="A2" s="54" t="n">
        <v>0.28</v>
      </c>
      <c r="B2" s="65">
        <f>A2*1.2</f>
        <v/>
      </c>
      <c r="C2" s="109" t="n">
        <v>2</v>
      </c>
      <c r="D2" s="114" t="inlineStr">
        <is>
          <t>У</t>
        </is>
      </c>
      <c r="E2" s="86" t="inlineStr">
        <is>
          <t>230х85х150</t>
        </is>
      </c>
      <c r="F2" s="211" t="n"/>
      <c r="G2" s="81" t="inlineStr">
        <is>
          <t>Ч</t>
        </is>
      </c>
      <c r="H2" s="146" t="inlineStr">
        <is>
          <t>0201</t>
        </is>
      </c>
      <c r="I2" s="81" t="inlineStr">
        <is>
          <t>В</t>
        </is>
      </c>
      <c r="J2" s="81" t="inlineStr">
        <is>
          <t>х</t>
        </is>
      </c>
      <c r="K2" s="114" t="inlineStr">
        <is>
          <t>K1</t>
        </is>
      </c>
      <c r="M2" s="2" t="n"/>
      <c r="N2" s="239">
        <f>IF(D2="","",IF(LEFT(D2,1)="0",0,1))</f>
        <v/>
      </c>
      <c r="O2" s="80">
        <f>ROUND(R2*S2*T2/1000000,2)</f>
        <v/>
      </c>
      <c r="P2" s="160">
        <f>IF(O2="","",
IF(O2&lt;1,"0,1-0,9 литров",
IF(O2&lt;2,"1-1,9 литра",
IF(O2&lt;3,"2-2,9 литра",
IF(O2&lt;4,"3-3,9 литра",
IF(O2&lt;6,"4-5,9 литра",IF(O2&lt;8,"6-7,9 литра",IF(O2&lt;10,"8-9,9 литров",IF(O2&lt;15,"10-14,9 литров",IF(O2&lt;20,"15-19,9 литров",IF(O2&lt;30,"20-29 литров",IF(O2&lt;50,"30-49 литров",IF(O2&lt;60,"50-59 литров",IF(O2&lt;70,"60-69 литров",IF(O2&lt;80,"70-79 литров",IF(O2&lt;90,"80-89 литров",IF(O2&lt;100,"90-99 литров",IF(O2&lt;200,"100-200 литров","200+ литров"))))))))))))))))))</f>
        <v/>
      </c>
      <c r="Q2" s="101">
        <f>IF(O2="","",IF(O2&lt;1,"&lt;1 л",IF(O2&lt;=2,"1-2 л",IF(O2&lt;=3,"2-3 л",IF(O2&lt;=5,"3-5 л",IF(O2&lt;=10,"5-10 л",IF(O2&lt;=20,"10-20 л",IF(O2&lt;=50,"20-50 л",IF(O2&lt;=100,"50-100 л","100+ л")))))))))</f>
        <v/>
      </c>
      <c r="R2" s="162">
        <f>IF(E2="","",--LEFT(E2,FIND("х",E2)-1))</f>
        <v/>
      </c>
      <c r="S2" s="162">
        <f>IF(E2="","",--MID(E2,FIND("х",E2)+1,FIND("х",E2,FIND("х",E2)+1)-FIND("х",E2)-1))</f>
        <v/>
      </c>
      <c r="T2" s="162">
        <f>IF(E2="","",--RIGHT(E2,LEN(E2)-FIND("х",E2,FIND("х",E2)+1)))</f>
        <v/>
      </c>
      <c r="U2" s="66">
        <f>(2*(R2+S2)+60)*(S2+T2+8)/1000000</f>
        <v/>
      </c>
      <c r="V2" s="66">
        <f>IF(OR(AND(R2&gt;=2*S2,R2&gt;=2*T2),AND(S2&gt;=2*R2,S2&gt;=2*T2),AND(T2&gt;=2*R2,T2&gt;=2*S2)),"Длинные","")</f>
        <v/>
      </c>
      <c r="W2" s="66">
        <f>IF(OR(AND(R2&lt;=S2/2,R2&lt;=T2/2),AND(S2&lt;=R2/2,S2&lt;=T2/2),AND(T2&lt;=R2/2,T2&lt;=S2/2)),"Плоские","")</f>
        <v/>
      </c>
      <c r="X2" s="160">
        <f>IF(LARGE($R2:$T2,1)="","",IF(LARGE($R2:$T2,1)&lt;=99,"10-99 мм",IF(LARGE($R2:$T2,1)&lt;=199,"100-199 мм",IF(LARGE($R2:$T2,1)&lt;=299,"200-299 мм",IF(LARGE($R2:$T2,1)&lt;=399,"300-399 мм",IF(LARGE($R2:$T2,1)&lt;=499,"400-499 мм",IF(LARGE($R2:$T2,1)&lt;=599,"500-599 мм",IF(LARGE($R2:$T2,1)&lt;=699,"600-699 мм",IF(LARGE($R2:$T2,1)&lt;=999,"700-999 мм","1000+ мм")))))))))</f>
        <v/>
      </c>
      <c r="Y2" s="160">
        <f>IF(LARGE($R2:$T2,2)="","",IF(LARGE($R2:$T2,2)&lt;=99,"10-99 мм",IF(LARGE($R2:$T2,2)&lt;=199,"100-199 мм",IF(LARGE($R2:$T2,2)&lt;=299,"200-299 мм",IF(LARGE($R2:$T2,2)&lt;=399,"300-399 мм",IF(LARGE($R2:$T2,2)&lt;=499,"400-499 мм",IF(LARGE($R2:$T2,2)&lt;=599,"500-599 мм",IF(LARGE($R2:$T2,2)&lt;=699,"600-699 мм",IF(LARGE($R2:$T2,2)&lt;=999,"700-999 мм","1000+ мм")))))))))</f>
        <v/>
      </c>
      <c r="Z2" s="160">
        <f>IF(SMALL($R2:$T2,1)="","",IF(SMALL($R2:$T2,1)&lt;=99,"10-99 мм",IF(SMALL($R2:$T2,1)&lt;=199,"100-199 мм",IF(SMALL($R2:$T2,1)&lt;=299,"200-299 мм",IF(SMALL($R2:$T2,1)&lt;=399,"300-399 мм",IF(SMALL($R2:$T2,1)&lt;=499,"400-499 мм",IF(SMALL($R2:$T2,1)&lt;=599,"500-599 мм",IF(SMALL($R2:$T2,1)&lt;=699,"600-699 мм",IF(SMALL($R2:$T2,1)&lt;=999,"700-999 мм","1000+ мм")))))))))</f>
        <v/>
      </c>
      <c r="AA2" s="101">
        <f>IF(G2="","",IF(G2="Л","Лист гофрокартона",IF(G2="КД","Крышка-дно",IF(G2="С","Самосборные",IF(G2="Ч","Четырехклапанные",IF(G2="А","Архивные","Неизвестно"))))))</f>
        <v/>
      </c>
      <c r="AB2" s="66" t="n">
        <v>1.73</v>
      </c>
      <c r="AC2" s="101">
        <f>IF(O2="","",IF(O2&lt;=1,"0-1 литров",IF(O2&lt;=3,"2-3 литра",IF(O2&lt;=5,"4-5 литра",IF(O2&lt;=7,"6-7 литра",IF(O2&lt;=9,"8-9 литров",IF(O2&lt;=14,"10-14 литров",IF(O2&lt;=19,"15-19 литров",IF(O2&lt;=29,"20-29 литров",IF(O2&lt;=49,"30-49 литров",IF(O2&lt;=59,"50-59 литров",IF(O2&lt;=70,"60-69 литров",IF(O2&lt;=79,"70-79 литров",IF(O2&lt;=89,"80-89 литров",IF(O2&lt;=99,"90-99 литров",IF(O2&lt;=200,"100-200 литров","200+ литров"))))))))))))))))</f>
        <v/>
      </c>
    </row>
    <row r="3">
      <c r="A3" s="54" t="n">
        <v>0.73</v>
      </c>
      <c r="B3" s="65">
        <f>A3*1.2</f>
        <v/>
      </c>
      <c r="C3" s="109" t="n">
        <v>3</v>
      </c>
      <c r="D3" s="114" t="inlineStr">
        <is>
          <t>У</t>
        </is>
      </c>
      <c r="E3" s="88" t="inlineStr">
        <is>
          <t xml:space="preserve">245х245х165 </t>
        </is>
      </c>
      <c r="F3" s="211" t="n"/>
      <c r="G3" s="81" t="inlineStr">
        <is>
          <t>Ч</t>
        </is>
      </c>
      <c r="H3" s="146" t="inlineStr">
        <is>
          <t>0201</t>
        </is>
      </c>
      <c r="I3" s="81" t="inlineStr">
        <is>
          <t>В</t>
        </is>
      </c>
      <c r="J3" s="81" t="inlineStr">
        <is>
          <t>х</t>
        </is>
      </c>
      <c r="K3" s="114" t="inlineStr">
        <is>
          <t>K2</t>
        </is>
      </c>
      <c r="M3" s="2" t="n"/>
      <c r="N3" s="239">
        <f>IF(D3="","",IF(LEFT(D3,1)="0",0,1))</f>
        <v/>
      </c>
      <c r="O3" s="80">
        <f>ROUND(R3*S3*T3/1000000,2)</f>
        <v/>
      </c>
      <c r="P3" s="160">
        <f>IF(O3="","",
IF(O3&lt;1,"0,1-0,9 литров",
IF(O3&lt;2,"1-1,9 литра",
IF(O3&lt;3,"2-2,9 литра",
IF(O3&lt;4,"3-3,9 литра",
IF(O3&lt;6,"4-5,9 литра",IF(O3&lt;8,"6-7,9 литра",IF(O3&lt;10,"8-9,9 литров",IF(O3&lt;15,"10-14,9 литров",IF(O3&lt;20,"15-19,9 литров",IF(O3&lt;30,"20-29 литров",IF(O3&lt;50,"30-49 литров",IF(O3&lt;60,"50-59 литров",IF(O3&lt;70,"60-69 литров",IF(O3&lt;80,"70-79 литров",IF(O3&lt;90,"80-89 литров",IF(O3&lt;100,"90-99 литров",IF(O3&lt;200,"100-200 литров","200+ литров"))))))))))))))))))</f>
        <v/>
      </c>
      <c r="Q3" s="101">
        <f>IF(O3="","",IF(O3&lt;1,"&lt;1 л",IF(O3&lt;=2,"1-2 л",IF(O3&lt;=3,"2-3 л",IF(O3&lt;=5,"3-5 л",IF(O3&lt;=10,"5-10 л",IF(O3&lt;=20,"10-20 л",IF(O3&lt;=50,"20-50 л",IF(O3&lt;=100,"50-100 л","100+ л")))))))))</f>
        <v/>
      </c>
      <c r="R3" s="162">
        <f>IF(E3="","",--LEFT(E3,FIND("х",E3)-1))</f>
        <v/>
      </c>
      <c r="S3" s="162">
        <f>IF(E3="","",--MID(E3,FIND("х",E3)+1,FIND("х",E3,FIND("х",E3)+1)-FIND("х",E3)-1))</f>
        <v/>
      </c>
      <c r="T3" s="162">
        <f>IF(E3="","",--RIGHT(E3,LEN(E3)-FIND("х",E3,FIND("х",E3)+1)))</f>
        <v/>
      </c>
      <c r="U3" s="66">
        <f>(2*(R3+S3)+60)*(S3+T3+8)/1000000</f>
        <v/>
      </c>
      <c r="V3" s="66">
        <f>IF(OR(AND(R3&gt;=2*S3,R3&gt;=2*T3),AND(S3&gt;=2*R3,S3&gt;=2*T3),AND(T3&gt;=2*R3,T3&gt;=2*S3)),"Длинные","")</f>
        <v/>
      </c>
      <c r="W3" s="66">
        <f>IF(OR(AND(R3&lt;=S3/2,R3&lt;=T3/2),AND(S3&lt;=R3/2,S3&lt;=T3/2),AND(T3&lt;=R3/2,T3&lt;=S3/2)),"Плоские","")</f>
        <v/>
      </c>
      <c r="X3" s="160">
        <f>IF(LARGE($R3:$T3,1)="","",IF(LARGE($R3:$T3,1)&lt;=99,"10-99 мм",IF(LARGE($R3:$T3,1)&lt;=199,"100-199 мм",IF(LARGE($R3:$T3,1)&lt;=299,"200-299 мм",IF(LARGE($R3:$T3,1)&lt;=399,"300-399 мм",IF(LARGE($R3:$T3,1)&lt;=499,"400-499 мм",IF(LARGE($R3:$T3,1)&lt;=599,"500-599 мм",IF(LARGE($R3:$T3,1)&lt;=699,"600-699 мм",IF(LARGE($R3:$T3,1)&lt;=999,"700-999 мм","1000+ мм")))))))))</f>
        <v/>
      </c>
      <c r="Y3" s="160">
        <f>IF(LARGE($R3:$T3,2)="","",IF(LARGE($R3:$T3,2)&lt;=99,"10-99 мм",IF(LARGE($R3:$T3,2)&lt;=199,"100-199 мм",IF(LARGE($R3:$T3,2)&lt;=299,"200-299 мм",IF(LARGE($R3:$T3,2)&lt;=399,"300-399 мм",IF(LARGE($R3:$T3,2)&lt;=499,"400-499 мм",IF(LARGE($R3:$T3,2)&lt;=599,"500-599 мм",IF(LARGE($R3:$T3,2)&lt;=699,"600-699 мм",IF(LARGE($R3:$T3,2)&lt;=999,"700-999 мм","1000+ мм")))))))))</f>
        <v/>
      </c>
      <c r="Z3" s="160">
        <f>IF(SMALL($R3:$T3,1)="","",IF(SMALL($R3:$T3,1)&lt;=99,"10-99 мм",IF(SMALL($R3:$T3,1)&lt;=199,"100-199 мм",IF(SMALL($R3:$T3,1)&lt;=299,"200-299 мм",IF(SMALL($R3:$T3,1)&lt;=399,"300-399 мм",IF(SMALL($R3:$T3,1)&lt;=499,"400-499 мм",IF(SMALL($R3:$T3,1)&lt;=599,"500-599 мм",IF(SMALL($R3:$T3,1)&lt;=699,"600-699 мм",IF(SMALL($R3:$T3,1)&lt;=999,"700-999 мм","1000+ мм")))))))))</f>
        <v/>
      </c>
      <c r="AA3" s="101">
        <f>IF(G3="","",IF(G3="Л","Лист гофрокартона",IF(G3="КД","Крышка-дно",IF(G3="С","Самосборные",IF(G3="Ч","Четырехклапанные",IF(G3="А","Архивные","Неизвестно"))))))</f>
        <v/>
      </c>
      <c r="AB3" s="66" t="n">
        <v>1.73</v>
      </c>
      <c r="AC3" s="101">
        <f>IF(O3="","",IF(O3&lt;=1,"0-1 литров",IF(O3&lt;=3,"2-3 литра",IF(O3&lt;=5,"4-5 литра",IF(O3&lt;=7,"6-7 литра",IF(O3&lt;=9,"8-9 литров",IF(O3&lt;=14,"10-14 литров",IF(O3&lt;=19,"15-19 литров",IF(O3&lt;=29,"20-29 литров",IF(O3&lt;=49,"30-49 литров",IF(O3&lt;=59,"50-59 литров",IF(O3&lt;=70,"60-69 литров",IF(O3&lt;=79,"70-79 литров",IF(O3&lt;=89,"80-89 литров",IF(O3&lt;=99,"90-99 литров",IF(O3&lt;=200,"100-200 литров","200+ литров"))))))))))))))))</f>
        <v/>
      </c>
    </row>
    <row r="4">
      <c r="A4" s="54" t="n">
        <v>0.51</v>
      </c>
      <c r="B4" s="65">
        <f>A4*1.2</f>
        <v/>
      </c>
      <c r="C4" s="109" t="n">
        <v>4</v>
      </c>
      <c r="D4" s="114" t="inlineStr">
        <is>
          <t>У</t>
        </is>
      </c>
      <c r="E4" s="88" t="inlineStr">
        <is>
          <t>380х160х100</t>
        </is>
      </c>
      <c r="F4" s="211" t="n"/>
      <c r="G4" s="62" t="inlineStr">
        <is>
          <t>Ч</t>
        </is>
      </c>
      <c r="H4" s="146" t="inlineStr">
        <is>
          <t>0201</t>
        </is>
      </c>
      <c r="I4" s="62" t="inlineStr">
        <is>
          <t>В</t>
        </is>
      </c>
      <c r="J4" s="62" t="inlineStr">
        <is>
          <t>х</t>
        </is>
      </c>
      <c r="K4" s="114" t="inlineStr">
        <is>
          <t>K3</t>
        </is>
      </c>
      <c r="M4" s="3" t="n"/>
      <c r="N4" s="239">
        <f>IF(D4="","",IF(LEFT(D4,1)="0",0,1))</f>
        <v/>
      </c>
      <c r="O4" s="80">
        <f>ROUND(R4*S4*T4/1000000,2)</f>
        <v/>
      </c>
      <c r="P4" s="160">
        <f>IF(O4="","",
IF(O4&lt;1,"0,1-0,9 литров",
IF(O4&lt;2,"1-1,9 литра",
IF(O4&lt;3,"2-2,9 литра",
IF(O4&lt;4,"3-3,9 литра",
IF(O4&lt;6,"4-5,9 литра",IF(O4&lt;8,"6-7,9 литра",IF(O4&lt;10,"8-9,9 литров",IF(O4&lt;15,"10-14,9 литров",IF(O4&lt;20,"15-19,9 литров",IF(O4&lt;30,"20-29 литров",IF(O4&lt;50,"30-49 литров",IF(O4&lt;60,"50-59 литров",IF(O4&lt;70,"60-69 литров",IF(O4&lt;80,"70-79 литров",IF(O4&lt;90,"80-89 литров",IF(O4&lt;100,"90-99 литров",IF(O4&lt;200,"100-200 литров","200+ литров"))))))))))))))))))</f>
        <v/>
      </c>
      <c r="Q4" s="101">
        <f>IF(O4="","",IF(O4&lt;1,"&lt;1 л",IF(O4&lt;=2,"1-2 л",IF(O4&lt;=3,"2-3 л",IF(O4&lt;=5,"3-5 л",IF(O4&lt;=10,"5-10 л",IF(O4&lt;=20,"10-20 л",IF(O4&lt;=50,"20-50 л",IF(O4&lt;=100,"50-100 л","100+ л")))))))))</f>
        <v/>
      </c>
      <c r="R4" s="162">
        <f>IF(E4="","",--LEFT(E4,FIND("х",E4)-1))</f>
        <v/>
      </c>
      <c r="S4" s="162">
        <f>IF(E4="","",--MID(E4,FIND("х",E4)+1,FIND("х",E4,FIND("х",E4)+1)-FIND("х",E4)-1))</f>
        <v/>
      </c>
      <c r="T4" s="162">
        <f>IF(E4="","",--RIGHT(E4,LEN(E4)-FIND("х",E4,FIND("х",E4)+1)))</f>
        <v/>
      </c>
      <c r="U4" s="66">
        <f>(2*(R4+S4)+60)*(S4+T4+8)/1000000</f>
        <v/>
      </c>
      <c r="V4" s="66">
        <f>IF(OR(AND(R4&gt;=2*S4,R4&gt;=2*T4),AND(S4&gt;=2*R4,S4&gt;=2*T4),AND(T4&gt;=2*R4,T4&gt;=2*S4)),"Длинные","")</f>
        <v/>
      </c>
      <c r="W4" s="66">
        <f>IF(OR(AND(R4&lt;=S4/2,R4&lt;=T4/2),AND(S4&lt;=R4/2,S4&lt;=T4/2),AND(T4&lt;=R4/2,T4&lt;=S4/2)),"Плоские","")</f>
        <v/>
      </c>
      <c r="X4" s="160">
        <f>IF(LARGE($R4:$T4,1)="","",IF(LARGE($R4:$T4,1)&lt;=99,"10-99 мм",IF(LARGE($R4:$T4,1)&lt;=199,"100-199 мм",IF(LARGE($R4:$T4,1)&lt;=299,"200-299 мм",IF(LARGE($R4:$T4,1)&lt;=399,"300-399 мм",IF(LARGE($R4:$T4,1)&lt;=499,"400-499 мм",IF(LARGE($R4:$T4,1)&lt;=599,"500-599 мм",IF(LARGE($R4:$T4,1)&lt;=699,"600-699 мм",IF(LARGE($R4:$T4,1)&lt;=999,"700-999 мм","1000+ мм")))))))))</f>
        <v/>
      </c>
      <c r="Y4" s="160">
        <f>IF(LARGE($R4:$T4,2)="","",IF(LARGE($R4:$T4,2)&lt;=99,"10-99 мм",IF(LARGE($R4:$T4,2)&lt;=199,"100-199 мм",IF(LARGE($R4:$T4,2)&lt;=299,"200-299 мм",IF(LARGE($R4:$T4,2)&lt;=399,"300-399 мм",IF(LARGE($R4:$T4,2)&lt;=499,"400-499 мм",IF(LARGE($R4:$T4,2)&lt;=599,"500-599 мм",IF(LARGE($R4:$T4,2)&lt;=699,"600-699 мм",IF(LARGE($R4:$T4,2)&lt;=999,"700-999 мм","1000+ мм")))))))))</f>
        <v/>
      </c>
      <c r="Z4" s="160">
        <f>IF(SMALL($R4:$T4,1)="","",IF(SMALL($R4:$T4,1)&lt;=99,"10-99 мм",IF(SMALL($R4:$T4,1)&lt;=199,"100-199 мм",IF(SMALL($R4:$T4,1)&lt;=299,"200-299 мм",IF(SMALL($R4:$T4,1)&lt;=399,"300-399 мм",IF(SMALL($R4:$T4,1)&lt;=499,"400-499 мм",IF(SMALL($R4:$T4,1)&lt;=599,"500-599 мм",IF(SMALL($R4:$T4,1)&lt;=699,"600-699 мм",IF(SMALL($R4:$T4,1)&lt;=999,"700-999 мм","1000+ мм")))))))))</f>
        <v/>
      </c>
      <c r="AA4" s="101">
        <f>IF(G4="","",IF(G4="Л","Лист гофрокартона",IF(G4="КД","Крышка-дно",IF(G4="С","Самосборные",IF(G4="Ч","Четырехклапанные",IF(G4="А","Архивные","Неизвестно"))))))</f>
        <v/>
      </c>
      <c r="AB4" s="66" t="n">
        <v>1.73</v>
      </c>
      <c r="AC4" s="101">
        <f>IF(O4="","",IF(O4&lt;=1,"0-1 литров",IF(O4&lt;=3,"2-3 литра",IF(O4&lt;=5,"4-5 литра",IF(O4&lt;=7,"6-7 литра",IF(O4&lt;=9,"8-9 литров",IF(O4&lt;=14,"10-14 литров",IF(O4&lt;=19,"15-19 литров",IF(O4&lt;=29,"20-29 литров",IF(O4&lt;=49,"30-49 литров",IF(O4&lt;=59,"50-59 литров",IF(O4&lt;=70,"60-69 литров",IF(O4&lt;=79,"70-79 литров",IF(O4&lt;=89,"80-89 литров",IF(O4&lt;=99,"90-99 литров",IF(O4&lt;=200,"100-200 литров","200+ литров"))))))))))))))))</f>
        <v/>
      </c>
    </row>
    <row r="5">
      <c r="A5" s="54" t="n">
        <v>2.48</v>
      </c>
      <c r="B5" s="65">
        <f>A5*1.2</f>
        <v/>
      </c>
      <c r="C5" s="109" t="n">
        <v>5</v>
      </c>
      <c r="D5" s="114" t="inlineStr">
        <is>
          <t>У</t>
        </is>
      </c>
      <c r="E5" s="86" t="inlineStr">
        <is>
          <t>460х410х390</t>
        </is>
      </c>
      <c r="F5" s="211" t="n"/>
      <c r="G5" s="62" t="inlineStr">
        <is>
          <t>Ч</t>
        </is>
      </c>
      <c r="H5" s="146" t="inlineStr">
        <is>
          <t>0201</t>
        </is>
      </c>
      <c r="I5" s="62" t="inlineStr">
        <is>
          <t>В</t>
        </is>
      </c>
      <c r="J5" s="62" t="inlineStr">
        <is>
          <t>х</t>
        </is>
      </c>
      <c r="K5" s="114" t="inlineStr">
        <is>
          <t>K4</t>
        </is>
      </c>
      <c r="M5" s="3" t="n"/>
      <c r="N5" s="239">
        <f>IF(D5="","",IF(LEFT(D5,1)="0",0,1))</f>
        <v/>
      </c>
      <c r="O5" s="80">
        <f>ROUND(R5*S5*T5/1000000,2)</f>
        <v/>
      </c>
      <c r="P5" s="160">
        <f>IF(O5="","",
IF(O5&lt;1,"0,1-0,9 литров",
IF(O5&lt;2,"1-1,9 литра",
IF(O5&lt;3,"2-2,9 литра",
IF(O5&lt;4,"3-3,9 литра",
IF(O5&lt;6,"4-5,9 литра",IF(O5&lt;8,"6-7,9 литра",IF(O5&lt;10,"8-9,9 литров",IF(O5&lt;15,"10-14,9 литров",IF(O5&lt;20,"15-19,9 литров",IF(O5&lt;30,"20-29 литров",IF(O5&lt;50,"30-49 литров",IF(O5&lt;60,"50-59 литров",IF(O5&lt;70,"60-69 литров",IF(O5&lt;80,"70-79 литров",IF(O5&lt;90,"80-89 литров",IF(O5&lt;100,"90-99 литров",IF(O5&lt;200,"100-200 литров","200+ литров"))))))))))))))))))</f>
        <v/>
      </c>
      <c r="Q5" s="101">
        <f>IF(O5="","",IF(O5&lt;1,"&lt;1 л",IF(O5&lt;=2,"1-2 л",IF(O5&lt;=3,"2-3 л",IF(O5&lt;=5,"3-5 л",IF(O5&lt;=10,"5-10 л",IF(O5&lt;=20,"10-20 л",IF(O5&lt;=50,"20-50 л",IF(O5&lt;=100,"50-100 л","100+ л")))))))))</f>
        <v/>
      </c>
      <c r="R5" s="162">
        <f>IF(E5="","",--LEFT(E5,FIND("х",E5)-1))</f>
        <v/>
      </c>
      <c r="S5" s="162">
        <f>IF(E5="","",--MID(E5,FIND("х",E5)+1,FIND("х",E5,FIND("х",E5)+1)-FIND("х",E5)-1))</f>
        <v/>
      </c>
      <c r="T5" s="162">
        <f>IF(E5="","",--RIGHT(E5,LEN(E5)-FIND("х",E5,FIND("х",E5)+1)))</f>
        <v/>
      </c>
      <c r="U5" s="66">
        <f>(2*(R5+S5)+60)*(S5+T5+8)/1000000</f>
        <v/>
      </c>
      <c r="V5" s="66">
        <f>IF(OR(AND(R5&gt;=2*S5,R5&gt;=2*T5),AND(S5&gt;=2*R5,S5&gt;=2*T5),AND(T5&gt;=2*R5,T5&gt;=2*S5)),"Длинные","")</f>
        <v/>
      </c>
      <c r="W5" s="66">
        <f>IF(OR(AND(R5&lt;=S5/2,R5&lt;=T5/2),AND(S5&lt;=R5/2,S5&lt;=T5/2),AND(T5&lt;=R5/2,T5&lt;=S5/2)),"Плоские","")</f>
        <v/>
      </c>
      <c r="X5" s="160">
        <f>IF(LARGE($R5:$T5,1)="","",IF(LARGE($R5:$T5,1)&lt;=99,"10-99 мм",IF(LARGE($R5:$T5,1)&lt;=199,"100-199 мм",IF(LARGE($R5:$T5,1)&lt;=299,"200-299 мм",IF(LARGE($R5:$T5,1)&lt;=399,"300-399 мм",IF(LARGE($R5:$T5,1)&lt;=499,"400-499 мм",IF(LARGE($R5:$T5,1)&lt;=599,"500-599 мм",IF(LARGE($R5:$T5,1)&lt;=699,"600-699 мм",IF(LARGE($R5:$T5,1)&lt;=999,"700-999 мм","1000+ мм")))))))))</f>
        <v/>
      </c>
      <c r="Y5" s="160">
        <f>IF(LARGE($R5:$T5,2)="","",IF(LARGE($R5:$T5,2)&lt;=99,"10-99 мм",IF(LARGE($R5:$T5,2)&lt;=199,"100-199 мм",IF(LARGE($R5:$T5,2)&lt;=299,"200-299 мм",IF(LARGE($R5:$T5,2)&lt;=399,"300-399 мм",IF(LARGE($R5:$T5,2)&lt;=499,"400-499 мм",IF(LARGE($R5:$T5,2)&lt;=599,"500-599 мм",IF(LARGE($R5:$T5,2)&lt;=699,"600-699 мм",IF(LARGE($R5:$T5,2)&lt;=999,"700-999 мм","1000+ мм")))))))))</f>
        <v/>
      </c>
      <c r="Z5" s="160">
        <f>IF(SMALL($R5:$T5,1)="","",IF(SMALL($R5:$T5,1)&lt;=99,"10-99 мм",IF(SMALL($R5:$T5,1)&lt;=199,"100-199 мм",IF(SMALL($R5:$T5,1)&lt;=299,"200-299 мм",IF(SMALL($R5:$T5,1)&lt;=399,"300-399 мм",IF(SMALL($R5:$T5,1)&lt;=499,"400-499 мм",IF(SMALL($R5:$T5,1)&lt;=599,"500-599 мм",IF(SMALL($R5:$T5,1)&lt;=699,"600-699 мм",IF(SMALL($R5:$T5,1)&lt;=999,"700-999 мм","1000+ мм")))))))))</f>
        <v/>
      </c>
      <c r="AA5" s="101">
        <f>IF(G5="","",IF(G5="Л","Лист гофрокартона",IF(G5="КД","Крышка-дно",IF(G5="С","Самосборные",IF(G5="Ч","Четырехклапанные",IF(G5="А","Архивные","Неизвестно"))))))</f>
        <v/>
      </c>
      <c r="AB5" s="66" t="n">
        <v>1.73</v>
      </c>
      <c r="AC5" s="101">
        <f>IF(O5="","",IF(O5&lt;=1,"0-1 литров",IF(O5&lt;=3,"2-3 литра",IF(O5&lt;=5,"4-5 литра",IF(O5&lt;=7,"6-7 литра",IF(O5&lt;=9,"8-9 литров",IF(O5&lt;=14,"10-14 литров",IF(O5&lt;=19,"15-19 литров",IF(O5&lt;=29,"20-29 литров",IF(O5&lt;=49,"30-49 литров",IF(O5&lt;=59,"50-59 литров",IF(O5&lt;=70,"60-69 литров",IF(O5&lt;=79,"70-79 литров",IF(O5&lt;=89,"80-89 литров",IF(O5&lt;=99,"90-99 литров",IF(O5&lt;=200,"100-200 литров","200+ литров"))))))))))))))))</f>
        <v/>
      </c>
    </row>
    <row r="6">
      <c r="A6" s="54" t="n">
        <v>2.2</v>
      </c>
      <c r="B6" s="65">
        <f>A6*1.2</f>
        <v/>
      </c>
      <c r="C6" s="109" t="n">
        <v>6</v>
      </c>
      <c r="D6" s="114" t="inlineStr">
        <is>
          <t>У</t>
        </is>
      </c>
      <c r="E6" s="88" t="inlineStr">
        <is>
          <t>460х310х490</t>
        </is>
      </c>
      <c r="F6" s="211" t="n"/>
      <c r="G6" s="62" t="inlineStr">
        <is>
          <t>Ч</t>
        </is>
      </c>
      <c r="H6" s="146" t="inlineStr">
        <is>
          <t>0201</t>
        </is>
      </c>
      <c r="I6" s="62" t="inlineStr">
        <is>
          <t>В</t>
        </is>
      </c>
      <c r="J6" s="62" t="inlineStr">
        <is>
          <t>х</t>
        </is>
      </c>
      <c r="K6" s="114" t="inlineStr">
        <is>
          <t>K5</t>
        </is>
      </c>
      <c r="M6" s="3" t="n"/>
      <c r="N6" s="239">
        <f>IF(D6="","",IF(LEFT(D6,1)="0",0,1))</f>
        <v/>
      </c>
      <c r="O6" s="80">
        <f>ROUND(R6*S6*T6/1000000,2)</f>
        <v/>
      </c>
      <c r="P6" s="160">
        <f>IF(O6="","",
IF(O6&lt;1,"0,1-0,9 литров",
IF(O6&lt;2,"1-1,9 литра",
IF(O6&lt;3,"2-2,9 литра",
IF(O6&lt;4,"3-3,9 литра",
IF(O6&lt;6,"4-5,9 литра",IF(O6&lt;8,"6-7,9 литра",IF(O6&lt;10,"8-9,9 литров",IF(O6&lt;15,"10-14,9 литров",IF(O6&lt;20,"15-19,9 литров",IF(O6&lt;30,"20-29 литров",IF(O6&lt;50,"30-49 литров",IF(O6&lt;60,"50-59 литров",IF(O6&lt;70,"60-69 литров",IF(O6&lt;80,"70-79 литров",IF(O6&lt;90,"80-89 литров",IF(O6&lt;100,"90-99 литров",IF(O6&lt;200,"100-200 литров","200+ литров"))))))))))))))))))</f>
        <v/>
      </c>
      <c r="Q6" s="101">
        <f>IF(O6="","",IF(O6&lt;1,"&lt;1 л",IF(O6&lt;=2,"1-2 л",IF(O6&lt;=3,"2-3 л",IF(O6&lt;=5,"3-5 л",IF(O6&lt;=10,"5-10 л",IF(O6&lt;=20,"10-20 л",IF(O6&lt;=50,"20-50 л",IF(O6&lt;=100,"50-100 л","100+ л")))))))))</f>
        <v/>
      </c>
      <c r="R6" s="162">
        <f>IF(E6="","",--LEFT(E6,FIND("х",E6)-1))</f>
        <v/>
      </c>
      <c r="S6" s="162">
        <f>IF(E6="","",--MID(E6,FIND("х",E6)+1,FIND("х",E6,FIND("х",E6)+1)-FIND("х",E6)-1))</f>
        <v/>
      </c>
      <c r="T6" s="162">
        <f>IF(E6="","",--RIGHT(E6,LEN(E6)-FIND("х",E6,FIND("х",E6)+1)))</f>
        <v/>
      </c>
      <c r="U6" s="66">
        <f>(2*(R6+S6)+60)*(S6+T6+8)/1000000</f>
        <v/>
      </c>
      <c r="V6" s="66">
        <f>IF(OR(AND(R6&gt;=2*S6,R6&gt;=2*T6),AND(S6&gt;=2*R6,S6&gt;=2*T6),AND(T6&gt;=2*R6,T6&gt;=2*S6)),"Длинные","")</f>
        <v/>
      </c>
      <c r="W6" s="66">
        <f>IF(OR(AND(R6&lt;=S6/2,R6&lt;=T6/2),AND(S6&lt;=R6/2,S6&lt;=T6/2),AND(T6&lt;=R6/2,T6&lt;=S6/2)),"Плоские","")</f>
        <v/>
      </c>
      <c r="X6" s="160">
        <f>IF(LARGE($R6:$T6,1)="","",IF(LARGE($R6:$T6,1)&lt;=99,"10-99 мм",IF(LARGE($R6:$T6,1)&lt;=199,"100-199 мм",IF(LARGE($R6:$T6,1)&lt;=299,"200-299 мм",IF(LARGE($R6:$T6,1)&lt;=399,"300-399 мм",IF(LARGE($R6:$T6,1)&lt;=499,"400-499 мм",IF(LARGE($R6:$T6,1)&lt;=599,"500-599 мм",IF(LARGE($R6:$T6,1)&lt;=699,"600-699 мм",IF(LARGE($R6:$T6,1)&lt;=999,"700-999 мм","1000+ мм")))))))))</f>
        <v/>
      </c>
      <c r="Y6" s="160">
        <f>IF(LARGE($R6:$T6,2)="","",IF(LARGE($R6:$T6,2)&lt;=99,"10-99 мм",IF(LARGE($R6:$T6,2)&lt;=199,"100-199 мм",IF(LARGE($R6:$T6,2)&lt;=299,"200-299 мм",IF(LARGE($R6:$T6,2)&lt;=399,"300-399 мм",IF(LARGE($R6:$T6,2)&lt;=499,"400-499 мм",IF(LARGE($R6:$T6,2)&lt;=599,"500-599 мм",IF(LARGE($R6:$T6,2)&lt;=699,"600-699 мм",IF(LARGE($R6:$T6,2)&lt;=999,"700-999 мм","1000+ мм")))))))))</f>
        <v/>
      </c>
      <c r="Z6" s="160">
        <f>IF(SMALL($R6:$T6,1)="","",IF(SMALL($R6:$T6,1)&lt;=99,"10-99 мм",IF(SMALL($R6:$T6,1)&lt;=199,"100-199 мм",IF(SMALL($R6:$T6,1)&lt;=299,"200-299 мм",IF(SMALL($R6:$T6,1)&lt;=399,"300-399 мм",IF(SMALL($R6:$T6,1)&lt;=499,"400-499 мм",IF(SMALL($R6:$T6,1)&lt;=599,"500-599 мм",IF(SMALL($R6:$T6,1)&lt;=699,"600-699 мм",IF(SMALL($R6:$T6,1)&lt;=999,"700-999 мм","1000+ мм")))))))))</f>
        <v/>
      </c>
      <c r="AA6" s="101">
        <f>IF(G6="","",IF(G6="Л","Лист гофрокартона",IF(G6="КД","Крышка-дно",IF(G6="С","Самосборные",IF(G6="Ч","Четырехклапанные",IF(G6="А","Архивные","Неизвестно"))))))</f>
        <v/>
      </c>
      <c r="AB6" s="66" t="n">
        <v>1.73</v>
      </c>
      <c r="AC6" s="101">
        <f>IF(O6="","",IF(O6&lt;=1,"0-1 литров",IF(O6&lt;=3,"2-3 литра",IF(O6&lt;=5,"4-5 литра",IF(O6&lt;=7,"6-7 литра",IF(O6&lt;=9,"8-9 литров",IF(O6&lt;=14,"10-14 литров",IF(O6&lt;=19,"15-19 литров",IF(O6&lt;=29,"20-29 литров",IF(O6&lt;=49,"30-49 литров",IF(O6&lt;=59,"50-59 литров",IF(O6&lt;=70,"60-69 литров",IF(O6&lt;=79,"70-79 литров",IF(O6&lt;=89,"80-89 литров",IF(O6&lt;=99,"90-99 литров",IF(O6&lt;=200,"100-200 литров","200+ литров"))))))))))))))))</f>
        <v/>
      </c>
    </row>
    <row r="7">
      <c r="A7" s="64" t="n">
        <v>3.05</v>
      </c>
      <c r="B7" s="65">
        <f>A7*1.2</f>
        <v/>
      </c>
      <c r="C7" s="109" t="n">
        <v>7</v>
      </c>
      <c r="D7" s="114" t="inlineStr">
        <is>
          <t>У</t>
        </is>
      </c>
      <c r="E7" s="88" t="inlineStr">
        <is>
          <t>585х385х500</t>
        </is>
      </c>
      <c r="G7" s="83" t="inlineStr">
        <is>
          <t>Ч</t>
        </is>
      </c>
      <c r="H7" s="146" t="inlineStr">
        <is>
          <t>0201</t>
        </is>
      </c>
      <c r="I7" s="83" t="inlineStr">
        <is>
          <t>В</t>
        </is>
      </c>
      <c r="J7" s="83" t="inlineStr">
        <is>
          <t>х</t>
        </is>
      </c>
      <c r="K7" s="114" t="inlineStr">
        <is>
          <t>K6</t>
        </is>
      </c>
      <c r="N7" s="239">
        <f>IF(D7="","",IF(LEFT(D7,1)="0",0,1))</f>
        <v/>
      </c>
      <c r="O7" s="80">
        <f>ROUND(R7*S7*T7/1000000,2)</f>
        <v/>
      </c>
      <c r="P7" s="160">
        <f>IF(O7="","",
IF(O7&lt;1,"0,1-0,9 литров",
IF(O7&lt;2,"1-1,9 литра",
IF(O7&lt;3,"2-2,9 литра",
IF(O7&lt;4,"3-3,9 литра",
IF(O7&lt;6,"4-5,9 литра",IF(O7&lt;8,"6-7,9 литра",IF(O7&lt;10,"8-9,9 литров",IF(O7&lt;15,"10-14,9 литров",IF(O7&lt;20,"15-19,9 литров",IF(O7&lt;30,"20-29 литров",IF(O7&lt;50,"30-49 литров",IF(O7&lt;60,"50-59 литров",IF(O7&lt;70,"60-69 литров",IF(O7&lt;80,"70-79 литров",IF(O7&lt;90,"80-89 литров",IF(O7&lt;100,"90-99 литров",IF(O7&lt;200,"100-200 литров","200+ литров"))))))))))))))))))</f>
        <v/>
      </c>
      <c r="Q7" s="101">
        <f>IF(O7="","",IF(O7&lt;1,"&lt;1 л",IF(O7&lt;=2,"1-2 л",IF(O7&lt;=3,"2-3 л",IF(O7&lt;=5,"3-5 л",IF(O7&lt;=10,"5-10 л",IF(O7&lt;=20,"10-20 л",IF(O7&lt;=50,"20-50 л",IF(O7&lt;=100,"50-100 л","100+ л")))))))))</f>
        <v/>
      </c>
      <c r="R7" s="162">
        <f>IF(E7="","",--LEFT(E7,FIND("х",E7)-1))</f>
        <v/>
      </c>
      <c r="S7" s="162">
        <f>IF(E7="","",--MID(E7,FIND("х",E7)+1,FIND("х",E7,FIND("х",E7)+1)-FIND("х",E7)-1))</f>
        <v/>
      </c>
      <c r="T7" s="162">
        <f>IF(E7="","",--RIGHT(E7,LEN(E7)-FIND("х",E7,FIND("х",E7)+1)))</f>
        <v/>
      </c>
      <c r="U7" s="66">
        <f>(2*(R7+S7)+60)*(S7+T7+8)/1000000</f>
        <v/>
      </c>
      <c r="V7" s="66">
        <f>IF(OR(AND(R7&gt;=2*S7,R7&gt;=2*T7),AND(S7&gt;=2*R7,S7&gt;=2*T7),AND(T7&gt;=2*R7,T7&gt;=2*S7)),"Длинные","")</f>
        <v/>
      </c>
      <c r="W7" s="66">
        <f>IF(OR(AND(R7&lt;=S7/2,R7&lt;=T7/2),AND(S7&lt;=R7/2,S7&lt;=T7/2),AND(T7&lt;=R7/2,T7&lt;=S7/2)),"Плоские","")</f>
        <v/>
      </c>
      <c r="X7" s="160">
        <f>IF(LARGE($R7:$T7,1)="","",IF(LARGE($R7:$T7,1)&lt;=99,"10-99 мм",IF(LARGE($R7:$T7,1)&lt;=199,"100-199 мм",IF(LARGE($R7:$T7,1)&lt;=299,"200-299 мм",IF(LARGE($R7:$T7,1)&lt;=399,"300-399 мм",IF(LARGE($R7:$T7,1)&lt;=499,"400-499 мм",IF(LARGE($R7:$T7,1)&lt;=599,"500-599 мм",IF(LARGE($R7:$T7,1)&lt;=699,"600-699 мм",IF(LARGE($R7:$T7,1)&lt;=999,"700-999 мм","1000+ мм")))))))))</f>
        <v/>
      </c>
      <c r="Y7" s="160">
        <f>IF(LARGE($R7:$T7,2)="","",IF(LARGE($R7:$T7,2)&lt;=99,"10-99 мм",IF(LARGE($R7:$T7,2)&lt;=199,"100-199 мм",IF(LARGE($R7:$T7,2)&lt;=299,"200-299 мм",IF(LARGE($R7:$T7,2)&lt;=399,"300-399 мм",IF(LARGE($R7:$T7,2)&lt;=499,"400-499 мм",IF(LARGE($R7:$T7,2)&lt;=599,"500-599 мм",IF(LARGE($R7:$T7,2)&lt;=699,"600-699 мм",IF(LARGE($R7:$T7,2)&lt;=999,"700-999 мм","1000+ мм")))))))))</f>
        <v/>
      </c>
      <c r="Z7" s="160">
        <f>IF(SMALL($R7:$T7,1)="","",IF(SMALL($R7:$T7,1)&lt;=99,"10-99 мм",IF(SMALL($R7:$T7,1)&lt;=199,"100-199 мм",IF(SMALL($R7:$T7,1)&lt;=299,"200-299 мм",IF(SMALL($R7:$T7,1)&lt;=399,"300-399 мм",IF(SMALL($R7:$T7,1)&lt;=499,"400-499 мм",IF(SMALL($R7:$T7,1)&lt;=599,"500-599 мм",IF(SMALL($R7:$T7,1)&lt;=699,"600-699 мм",IF(SMALL($R7:$T7,1)&lt;=999,"700-999 мм","1000+ мм")))))))))</f>
        <v/>
      </c>
      <c r="AA7" s="101">
        <f>IF(G7="","",IF(G7="Л","Лист гофрокартона",IF(G7="КД","Крышка-дно",IF(G7="С","Самосборные",IF(G7="Ч","Четырехклапанные",IF(G7="А","Архивные","Неизвестно"))))))</f>
        <v/>
      </c>
      <c r="AB7" s="66" t="n">
        <v>1.73</v>
      </c>
      <c r="AC7" s="101">
        <f>IF(O7="","",IF(O7&lt;=1,"0-1 литров",IF(O7&lt;=3,"2-3 литра",IF(O7&lt;=5,"4-5 литра",IF(O7&lt;=7,"6-7 литра",IF(O7&lt;=9,"8-9 литров",IF(O7&lt;=14,"10-14 литров",IF(O7&lt;=19,"15-19 литров",IF(O7&lt;=29,"20-29 литров",IF(O7&lt;=49,"30-49 литров",IF(O7&lt;=59,"50-59 литров",IF(O7&lt;=70,"60-69 литров",IF(O7&lt;=79,"70-79 литров",IF(O7&lt;=89,"80-89 литров",IF(O7&lt;=99,"90-99 литров",IF(O7&lt;=200,"100-200 литров","200+ литров"))))))))))))))))</f>
        <v/>
      </c>
    </row>
    <row r="8">
      <c r="A8" s="64" t="n">
        <v>1.3</v>
      </c>
      <c r="B8" s="65">
        <f>A8*1.2</f>
        <v/>
      </c>
      <c r="C8" s="109" t="n">
        <v>8</v>
      </c>
      <c r="D8" s="114" t="inlineStr">
        <is>
          <t>У</t>
        </is>
      </c>
      <c r="E8" s="88" t="inlineStr">
        <is>
          <t>280х220х500</t>
        </is>
      </c>
      <c r="G8" s="83" t="inlineStr">
        <is>
          <t>Ч</t>
        </is>
      </c>
      <c r="H8" s="146" t="inlineStr">
        <is>
          <t>0201</t>
        </is>
      </c>
      <c r="I8" s="83" t="inlineStr">
        <is>
          <t>В</t>
        </is>
      </c>
      <c r="J8" s="83" t="inlineStr">
        <is>
          <t>х</t>
        </is>
      </c>
      <c r="K8" s="114" t="inlineStr">
        <is>
          <t>K7</t>
        </is>
      </c>
      <c r="N8" s="239">
        <f>IF(D8="","",IF(LEFT(D8,1)="0",0,1))</f>
        <v/>
      </c>
      <c r="O8" s="80">
        <f>ROUND(R8*S8*T8/1000000,2)</f>
        <v/>
      </c>
      <c r="P8" s="160">
        <f>IF(O8="","",
IF(O8&lt;1,"0,1-0,9 литров",
IF(O8&lt;2,"1-1,9 литра",
IF(O8&lt;3,"2-2,9 литра",
IF(O8&lt;4,"3-3,9 литра",
IF(O8&lt;6,"4-5,9 литра",IF(O8&lt;8,"6-7,9 литра",IF(O8&lt;10,"8-9,9 литров",IF(O8&lt;15,"10-14,9 литров",IF(O8&lt;20,"15-19,9 литров",IF(O8&lt;30,"20-29 литров",IF(O8&lt;50,"30-49 литров",IF(O8&lt;60,"50-59 литров",IF(O8&lt;70,"60-69 литров",IF(O8&lt;80,"70-79 литров",IF(O8&lt;90,"80-89 литров",IF(O8&lt;100,"90-99 литров",IF(O8&lt;200,"100-200 литров","200+ литров"))))))))))))))))))</f>
        <v/>
      </c>
      <c r="Q8" s="101">
        <f>IF(O8="","",IF(O8&lt;1,"&lt;1 л",IF(O8&lt;2,"1-2 л",IF(O8&lt;3,"2-3 л",IF(O8&lt;5,"3-5 л",IF(O8&lt;10,"5-10 л",IF(O8&lt;20,"10-20 л",IF(O8&lt;50,"20-50 л",IF(O8&lt;100,"50-100 л","100+ л")))))))))</f>
        <v/>
      </c>
      <c r="R8" s="162">
        <f>IF(E8="","",--LEFT(E8,FIND("х",E8)-1))</f>
        <v/>
      </c>
      <c r="S8" s="162">
        <f>IF(E8="","",--MID(E8,FIND("х",E8)+1,FIND("х",E8,FIND("х",E8)+1)-FIND("х",E8)-1))</f>
        <v/>
      </c>
      <c r="T8" s="162">
        <f>IF(E8="","",--RIGHT(E8,LEN(E8)-FIND("х",E8,FIND("х",E8)+1)))</f>
        <v/>
      </c>
      <c r="U8" s="66">
        <f>(2*(R8+S8)+60)*(S8+T8+8)/1000000</f>
        <v/>
      </c>
      <c r="V8" s="66">
        <f>IF(OR(AND(R8&gt;=2*S8,R8&gt;=2*T8),AND(S8&gt;=2*R8,S8&gt;=2*T8),AND(T8&gt;=2*R8,T8&gt;=2*S8)),"Длинные","")</f>
        <v/>
      </c>
      <c r="W8" s="66">
        <f>IF(OR(AND(R8&lt;=S8/2,R8&lt;=T8/2),AND(S8&lt;=R8/2,S8&lt;=T8/2),AND(T8&lt;=R8/2,T8&lt;=S8/2)),"Плоские","")</f>
        <v/>
      </c>
      <c r="X8" s="160">
        <f>IF(LARGE($R8:$T8,1)="","",IF(LARGE($R8:$T8,1)&lt;=99,"10-99 мм",IF(LARGE($R8:$T8,1)&lt;=199,"100-199 мм",IF(LARGE($R8:$T8,1)&lt;=299,"200-299 мм",IF(LARGE($R8:$T8,1)&lt;=399,"300-399 мм",IF(LARGE($R8:$T8,1)&lt;=499,"400-499 мм",IF(LARGE($R8:$T8,1)&lt;=599,"500-599 мм",IF(LARGE($R8:$T8,1)&lt;=699,"600-699 мм",IF(LARGE($R8:$T8,1)&lt;=999,"700-999 мм","1000+ мм")))))))))</f>
        <v/>
      </c>
      <c r="Y8" s="160">
        <f>IF(LARGE($R8:$T8,2)="","",IF(LARGE($R8:$T8,2)&lt;=99,"10-99 мм",IF(LARGE($R8:$T8,2)&lt;=199,"100-199 мм",IF(LARGE($R8:$T8,2)&lt;=299,"200-299 мм",IF(LARGE($R8:$T8,2)&lt;=399,"300-399 мм",IF(LARGE($R8:$T8,2)&lt;=499,"400-499 мм",IF(LARGE($R8:$T8,2)&lt;=599,"500-599 мм",IF(LARGE($R8:$T8,2)&lt;=699,"600-699 мм",IF(LARGE($R8:$T8,2)&lt;=999,"700-999 мм","1000+ мм")))))))))</f>
        <v/>
      </c>
      <c r="Z8" s="160">
        <f>IF(SMALL($R8:$T8,1)="","",IF(SMALL($R8:$T8,1)&lt;=99,"10-99 мм",IF(SMALL($R8:$T8,1)&lt;=199,"100-199 мм",IF(SMALL($R8:$T8,1)&lt;=299,"200-299 мм",IF(SMALL($R8:$T8,1)&lt;=399,"300-399 мм",IF(SMALL($R8:$T8,1)&lt;=499,"400-499 мм",IF(SMALL($R8:$T8,1)&lt;=599,"500-599 мм",IF(SMALL($R8:$T8,1)&lt;=699,"600-699 мм",IF(SMALL($R8:$T8,1)&lt;=999,"700-999 мм","1000+ мм")))))))))</f>
        <v/>
      </c>
      <c r="AA8" s="101">
        <f>IF(G8="","",IF(G8="Л","Лист гофрокартона",IF(G8="КД","Крышка-дно",IF(G8="С","Самосборные",IF(G8="Ч","Четырехклапанные",IF(G8="А","Архивные","Неизвестно"))))))</f>
        <v/>
      </c>
      <c r="AB8" s="66" t="n">
        <v>1.73</v>
      </c>
      <c r="AC8" s="101">
        <f>IF(O8="","",IF(O8&lt;=1,"0-1 литров",IF(O8&lt;=3,"2-3 литра",IF(O8&lt;=5,"4-5 литра",IF(O8&lt;=7,"6-7 литра",IF(O8&lt;=9,"8-9 литров",IF(O8&lt;=14,"10-14 литров",IF(O8&lt;=19,"15-19 литров",IF(O8&lt;=29,"20-29 литров",IF(O8&lt;=49,"30-49 литров",IF(O8&lt;=59,"50-59 литров",IF(O8&lt;=70,"60-69 литров",IF(O8&lt;=79,"70-79 литров",IF(O8&lt;=89,"80-89 литров",IF(O8&lt;=99,"90-99 литров",IF(O8&lt;=200,"100-200 литров","200+ литров"))))))))))))))))</f>
        <v/>
      </c>
    </row>
    <row r="9">
      <c r="A9" s="64" t="n">
        <v>1.25</v>
      </c>
      <c r="B9" s="65">
        <f>A9*1.2</f>
        <v/>
      </c>
      <c r="C9" s="109" t="n">
        <v>9</v>
      </c>
      <c r="D9" s="114" t="inlineStr">
        <is>
          <t>У</t>
        </is>
      </c>
      <c r="E9" s="88" t="inlineStr">
        <is>
          <t>405х55х605</t>
        </is>
      </c>
      <c r="F9" s="213" t="inlineStr">
        <is>
          <t>605х55х405</t>
        </is>
      </c>
      <c r="G9" s="83" t="inlineStr">
        <is>
          <t>Ч</t>
        </is>
      </c>
      <c r="H9" s="146" t="inlineStr">
        <is>
          <t>0215</t>
        </is>
      </c>
      <c r="I9" s="83" t="inlineStr">
        <is>
          <t>В</t>
        </is>
      </c>
      <c r="J9" s="83" t="inlineStr">
        <is>
          <t>х</t>
        </is>
      </c>
      <c r="K9" s="114" t="inlineStr">
        <is>
          <t>K8</t>
        </is>
      </c>
      <c r="N9" s="239">
        <f>IF(D9="","",IF(LEFT(D9,1)="0",0,1))</f>
        <v/>
      </c>
      <c r="O9" s="80">
        <f>ROUND(R9*S9*T9/1000000,2)</f>
        <v/>
      </c>
      <c r="P9" s="160">
        <f>IF(O9="","",
IF(O9&lt;1,"0,1-0,9 литров",
IF(O9&lt;2,"1-1,9 литра",
IF(O9&lt;3,"2-2,9 литра",
IF(O9&lt;4,"3-3,9 литра",
IF(O9&lt;6,"4-5,9 литра",IF(O9&lt;8,"6-7,9 литра",IF(O9&lt;10,"8-9,9 литров",IF(O9&lt;15,"10-14,9 литров",IF(O9&lt;20,"15-19,9 литров",IF(O9&lt;30,"20-29 литров",IF(O9&lt;50,"30-49 литров",IF(O9&lt;60,"50-59 литров",IF(O9&lt;70,"60-69 литров",IF(O9&lt;80,"70-79 литров",IF(O9&lt;90,"80-89 литров",IF(O9&lt;100,"90-99 литров",IF(O9&lt;200,"100-200 литров","200+ литров"))))))))))))))))))</f>
        <v/>
      </c>
      <c r="Q9" s="101">
        <f>IF(O9="","",IF(O9&lt;1,"&lt;1 л",IF(O9&lt;2,"1-2 л",IF(O9&lt;3,"2-3 л",IF(O9&lt;5,"3-5 л",IF(O9&lt;10,"5-10 л",IF(O9&lt;20,"10-20 л",IF(O9&lt;50,"20-50 л",IF(O9&lt;100,"50-100 л","100+ л")))))))))</f>
        <v/>
      </c>
      <c r="R9" s="162">
        <f>IF(E9="","",--LEFT(E9,FIND("х",E9)-1))</f>
        <v/>
      </c>
      <c r="S9" s="162">
        <f>IF(E9="","",--MID(E9,FIND("х",E9)+1,FIND("х",E9,FIND("х",E9)+1)-FIND("х",E9)-1))</f>
        <v/>
      </c>
      <c r="T9" s="162">
        <f>IF(E9="","",--RIGHT(E9,LEN(E9)-FIND("х",E9,FIND("х",E9)+1)))</f>
        <v/>
      </c>
      <c r="U9" s="66">
        <f>(2*(R9+S9)+60)*(S9+T9+8)/1000000</f>
        <v/>
      </c>
      <c r="V9" s="66">
        <f>IF(OR(AND(R9&gt;=2*S9,R9&gt;=2*T9),AND(S9&gt;=2*R9,S9&gt;=2*T9),AND(T9&gt;=2*R9,T9&gt;=2*S9)),"Длинные","")</f>
        <v/>
      </c>
      <c r="W9" s="66">
        <f>IF(OR(AND(R9&lt;=S9/2,R9&lt;=T9/2),AND(S9&lt;=R9/2,S9&lt;=T9/2),AND(T9&lt;=R9/2,T9&lt;=S9/2)),"Плоские","")</f>
        <v/>
      </c>
      <c r="X9" s="160">
        <f>IF(LARGE($R9:$T9,1)="","",IF(LARGE($R9:$T9,1)&lt;=99,"10-99 мм",IF(LARGE($R9:$T9,1)&lt;=199,"100-199 мм",IF(LARGE($R9:$T9,1)&lt;=299,"200-299 мм",IF(LARGE($R9:$T9,1)&lt;=399,"300-399 мм",IF(LARGE($R9:$T9,1)&lt;=499,"400-499 мм",IF(LARGE($R9:$T9,1)&lt;=599,"500-599 мм",IF(LARGE($R9:$T9,1)&lt;=699,"600-699 мм",IF(LARGE($R9:$T9,1)&lt;=999,"700-999 мм","1000+ мм")))))))))</f>
        <v/>
      </c>
      <c r="Y9" s="160">
        <f>IF(LARGE($R9:$T9,2)="","",IF(LARGE($R9:$T9,2)&lt;=99,"10-99 мм",IF(LARGE($R9:$T9,2)&lt;=199,"100-199 мм",IF(LARGE($R9:$T9,2)&lt;=299,"200-299 мм",IF(LARGE($R9:$T9,2)&lt;=399,"300-399 мм",IF(LARGE($R9:$T9,2)&lt;=499,"400-499 мм",IF(LARGE($R9:$T9,2)&lt;=599,"500-599 мм",IF(LARGE($R9:$T9,2)&lt;=699,"600-699 мм",IF(LARGE($R9:$T9,2)&lt;=999,"700-999 мм","1000+ мм")))))))))</f>
        <v/>
      </c>
      <c r="Z9" s="160">
        <f>IF(SMALL($R9:$T9,1)="","",IF(SMALL($R9:$T9,1)&lt;=99,"10-99 мм",IF(SMALL($R9:$T9,1)&lt;=199,"100-199 мм",IF(SMALL($R9:$T9,1)&lt;=299,"200-299 мм",IF(SMALL($R9:$T9,1)&lt;=399,"300-399 мм",IF(SMALL($R9:$T9,1)&lt;=499,"400-499 мм",IF(SMALL($R9:$T9,1)&lt;=599,"500-599 мм",IF(SMALL($R9:$T9,1)&lt;=699,"600-699 мм",IF(SMALL($R9:$T9,1)&lt;=999,"700-999 мм","1000+ мм")))))))))</f>
        <v/>
      </c>
      <c r="AA9" s="101">
        <f>IF(G9="","",IF(G9="Л","Лист гофрокартона",IF(G9="КД","Крышка-дно",IF(G9="С","Самосборные",IF(G9="Ч","Четырехклапанные",IF(G9="А","Архивные","Неизвестно"))))))</f>
        <v/>
      </c>
      <c r="AB9" s="66" t="n">
        <v>1.73</v>
      </c>
      <c r="AC9" s="101">
        <f>IF(O9="","",IF(O9&lt;=1,"0-1 литров",IF(O9&lt;=3,"2-3 литра",IF(O9&lt;=5,"4-5 литра",IF(O9&lt;=7,"6-7 литра",IF(O9&lt;=9,"8-9 литров",IF(O9&lt;=14,"10-14 литров",IF(O9&lt;=19,"15-19 литров",IF(O9&lt;=29,"20-29 литров",IF(O9&lt;=49,"30-49 литров",IF(O9&lt;=59,"50-59 литров",IF(O9&lt;=70,"60-69 литров",IF(O9&lt;=79,"70-79 литров",IF(O9&lt;=89,"80-89 литров",IF(O9&lt;=99,"90-99 литров",IF(O9&lt;=200,"100-200 литров","200+ литров"))))))))))))))))</f>
        <v/>
      </c>
    </row>
    <row r="10">
      <c r="A10" s="64" t="n">
        <v>1.09</v>
      </c>
      <c r="B10" s="65">
        <f>A10*1.2</f>
        <v/>
      </c>
      <c r="C10" s="109" t="n">
        <v>10</v>
      </c>
      <c r="D10" s="114" t="inlineStr">
        <is>
          <t>У</t>
        </is>
      </c>
      <c r="E10" s="88" t="inlineStr">
        <is>
          <t>160х150х800</t>
        </is>
      </c>
      <c r="G10" s="83" t="inlineStr">
        <is>
          <t>Ч</t>
        </is>
      </c>
      <c r="H10" s="146" t="inlineStr">
        <is>
          <t>0201</t>
        </is>
      </c>
      <c r="I10" s="83" t="inlineStr">
        <is>
          <t>В</t>
        </is>
      </c>
      <c r="J10" s="83" t="inlineStr">
        <is>
          <t>х</t>
        </is>
      </c>
      <c r="K10" s="114" t="inlineStr">
        <is>
          <t>K9</t>
        </is>
      </c>
      <c r="N10" s="239">
        <f>IF(D10="","",IF(LEFT(D10,1)="0",0,1))</f>
        <v/>
      </c>
      <c r="O10" s="80">
        <f>ROUND(R10*S10*T10/1000000,2)</f>
        <v/>
      </c>
      <c r="P10" s="160">
        <f>IF(O10="","",
IF(O10&lt;1,"0,1-0,9 литров",
IF(O10&lt;2,"1-1,9 литра",
IF(O10&lt;3,"2-2,9 литра",
IF(O10&lt;4,"3-3,9 литра",
IF(O10&lt;6,"4-5,9 литра",IF(O10&lt;8,"6-7,9 литра",IF(O10&lt;10,"8-9,9 литров",IF(O10&lt;15,"10-14,9 литров",IF(O10&lt;20,"15-19,9 литров",IF(O10&lt;30,"20-29 литров",IF(O10&lt;50,"30-49 литров",IF(O10&lt;60,"50-59 литров",IF(O10&lt;70,"60-69 литров",IF(O10&lt;80,"70-79 литров",IF(O10&lt;90,"80-89 литров",IF(O10&lt;100,"90-99 литров",IF(O10&lt;200,"100-200 литров","200+ литров"))))))))))))))))))</f>
        <v/>
      </c>
      <c r="Q10" s="101">
        <f>IF(O10="","",IF(O10&lt;1,"&lt;1 л",IF(O10&lt;2,"1-2 л",IF(O10&lt;3,"2-3 л",IF(O10&lt;5,"3-5 л",IF(O10&lt;10,"5-10 л",IF(O10&lt;20,"10-20 л",IF(O10&lt;50,"20-50 л",IF(O10&lt;100,"50-100 л","100+ л")))))))))</f>
        <v/>
      </c>
      <c r="R10" s="162">
        <f>IF(E10="","",--LEFT(E10,FIND("х",E10)-1))</f>
        <v/>
      </c>
      <c r="S10" s="162">
        <f>IF(E10="","",--MID(E10,FIND("х",E10)+1,FIND("х",E10,FIND("х",E10)+1)-FIND("х",E10)-1))</f>
        <v/>
      </c>
      <c r="T10" s="162">
        <f>IF(E10="","",--RIGHT(E10,LEN(E10)-FIND("х",E10,FIND("х",E10)+1)))</f>
        <v/>
      </c>
      <c r="U10" s="66">
        <f>(2*(R10+S10)+60)*(S10+T10+8)/1000000</f>
        <v/>
      </c>
      <c r="V10" s="66">
        <f>IF(OR(AND(R10&gt;=2*S10,R10&gt;=2*T10),AND(S10&gt;=2*R10,S10&gt;=2*T10),AND(T10&gt;=2*R10,T10&gt;=2*S10)),"Длинные","")</f>
        <v/>
      </c>
      <c r="W10" s="66">
        <f>IF(OR(AND(R10&lt;=S10/2,R10&lt;=T10/2),AND(S10&lt;=R10/2,S10&lt;=T10/2),AND(T10&lt;=R10/2,T10&lt;=S10/2)),"Плоские","")</f>
        <v/>
      </c>
      <c r="X10" s="160">
        <f>IF(LARGE($R10:$T10,1)="","",IF(LARGE($R10:$T10,1)&lt;=99,"10-99 мм",IF(LARGE($R10:$T10,1)&lt;=199,"100-199 мм",IF(LARGE($R10:$T10,1)&lt;=299,"200-299 мм",IF(LARGE($R10:$T10,1)&lt;=399,"300-399 мм",IF(LARGE($R10:$T10,1)&lt;=499,"400-499 мм",IF(LARGE($R10:$T10,1)&lt;=599,"500-599 мм",IF(LARGE($R10:$T10,1)&lt;=699,"600-699 мм",IF(LARGE($R10:$T10,1)&lt;=999,"700-999 мм","1000+ мм")))))))))</f>
        <v/>
      </c>
      <c r="Y10" s="160">
        <f>IF(LARGE($R10:$T10,2)="","",IF(LARGE($R10:$T10,2)&lt;=99,"10-99 мм",IF(LARGE($R10:$T10,2)&lt;=199,"100-199 мм",IF(LARGE($R10:$T10,2)&lt;=299,"200-299 мм",IF(LARGE($R10:$T10,2)&lt;=399,"300-399 мм",IF(LARGE($R10:$T10,2)&lt;=499,"400-499 мм",IF(LARGE($R10:$T10,2)&lt;=599,"500-599 мм",IF(LARGE($R10:$T10,2)&lt;=699,"600-699 мм",IF(LARGE($R10:$T10,2)&lt;=999,"700-999 мм","1000+ мм")))))))))</f>
        <v/>
      </c>
      <c r="Z10" s="160">
        <f>IF(SMALL($R10:$T10,1)="","",IF(SMALL($R10:$T10,1)&lt;=99,"10-99 мм",IF(SMALL($R10:$T10,1)&lt;=199,"100-199 мм",IF(SMALL($R10:$T10,1)&lt;=299,"200-299 мм",IF(SMALL($R10:$T10,1)&lt;=399,"300-399 мм",IF(SMALL($R10:$T10,1)&lt;=499,"400-499 мм",IF(SMALL($R10:$T10,1)&lt;=599,"500-599 мм",IF(SMALL($R10:$T10,1)&lt;=699,"600-699 мм",IF(SMALL($R10:$T10,1)&lt;=999,"700-999 мм","1000+ мм")))))))))</f>
        <v/>
      </c>
      <c r="AA10" s="101">
        <f>IF(G10="","",IF(G10="Л","Лист гофрокартона",IF(G10="КД","Крышка-дно",IF(G10="С","Самосборные",IF(G10="Ч","Четырехклапанные",IF(G10="А","Архивные","Неизвестно"))))))</f>
        <v/>
      </c>
      <c r="AB10" s="66" t="n">
        <v>1.73</v>
      </c>
      <c r="AC10" s="101">
        <f>IF(O10="","",IF(O10&lt;=1,"0-1 литров",IF(O10&lt;=3,"2-3 литра",IF(O10&lt;=5,"4-5 литра",IF(O10&lt;=7,"6-7 литра",IF(O10&lt;=9,"8-9 литров",IF(O10&lt;=14,"10-14 литров",IF(O10&lt;=19,"15-19 литров",IF(O10&lt;=29,"20-29 литров",IF(O10&lt;=49,"30-49 литров",IF(O10&lt;=59,"50-59 литров",IF(O10&lt;=70,"60-69 литров",IF(O10&lt;=79,"70-79 литров",IF(O10&lt;=89,"80-89 литров",IF(O10&lt;=99,"90-99 литров",IF(O10&lt;=200,"100-200 литров","200+ литров"))))))))))))))))</f>
        <v/>
      </c>
    </row>
    <row r="11">
      <c r="A11" s="64" t="n">
        <v>1.9</v>
      </c>
      <c r="B11" s="65">
        <f>A11*1.2</f>
        <v/>
      </c>
      <c r="C11" s="109" t="n">
        <v>11</v>
      </c>
      <c r="D11" s="116" t="inlineStr">
        <is>
          <t>У</t>
        </is>
      </c>
      <c r="E11" s="88" t="inlineStr">
        <is>
          <t>870х510х35</t>
        </is>
      </c>
      <c r="G11" s="83" t="inlineStr">
        <is>
          <t>Ч</t>
        </is>
      </c>
      <c r="H11" s="146" t="inlineStr">
        <is>
          <t>0401</t>
        </is>
      </c>
      <c r="I11" s="83" t="inlineStr">
        <is>
          <t>В</t>
        </is>
      </c>
      <c r="J11" s="83" t="inlineStr">
        <is>
          <t>х</t>
        </is>
      </c>
      <c r="K11" s="116" t="inlineStr">
        <is>
          <t>K10</t>
        </is>
      </c>
      <c r="N11" s="239">
        <f>IF(D11="","",IF(LEFT(D11,1)="0",0,1))</f>
        <v/>
      </c>
      <c r="O11" s="80">
        <f>ROUND(R11*S11*T11/1000000,2)</f>
        <v/>
      </c>
      <c r="P11" s="160">
        <f>IF(O11="","",
IF(O11&lt;1,"0,1-0,9 литров",
IF(O11&lt;2,"1-1,9 литра",
IF(O11&lt;3,"2-2,9 литра",
IF(O11&lt;4,"3-3,9 литра",
IF(O11&lt;6,"4-5,9 литра",IF(O11&lt;8,"6-7,9 литра",IF(O11&lt;10,"8-9,9 литров",IF(O11&lt;15,"10-14,9 литров",IF(O11&lt;20,"15-19,9 литров",IF(O11&lt;30,"20-29 литров",IF(O11&lt;50,"30-49 литров",IF(O11&lt;60,"50-59 литров",IF(O11&lt;70,"60-69 литров",IF(O11&lt;80,"70-79 литров",IF(O11&lt;90,"80-89 литров",IF(O11&lt;100,"90-99 литров",IF(O11&lt;200,"100-200 литров","200+ литров"))))))))))))))))))</f>
        <v/>
      </c>
      <c r="Q11" s="101">
        <f>IF(O11="","",IF(O11&lt;1,"&lt;1 л",IF(O11&lt;2,"1-2 л",IF(O11&lt;3,"2-3 л",IF(O11&lt;5,"3-5 л",IF(O11&lt;10,"5-10 л",IF(O11&lt;20,"10-20 л",IF(O11&lt;50,"20-50 л",IF(O11&lt;100,"50-100 л","100+ л")))))))))</f>
        <v/>
      </c>
      <c r="R11" s="162">
        <f>IF(E11="","",--LEFT(E11,FIND("х",E11)-1))</f>
        <v/>
      </c>
      <c r="S11" s="162">
        <f>IF(E11="","",--MID(E11,FIND("х",E11)+1,FIND("х",E11,FIND("х",E11)+1)-FIND("х",E11)-1))</f>
        <v/>
      </c>
      <c r="T11" s="162">
        <f>IF(E11="","",--RIGHT(E11,LEN(E11)-FIND("х",E11,FIND("х",E11)+1)))</f>
        <v/>
      </c>
      <c r="U11" s="66">
        <f>(2*(R11+S11)+60)*(S11+T11+8)/1000000</f>
        <v/>
      </c>
      <c r="V11" s="66">
        <f>IF(OR(AND(R11&gt;=2*S11,R11&gt;=2*T11),AND(S11&gt;=2*R11,S11&gt;=2*T11),AND(T11&gt;=2*R11,T11&gt;=2*S11)),"Длинные","")</f>
        <v/>
      </c>
      <c r="W11" s="66">
        <f>IF(OR(AND(R11&lt;=S11/2,R11&lt;=T11/2),AND(S11&lt;=R11/2,S11&lt;=T11/2),AND(T11&lt;=R11/2,T11&lt;=S11/2)),"Плоские","")</f>
        <v/>
      </c>
      <c r="X11" s="160">
        <f>IF(LARGE($R11:$T11,1)="","",IF(LARGE($R11:$T11,1)&lt;=99,"10-99 мм",IF(LARGE($R11:$T11,1)&lt;=199,"100-199 мм",IF(LARGE($R11:$T11,1)&lt;=299,"200-299 мм",IF(LARGE($R11:$T11,1)&lt;=399,"300-399 мм",IF(LARGE($R11:$T11,1)&lt;=499,"400-499 мм",IF(LARGE($R11:$T11,1)&lt;=599,"500-599 мм",IF(LARGE($R11:$T11,1)&lt;=699,"600-699 мм",IF(LARGE($R11:$T11,1)&lt;=999,"700-999 мм","1000+ мм")))))))))</f>
        <v/>
      </c>
      <c r="Y11" s="160">
        <f>IF(LARGE($R11:$T11,2)="","",IF(LARGE($R11:$T11,2)&lt;=99,"10-99 мм",IF(LARGE($R11:$T11,2)&lt;=199,"100-199 мм",IF(LARGE($R11:$T11,2)&lt;=299,"200-299 мм",IF(LARGE($R11:$T11,2)&lt;=399,"300-399 мм",IF(LARGE($R11:$T11,2)&lt;=499,"400-499 мм",IF(LARGE($R11:$T11,2)&lt;=599,"500-599 мм",IF(LARGE($R11:$T11,2)&lt;=699,"600-699 мм",IF(LARGE($R11:$T11,2)&lt;=999,"700-999 мм","1000+ мм")))))))))</f>
        <v/>
      </c>
      <c r="Z11" s="160">
        <f>IF(SMALL($R11:$T11,1)="","",IF(SMALL($R11:$T11,1)&lt;=99,"10-99 мм",IF(SMALL($R11:$T11,1)&lt;=199,"100-199 мм",IF(SMALL($R11:$T11,1)&lt;=299,"200-299 мм",IF(SMALL($R11:$T11,1)&lt;=399,"300-399 мм",IF(SMALL($R11:$T11,1)&lt;=499,"400-499 мм",IF(SMALL($R11:$T11,1)&lt;=599,"500-599 мм",IF(SMALL($R11:$T11,1)&lt;=699,"600-699 мм",IF(SMALL($R11:$T11,1)&lt;=999,"700-999 мм","1000+ мм")))))))))</f>
        <v/>
      </c>
      <c r="AA11" s="101">
        <f>IF(G11="","",IF(G11="Л","Лист гофрокартона",IF(G11="КД","Крышка-дно",IF(G11="С","Самосборные",IF(G11="Ч","Четырехклапанные",IF(G11="А","Архивные","Неизвестно"))))))</f>
        <v/>
      </c>
      <c r="AB11" s="66" t="n">
        <v>1.73</v>
      </c>
      <c r="AC11" s="101">
        <f>IF(O11="","",IF(O11&lt;=1,"0-1 литров",IF(O11&lt;=3,"2-3 литра",IF(O11&lt;=5,"4-5 литра",IF(O11&lt;=7,"6-7 литра",IF(O11&lt;=9,"8-9 литров",IF(O11&lt;=14,"10-14 литров",IF(O11&lt;=19,"15-19 литров",IF(O11&lt;=29,"20-29 литров",IF(O11&lt;=49,"30-49 литров",IF(O11&lt;=59,"50-59 литров",IF(O11&lt;=70,"60-69 литров",IF(O11&lt;=79,"70-79 литров",IF(O11&lt;=89,"80-89 литров",IF(O11&lt;=99,"90-99 литров",IF(O11&lt;=200,"100-200 литров","200+ литров"))))))))))))))))</f>
        <v/>
      </c>
    </row>
    <row r="12">
      <c r="A12" s="64" t="n">
        <v>1.71</v>
      </c>
      <c r="B12" s="65">
        <f>A12*1.2</f>
        <v/>
      </c>
      <c r="C12" s="109" t="n">
        <v>12</v>
      </c>
      <c r="D12" s="116" t="inlineStr">
        <is>
          <t>У</t>
        </is>
      </c>
      <c r="E12" s="88" t="inlineStr">
        <is>
          <t>400х400х200</t>
        </is>
      </c>
      <c r="G12" s="83" t="inlineStr">
        <is>
          <t>Ч</t>
        </is>
      </c>
      <c r="H12" s="146" t="inlineStr">
        <is>
          <t>0201</t>
        </is>
      </c>
      <c r="I12" s="83" t="inlineStr">
        <is>
          <t>В</t>
        </is>
      </c>
      <c r="J12" s="83" t="inlineStr">
        <is>
          <t>х</t>
        </is>
      </c>
      <c r="K12" s="116" t="inlineStr">
        <is>
          <t>K11</t>
        </is>
      </c>
      <c r="N12" s="239">
        <f>IF(D12="","",IF(LEFT(D12,1)="0",0,1))</f>
        <v/>
      </c>
      <c r="O12" s="80">
        <f>ROUND(R12*S12*T12/1000000,2)</f>
        <v/>
      </c>
      <c r="P12" s="160">
        <f>IF(O12="","",
IF(O12&lt;1,"0,1-0,9 литров",
IF(O12&lt;2,"1-1,9 литра",
IF(O12&lt;3,"2-2,9 литра",
IF(O12&lt;4,"3-3,9 литра",
IF(O12&lt;6,"4-5,9 литра",IF(O12&lt;8,"6-7,9 литра",IF(O12&lt;10,"8-9,9 литров",IF(O12&lt;15,"10-14,9 литров",IF(O12&lt;20,"15-19,9 литров",IF(O12&lt;30,"20-29 литров",IF(O12&lt;50,"30-49 литров",IF(O12&lt;60,"50-59 литров",IF(O12&lt;70,"60-69 литров",IF(O12&lt;80,"70-79 литров",IF(O12&lt;90,"80-89 литров",IF(O12&lt;100,"90-99 литров",IF(O12&lt;200,"100-200 литров","200+ литров"))))))))))))))))))</f>
        <v/>
      </c>
      <c r="Q12" s="101">
        <f>IF(O12="","",IF(O12&lt;1,"&lt;1 л",IF(O12&lt;2,"1-2 л",IF(O12&lt;3,"2-3 л",IF(O12&lt;5,"3-5 л",IF(O12&lt;10,"5-10 л",IF(O12&lt;20,"10-20 л",IF(O12&lt;50,"20-50 л",IF(O12&lt;100,"50-100 л","100+ л")))))))))</f>
        <v/>
      </c>
      <c r="R12" s="162">
        <f>IF(E12="","",--LEFT(E12,FIND("х",E12)-1))</f>
        <v/>
      </c>
      <c r="S12" s="162">
        <f>IF(E12="","",--MID(E12,FIND("х",E12)+1,FIND("х",E12,FIND("х",E12)+1)-FIND("х",E12)-1))</f>
        <v/>
      </c>
      <c r="T12" s="162">
        <f>IF(E12="","",--RIGHT(E12,LEN(E12)-FIND("х",E12,FIND("х",E12)+1)))</f>
        <v/>
      </c>
      <c r="U12" s="66">
        <f>(2*(R12+S12)+60)*(S12+T12+8)/1000000</f>
        <v/>
      </c>
      <c r="V12" s="66">
        <f>IF(OR(AND(R12&gt;=2*S12,R12&gt;=2*T12),AND(S12&gt;=2*R12,S12&gt;=2*T12),AND(T12&gt;=2*R12,T12&gt;=2*S12)),"Длинные","")</f>
        <v/>
      </c>
      <c r="W12" s="66">
        <f>IF(OR(AND(R12&lt;=S12/2,R12&lt;=T12/2),AND(S12&lt;=R12/2,S12&lt;=T12/2),AND(T12&lt;=R12/2,T12&lt;=S12/2)),"Плоские","")</f>
        <v/>
      </c>
      <c r="X12" s="160">
        <f>IF(LARGE($R12:$T12,1)="","",IF(LARGE($R12:$T12,1)&lt;=99,"10-99 мм",IF(LARGE($R12:$T12,1)&lt;=199,"100-199 мм",IF(LARGE($R12:$T12,1)&lt;=299,"200-299 мм",IF(LARGE($R12:$T12,1)&lt;=399,"300-399 мм",IF(LARGE($R12:$T12,1)&lt;=499,"400-499 мм",IF(LARGE($R12:$T12,1)&lt;=599,"500-599 мм",IF(LARGE($R12:$T12,1)&lt;=699,"600-699 мм",IF(LARGE($R12:$T12,1)&lt;=999,"700-999 мм","1000+ мм")))))))))</f>
        <v/>
      </c>
      <c r="Y12" s="160">
        <f>IF(LARGE($R12:$T12,2)="","",IF(LARGE($R12:$T12,2)&lt;=99,"10-99 мм",IF(LARGE($R12:$T12,2)&lt;=199,"100-199 мм",IF(LARGE($R12:$T12,2)&lt;=299,"200-299 мм",IF(LARGE($R12:$T12,2)&lt;=399,"300-399 мм",IF(LARGE($R12:$T12,2)&lt;=499,"400-499 мм",IF(LARGE($R12:$T12,2)&lt;=599,"500-599 мм",IF(LARGE($R12:$T12,2)&lt;=699,"600-699 мм",IF(LARGE($R12:$T12,2)&lt;=999,"700-999 мм","1000+ мм")))))))))</f>
        <v/>
      </c>
      <c r="Z12" s="160">
        <f>IF(SMALL($R12:$T12,1)="","",IF(SMALL($R12:$T12,1)&lt;=99,"10-99 мм",IF(SMALL($R12:$T12,1)&lt;=199,"100-199 мм",IF(SMALL($R12:$T12,1)&lt;=299,"200-299 мм",IF(SMALL($R12:$T12,1)&lt;=399,"300-399 мм",IF(SMALL($R12:$T12,1)&lt;=499,"400-499 мм",IF(SMALL($R12:$T12,1)&lt;=599,"500-599 мм",IF(SMALL($R12:$T12,1)&lt;=699,"600-699 мм",IF(SMALL($R12:$T12,1)&lt;=999,"700-999 мм","1000+ мм")))))))))</f>
        <v/>
      </c>
      <c r="AA12" s="101">
        <f>IF(G12="","",IF(G12="Л","Лист гофрокартона",IF(G12="КД","Крышка-дно",IF(G12="С","Самосборные",IF(G12="Ч","Четырехклапанные",IF(G12="А","Архивные","Неизвестно"))))))</f>
        <v/>
      </c>
      <c r="AB12" s="66" t="n">
        <v>1.73</v>
      </c>
      <c r="AC12" s="101">
        <f>IF(O12="","",IF(O12&lt;=1,"0-1 литров",IF(O12&lt;=3,"2-3 литра",IF(O12&lt;=5,"4-5 литра",IF(O12&lt;=7,"6-7 литра",IF(O12&lt;=9,"8-9 литров",IF(O12&lt;=14,"10-14 литров",IF(O12&lt;=19,"15-19 литров",IF(O12&lt;=29,"20-29 литров",IF(O12&lt;=49,"30-49 литров",IF(O12&lt;=59,"50-59 литров",IF(O12&lt;=70,"60-69 литров",IF(O12&lt;=79,"70-79 литров",IF(O12&lt;=89,"80-89 литров",IF(O12&lt;=99,"90-99 литров",IF(O12&lt;=200,"100-200 литров","200+ литров"))))))))))))))))</f>
        <v/>
      </c>
    </row>
    <row r="13">
      <c r="A13" s="64" t="n">
        <v>2.18</v>
      </c>
      <c r="B13" s="65">
        <f>A13*1.2</f>
        <v/>
      </c>
      <c r="C13" s="109" t="n">
        <v>13</v>
      </c>
      <c r="D13" s="116" t="inlineStr">
        <is>
          <t>У</t>
        </is>
      </c>
      <c r="E13" s="88" t="inlineStr">
        <is>
          <t>400х400х400</t>
        </is>
      </c>
      <c r="G13" s="83" t="inlineStr">
        <is>
          <t>Ч</t>
        </is>
      </c>
      <c r="H13" s="146" t="inlineStr">
        <is>
          <t>0201</t>
        </is>
      </c>
      <c r="I13" s="83" t="inlineStr">
        <is>
          <t>В</t>
        </is>
      </c>
      <c r="J13" s="83" t="inlineStr">
        <is>
          <t>х</t>
        </is>
      </c>
      <c r="K13" s="116" t="inlineStr">
        <is>
          <t>K12</t>
        </is>
      </c>
      <c r="N13" s="239">
        <f>IF(D13="","",IF(LEFT(D13,1)="0",0,1))</f>
        <v/>
      </c>
      <c r="O13" s="80">
        <f>ROUND(R13*S13*T13/1000000,2)</f>
        <v/>
      </c>
      <c r="P13" s="160">
        <f>IF(O13="","",
IF(O13&lt;1,"0,1-0,9 литров",
IF(O13&lt;2,"1-1,9 литра",
IF(O13&lt;3,"2-2,9 литра",
IF(O13&lt;4,"3-3,9 литра",
IF(O13&lt;6,"4-5,9 литра",IF(O13&lt;8,"6-7,9 литра",IF(O13&lt;10,"8-9,9 литров",IF(O13&lt;15,"10-14,9 литров",IF(O13&lt;20,"15-19,9 литров",IF(O13&lt;30,"20-29 литров",IF(O13&lt;50,"30-49 литров",IF(O13&lt;60,"50-59 литров",IF(O13&lt;70,"60-69 литров",IF(O13&lt;80,"70-79 литров",IF(O13&lt;90,"80-89 литров",IF(O13&lt;100,"90-99 литров",IF(O13&lt;200,"100-200 литров","200+ литров"))))))))))))))))))</f>
        <v/>
      </c>
      <c r="Q13" s="101">
        <f>IF(O13="","",IF(O13&lt;1,"&lt;1 л",IF(O13&lt;2,"1-2 л",IF(O13&lt;3,"2-3 л",IF(O13&lt;5,"3-5 л",IF(O13&lt;10,"5-10 л",IF(O13&lt;20,"10-20 л",IF(O13&lt;50,"20-50 л",IF(O13&lt;100,"50-100 л","100+ л")))))))))</f>
        <v/>
      </c>
      <c r="R13" s="162">
        <f>IF(E13="","",--LEFT(E13,FIND("х",E13)-1))</f>
        <v/>
      </c>
      <c r="S13" s="162">
        <f>IF(E13="","",--MID(E13,FIND("х",E13)+1,FIND("х",E13,FIND("х",E13)+1)-FIND("х",E13)-1))</f>
        <v/>
      </c>
      <c r="T13" s="162">
        <f>IF(E13="","",--RIGHT(E13,LEN(E13)-FIND("х",E13,FIND("х",E13)+1)))</f>
        <v/>
      </c>
      <c r="U13" s="66">
        <f>(2*(R13+S13)+60)*(S13+T13+8)/1000000</f>
        <v/>
      </c>
      <c r="V13" s="66">
        <f>IF(OR(AND(R13&gt;=2*S13,R13&gt;=2*T13),AND(S13&gt;=2*R13,S13&gt;=2*T13),AND(T13&gt;=2*R13,T13&gt;=2*S13)),"Длинные","")</f>
        <v/>
      </c>
      <c r="W13" s="66">
        <f>IF(OR(AND(R13&lt;=S13/2,R13&lt;=T13/2),AND(S13&lt;=R13/2,S13&lt;=T13/2),AND(T13&lt;=R13/2,T13&lt;=S13/2)),"Плоские","")</f>
        <v/>
      </c>
      <c r="X13" s="160">
        <f>IF(LARGE($R13:$T13,1)="","",IF(LARGE($R13:$T13,1)&lt;=99,"10-99 мм",IF(LARGE($R13:$T13,1)&lt;=199,"100-199 мм",IF(LARGE($R13:$T13,1)&lt;=299,"200-299 мм",IF(LARGE($R13:$T13,1)&lt;=399,"300-399 мм",IF(LARGE($R13:$T13,1)&lt;=499,"400-499 мм",IF(LARGE($R13:$T13,1)&lt;=599,"500-599 мм",IF(LARGE($R13:$T13,1)&lt;=699,"600-699 мм",IF(LARGE($R13:$T13,1)&lt;=999,"700-999 мм","1000+ мм")))))))))</f>
        <v/>
      </c>
      <c r="Y13" s="160">
        <f>IF(LARGE($R13:$T13,2)="","",IF(LARGE($R13:$T13,2)&lt;=99,"10-99 мм",IF(LARGE($R13:$T13,2)&lt;=199,"100-199 мм",IF(LARGE($R13:$T13,2)&lt;=299,"200-299 мм",IF(LARGE($R13:$T13,2)&lt;=399,"300-399 мм",IF(LARGE($R13:$T13,2)&lt;=499,"400-499 мм",IF(LARGE($R13:$T13,2)&lt;=599,"500-599 мм",IF(LARGE($R13:$T13,2)&lt;=699,"600-699 мм",IF(LARGE($R13:$T13,2)&lt;=999,"700-999 мм","1000+ мм")))))))))</f>
        <v/>
      </c>
      <c r="Z13" s="160">
        <f>IF(SMALL($R13:$T13,1)="","",IF(SMALL($R13:$T13,1)&lt;=99,"10-99 мм",IF(SMALL($R13:$T13,1)&lt;=199,"100-199 мм",IF(SMALL($R13:$T13,1)&lt;=299,"200-299 мм",IF(SMALL($R13:$T13,1)&lt;=399,"300-399 мм",IF(SMALL($R13:$T13,1)&lt;=499,"400-499 мм",IF(SMALL($R13:$T13,1)&lt;=599,"500-599 мм",IF(SMALL($R13:$T13,1)&lt;=699,"600-699 мм",IF(SMALL($R13:$T13,1)&lt;=999,"700-999 мм","1000+ мм")))))))))</f>
        <v/>
      </c>
      <c r="AA13" s="101">
        <f>IF(G13="","",IF(G13="Л","Лист гофрокартона",IF(G13="КД","Крышка-дно",IF(G13="С","Самосборные",IF(G13="Ч","Четырехклапанные",IF(G13="А","Архивные","Неизвестно"))))))</f>
        <v/>
      </c>
      <c r="AB13" s="66" t="n">
        <v>1.73</v>
      </c>
      <c r="AC13" s="101">
        <f>IF(O13="","",IF(O13&lt;=1,"0-1 литров",IF(O13&lt;=3,"2-3 литра",IF(O13&lt;=5,"4-5 литра",IF(O13&lt;=7,"6-7 литра",IF(O13&lt;=9,"8-9 литров",IF(O13&lt;=14,"10-14 литров",IF(O13&lt;=19,"15-19 литров",IF(O13&lt;=29,"20-29 литров",IF(O13&lt;=49,"30-49 литров",IF(O13&lt;=59,"50-59 литров",IF(O13&lt;=70,"60-69 литров",IF(O13&lt;=79,"70-79 литров",IF(O13&lt;=89,"80-89 литров",IF(O13&lt;=99,"90-99 литров",IF(O13&lt;=200,"100-200 литров","200+ литров"))))))))))))))))</f>
        <v/>
      </c>
    </row>
    <row r="14">
      <c r="A14" s="64" t="n">
        <v>0.13</v>
      </c>
      <c r="B14" s="65">
        <f>A14*1.2</f>
        <v/>
      </c>
      <c r="C14" s="109" t="n">
        <v>14</v>
      </c>
      <c r="D14" s="116" t="inlineStr">
        <is>
          <t>У</t>
        </is>
      </c>
      <c r="E14" s="88" t="inlineStr">
        <is>
          <t>50х50х145</t>
        </is>
      </c>
      <c r="G14" s="83" t="inlineStr">
        <is>
          <t>С</t>
        </is>
      </c>
      <c r="H14" s="146" t="inlineStr">
        <is>
          <t>0215</t>
        </is>
      </c>
      <c r="I14" s="83" t="inlineStr">
        <is>
          <t>Е</t>
        </is>
      </c>
      <c r="J14" s="83" t="inlineStr">
        <is>
          <t>х</t>
        </is>
      </c>
      <c r="K14" s="116" t="inlineStr">
        <is>
          <t>K14</t>
        </is>
      </c>
      <c r="N14" s="239">
        <f>IF(D14="","",IF(LEFT(D14,1)="0",0,1))</f>
        <v/>
      </c>
      <c r="O14" s="80">
        <f>ROUND(R14*S14*T14/1000000,2)</f>
        <v/>
      </c>
      <c r="P14" s="160">
        <f>IF(O14="","",
IF(O14&lt;1,"0,1-0,9 литров",
IF(O14&lt;2,"1-1,9 литра",
IF(O14&lt;3,"2-2,9 литра",
IF(O14&lt;4,"3-3,9 литра",
IF(O14&lt;6,"4-5,9 литра",IF(O14&lt;8,"6-7,9 литра",IF(O14&lt;10,"8-9,9 литров",IF(O14&lt;15,"10-14,9 литров",IF(O14&lt;20,"15-19,9 литров",IF(O14&lt;30,"20-29 литров",IF(O14&lt;50,"30-49 литров",IF(O14&lt;60,"50-59 литров",IF(O14&lt;70,"60-69 литров",IF(O14&lt;80,"70-79 литров",IF(O14&lt;90,"80-89 литров",IF(O14&lt;100,"90-99 литров",IF(O14&lt;200,"100-200 литров","200+ литров"))))))))))))))))))</f>
        <v/>
      </c>
      <c r="Q14" s="101">
        <f>IF(O14="","",IF(O14&lt;1,"&lt;1 л",IF(O14&lt;2,"1-2 л",IF(O14&lt;3,"2-3 л",IF(O14&lt;5,"3-5 л",IF(O14&lt;10,"5-10 л",IF(O14&lt;20,"10-20 л",IF(O14&lt;50,"20-50 л",IF(O14&lt;100,"50-100 л","100+ л")))))))))</f>
        <v/>
      </c>
      <c r="R14" s="162">
        <f>IF(E14="","",--LEFT(E14,FIND("х",E14)-1))</f>
        <v/>
      </c>
      <c r="S14" s="162">
        <f>IF(E14="","",--MID(E14,FIND("х",E14)+1,FIND("х",E14,FIND("х",E14)+1)-FIND("х",E14)-1))</f>
        <v/>
      </c>
      <c r="T14" s="162">
        <f>IF(E14="","",--RIGHT(E14,LEN(E14)-FIND("х",E14,FIND("х",E14)+1)))</f>
        <v/>
      </c>
      <c r="U14" s="66">
        <f>(2*(R14+S14)+60)*(S14+T14+8)/1000000</f>
        <v/>
      </c>
      <c r="V14" s="66">
        <f>IF(OR(AND(R14&gt;=2*S14,R14&gt;=2*T14),AND(S14&gt;=2*R14,S14&gt;=2*T14),AND(T14&gt;=2*R14,T14&gt;=2*S14)),"Длинные","")</f>
        <v/>
      </c>
      <c r="W14" s="66">
        <f>IF(OR(AND(R14&lt;=S14/2,R14&lt;=T14/2),AND(S14&lt;=R14/2,S14&lt;=T14/2),AND(T14&lt;=R14/2,T14&lt;=S14/2)),"Плоские","")</f>
        <v/>
      </c>
      <c r="X14" s="160">
        <f>IF(LARGE($R14:$T14,1)="","",IF(LARGE($R14:$T14,1)&lt;=99,"10-99 мм",IF(LARGE($R14:$T14,1)&lt;=199,"100-199 мм",IF(LARGE($R14:$T14,1)&lt;=299,"200-299 мм",IF(LARGE($R14:$T14,1)&lt;=399,"300-399 мм",IF(LARGE($R14:$T14,1)&lt;=499,"400-499 мм",IF(LARGE($R14:$T14,1)&lt;=599,"500-599 мм",IF(LARGE($R14:$T14,1)&lt;=699,"600-699 мм",IF(LARGE($R14:$T14,1)&lt;=999,"700-999 мм","1000+ мм")))))))))</f>
        <v/>
      </c>
      <c r="Y14" s="160">
        <f>IF(LARGE($R14:$T14,2)="","",IF(LARGE($R14:$T14,2)&lt;=99,"10-99 мм",IF(LARGE($R14:$T14,2)&lt;=199,"100-199 мм",IF(LARGE($R14:$T14,2)&lt;=299,"200-299 мм",IF(LARGE($R14:$T14,2)&lt;=399,"300-399 мм",IF(LARGE($R14:$T14,2)&lt;=499,"400-499 мм",IF(LARGE($R14:$T14,2)&lt;=599,"500-599 мм",IF(LARGE($R14:$T14,2)&lt;=699,"600-699 мм",IF(LARGE($R14:$T14,2)&lt;=999,"700-999 мм","1000+ мм")))))))))</f>
        <v/>
      </c>
      <c r="Z14" s="160">
        <f>IF(SMALL($R14:$T14,1)="","",IF(SMALL($R14:$T14,1)&lt;=99,"10-99 мм",IF(SMALL($R14:$T14,1)&lt;=199,"100-199 мм",IF(SMALL($R14:$T14,1)&lt;=299,"200-299 мм",IF(SMALL($R14:$T14,1)&lt;=399,"300-399 мм",IF(SMALL($R14:$T14,1)&lt;=499,"400-499 мм",IF(SMALL($R14:$T14,1)&lt;=599,"500-599 мм",IF(SMALL($R14:$T14,1)&lt;=699,"600-699 мм",IF(SMALL($R14:$T14,1)&lt;=999,"700-999 мм","1000+ мм")))))))))</f>
        <v/>
      </c>
      <c r="AA14" s="101">
        <f>IF(G14="","",IF(G14="Л","Лист гофрокартона",IF(G14="КД","Крышка-дно",IF(G14="С","Самосборные",IF(G14="Ч","Четырехклапанные",IF(G14="А","Архивные","Неизвестно"))))))</f>
        <v/>
      </c>
      <c r="AB14" s="66" t="n">
        <v>1.73</v>
      </c>
      <c r="AC14" s="101">
        <f>IF(O14="","",IF(O14&lt;=1,"0-1 литров",IF(O14&lt;=3,"2-3 литра",IF(O14&lt;=5,"4-5 литра",IF(O14&lt;=7,"6-7 литра",IF(O14&lt;=9,"8-9 литров",IF(O14&lt;=14,"10-14 литров",IF(O14&lt;=19,"15-19 литров",IF(O14&lt;=29,"20-29 литров",IF(O14&lt;=49,"30-49 литров",IF(O14&lt;=59,"50-59 литров",IF(O14&lt;=70,"60-69 литров",IF(O14&lt;=79,"70-79 литров",IF(O14&lt;=89,"80-89 литров",IF(O14&lt;=99,"90-99 литров",IF(O14&lt;=200,"100-200 литров","200+ литров"))))))))))))))))</f>
        <v/>
      </c>
    </row>
    <row r="15">
      <c r="A15" s="64" t="n">
        <v>0.17</v>
      </c>
      <c r="B15" s="65">
        <f>A15*1.2</f>
        <v/>
      </c>
      <c r="C15" s="109" t="n">
        <v>15</v>
      </c>
      <c r="D15" s="116" t="inlineStr">
        <is>
          <t>У</t>
        </is>
      </c>
      <c r="E15" s="88" t="inlineStr">
        <is>
          <t>200х90х25</t>
        </is>
      </c>
      <c r="G15" s="83" t="inlineStr">
        <is>
          <t>С</t>
        </is>
      </c>
      <c r="H15" s="146" t="inlineStr">
        <is>
          <t>0427</t>
        </is>
      </c>
      <c r="I15" s="83" t="inlineStr">
        <is>
          <t>Е</t>
        </is>
      </c>
      <c r="J15" s="83" t="inlineStr">
        <is>
          <t>х</t>
        </is>
      </c>
      <c r="K15" s="116" t="inlineStr">
        <is>
          <t>K15</t>
        </is>
      </c>
      <c r="N15" s="239">
        <f>IF(D15="","",IF(LEFT(D15,1)="0",0,1))</f>
        <v/>
      </c>
      <c r="O15" s="80">
        <f>ROUND(R15*S15*T15/1000000,2)</f>
        <v/>
      </c>
      <c r="P15" s="160">
        <f>IF(O15="","",
IF(O15&lt;1,"0,1-0,9 литров",
IF(O15&lt;2,"1-1,9 литра",
IF(O15&lt;3,"2-2,9 литра",
IF(O15&lt;4,"3-3,9 литра",
IF(O15&lt;6,"4-5,9 литра",IF(O15&lt;8,"6-7,9 литра",IF(O15&lt;10,"8-9,9 литров",IF(O15&lt;15,"10-14,9 литров",IF(O15&lt;20,"15-19,9 литров",IF(O15&lt;30,"20-29 литров",IF(O15&lt;50,"30-49 литров",IF(O15&lt;60,"50-59 литров",IF(O15&lt;70,"60-69 литров",IF(O15&lt;80,"70-79 литров",IF(O15&lt;90,"80-89 литров",IF(O15&lt;100,"90-99 литров",IF(O15&lt;200,"100-200 литров","200+ литров"))))))))))))))))))</f>
        <v/>
      </c>
      <c r="Q15" s="101">
        <f>IF(O15="","",IF(O15&lt;1,"&lt;1 л",IF(O15&lt;2,"1-2 л",IF(O15&lt;3,"2-3 л",IF(O15&lt;5,"3-5 л",IF(O15&lt;10,"5-10 л",IF(O15&lt;20,"10-20 л",IF(O15&lt;50,"20-50 л",IF(O15&lt;100,"50-100 л","100+ л")))))))))</f>
        <v/>
      </c>
      <c r="R15" s="162">
        <f>IF(E15="","",--LEFT(E15,FIND("х",E15)-1))</f>
        <v/>
      </c>
      <c r="S15" s="162">
        <f>IF(E15="","",--MID(E15,FIND("х",E15)+1,FIND("х",E15,FIND("х",E15)+1)-FIND("х",E15)-1))</f>
        <v/>
      </c>
      <c r="T15" s="162">
        <f>IF(E15="","",--RIGHT(E15,LEN(E15)-FIND("х",E15,FIND("х",E15)+1)))</f>
        <v/>
      </c>
      <c r="U15" s="66">
        <f>(2*(R15+S15)+60)*(S15+T15+8)/1000000</f>
        <v/>
      </c>
      <c r="V15" s="66">
        <f>IF(OR(AND(R15&gt;=2*S15,R15&gt;=2*T15),AND(S15&gt;=2*R15,S15&gt;=2*T15),AND(T15&gt;=2*R15,T15&gt;=2*S15)),"Длинные","")</f>
        <v/>
      </c>
      <c r="W15" s="66">
        <f>IF(OR(AND(R15&lt;=S15/2,R15&lt;=T15/2),AND(S15&lt;=R15/2,S15&lt;=T15/2),AND(T15&lt;=R15/2,T15&lt;=S15/2)),"Плоские","")</f>
        <v/>
      </c>
      <c r="X15" s="160">
        <f>IF(LARGE($R15:$T15,1)="","",IF(LARGE($R15:$T15,1)&lt;=99,"10-99 мм",IF(LARGE($R15:$T15,1)&lt;=199,"100-199 мм",IF(LARGE($R15:$T15,1)&lt;=299,"200-299 мм",IF(LARGE($R15:$T15,1)&lt;=399,"300-399 мм",IF(LARGE($R15:$T15,1)&lt;=499,"400-499 мм",IF(LARGE($R15:$T15,1)&lt;=599,"500-599 мм",IF(LARGE($R15:$T15,1)&lt;=699,"600-699 мм",IF(LARGE($R15:$T15,1)&lt;=999,"700-999 мм","1000+ мм")))))))))</f>
        <v/>
      </c>
      <c r="Y15" s="160">
        <f>IF(LARGE($R15:$T15,2)="","",IF(LARGE($R15:$T15,2)&lt;=99,"10-99 мм",IF(LARGE($R15:$T15,2)&lt;=199,"100-199 мм",IF(LARGE($R15:$T15,2)&lt;=299,"200-299 мм",IF(LARGE($R15:$T15,2)&lt;=399,"300-399 мм",IF(LARGE($R15:$T15,2)&lt;=499,"400-499 мм",IF(LARGE($R15:$T15,2)&lt;=599,"500-599 мм",IF(LARGE($R15:$T15,2)&lt;=699,"600-699 мм",IF(LARGE($R15:$T15,2)&lt;=999,"700-999 мм","1000+ мм")))))))))</f>
        <v/>
      </c>
      <c r="Z15" s="160">
        <f>IF(SMALL($R15:$T15,1)="","",IF(SMALL($R15:$T15,1)&lt;=99,"10-99 мм",IF(SMALL($R15:$T15,1)&lt;=199,"100-199 мм",IF(SMALL($R15:$T15,1)&lt;=299,"200-299 мм",IF(SMALL($R15:$T15,1)&lt;=399,"300-399 мм",IF(SMALL($R15:$T15,1)&lt;=499,"400-499 мм",IF(SMALL($R15:$T15,1)&lt;=599,"500-599 мм",IF(SMALL($R15:$T15,1)&lt;=699,"600-699 мм",IF(SMALL($R15:$T15,1)&lt;=999,"700-999 мм","1000+ мм")))))))))</f>
        <v/>
      </c>
      <c r="AA15" s="101">
        <f>IF(G15="","",IF(G15="Л","Лист гофрокартона",IF(G15="КД","Крышка-дно",IF(G15="С","Самосборные",IF(G15="Ч","Четырехклапанные",IF(G15="А","Архивные","Неизвестно"))))))</f>
        <v/>
      </c>
      <c r="AB15" s="66" t="n">
        <v>1.73</v>
      </c>
      <c r="AC15" s="101">
        <f>IF(O15="","",IF(O15&lt;=1,"0-1 литров",IF(O15&lt;=3,"2-3 литра",IF(O15&lt;=5,"4-5 литра",IF(O15&lt;=7,"6-7 литра",IF(O15&lt;=9,"8-9 литров",IF(O15&lt;=14,"10-14 литров",IF(O15&lt;=19,"15-19 литров",IF(O15&lt;=29,"20-29 литров",IF(O15&lt;=49,"30-49 литров",IF(O15&lt;=59,"50-59 литров",IF(O15&lt;=70,"60-69 литров",IF(O15&lt;=79,"70-79 литров",IF(O15&lt;=89,"80-89 литров",IF(O15&lt;=99,"90-99 литров",IF(O15&lt;=200,"100-200 литров","200+ литров"))))))))))))))))</f>
        <v/>
      </c>
    </row>
    <row r="16">
      <c r="A16" s="64" t="n">
        <v>0.54</v>
      </c>
      <c r="B16" s="65">
        <f>A16*1.2</f>
        <v/>
      </c>
      <c r="C16" s="109" t="n">
        <v>16</v>
      </c>
      <c r="D16" s="116" t="inlineStr">
        <is>
          <t>У</t>
        </is>
      </c>
      <c r="E16" s="88" t="inlineStr">
        <is>
          <t>250х100х320</t>
        </is>
      </c>
      <c r="G16" s="83" t="inlineStr">
        <is>
          <t>Ч</t>
        </is>
      </c>
      <c r="H16" s="146" t="inlineStr">
        <is>
          <t>0201</t>
        </is>
      </c>
      <c r="I16" s="83" t="inlineStr">
        <is>
          <t>В</t>
        </is>
      </c>
      <c r="J16" s="83" t="inlineStr">
        <is>
          <t>х</t>
        </is>
      </c>
      <c r="K16" s="116" t="inlineStr">
        <is>
          <t>K16</t>
        </is>
      </c>
      <c r="N16" s="239">
        <f>IF(D16="","",IF(LEFT(D16,1)="0",0,1))</f>
        <v/>
      </c>
      <c r="O16" s="104">
        <f>ROUND(R16*S16*T16/1000000,2)</f>
        <v/>
      </c>
      <c r="P16" s="160">
        <f>IF(O16="","",
IF(O16&lt;1,"0,1-0,9 литров",
IF(O16&lt;2,"1-1,9 литра",
IF(O16&lt;3,"2-2,9 литра",
IF(O16&lt;4,"3-3,9 литра",
IF(O16&lt;6,"4-5,9 литра",IF(O16&lt;8,"6-7,9 литра",IF(O16&lt;10,"8-9,9 литров",IF(O16&lt;15,"10-14,9 литров",IF(O16&lt;20,"15-19,9 литров",IF(O16&lt;30,"20-29 литров",IF(O16&lt;50,"30-49 литров",IF(O16&lt;60,"50-59 литров",IF(O16&lt;70,"60-69 литров",IF(O16&lt;80,"70-79 литров",IF(O16&lt;90,"80-89 литров",IF(O16&lt;100,"90-99 литров",IF(O16&lt;200,"100-200 литров","200+ литров"))))))))))))))))))</f>
        <v/>
      </c>
      <c r="Q16" s="105">
        <f>IF(O16="","",IF(O16&lt;1,"&lt;1 л",IF(O16&lt;2,"1-2 л",IF(O16&lt;3,"2-3 л",IF(O16&lt;5,"3-5 л",IF(O16&lt;10,"5-10 л",IF(O16&lt;20,"10-20 л",IF(O16&lt;50,"20-50 л",IF(O16&lt;100,"50-100 л","100+ л")))))))))</f>
        <v/>
      </c>
      <c r="R16" s="162">
        <f>IF(E16="","",--LEFT(E16,FIND("х",E16)-1))</f>
        <v/>
      </c>
      <c r="S16" s="162">
        <f>IF(E16="","",--MID(E16,FIND("х",E16)+1,FIND("х",E16,FIND("х",E16)+1)-FIND("х",E16)-1))</f>
        <v/>
      </c>
      <c r="T16" s="162">
        <f>IF(E16="","",--RIGHT(E16,LEN(E16)-FIND("х",E16,FIND("х",E16)+1)))</f>
        <v/>
      </c>
      <c r="U16" s="66">
        <f>(2*(R16+S16)+60)*(S16+T16+8)/1000000</f>
        <v/>
      </c>
      <c r="V16" s="66">
        <f>IF(OR(AND(R16&gt;=2*S16,R16&gt;=2*T16),AND(S16&gt;=2*R16,S16&gt;=2*T16),AND(T16&gt;=2*R16,T16&gt;=2*S16)),"Длинные","")</f>
        <v/>
      </c>
      <c r="W16" s="66">
        <f>IF(OR(AND(R16&lt;=S16/2,R16&lt;=T16/2),AND(S16&lt;=R16/2,S16&lt;=T16/2),AND(T16&lt;=R16/2,T16&lt;=S16/2)),"Плоские","")</f>
        <v/>
      </c>
      <c r="X16" s="160">
        <f>IF(LARGE($R16:$T16,1)="","",IF(LARGE($R16:$T16,1)&lt;=99,"10-99 мм",IF(LARGE($R16:$T16,1)&lt;=199,"100-199 мм",IF(LARGE($R16:$T16,1)&lt;=299,"200-299 мм",IF(LARGE($R16:$T16,1)&lt;=399,"300-399 мм",IF(LARGE($R16:$T16,1)&lt;=499,"400-499 мм",IF(LARGE($R16:$T16,1)&lt;=599,"500-599 мм",IF(LARGE($R16:$T16,1)&lt;=699,"600-699 мм",IF(LARGE($R16:$T16,1)&lt;=999,"700-999 мм","1000+ мм")))))))))</f>
        <v/>
      </c>
      <c r="Y16" s="160">
        <f>IF(LARGE($R16:$T16,2)="","",IF(LARGE($R16:$T16,2)&lt;=99,"10-99 мм",IF(LARGE($R16:$T16,2)&lt;=199,"100-199 мм",IF(LARGE($R16:$T16,2)&lt;=299,"200-299 мм",IF(LARGE($R16:$T16,2)&lt;=399,"300-399 мм",IF(LARGE($R16:$T16,2)&lt;=499,"400-499 мм",IF(LARGE($R16:$T16,2)&lt;=599,"500-599 мм",IF(LARGE($R16:$T16,2)&lt;=699,"600-699 мм",IF(LARGE($R16:$T16,2)&lt;=999,"700-999 мм","1000+ мм")))))))))</f>
        <v/>
      </c>
      <c r="Z16" s="160">
        <f>IF(SMALL($R16:$T16,1)="","",IF(SMALL($R16:$T16,1)&lt;=99,"10-99 мм",IF(SMALL($R16:$T16,1)&lt;=199,"100-199 мм",IF(SMALL($R16:$T16,1)&lt;=299,"200-299 мм",IF(SMALL($R16:$T16,1)&lt;=399,"300-399 мм",IF(SMALL($R16:$T16,1)&lt;=499,"400-499 мм",IF(SMALL($R16:$T16,1)&lt;=599,"500-599 мм",IF(SMALL($R16:$T16,1)&lt;=699,"600-699 мм",IF(SMALL($R16:$T16,1)&lt;=999,"700-999 мм","1000+ мм")))))))))</f>
        <v/>
      </c>
      <c r="AA16" s="101">
        <f>IF(G16="","",IF(G16="Л","Лист гофрокартона",IF(G16="КД","Крышка-дно",IF(G16="С","Самосборные",IF(G16="Ч","Четырехклапанные",IF(G16="А","Архивные","Неизвестно"))))))</f>
        <v/>
      </c>
      <c r="AB16" s="66" t="n">
        <v>1.73</v>
      </c>
      <c r="AC16" s="101">
        <f>IF(O16="","",IF(O16&lt;=1,"0-1 литров",IF(O16&lt;=3,"2-3 литра",IF(O16&lt;=5,"4-5 литра",IF(O16&lt;=7,"6-7 литра",IF(O16&lt;=9,"8-9 литров",IF(O16&lt;=14,"10-14 литров",IF(O16&lt;=19,"15-19 литров",IF(O16&lt;=29,"20-29 литров",IF(O16&lt;=49,"30-49 литров",IF(O16&lt;=59,"50-59 литров",IF(O16&lt;=70,"60-69 литров",IF(O16&lt;=79,"70-79 литров",IF(O16&lt;=89,"80-89 литров",IF(O16&lt;=99,"90-99 литров",IF(O16&lt;=200,"100-200 литров","200+ литров"))))))))))))))))</f>
        <v/>
      </c>
    </row>
    <row r="17">
      <c r="A17" s="64" t="n">
        <v>0.15</v>
      </c>
      <c r="B17" s="65">
        <f>A17*1.2</f>
        <v/>
      </c>
      <c r="C17" s="109" t="n">
        <v>17</v>
      </c>
      <c r="D17" s="116" t="inlineStr">
        <is>
          <t>У</t>
        </is>
      </c>
      <c r="E17" s="88" t="inlineStr">
        <is>
          <t>90х80х30</t>
        </is>
      </c>
      <c r="G17" s="83" t="inlineStr">
        <is>
          <t>С</t>
        </is>
      </c>
      <c r="H17" s="146" t="inlineStr">
        <is>
          <t>0427</t>
        </is>
      </c>
      <c r="I17" s="83" t="inlineStr">
        <is>
          <t>Е</t>
        </is>
      </c>
      <c r="J17" s="83" t="inlineStr">
        <is>
          <t>х</t>
        </is>
      </c>
      <c r="K17" s="116" t="inlineStr">
        <is>
          <t>K17</t>
        </is>
      </c>
      <c r="N17" s="239">
        <f>IF(D17="","",IF(LEFT(D17,1)="0",0,1))</f>
        <v/>
      </c>
      <c r="O17" s="80">
        <f>ROUND(R17*S17*T17/1000000,2)</f>
        <v/>
      </c>
      <c r="P17" s="160">
        <f>IF(O17="","",
IF(O17&lt;1,"0,1-0,9 литров",
IF(O17&lt;2,"1-1,9 литра",
IF(O17&lt;3,"2-2,9 литра",
IF(O17&lt;4,"3-3,9 литра",
IF(O17&lt;6,"4-5,9 литра",IF(O17&lt;8,"6-7,9 литра",IF(O17&lt;10,"8-9,9 литров",IF(O17&lt;15,"10-14,9 литров",IF(O17&lt;20,"15-19,9 литров",IF(O17&lt;30,"20-29 литров",IF(O17&lt;50,"30-49 литров",IF(O17&lt;60,"50-59 литров",IF(O17&lt;70,"60-69 литров",IF(O17&lt;80,"70-79 литров",IF(O17&lt;90,"80-89 литров",IF(O17&lt;100,"90-99 литров",IF(O17&lt;200,"100-200 литров","200+ литров"))))))))))))))))))</f>
        <v/>
      </c>
      <c r="Q17" s="101">
        <f>IF(O17="","",IF(O17&lt;1,"&lt;1 л",IF(O17&lt;2,"1-2 л",IF(O17&lt;3,"2-3 л",IF(O17&lt;5,"3-5 л",IF(O17&lt;10,"5-10 л",IF(O17&lt;20,"10-20 л",IF(O17&lt;50,"20-50 л",IF(O17&lt;100,"50-100 л","100+ л")))))))))</f>
        <v/>
      </c>
      <c r="R17" s="162">
        <f>IF(E17="","",--LEFT(E17,FIND("х",E17)-1))</f>
        <v/>
      </c>
      <c r="S17" s="162">
        <f>IF(E17="","",--MID(E17,FIND("х",E17)+1,FIND("х",E17,FIND("х",E17)+1)-FIND("х",E17)-1))</f>
        <v/>
      </c>
      <c r="T17" s="162">
        <f>IF(E17="","",--RIGHT(E17,LEN(E17)-FIND("х",E17,FIND("х",E17)+1)))</f>
        <v/>
      </c>
      <c r="U17" s="66">
        <f>(2*(R17+S17)+60)*(S17+T17+8)/1000000</f>
        <v/>
      </c>
      <c r="V17" s="66">
        <f>IF(OR(AND(R17&gt;=2*S17,R17&gt;=2*T17),AND(S17&gt;=2*R17,S17&gt;=2*T17),AND(T17&gt;=2*R17,T17&gt;=2*S17)),"Длинные","")</f>
        <v/>
      </c>
      <c r="W17" s="66">
        <f>IF(OR(AND(R17&lt;=S17/2,R17&lt;=T17/2),AND(S17&lt;=R17/2,S17&lt;=T17/2),AND(T17&lt;=R17/2,T17&lt;=S17/2)),"Плоские","")</f>
        <v/>
      </c>
      <c r="X17" s="160">
        <f>IF(LARGE($R17:$T17,1)="","",IF(LARGE($R17:$T17,1)&lt;=99,"10-99 мм",IF(LARGE($R17:$T17,1)&lt;=199,"100-199 мм",IF(LARGE($R17:$T17,1)&lt;=299,"200-299 мм",IF(LARGE($R17:$T17,1)&lt;=399,"300-399 мм",IF(LARGE($R17:$T17,1)&lt;=499,"400-499 мм",IF(LARGE($R17:$T17,1)&lt;=599,"500-599 мм",IF(LARGE($R17:$T17,1)&lt;=699,"600-699 мм",IF(LARGE($R17:$T17,1)&lt;=999,"700-999 мм","1000+ мм")))))))))</f>
        <v/>
      </c>
      <c r="Y17" s="160">
        <f>IF(LARGE($R17:$T17,2)="","",IF(LARGE($R17:$T17,2)&lt;=99,"10-99 мм",IF(LARGE($R17:$T17,2)&lt;=199,"100-199 мм",IF(LARGE($R17:$T17,2)&lt;=299,"200-299 мм",IF(LARGE($R17:$T17,2)&lt;=399,"300-399 мм",IF(LARGE($R17:$T17,2)&lt;=499,"400-499 мм",IF(LARGE($R17:$T17,2)&lt;=599,"500-599 мм",IF(LARGE($R17:$T17,2)&lt;=699,"600-699 мм",IF(LARGE($R17:$T17,2)&lt;=999,"700-999 мм","1000+ мм")))))))))</f>
        <v/>
      </c>
      <c r="Z17" s="160">
        <f>IF(SMALL($R17:$T17,1)="","",IF(SMALL($R17:$T17,1)&lt;=99,"10-99 мм",IF(SMALL($R17:$T17,1)&lt;=199,"100-199 мм",IF(SMALL($R17:$T17,1)&lt;=299,"200-299 мм",IF(SMALL($R17:$T17,1)&lt;=399,"300-399 мм",IF(SMALL($R17:$T17,1)&lt;=499,"400-499 мм",IF(SMALL($R17:$T17,1)&lt;=599,"500-599 мм",IF(SMALL($R17:$T17,1)&lt;=699,"600-699 мм",IF(SMALL($R17:$T17,1)&lt;=999,"700-999 мм","1000+ мм")))))))))</f>
        <v/>
      </c>
      <c r="AA17" s="101">
        <f>IF(G17="","",IF(G17="Л","Лист гофрокартона",IF(G17="КД","Крышка-дно",IF(G17="С","Самосборные",IF(G17="Ч","Четырехклапанные",IF(G17="А","Архивные","Неизвестно"))))))</f>
        <v/>
      </c>
      <c r="AB17" s="66" t="n">
        <v>1.73</v>
      </c>
      <c r="AC17" s="101">
        <f>IF(O17="","",IF(O17&lt;=1,"0-1 литров",IF(O17&lt;=3,"2-3 литра",IF(O17&lt;=5,"4-5 литра",IF(O17&lt;=7,"6-7 литра",IF(O17&lt;=9,"8-9 литров",IF(O17&lt;=14,"10-14 литров",IF(O17&lt;=19,"15-19 литров",IF(O17&lt;=29,"20-29 литров",IF(O17&lt;=49,"30-49 литров",IF(O17&lt;=59,"50-59 литров",IF(O17&lt;=70,"60-69 литров",IF(O17&lt;=79,"70-79 литров",IF(O17&lt;=89,"80-89 литров",IF(O17&lt;=99,"90-99 литров",IF(O17&lt;=200,"100-200 литров","200+ литров"))))))))))))))))</f>
        <v/>
      </c>
    </row>
    <row r="18">
      <c r="A18" s="64" t="n">
        <v>0.28</v>
      </c>
      <c r="B18" s="65">
        <f>A18*1.2</f>
        <v/>
      </c>
      <c r="C18" s="109" t="n">
        <v>18</v>
      </c>
      <c r="D18" s="116" t="inlineStr">
        <is>
          <t>У</t>
        </is>
      </c>
      <c r="E18" s="88" t="inlineStr">
        <is>
          <t>65х65х40</t>
        </is>
      </c>
      <c r="G18" s="83" t="inlineStr">
        <is>
          <t>С</t>
        </is>
      </c>
      <c r="H18" s="146" t="inlineStr">
        <is>
          <t>0215</t>
        </is>
      </c>
      <c r="I18" s="83" t="inlineStr">
        <is>
          <t>Е</t>
        </is>
      </c>
      <c r="J18" s="83" t="inlineStr">
        <is>
          <t>х</t>
        </is>
      </c>
      <c r="K18" s="116" t="inlineStr">
        <is>
          <t>K18</t>
        </is>
      </c>
      <c r="N18" s="239">
        <f>IF(D18="","",IF(LEFT(D18,1)="0",0,1))</f>
        <v/>
      </c>
      <c r="O18" s="80">
        <f>ROUND(R18*S18*T18/1000000,2)</f>
        <v/>
      </c>
      <c r="P18" s="160">
        <f>IF(O18="","",
IF(O18&lt;1,"0,1-0,9 литров",
IF(O18&lt;2,"1-1,9 литра",
IF(O18&lt;3,"2-2,9 литра",
IF(O18&lt;4,"3-3,9 литра",
IF(O18&lt;6,"4-5,9 литра",IF(O18&lt;8,"6-7,9 литра",IF(O18&lt;10,"8-9,9 литров",IF(O18&lt;15,"10-14,9 литров",IF(O18&lt;20,"15-19,9 литров",IF(O18&lt;30,"20-29 литров",IF(O18&lt;50,"30-49 литров",IF(O18&lt;60,"50-59 литров",IF(O18&lt;70,"60-69 литров",IF(O18&lt;80,"70-79 литров",IF(O18&lt;90,"80-89 литров",IF(O18&lt;100,"90-99 литров",IF(O18&lt;200,"100-200 литров","200+ литров"))))))))))))))))))</f>
        <v/>
      </c>
      <c r="Q18" s="101">
        <f>IF(O18="","",IF(O18&lt;1,"&lt;1 л",IF(O18&lt;2,"1-2 л",IF(O18&lt;3,"2-3 л",IF(O18&lt;5,"3-5 л",IF(O18&lt;10,"5-10 л",IF(O18&lt;20,"10-20 л",IF(O18&lt;50,"20-50 л",IF(O18&lt;100,"50-100 л","100+ л")))))))))</f>
        <v/>
      </c>
      <c r="R18" s="162">
        <f>IF(E18="","",--LEFT(E18,FIND("х",E18)-1))</f>
        <v/>
      </c>
      <c r="S18" s="162">
        <f>IF(E18="","",--MID(E18,FIND("х",E18)+1,FIND("х",E18,FIND("х",E18)+1)-FIND("х",E18)-1))</f>
        <v/>
      </c>
      <c r="T18" s="162">
        <f>IF(E18="","",--RIGHT(E18,LEN(E18)-FIND("х",E18,FIND("х",E18)+1)))</f>
        <v/>
      </c>
      <c r="U18" s="66">
        <f>(2*(R18+S18)+60)*(S18+T18+8)/1000000</f>
        <v/>
      </c>
      <c r="V18" s="66">
        <f>IF(OR(AND(R18&gt;=2*S18,R18&gt;=2*T18),AND(S18&gt;=2*R18,S18&gt;=2*T18),AND(T18&gt;=2*R18,T18&gt;=2*S18)),"Длинные","")</f>
        <v/>
      </c>
      <c r="W18" s="66">
        <f>IF(OR(AND(R18&lt;=S18/2,R18&lt;=T18/2),AND(S18&lt;=R18/2,S18&lt;=T18/2),AND(T18&lt;=R18/2,T18&lt;=S18/2)),"Плоские","")</f>
        <v/>
      </c>
      <c r="X18" s="160">
        <f>IF(LARGE($R18:$T18,1)="","",IF(LARGE($R18:$T18,1)&lt;=99,"10-99 мм",IF(LARGE($R18:$T18,1)&lt;=199,"100-199 мм",IF(LARGE($R18:$T18,1)&lt;=299,"200-299 мм",IF(LARGE($R18:$T18,1)&lt;=399,"300-399 мм",IF(LARGE($R18:$T18,1)&lt;=499,"400-499 мм",IF(LARGE($R18:$T18,1)&lt;=599,"500-599 мм",IF(LARGE($R18:$T18,1)&lt;=699,"600-699 мм",IF(LARGE($R18:$T18,1)&lt;=999,"700-999 мм","1000+ мм")))))))))</f>
        <v/>
      </c>
      <c r="Y18" s="160">
        <f>IF(LARGE($R18:$T18,2)="","",IF(LARGE($R18:$T18,2)&lt;=99,"10-99 мм",IF(LARGE($R18:$T18,2)&lt;=199,"100-199 мм",IF(LARGE($R18:$T18,2)&lt;=299,"200-299 мм",IF(LARGE($R18:$T18,2)&lt;=399,"300-399 мм",IF(LARGE($R18:$T18,2)&lt;=499,"400-499 мм",IF(LARGE($R18:$T18,2)&lt;=599,"500-599 мм",IF(LARGE($R18:$T18,2)&lt;=699,"600-699 мм",IF(LARGE($R18:$T18,2)&lt;=999,"700-999 мм","1000+ мм")))))))))</f>
        <v/>
      </c>
      <c r="Z18" s="160">
        <f>IF(SMALL($R18:$T18,1)="","",IF(SMALL($R18:$T18,1)&lt;=99,"10-99 мм",IF(SMALL($R18:$T18,1)&lt;=199,"100-199 мм",IF(SMALL($R18:$T18,1)&lt;=299,"200-299 мм",IF(SMALL($R18:$T18,1)&lt;=399,"300-399 мм",IF(SMALL($R18:$T18,1)&lt;=499,"400-499 мм",IF(SMALL($R18:$T18,1)&lt;=599,"500-599 мм",IF(SMALL($R18:$T18,1)&lt;=699,"600-699 мм",IF(SMALL($R18:$T18,1)&lt;=999,"700-999 мм","1000+ мм")))))))))</f>
        <v/>
      </c>
      <c r="AA18" s="101">
        <f>IF(G18="","",IF(G18="Л","Лист гофрокартона",IF(G18="КД","Крышка-дно",IF(G18="С","Самосборные",IF(G18="Ч","Четырехклапанные",IF(G18="А","Архивные","Неизвестно"))))))</f>
        <v/>
      </c>
      <c r="AB18" s="66" t="n">
        <v>1.73</v>
      </c>
      <c r="AC18" s="101">
        <f>IF(O18="","",IF(O18&lt;=1,"0-1 литров",IF(O18&lt;=3,"2-3 литра",IF(O18&lt;=5,"4-5 литра",IF(O18&lt;=7,"6-7 литра",IF(O18&lt;=9,"8-9 литров",IF(O18&lt;=14,"10-14 литров",IF(O18&lt;=19,"15-19 литров",IF(O18&lt;=29,"20-29 литров",IF(O18&lt;=49,"30-49 литров",IF(O18&lt;=59,"50-59 литров",IF(O18&lt;=70,"60-69 литров",IF(O18&lt;=79,"70-79 литров",IF(O18&lt;=89,"80-89 литров",IF(O18&lt;=99,"90-99 литров",IF(O18&lt;=200,"100-200 литров","200+ литров"))))))))))))))))</f>
        <v/>
      </c>
    </row>
    <row r="19">
      <c r="A19" s="64" t="n">
        <v>0.28</v>
      </c>
      <c r="B19" s="65">
        <f>A19*1.2</f>
        <v/>
      </c>
      <c r="C19" s="109" t="n">
        <v>19</v>
      </c>
      <c r="D19" s="116" t="inlineStr">
        <is>
          <t>У</t>
        </is>
      </c>
      <c r="E19" s="88" t="inlineStr">
        <is>
          <t>178х120х46</t>
        </is>
      </c>
      <c r="G19" s="83" t="inlineStr">
        <is>
          <t>С</t>
        </is>
      </c>
      <c r="H19" s="146" t="inlineStr">
        <is>
          <t>0426</t>
        </is>
      </c>
      <c r="I19" s="83" t="inlineStr">
        <is>
          <t>Е</t>
        </is>
      </c>
      <c r="J19" s="83" t="inlineStr">
        <is>
          <t>х</t>
        </is>
      </c>
      <c r="K19" s="116" t="inlineStr">
        <is>
          <t>K19</t>
        </is>
      </c>
      <c r="N19" s="239">
        <f>IF(D19="","",IF(LEFT(D19,1)="0",0,1))</f>
        <v/>
      </c>
      <c r="O19" s="80">
        <f>ROUND(R19*S19*T19/1000000,2)</f>
        <v/>
      </c>
      <c r="P19" s="160">
        <f>IF(O19="","",
IF(O19&lt;1,"0,1-0,9 литров",
IF(O19&lt;2,"1-1,9 литра",
IF(O19&lt;3,"2-2,9 литра",
IF(O19&lt;4,"3-3,9 литра",
IF(O19&lt;6,"4-5,9 литра",IF(O19&lt;8,"6-7,9 литра",IF(O19&lt;10,"8-9,9 литров",IF(O19&lt;15,"10-14,9 литров",IF(O19&lt;20,"15-19,9 литров",IF(O19&lt;30,"20-29 литров",IF(O19&lt;50,"30-49 литров",IF(O19&lt;60,"50-59 литров",IF(O19&lt;70,"60-69 литров",IF(O19&lt;80,"70-79 литров",IF(O19&lt;90,"80-89 литров",IF(O19&lt;100,"90-99 литров",IF(O19&lt;200,"100-200 литров","200+ литров"))))))))))))))))))</f>
        <v/>
      </c>
      <c r="Q19" s="101">
        <f>IF(O19="","",IF(O19&lt;1,"&lt;1 л",IF(O19&lt;2,"1-2 л",IF(O19&lt;3,"2-3 л",IF(O19&lt;5,"3-5 л",IF(O19&lt;10,"5-10 л",IF(O19&lt;20,"10-20 л",IF(O19&lt;50,"20-50 л",IF(O19&lt;100,"50-100 л","100+ л")))))))))</f>
        <v/>
      </c>
      <c r="R19" s="162">
        <f>IF(E19="","",--LEFT(E19,FIND("х",E19)-1))</f>
        <v/>
      </c>
      <c r="S19" s="162">
        <f>IF(E19="","",--MID(E19,FIND("х",E19)+1,FIND("х",E19,FIND("х",E19)+1)-FIND("х",E19)-1))</f>
        <v/>
      </c>
      <c r="T19" s="162">
        <f>IF(E19="","",--RIGHT(E19,LEN(E19)-FIND("х",E19,FIND("х",E19)+1)))</f>
        <v/>
      </c>
      <c r="U19" s="66">
        <f>(2*(R19+S19)+60)*(S19+T19+8)/1000000</f>
        <v/>
      </c>
      <c r="V19" s="66">
        <f>IF(OR(AND(R19&gt;=2*S19,R19&gt;=2*T19),AND(S19&gt;=2*R19,S19&gt;=2*T19),AND(T19&gt;=2*R19,T19&gt;=2*S19)),"Длинные","")</f>
        <v/>
      </c>
      <c r="W19" s="66">
        <f>IF(OR(AND(R19&lt;=S19/2,R19&lt;=T19/2),AND(S19&lt;=R19/2,S19&lt;=T19/2),AND(T19&lt;=R19/2,T19&lt;=S19/2)),"Плоские","")</f>
        <v/>
      </c>
      <c r="X19" s="160">
        <f>IF(LARGE($R19:$T19,1)="","",IF(LARGE($R19:$T19,1)&lt;=99,"10-99 мм",IF(LARGE($R19:$T19,1)&lt;=199,"100-199 мм",IF(LARGE($R19:$T19,1)&lt;=299,"200-299 мм",IF(LARGE($R19:$T19,1)&lt;=399,"300-399 мм",IF(LARGE($R19:$T19,1)&lt;=499,"400-499 мм",IF(LARGE($R19:$T19,1)&lt;=599,"500-599 мм",IF(LARGE($R19:$T19,1)&lt;=699,"600-699 мм",IF(LARGE($R19:$T19,1)&lt;=999,"700-999 мм","1000+ мм")))))))))</f>
        <v/>
      </c>
      <c r="Y19" s="160">
        <f>IF(LARGE($R19:$T19,2)="","",IF(LARGE($R19:$T19,2)&lt;=99,"10-99 мм",IF(LARGE($R19:$T19,2)&lt;=199,"100-199 мм",IF(LARGE($R19:$T19,2)&lt;=299,"200-299 мм",IF(LARGE($R19:$T19,2)&lt;=399,"300-399 мм",IF(LARGE($R19:$T19,2)&lt;=499,"400-499 мм",IF(LARGE($R19:$T19,2)&lt;=599,"500-599 мм",IF(LARGE($R19:$T19,2)&lt;=699,"600-699 мм",IF(LARGE($R19:$T19,2)&lt;=999,"700-999 мм","1000+ мм")))))))))</f>
        <v/>
      </c>
      <c r="Z19" s="160">
        <f>IF(SMALL($R19:$T19,1)="","",IF(SMALL($R19:$T19,1)&lt;=99,"10-99 мм",IF(SMALL($R19:$T19,1)&lt;=199,"100-199 мм",IF(SMALL($R19:$T19,1)&lt;=299,"200-299 мм",IF(SMALL($R19:$T19,1)&lt;=399,"300-399 мм",IF(SMALL($R19:$T19,1)&lt;=499,"400-499 мм",IF(SMALL($R19:$T19,1)&lt;=599,"500-599 мм",IF(SMALL($R19:$T19,1)&lt;=699,"600-699 мм",IF(SMALL($R19:$T19,1)&lt;=999,"700-999 мм","1000+ мм")))))))))</f>
        <v/>
      </c>
      <c r="AA19" s="101">
        <f>IF(G19="","",IF(G19="Л","Лист гофрокартона",IF(G19="КД","Крышка-дно",IF(G19="С","Самосборные",IF(G19="Ч","Четырехклапанные",IF(G19="А","Архивные","Неизвестно"))))))</f>
        <v/>
      </c>
      <c r="AB19" s="66" t="n">
        <v>1.73</v>
      </c>
      <c r="AC19" s="101">
        <f>IF(O19="","",IF(O19&lt;=1,"0-1 литров",IF(O19&lt;=3,"2-3 литра",IF(O19&lt;=5,"4-5 литра",IF(O19&lt;=7,"6-7 литра",IF(O19&lt;=9,"8-9 литров",IF(O19&lt;=14,"10-14 литров",IF(O19&lt;=19,"15-19 литров",IF(O19&lt;=29,"20-29 литров",IF(O19&lt;=49,"30-49 литров",IF(O19&lt;=59,"50-59 литров",IF(O19&lt;=70,"60-69 литров",IF(O19&lt;=79,"70-79 литров",IF(O19&lt;=89,"80-89 литров",IF(O19&lt;=99,"90-99 литров",IF(O19&lt;=200,"100-200 литров","200+ литров"))))))))))))))))</f>
        <v/>
      </c>
    </row>
    <row r="20">
      <c r="A20" s="64" t="n">
        <v>0.28</v>
      </c>
      <c r="B20" s="65">
        <f>A20*1.2</f>
        <v/>
      </c>
      <c r="C20" s="109" t="n">
        <v>20</v>
      </c>
      <c r="D20" s="116" t="inlineStr">
        <is>
          <t>У</t>
        </is>
      </c>
      <c r="E20" s="88" t="inlineStr">
        <is>
          <t>110х110х87</t>
        </is>
      </c>
      <c r="G20" s="83" t="inlineStr">
        <is>
          <t>С</t>
        </is>
      </c>
      <c r="H20" s="146" t="inlineStr">
        <is>
          <t>0215</t>
        </is>
      </c>
      <c r="I20" s="83" t="inlineStr">
        <is>
          <t>В</t>
        </is>
      </c>
      <c r="J20" s="83" t="inlineStr">
        <is>
          <t>х</t>
        </is>
      </c>
      <c r="K20" s="116" t="inlineStr">
        <is>
          <t>K20</t>
        </is>
      </c>
      <c r="N20" s="239">
        <f>IF(D20="","",IF(LEFT(D20,1)="0",0,1))</f>
        <v/>
      </c>
      <c r="O20" s="80">
        <f>ROUND(R20*S20*T20/1000000,2)</f>
        <v/>
      </c>
      <c r="P20" s="160">
        <f>IF(O20="","",
IF(O20&lt;1,"0,1-0,9 литров",
IF(O20&lt;2,"1-1,9 литра",
IF(O20&lt;3,"2-2,9 литра",
IF(O20&lt;4,"3-3,9 литра",
IF(O20&lt;6,"4-5,9 литра",IF(O20&lt;8,"6-7,9 литра",IF(O20&lt;10,"8-9,9 литров",IF(O20&lt;15,"10-14,9 литров",IF(O20&lt;20,"15-19,9 литров",IF(O20&lt;30,"20-29 литров",IF(O20&lt;50,"30-49 литров",IF(O20&lt;60,"50-59 литров",IF(O20&lt;70,"60-69 литров",IF(O20&lt;80,"70-79 литров",IF(O20&lt;90,"80-89 литров",IF(O20&lt;100,"90-99 литров",IF(O20&lt;200,"100-200 литров","200+ литров"))))))))))))))))))</f>
        <v/>
      </c>
      <c r="Q20" s="101">
        <f>IF(O20="","",IF(O20&lt;1,"&lt;1 л",IF(O20&lt;2,"1-2 л",IF(O20&lt;3,"2-3 л",IF(O20&lt;5,"3-5 л",IF(O20&lt;10,"5-10 л",IF(O20&lt;20,"10-20 л",IF(O20&lt;50,"20-50 л",IF(O20&lt;100,"50-100 л","100+ л")))))))))</f>
        <v/>
      </c>
      <c r="R20" s="162">
        <f>IF(E20="","",--LEFT(E20,FIND("х",E20)-1))</f>
        <v/>
      </c>
      <c r="S20" s="162">
        <f>IF(E20="","",--MID(E20,FIND("х",E20)+1,FIND("х",E20,FIND("х",E20)+1)-FIND("х",E20)-1))</f>
        <v/>
      </c>
      <c r="T20" s="162">
        <f>IF(E20="","",--RIGHT(E20,LEN(E20)-FIND("х",E20,FIND("х",E20)+1)))</f>
        <v/>
      </c>
      <c r="U20" s="66">
        <f>(2*(R20+S20)+60)*(S20+T20+8)/1000000</f>
        <v/>
      </c>
      <c r="V20" s="66">
        <f>IF(OR(AND(R20&gt;=2*S20,R20&gt;=2*T20),AND(S20&gt;=2*R20,S20&gt;=2*T20),AND(T20&gt;=2*R20,T20&gt;=2*S20)),"Длинные","")</f>
        <v/>
      </c>
      <c r="W20" s="66">
        <f>IF(OR(AND(R20&lt;=S20/2,R20&lt;=T20/2),AND(S20&lt;=R20/2,S20&lt;=T20/2),AND(T20&lt;=R20/2,T20&lt;=S20/2)),"Плоские","")</f>
        <v/>
      </c>
      <c r="X20" s="160">
        <f>IF(LARGE($R20:$T20,1)="","",IF(LARGE($R20:$T20,1)&lt;=99,"10-99 мм",IF(LARGE($R20:$T20,1)&lt;=199,"100-199 мм",IF(LARGE($R20:$T20,1)&lt;=299,"200-299 мм",IF(LARGE($R20:$T20,1)&lt;=399,"300-399 мм",IF(LARGE($R20:$T20,1)&lt;=499,"400-499 мм",IF(LARGE($R20:$T20,1)&lt;=599,"500-599 мм",IF(LARGE($R20:$T20,1)&lt;=699,"600-699 мм",IF(LARGE($R20:$T20,1)&lt;=999,"700-999 мм","1000+ мм")))))))))</f>
        <v/>
      </c>
      <c r="Y20" s="160">
        <f>IF(LARGE($R20:$T20,2)="","",IF(LARGE($R20:$T20,2)&lt;=99,"10-99 мм",IF(LARGE($R20:$T20,2)&lt;=199,"100-199 мм",IF(LARGE($R20:$T20,2)&lt;=299,"200-299 мм",IF(LARGE($R20:$T20,2)&lt;=399,"300-399 мм",IF(LARGE($R20:$T20,2)&lt;=499,"400-499 мм",IF(LARGE($R20:$T20,2)&lt;=599,"500-599 мм",IF(LARGE($R20:$T20,2)&lt;=699,"600-699 мм",IF(LARGE($R20:$T20,2)&lt;=999,"700-999 мм","1000+ мм")))))))))</f>
        <v/>
      </c>
      <c r="Z20" s="160">
        <f>IF(SMALL($R20:$T20,1)="","",IF(SMALL($R20:$T20,1)&lt;=99,"10-99 мм",IF(SMALL($R20:$T20,1)&lt;=199,"100-199 мм",IF(SMALL($R20:$T20,1)&lt;=299,"200-299 мм",IF(SMALL($R20:$T20,1)&lt;=399,"300-399 мм",IF(SMALL($R20:$T20,1)&lt;=499,"400-499 мм",IF(SMALL($R20:$T20,1)&lt;=599,"500-599 мм",IF(SMALL($R20:$T20,1)&lt;=699,"600-699 мм",IF(SMALL($R20:$T20,1)&lt;=999,"700-999 мм","1000+ мм")))))))))</f>
        <v/>
      </c>
      <c r="AA20" s="101">
        <f>IF(G20="","",IF(G20="Л","Лист гофрокартона",IF(G20="КД","Крышка-дно",IF(G20="С","Самосборные",IF(G20="Ч","Четырехклапанные",IF(G20="А","Архивные","Неизвестно"))))))</f>
        <v/>
      </c>
      <c r="AB20" s="66" t="n">
        <v>1.73</v>
      </c>
      <c r="AC20" s="101">
        <f>IF(O20="","",IF(O20&lt;=1,"0-1 литров",IF(O20&lt;=3,"2-3 литра",IF(O20&lt;=5,"4-5 литра",IF(O20&lt;=7,"6-7 литра",IF(O20&lt;=9,"8-9 литров",IF(O20&lt;=14,"10-14 литров",IF(O20&lt;=19,"15-19 литров",IF(O20&lt;=29,"20-29 литров",IF(O20&lt;=49,"30-49 литров",IF(O20&lt;=59,"50-59 литров",IF(O20&lt;=70,"60-69 литров",IF(O20&lt;=79,"70-79 литров",IF(O20&lt;=89,"80-89 литров",IF(O20&lt;=99,"90-99 литров",IF(O20&lt;=200,"100-200 литров","200+ литров"))))))))))))))))</f>
        <v/>
      </c>
    </row>
    <row r="21">
      <c r="A21" s="64" t="n">
        <v>0.17</v>
      </c>
      <c r="B21" s="65">
        <f>A21*1.2</f>
        <v/>
      </c>
      <c r="C21" s="109" t="n">
        <v>21</v>
      </c>
      <c r="D21" s="116" t="inlineStr">
        <is>
          <t>У</t>
        </is>
      </c>
      <c r="E21" s="88" t="inlineStr">
        <is>
          <t>50х50х170</t>
        </is>
      </c>
      <c r="G21" s="83" t="inlineStr">
        <is>
          <t>С</t>
        </is>
      </c>
      <c r="H21" s="146" t="inlineStr">
        <is>
          <t>0215</t>
        </is>
      </c>
      <c r="I21" s="83" t="inlineStr">
        <is>
          <t>Е</t>
        </is>
      </c>
      <c r="J21" s="83" t="inlineStr">
        <is>
          <t>х</t>
        </is>
      </c>
      <c r="K21" s="116" t="inlineStr">
        <is>
          <t>K21</t>
        </is>
      </c>
      <c r="N21" s="239">
        <f>IF(D21="","",IF(LEFT(D21,1)="0",0,1))</f>
        <v/>
      </c>
      <c r="O21" s="80">
        <f>ROUND(R21*S21*T21/1000000,2)</f>
        <v/>
      </c>
      <c r="P21" s="160">
        <f>IF(O21="","",
IF(O21&lt;1,"0,1-0,9 литров",
IF(O21&lt;2,"1-1,9 литра",
IF(O21&lt;3,"2-2,9 литра",
IF(O21&lt;4,"3-3,9 литра",
IF(O21&lt;6,"4-5,9 литра",IF(O21&lt;8,"6-7,9 литра",IF(O21&lt;10,"8-9,9 литров",IF(O21&lt;15,"10-14,9 литров",IF(O21&lt;20,"15-19,9 литров",IF(O21&lt;30,"20-29 литров",IF(O21&lt;50,"30-49 литров",IF(O21&lt;60,"50-59 литров",IF(O21&lt;70,"60-69 литров",IF(O21&lt;80,"70-79 литров",IF(O21&lt;90,"80-89 литров",IF(O21&lt;100,"90-99 литров",IF(O21&lt;200,"100-200 литров","200+ литров"))))))))))))))))))</f>
        <v/>
      </c>
      <c r="Q21" s="101">
        <f>IF(O21="","",IF(O21&lt;1,"&lt;1 л",IF(O21&lt;2,"1-2 л",IF(O21&lt;3,"2-3 л",IF(O21&lt;5,"3-5 л",IF(O21&lt;10,"5-10 л",IF(O21&lt;20,"10-20 л",IF(O21&lt;50,"20-50 л",IF(O21&lt;100,"50-100 л","100+ л")))))))))</f>
        <v/>
      </c>
      <c r="R21" s="162">
        <f>IF(E21="","",--LEFT(E21,FIND("х",E21)-1))</f>
        <v/>
      </c>
      <c r="S21" s="162">
        <f>IF(E21="","",--MID(E21,FIND("х",E21)+1,FIND("х",E21,FIND("х",E21)+1)-FIND("х",E21)-1))</f>
        <v/>
      </c>
      <c r="T21" s="162">
        <f>IF(E21="","",--RIGHT(E21,LEN(E21)-FIND("х",E21,FIND("х",E21)+1)))</f>
        <v/>
      </c>
      <c r="U21" s="66">
        <f>(2*(R21+S21)+60)*(S21+T21+8)/1000000</f>
        <v/>
      </c>
      <c r="V21" s="66">
        <f>IF(OR(AND(R21&gt;=2*S21,R21&gt;=2*T21),AND(S21&gt;=2*R21,S21&gt;=2*T21),AND(T21&gt;=2*R21,T21&gt;=2*S21)),"Длинные","")</f>
        <v/>
      </c>
      <c r="W21" s="66">
        <f>IF(OR(AND(R21&lt;=S21/2,R21&lt;=T21/2),AND(S21&lt;=R21/2,S21&lt;=T21/2),AND(T21&lt;=R21/2,T21&lt;=S21/2)),"Плоские","")</f>
        <v/>
      </c>
      <c r="X21" s="160">
        <f>IF(LARGE($R21:$T21,1)="","",IF(LARGE($R21:$T21,1)&lt;=99,"10-99 мм",IF(LARGE($R21:$T21,1)&lt;=199,"100-199 мм",IF(LARGE($R21:$T21,1)&lt;=299,"200-299 мм",IF(LARGE($R21:$T21,1)&lt;=399,"300-399 мм",IF(LARGE($R21:$T21,1)&lt;=499,"400-499 мм",IF(LARGE($R21:$T21,1)&lt;=599,"500-599 мм",IF(LARGE($R21:$T21,1)&lt;=699,"600-699 мм",IF(LARGE($R21:$T21,1)&lt;=999,"700-999 мм","1000+ мм")))))))))</f>
        <v/>
      </c>
      <c r="Y21" s="160">
        <f>IF(LARGE($R21:$T21,2)="","",IF(LARGE($R21:$T21,2)&lt;=99,"10-99 мм",IF(LARGE($R21:$T21,2)&lt;=199,"100-199 мм",IF(LARGE($R21:$T21,2)&lt;=299,"200-299 мм",IF(LARGE($R21:$T21,2)&lt;=399,"300-399 мм",IF(LARGE($R21:$T21,2)&lt;=499,"400-499 мм",IF(LARGE($R21:$T21,2)&lt;=599,"500-599 мм",IF(LARGE($R21:$T21,2)&lt;=699,"600-699 мм",IF(LARGE($R21:$T21,2)&lt;=999,"700-999 мм","1000+ мм")))))))))</f>
        <v/>
      </c>
      <c r="Z21" s="160">
        <f>IF(SMALL($R21:$T21,1)="","",IF(SMALL($R21:$T21,1)&lt;=99,"10-99 мм",IF(SMALL($R21:$T21,1)&lt;=199,"100-199 мм",IF(SMALL($R21:$T21,1)&lt;=299,"200-299 мм",IF(SMALL($R21:$T21,1)&lt;=399,"300-399 мм",IF(SMALL($R21:$T21,1)&lt;=499,"400-499 мм",IF(SMALL($R21:$T21,1)&lt;=599,"500-599 мм",IF(SMALL($R21:$T21,1)&lt;=699,"600-699 мм",IF(SMALL($R21:$T21,1)&lt;=999,"700-999 мм","1000+ мм")))))))))</f>
        <v/>
      </c>
      <c r="AA21" s="101">
        <f>IF(G21="","",IF(G21="Л","Лист гофрокартона",IF(G21="КД","Крышка-дно",IF(G21="С","Самосборные",IF(G21="Ч","Четырехклапанные",IF(G21="А","Архивные","Неизвестно"))))))</f>
        <v/>
      </c>
      <c r="AB21" s="66" t="n">
        <v>1.73</v>
      </c>
      <c r="AC21" s="101">
        <f>IF(O21="","",IF(O21&lt;=1,"0-1 литров",IF(O21&lt;=3,"2-3 литра",IF(O21&lt;=5,"4-5 литра",IF(O21&lt;=7,"6-7 литра",IF(O21&lt;=9,"8-9 литров",IF(O21&lt;=14,"10-14 литров",IF(O21&lt;=19,"15-19 литров",IF(O21&lt;=29,"20-29 литров",IF(O21&lt;=49,"30-49 литров",IF(O21&lt;=59,"50-59 литров",IF(O21&lt;=70,"60-69 литров",IF(O21&lt;=79,"70-79 литров",IF(O21&lt;=89,"80-89 литров",IF(O21&lt;=99,"90-99 литров",IF(O21&lt;=200,"100-200 литров","200+ литров"))))))))))))))))</f>
        <v/>
      </c>
    </row>
    <row r="22">
      <c r="A22" s="64" t="n">
        <v>0.35</v>
      </c>
      <c r="B22" s="65">
        <f>A22*1.2</f>
        <v/>
      </c>
      <c r="C22" s="109" t="n">
        <v>22</v>
      </c>
      <c r="D22" s="116" t="inlineStr">
        <is>
          <t>У</t>
        </is>
      </c>
      <c r="E22" s="88" t="inlineStr">
        <is>
          <t>80х80х330</t>
        </is>
      </c>
      <c r="G22" s="83" t="inlineStr">
        <is>
          <t>С</t>
        </is>
      </c>
      <c r="H22" s="146" t="inlineStr">
        <is>
          <t>0215</t>
        </is>
      </c>
      <c r="I22" s="83" t="inlineStr">
        <is>
          <t>В</t>
        </is>
      </c>
      <c r="J22" s="83" t="inlineStr">
        <is>
          <t>х</t>
        </is>
      </c>
      <c r="K22" s="116" t="inlineStr">
        <is>
          <t>K22</t>
        </is>
      </c>
      <c r="N22" s="239">
        <f>IF(D22="","",IF(LEFT(D22,1)="0",0,1))</f>
        <v/>
      </c>
      <c r="O22" s="80">
        <f>ROUND(R22*S22*T22/1000000,2)</f>
        <v/>
      </c>
      <c r="P22" s="160">
        <f>IF(O22="","",
IF(O22&lt;1,"0,1-0,9 литров",
IF(O22&lt;2,"1-1,9 литра",
IF(O22&lt;3,"2-2,9 литра",
IF(O22&lt;4,"3-3,9 литра",
IF(O22&lt;6,"4-5,9 литра",IF(O22&lt;8,"6-7,9 литра",IF(O22&lt;10,"8-9,9 литров",IF(O22&lt;15,"10-14,9 литров",IF(O22&lt;20,"15-19,9 литров",IF(O22&lt;30,"20-29 литров",IF(O22&lt;50,"30-49 литров",IF(O22&lt;60,"50-59 литров",IF(O22&lt;70,"60-69 литров",IF(O22&lt;80,"70-79 литров",IF(O22&lt;90,"80-89 литров",IF(O22&lt;100,"90-99 литров",IF(O22&lt;200,"100-200 литров","200+ литров"))))))))))))))))))</f>
        <v/>
      </c>
      <c r="Q22" s="101">
        <f>IF(O22="","",IF(O22&lt;1,"&lt;1 л",IF(O22&lt;2,"1-2 л",IF(O22&lt;3,"2-3 л",IF(O22&lt;5,"3-5 л",IF(O22&lt;10,"5-10 л",IF(O22&lt;20,"10-20 л",IF(O22&lt;50,"20-50 л",IF(O22&lt;100,"50-100 л","100+ л")))))))))</f>
        <v/>
      </c>
      <c r="R22" s="162">
        <f>IF(E22="","",--LEFT(E22,FIND("х",E22)-1))</f>
        <v/>
      </c>
      <c r="S22" s="162">
        <f>IF(E22="","",--MID(E22,FIND("х",E22)+1,FIND("х",E22,FIND("х",E22)+1)-FIND("х",E22)-1))</f>
        <v/>
      </c>
      <c r="T22" s="162">
        <f>IF(E22="","",--RIGHT(E22,LEN(E22)-FIND("х",E22,FIND("х",E22)+1)))</f>
        <v/>
      </c>
      <c r="U22" s="66">
        <f>(2*(R22+S22)+60)*(S22+T22+8)/1000000</f>
        <v/>
      </c>
      <c r="V22" s="66">
        <f>IF(OR(AND(R22&gt;=2*S22,R22&gt;=2*T22),AND(S22&gt;=2*R22,S22&gt;=2*T22),AND(T22&gt;=2*R22,T22&gt;=2*S22)),"Длинные","")</f>
        <v/>
      </c>
      <c r="W22" s="66">
        <f>IF(OR(AND(R22&lt;=S22/2,R22&lt;=T22/2),AND(S22&lt;=R22/2,S22&lt;=T22/2),AND(T22&lt;=R22/2,T22&lt;=S22/2)),"Плоские","")</f>
        <v/>
      </c>
      <c r="X22" s="160">
        <f>IF(LARGE($R22:$T22,1)="","",IF(LARGE($R22:$T22,1)&lt;=99,"10-99 мм",IF(LARGE($R22:$T22,1)&lt;=199,"100-199 мм",IF(LARGE($R22:$T22,1)&lt;=299,"200-299 мм",IF(LARGE($R22:$T22,1)&lt;=399,"300-399 мм",IF(LARGE($R22:$T22,1)&lt;=499,"400-499 мм",IF(LARGE($R22:$T22,1)&lt;=599,"500-599 мм",IF(LARGE($R22:$T22,1)&lt;=699,"600-699 мм",IF(LARGE($R22:$T22,1)&lt;=999,"700-999 мм","1000+ мм")))))))))</f>
        <v/>
      </c>
      <c r="Y22" s="160">
        <f>IF(LARGE($R22:$T22,2)="","",IF(LARGE($R22:$T22,2)&lt;=99,"10-99 мм",IF(LARGE($R22:$T22,2)&lt;=199,"100-199 мм",IF(LARGE($R22:$T22,2)&lt;=299,"200-299 мм",IF(LARGE($R22:$T22,2)&lt;=399,"300-399 мм",IF(LARGE($R22:$T22,2)&lt;=499,"400-499 мм",IF(LARGE($R22:$T22,2)&lt;=599,"500-599 мм",IF(LARGE($R22:$T22,2)&lt;=699,"600-699 мм",IF(LARGE($R22:$T22,2)&lt;=999,"700-999 мм","1000+ мм")))))))))</f>
        <v/>
      </c>
      <c r="Z22" s="160">
        <f>IF(SMALL($R22:$T22,1)="","",IF(SMALL($R22:$T22,1)&lt;=99,"10-99 мм",IF(SMALL($R22:$T22,1)&lt;=199,"100-199 мм",IF(SMALL($R22:$T22,1)&lt;=299,"200-299 мм",IF(SMALL($R22:$T22,1)&lt;=399,"300-399 мм",IF(SMALL($R22:$T22,1)&lt;=499,"400-499 мм",IF(SMALL($R22:$T22,1)&lt;=599,"500-599 мм",IF(SMALL($R22:$T22,1)&lt;=699,"600-699 мм",IF(SMALL($R22:$T22,1)&lt;=999,"700-999 мм","1000+ мм")))))))))</f>
        <v/>
      </c>
      <c r="AA22" s="101">
        <f>IF(G22="","",IF(G22="Л","Лист гофрокартона",IF(G22="КД","Крышка-дно",IF(G22="С","Самосборные",IF(G22="Ч","Четырехклапанные",IF(G22="А","Архивные","Неизвестно"))))))</f>
        <v/>
      </c>
      <c r="AB22" s="66" t="n">
        <v>1.73</v>
      </c>
      <c r="AC22" s="101">
        <f>IF(O22="","",IF(O22&lt;=1,"0-1 литров",IF(O22&lt;=3,"2-3 литра",IF(O22&lt;=5,"4-5 литра",IF(O22&lt;=7,"6-7 литра",IF(O22&lt;=9,"8-9 литров",IF(O22&lt;=14,"10-14 литров",IF(O22&lt;=19,"15-19 литров",IF(O22&lt;=29,"20-29 литров",IF(O22&lt;=49,"30-49 литров",IF(O22&lt;=59,"50-59 литров",IF(O22&lt;=70,"60-69 литров",IF(O22&lt;=79,"70-79 литров",IF(O22&lt;=89,"80-89 литров",IF(O22&lt;=99,"90-99 литров",IF(O22&lt;=200,"100-200 литров","200+ литров"))))))))))))))))</f>
        <v/>
      </c>
    </row>
    <row r="23">
      <c r="A23" s="64" t="n">
        <v>0.2</v>
      </c>
      <c r="B23" s="65">
        <f>A23*1.2</f>
        <v/>
      </c>
      <c r="C23" s="109" t="n">
        <v>23</v>
      </c>
      <c r="D23" s="116" t="inlineStr">
        <is>
          <t>У</t>
        </is>
      </c>
      <c r="E23" s="88" t="inlineStr">
        <is>
          <t>92х92х54</t>
        </is>
      </c>
      <c r="G23" s="83" t="inlineStr">
        <is>
          <t>С</t>
        </is>
      </c>
      <c r="H23" s="146" t="inlineStr">
        <is>
          <t>0215</t>
        </is>
      </c>
      <c r="I23" s="83" t="inlineStr">
        <is>
          <t>В</t>
        </is>
      </c>
      <c r="J23" s="83" t="inlineStr">
        <is>
          <t>х</t>
        </is>
      </c>
      <c r="K23" s="116" t="inlineStr">
        <is>
          <t>K23</t>
        </is>
      </c>
      <c r="N23" s="239">
        <f>IF(D23="","",IF(LEFT(D23,1)="0",0,1))</f>
        <v/>
      </c>
      <c r="O23" s="80">
        <f>ROUND(R23*S23*T23/1000000,2)</f>
        <v/>
      </c>
      <c r="P23" s="160">
        <f>IF(O23="","",
IF(O23&lt;1,"0,1-0,9 литров",
IF(O23&lt;2,"1-1,9 литра",
IF(O23&lt;3,"2-2,9 литра",
IF(O23&lt;4,"3-3,9 литра",
IF(O23&lt;6,"4-5,9 литра",IF(O23&lt;8,"6-7,9 литра",IF(O23&lt;10,"8-9,9 литров",IF(O23&lt;15,"10-14,9 литров",IF(O23&lt;20,"15-19,9 литров",IF(O23&lt;30,"20-29 литров",IF(O23&lt;50,"30-49 литров",IF(O23&lt;60,"50-59 литров",IF(O23&lt;70,"60-69 литров",IF(O23&lt;80,"70-79 литров",IF(O23&lt;90,"80-89 литров",IF(O23&lt;100,"90-99 литров",IF(O23&lt;200,"100-200 литров","200+ литров"))))))))))))))))))</f>
        <v/>
      </c>
      <c r="Q23" s="101">
        <f>IF(O23="","",IF(O23&lt;1,"&lt;1 л",IF(O23&lt;2,"1-2 л",IF(O23&lt;3,"2-3 л",IF(O23&lt;5,"3-5 л",IF(O23&lt;10,"5-10 л",IF(O23&lt;20,"10-20 л",IF(O23&lt;50,"20-50 л",IF(O23&lt;100,"50-100 л","100+ л")))))))))</f>
        <v/>
      </c>
      <c r="R23" s="162">
        <f>IF(E23="","",--LEFT(E23,FIND("х",E23)-1))</f>
        <v/>
      </c>
      <c r="S23" s="162">
        <f>IF(E23="","",--MID(E23,FIND("х",E23)+1,FIND("х",E23,FIND("х",E23)+1)-FIND("х",E23)-1))</f>
        <v/>
      </c>
      <c r="T23" s="162">
        <f>IF(E23="","",--RIGHT(E23,LEN(E23)-FIND("х",E23,FIND("х",E23)+1)))</f>
        <v/>
      </c>
      <c r="U23" s="66">
        <f>(2*(R23+S23)+60)*(S23+T23+8)/1000000</f>
        <v/>
      </c>
      <c r="V23" s="66">
        <f>IF(OR(AND(R23&gt;=2*S23,R23&gt;=2*T23),AND(S23&gt;=2*R23,S23&gt;=2*T23),AND(T23&gt;=2*R23,T23&gt;=2*S23)),"Длинные","")</f>
        <v/>
      </c>
      <c r="W23" s="66">
        <f>IF(OR(AND(R23&lt;=S23/2,R23&lt;=T23/2),AND(S23&lt;=R23/2,S23&lt;=T23/2),AND(T23&lt;=R23/2,T23&lt;=S23/2)),"Плоские","")</f>
        <v/>
      </c>
      <c r="X23" s="160">
        <f>IF(LARGE($R23:$T23,1)="","",IF(LARGE($R23:$T23,1)&lt;=99,"10-99 мм",IF(LARGE($R23:$T23,1)&lt;=199,"100-199 мм",IF(LARGE($R23:$T23,1)&lt;=299,"200-299 мм",IF(LARGE($R23:$T23,1)&lt;=399,"300-399 мм",IF(LARGE($R23:$T23,1)&lt;=499,"400-499 мм",IF(LARGE($R23:$T23,1)&lt;=599,"500-599 мм",IF(LARGE($R23:$T23,1)&lt;=699,"600-699 мм",IF(LARGE($R23:$T23,1)&lt;=999,"700-999 мм","1000+ мм")))))))))</f>
        <v/>
      </c>
      <c r="Y23" s="160">
        <f>IF(LARGE($R23:$T23,2)="","",IF(LARGE($R23:$T23,2)&lt;=99,"10-99 мм",IF(LARGE($R23:$T23,2)&lt;=199,"100-199 мм",IF(LARGE($R23:$T23,2)&lt;=299,"200-299 мм",IF(LARGE($R23:$T23,2)&lt;=399,"300-399 мм",IF(LARGE($R23:$T23,2)&lt;=499,"400-499 мм",IF(LARGE($R23:$T23,2)&lt;=599,"500-599 мм",IF(LARGE($R23:$T23,2)&lt;=699,"600-699 мм",IF(LARGE($R23:$T23,2)&lt;=999,"700-999 мм","1000+ мм")))))))))</f>
        <v/>
      </c>
      <c r="Z23" s="160">
        <f>IF(SMALL($R23:$T23,1)="","",IF(SMALL($R23:$T23,1)&lt;=99,"10-99 мм",IF(SMALL($R23:$T23,1)&lt;=199,"100-199 мм",IF(SMALL($R23:$T23,1)&lt;=299,"200-299 мм",IF(SMALL($R23:$T23,1)&lt;=399,"300-399 мм",IF(SMALL($R23:$T23,1)&lt;=499,"400-499 мм",IF(SMALL($R23:$T23,1)&lt;=599,"500-599 мм",IF(SMALL($R23:$T23,1)&lt;=699,"600-699 мм",IF(SMALL($R23:$T23,1)&lt;=999,"700-999 мм","1000+ мм")))))))))</f>
        <v/>
      </c>
      <c r="AA23" s="101">
        <f>IF(G23="","",IF(G23="Л","Лист гофрокартона",IF(G23="КД","Крышка-дно",IF(G23="С","Самосборные",IF(G23="Ч","Четырехклапанные",IF(G23="А","Архивные","Неизвестно"))))))</f>
        <v/>
      </c>
      <c r="AB23" s="66" t="n">
        <v>1.73</v>
      </c>
      <c r="AC23" s="101">
        <f>IF(O23="","",IF(O23&lt;=1,"0-1 литров",IF(O23&lt;=3,"2-3 литра",IF(O23&lt;=5,"4-5 литра",IF(O23&lt;=7,"6-7 литра",IF(O23&lt;=9,"8-9 литров",IF(O23&lt;=14,"10-14 литров",IF(O23&lt;=19,"15-19 литров",IF(O23&lt;=29,"20-29 литров",IF(O23&lt;=49,"30-49 литров",IF(O23&lt;=59,"50-59 литров",IF(O23&lt;=70,"60-69 литров",IF(O23&lt;=79,"70-79 литров",IF(O23&lt;=89,"80-89 литров",IF(O23&lt;=99,"90-99 литров",IF(O23&lt;=200,"100-200 литров","200+ литров"))))))))))))))))</f>
        <v/>
      </c>
    </row>
    <row r="24">
      <c r="A24" s="64" t="n">
        <v>0.5</v>
      </c>
      <c r="B24" s="65">
        <f>A24*1.2</f>
        <v/>
      </c>
      <c r="C24" s="109" t="n">
        <v>24</v>
      </c>
      <c r="D24" s="116" t="inlineStr">
        <is>
          <t>У</t>
        </is>
      </c>
      <c r="E24" s="88" t="inlineStr">
        <is>
          <t>309х307х37</t>
        </is>
      </c>
      <c r="G24" s="83" t="inlineStr">
        <is>
          <t>С</t>
        </is>
      </c>
      <c r="H24" s="146" t="inlineStr">
        <is>
          <t>0215</t>
        </is>
      </c>
      <c r="I24" s="83" t="inlineStr">
        <is>
          <t>В</t>
        </is>
      </c>
      <c r="J24" s="83" t="inlineStr">
        <is>
          <t>х</t>
        </is>
      </c>
      <c r="K24" s="116" t="inlineStr">
        <is>
          <t>K24</t>
        </is>
      </c>
      <c r="N24" s="239">
        <f>IF(D24="","",IF(LEFT(D24,1)="0",0,1))</f>
        <v/>
      </c>
      <c r="O24" s="80">
        <f>ROUND(R24*S24*T24/1000000,2)</f>
        <v/>
      </c>
      <c r="P24" s="160">
        <f>IF(O24="","",
IF(O24&lt;1,"0,1-0,9 литров",
IF(O24&lt;2,"1-1,9 литра",
IF(O24&lt;3,"2-2,9 литра",
IF(O24&lt;4,"3-3,9 литра",
IF(O24&lt;6,"4-5,9 литра",IF(O24&lt;8,"6-7,9 литра",IF(O24&lt;10,"8-9,9 литров",IF(O24&lt;15,"10-14,9 литров",IF(O24&lt;20,"15-19,9 литров",IF(O24&lt;30,"20-29 литров",IF(O24&lt;50,"30-49 литров",IF(O24&lt;60,"50-59 литров",IF(O24&lt;70,"60-69 литров",IF(O24&lt;80,"70-79 литров",IF(O24&lt;90,"80-89 литров",IF(O24&lt;100,"90-99 литров",IF(O24&lt;200,"100-200 литров","200+ литров"))))))))))))))))))</f>
        <v/>
      </c>
      <c r="Q24" s="101">
        <f>IF(O24="","",IF(O24&lt;1,"&lt;1 л",IF(O24&lt;2,"1-2 л",IF(O24&lt;3,"2-3 л",IF(O24&lt;5,"3-5 л",IF(O24&lt;10,"5-10 л",IF(O24&lt;20,"10-20 л",IF(O24&lt;50,"20-50 л",IF(O24&lt;100,"50-100 л","100+ л")))))))))</f>
        <v/>
      </c>
      <c r="R24" s="162">
        <f>IF(E24="","",--LEFT(E24,FIND("х",E24)-1))</f>
        <v/>
      </c>
      <c r="S24" s="162">
        <f>IF(E24="","",--MID(E24,FIND("х",E24)+1,FIND("х",E24,FIND("х",E24)+1)-FIND("х",E24)-1))</f>
        <v/>
      </c>
      <c r="T24" s="162">
        <f>IF(E24="","",--RIGHT(E24,LEN(E24)-FIND("х",E24,FIND("х",E24)+1)))</f>
        <v/>
      </c>
      <c r="U24" s="66">
        <f>(2*(R24+S24)+60)*(S24+T24+8)/1000000</f>
        <v/>
      </c>
      <c r="V24" s="66">
        <f>IF(OR(AND(R24&gt;=2*S24,R24&gt;=2*T24),AND(S24&gt;=2*R24,S24&gt;=2*T24),AND(T24&gt;=2*R24,T24&gt;=2*S24)),"Длинные","")</f>
        <v/>
      </c>
      <c r="W24" s="66">
        <f>IF(OR(AND(R24&lt;=S24/2,R24&lt;=T24/2),AND(S24&lt;=R24/2,S24&lt;=T24/2),AND(T24&lt;=R24/2,T24&lt;=S24/2)),"Плоские","")</f>
        <v/>
      </c>
      <c r="X24" s="160">
        <f>IF(LARGE($R24:$T24,1)="","",IF(LARGE($R24:$T24,1)&lt;=99,"10-99 мм",IF(LARGE($R24:$T24,1)&lt;=199,"100-199 мм",IF(LARGE($R24:$T24,1)&lt;=299,"200-299 мм",IF(LARGE($R24:$T24,1)&lt;=399,"300-399 мм",IF(LARGE($R24:$T24,1)&lt;=499,"400-499 мм",IF(LARGE($R24:$T24,1)&lt;=599,"500-599 мм",IF(LARGE($R24:$T24,1)&lt;=699,"600-699 мм",IF(LARGE($R24:$T24,1)&lt;=999,"700-999 мм","1000+ мм")))))))))</f>
        <v/>
      </c>
      <c r="Y24" s="160">
        <f>IF(LARGE($R24:$T24,2)="","",IF(LARGE($R24:$T24,2)&lt;=99,"10-99 мм",IF(LARGE($R24:$T24,2)&lt;=199,"100-199 мм",IF(LARGE($R24:$T24,2)&lt;=299,"200-299 мм",IF(LARGE($R24:$T24,2)&lt;=399,"300-399 мм",IF(LARGE($R24:$T24,2)&lt;=499,"400-499 мм",IF(LARGE($R24:$T24,2)&lt;=599,"500-599 мм",IF(LARGE($R24:$T24,2)&lt;=699,"600-699 мм",IF(LARGE($R24:$T24,2)&lt;=999,"700-999 мм","1000+ мм")))))))))</f>
        <v/>
      </c>
      <c r="Z24" s="160">
        <f>IF(SMALL($R24:$T24,1)="","",IF(SMALL($R24:$T24,1)&lt;=99,"10-99 мм",IF(SMALL($R24:$T24,1)&lt;=199,"100-199 мм",IF(SMALL($R24:$T24,1)&lt;=299,"200-299 мм",IF(SMALL($R24:$T24,1)&lt;=399,"300-399 мм",IF(SMALL($R24:$T24,1)&lt;=499,"400-499 мм",IF(SMALL($R24:$T24,1)&lt;=599,"500-599 мм",IF(SMALL($R24:$T24,1)&lt;=699,"600-699 мм",IF(SMALL($R24:$T24,1)&lt;=999,"700-999 мм","1000+ мм")))))))))</f>
        <v/>
      </c>
      <c r="AA24" s="101">
        <f>IF(G24="","",IF(G24="Л","Лист гофрокартона",IF(G24="КД","Крышка-дно",IF(G24="С","Самосборные",IF(G24="Ч","Четырехклапанные",IF(G24="А","Архивные","Неизвестно"))))))</f>
        <v/>
      </c>
      <c r="AB24" s="66" t="n">
        <v>1.73</v>
      </c>
      <c r="AC24" s="101">
        <f>IF(O24="","",IF(O24&lt;=1,"0-1 литров",IF(O24&lt;=3,"2-3 литра",IF(O24&lt;=5,"4-5 литра",IF(O24&lt;=7,"6-7 литра",IF(O24&lt;=9,"8-9 литров",IF(O24&lt;=14,"10-14 литров",IF(O24&lt;=19,"15-19 литров",IF(O24&lt;=29,"20-29 литров",IF(O24&lt;=49,"30-49 литров",IF(O24&lt;=59,"50-59 литров",IF(O24&lt;=70,"60-69 литров",IF(O24&lt;=79,"70-79 литров",IF(O24&lt;=89,"80-89 литров",IF(O24&lt;=99,"90-99 литров",IF(O24&lt;=200,"100-200 литров","200+ литров"))))))))))))))))</f>
        <v/>
      </c>
    </row>
    <row r="25">
      <c r="A25" s="64" t="n">
        <v>0.6</v>
      </c>
      <c r="B25" s="65">
        <f>A25*1.2</f>
        <v/>
      </c>
      <c r="C25" s="109" t="n">
        <v>25</v>
      </c>
      <c r="D25" s="116" t="inlineStr">
        <is>
          <t>У</t>
        </is>
      </c>
      <c r="E25" s="88" t="inlineStr">
        <is>
          <t>130х90х620</t>
        </is>
      </c>
      <c r="G25" s="83" t="inlineStr">
        <is>
          <t>Ч</t>
        </is>
      </c>
      <c r="H25" s="146" t="inlineStr">
        <is>
          <t>0201</t>
        </is>
      </c>
      <c r="I25" s="83" t="inlineStr">
        <is>
          <t>В</t>
        </is>
      </c>
      <c r="J25" s="83" t="inlineStr">
        <is>
          <t>х</t>
        </is>
      </c>
      <c r="K25" s="116" t="inlineStr">
        <is>
          <t>K25</t>
        </is>
      </c>
      <c r="N25" s="239">
        <f>IF(D25="","",IF(LEFT(D25,1)="0",0,1))</f>
        <v/>
      </c>
      <c r="O25" s="80">
        <f>ROUND(R25*S25*T25/1000000,2)</f>
        <v/>
      </c>
      <c r="P25" s="160">
        <f>IF(O25="","",
IF(O25&lt;1,"0,1-0,9 литров",
IF(O25&lt;2,"1-1,9 литра",
IF(O25&lt;3,"2-2,9 литра",
IF(O25&lt;4,"3-3,9 литра",
IF(O25&lt;6,"4-5,9 литра",IF(O25&lt;8,"6-7,9 литра",IF(O25&lt;10,"8-9,9 литров",IF(O25&lt;15,"10-14,9 литров",IF(O25&lt;20,"15-19,9 литров",IF(O25&lt;30,"20-29 литров",IF(O25&lt;50,"30-49 литров",IF(O25&lt;60,"50-59 литров",IF(O25&lt;70,"60-69 литров",IF(O25&lt;80,"70-79 литров",IF(O25&lt;90,"80-89 литров",IF(O25&lt;100,"90-99 литров",IF(O25&lt;200,"100-200 литров","200+ литров"))))))))))))))))))</f>
        <v/>
      </c>
      <c r="Q25" s="101">
        <f>IF(O25="","",IF(O25&lt;1,"&lt;1 л",IF(O25&lt;2,"1-2 л",IF(O25&lt;3,"2-3 л",IF(O25&lt;5,"3-5 л",IF(O25&lt;10,"5-10 л",IF(O25&lt;20,"10-20 л",IF(O25&lt;50,"20-50 л",IF(O25&lt;100,"50-100 л","100+ л")))))))))</f>
        <v/>
      </c>
      <c r="R25" s="162">
        <f>IF(E25="","",--LEFT(E25,FIND("х",E25)-1))</f>
        <v/>
      </c>
      <c r="S25" s="162">
        <f>IF(E25="","",--MID(E25,FIND("х",E25)+1,FIND("х",E25,FIND("х",E25)+1)-FIND("х",E25)-1))</f>
        <v/>
      </c>
      <c r="T25" s="162">
        <f>IF(E25="","",--RIGHT(E25,LEN(E25)-FIND("х",E25,FIND("х",E25)+1)))</f>
        <v/>
      </c>
      <c r="U25" s="66">
        <f>(2*(R25+S25)+60)*(S25+T25+8)/1000000</f>
        <v/>
      </c>
      <c r="V25" s="66">
        <f>IF(OR(AND(R25&gt;=2*S25,R25&gt;=2*T25),AND(S25&gt;=2*R25,S25&gt;=2*T25),AND(T25&gt;=2*R25,T25&gt;=2*S25)),"Длинные","")</f>
        <v/>
      </c>
      <c r="W25" s="66">
        <f>IF(OR(AND(R25&lt;=S25/2,R25&lt;=T25/2),AND(S25&lt;=R25/2,S25&lt;=T25/2),AND(T25&lt;=R25/2,T25&lt;=S25/2)),"Плоские","")</f>
        <v/>
      </c>
      <c r="X25" s="160">
        <f>IF(LARGE($R25:$T25,1)="","",IF(LARGE($R25:$T25,1)&lt;=99,"10-99 мм",IF(LARGE($R25:$T25,1)&lt;=199,"100-199 мм",IF(LARGE($R25:$T25,1)&lt;=299,"200-299 мм",IF(LARGE($R25:$T25,1)&lt;=399,"300-399 мм",IF(LARGE($R25:$T25,1)&lt;=499,"400-499 мм",IF(LARGE($R25:$T25,1)&lt;=599,"500-599 мм",IF(LARGE($R25:$T25,1)&lt;=699,"600-699 мм",IF(LARGE($R25:$T25,1)&lt;=999,"700-999 мм","1000+ мм")))))))))</f>
        <v/>
      </c>
      <c r="Y25" s="160">
        <f>IF(LARGE($R25:$T25,2)="","",IF(LARGE($R25:$T25,2)&lt;=99,"10-99 мм",IF(LARGE($R25:$T25,2)&lt;=199,"100-199 мм",IF(LARGE($R25:$T25,2)&lt;=299,"200-299 мм",IF(LARGE($R25:$T25,2)&lt;=399,"300-399 мм",IF(LARGE($R25:$T25,2)&lt;=499,"400-499 мм",IF(LARGE($R25:$T25,2)&lt;=599,"500-599 мм",IF(LARGE($R25:$T25,2)&lt;=699,"600-699 мм",IF(LARGE($R25:$T25,2)&lt;=999,"700-999 мм","1000+ мм")))))))))</f>
        <v/>
      </c>
      <c r="Z25" s="160">
        <f>IF(SMALL($R25:$T25,1)="","",IF(SMALL($R25:$T25,1)&lt;=99,"10-99 мм",IF(SMALL($R25:$T25,1)&lt;=199,"100-199 мм",IF(SMALL($R25:$T25,1)&lt;=299,"200-299 мм",IF(SMALL($R25:$T25,1)&lt;=399,"300-399 мм",IF(SMALL($R25:$T25,1)&lt;=499,"400-499 мм",IF(SMALL($R25:$T25,1)&lt;=599,"500-599 мм",IF(SMALL($R25:$T25,1)&lt;=699,"600-699 мм",IF(SMALL($R25:$T25,1)&lt;=999,"700-999 мм","1000+ мм")))))))))</f>
        <v/>
      </c>
      <c r="AA25" s="101">
        <f>IF(G25="","",IF(G25="Л","Лист гофрокартона",IF(G25="КД","Крышка-дно",IF(G25="С","Самосборные",IF(G25="Ч","Четырехклапанные",IF(G25="А","Архивные","Неизвестно"))))))</f>
        <v/>
      </c>
      <c r="AB25" s="66" t="n">
        <v>1.73</v>
      </c>
      <c r="AC25" s="101">
        <f>IF(O25="","",IF(O25&lt;=1,"0-1 литров",IF(O25&lt;=3,"2-3 литра",IF(O25&lt;=5,"4-5 литра",IF(O25&lt;=7,"6-7 литра",IF(O25&lt;=9,"8-9 литров",IF(O25&lt;=14,"10-14 литров",IF(O25&lt;=19,"15-19 литров",IF(O25&lt;=29,"20-29 литров",IF(O25&lt;=49,"30-49 литров",IF(O25&lt;=59,"50-59 литров",IF(O25&lt;=70,"60-69 литров",IF(O25&lt;=79,"70-79 литров",IF(O25&lt;=89,"80-89 литров",IF(O25&lt;=99,"90-99 литров",IF(O25&lt;=200,"100-200 литров","200+ литров"))))))))))))))))</f>
        <v/>
      </c>
    </row>
    <row r="26">
      <c r="A26" s="64" t="n">
        <v>0.37</v>
      </c>
      <c r="B26" s="65">
        <f>A26*1.2</f>
        <v/>
      </c>
      <c r="C26" s="109" t="n">
        <v>26</v>
      </c>
      <c r="D26" s="116" t="inlineStr">
        <is>
          <t>У</t>
        </is>
      </c>
      <c r="E26" s="88" t="inlineStr">
        <is>
          <t>215х125х45</t>
        </is>
      </c>
      <c r="G26" s="83" t="inlineStr">
        <is>
          <t>С</t>
        </is>
      </c>
      <c r="H26" s="146" t="inlineStr">
        <is>
          <t>0427</t>
        </is>
      </c>
      <c r="I26" s="83" t="inlineStr">
        <is>
          <t>В</t>
        </is>
      </c>
      <c r="J26" s="83" t="inlineStr">
        <is>
          <t>х</t>
        </is>
      </c>
      <c r="K26" s="116" t="inlineStr">
        <is>
          <t>K26</t>
        </is>
      </c>
      <c r="N26" s="239">
        <f>IF(D26="","",IF(LEFT(D26,1)="0",0,1))</f>
        <v/>
      </c>
      <c r="O26" s="80">
        <f>ROUND(R26*S26*T26/1000000,2)</f>
        <v/>
      </c>
      <c r="P26" s="160">
        <f>IF(O26="","",
IF(O26&lt;1,"0,1-0,9 литров",
IF(O26&lt;2,"1-1,9 литра",
IF(O26&lt;3,"2-2,9 литра",
IF(O26&lt;4,"3-3,9 литра",
IF(O26&lt;6,"4-5,9 литра",IF(O26&lt;8,"6-7,9 литра",IF(O26&lt;10,"8-9,9 литров",IF(O26&lt;15,"10-14,9 литров",IF(O26&lt;20,"15-19,9 литров",IF(O26&lt;30,"20-29 литров",IF(O26&lt;50,"30-49 литров",IF(O26&lt;60,"50-59 литров",IF(O26&lt;70,"60-69 литров",IF(O26&lt;80,"70-79 литров",IF(O26&lt;90,"80-89 литров",IF(O26&lt;100,"90-99 литров",IF(O26&lt;200,"100-200 литров","200+ литров"))))))))))))))))))</f>
        <v/>
      </c>
      <c r="Q26" s="101">
        <f>IF(O26="","",IF(O26&lt;1,"&lt;1 л",IF(O26&lt;2,"1-2 л",IF(O26&lt;3,"2-3 л",IF(O26&lt;5,"3-5 л",IF(O26&lt;10,"5-10 л",IF(O26&lt;20,"10-20 л",IF(O26&lt;50,"20-50 л",IF(O26&lt;100,"50-100 л","100+ л")))))))))</f>
        <v/>
      </c>
      <c r="R26" s="162">
        <f>IF(E26="","",--LEFT(E26,FIND("х",E26)-1))</f>
        <v/>
      </c>
      <c r="S26" s="162">
        <f>IF(E26="","",--MID(E26,FIND("х",E26)+1,FIND("х",E26,FIND("х",E26)+1)-FIND("х",E26)-1))</f>
        <v/>
      </c>
      <c r="T26" s="162">
        <f>IF(E26="","",--RIGHT(E26,LEN(E26)-FIND("х",E26,FIND("х",E26)+1)))</f>
        <v/>
      </c>
      <c r="U26" s="66">
        <f>(2*(R26+S26)+60)*(S26+T26+8)/1000000</f>
        <v/>
      </c>
      <c r="V26" s="66">
        <f>IF(OR(AND(R26&gt;=2*S26,R26&gt;=2*T26),AND(S26&gt;=2*R26,S26&gt;=2*T26),AND(T26&gt;=2*R26,T26&gt;=2*S26)),"Длинные","")</f>
        <v/>
      </c>
      <c r="W26" s="66">
        <f>IF(OR(AND(R26&lt;=S26/2,R26&lt;=T26/2),AND(S26&lt;=R26/2,S26&lt;=T26/2),AND(T26&lt;=R26/2,T26&lt;=S26/2)),"Плоские","")</f>
        <v/>
      </c>
      <c r="X26" s="160">
        <f>IF(LARGE($R26:$T26,1)="","",IF(LARGE($R26:$T26,1)&lt;=99,"10-99 мм",IF(LARGE($R26:$T26,1)&lt;=199,"100-199 мм",IF(LARGE($R26:$T26,1)&lt;=299,"200-299 мм",IF(LARGE($R26:$T26,1)&lt;=399,"300-399 мм",IF(LARGE($R26:$T26,1)&lt;=499,"400-499 мм",IF(LARGE($R26:$T26,1)&lt;=599,"500-599 мм",IF(LARGE($R26:$T26,1)&lt;=699,"600-699 мм",IF(LARGE($R26:$T26,1)&lt;=999,"700-999 мм","1000+ мм")))))))))</f>
        <v/>
      </c>
      <c r="Y26" s="160">
        <f>IF(LARGE($R26:$T26,2)="","",IF(LARGE($R26:$T26,2)&lt;=99,"10-99 мм",IF(LARGE($R26:$T26,2)&lt;=199,"100-199 мм",IF(LARGE($R26:$T26,2)&lt;=299,"200-299 мм",IF(LARGE($R26:$T26,2)&lt;=399,"300-399 мм",IF(LARGE($R26:$T26,2)&lt;=499,"400-499 мм",IF(LARGE($R26:$T26,2)&lt;=599,"500-599 мм",IF(LARGE($R26:$T26,2)&lt;=699,"600-699 мм",IF(LARGE($R26:$T26,2)&lt;=999,"700-999 мм","1000+ мм")))))))))</f>
        <v/>
      </c>
      <c r="Z26" s="160">
        <f>IF(SMALL($R26:$T26,1)="","",IF(SMALL($R26:$T26,1)&lt;=99,"10-99 мм",IF(SMALL($R26:$T26,1)&lt;=199,"100-199 мм",IF(SMALL($R26:$T26,1)&lt;=299,"200-299 мм",IF(SMALL($R26:$T26,1)&lt;=399,"300-399 мм",IF(SMALL($R26:$T26,1)&lt;=499,"400-499 мм",IF(SMALL($R26:$T26,1)&lt;=599,"500-599 мм",IF(SMALL($R26:$T26,1)&lt;=699,"600-699 мм",IF(SMALL($R26:$T26,1)&lt;=999,"700-999 мм","1000+ мм")))))))))</f>
        <v/>
      </c>
      <c r="AA26" s="101">
        <f>IF(G26="","",IF(G26="Л","Лист гофрокартона",IF(G26="КД","Крышка-дно",IF(G26="С","Самосборные",IF(G26="Ч","Четырехклапанные",IF(G26="А","Архивные","Неизвестно"))))))</f>
        <v/>
      </c>
      <c r="AB26" s="66" t="n">
        <v>1.73</v>
      </c>
      <c r="AC26" s="101">
        <f>IF(O26="","",IF(O26&lt;=1,"0-1 литров",IF(O26&lt;=3,"2-3 литра",IF(O26&lt;=5,"4-5 литра",IF(O26&lt;=7,"6-7 литра",IF(O26&lt;=9,"8-9 литров",IF(O26&lt;=14,"10-14 литров",IF(O26&lt;=19,"15-19 литров",IF(O26&lt;=29,"20-29 литров",IF(O26&lt;=49,"30-49 литров",IF(O26&lt;=59,"50-59 литров",IF(O26&lt;=70,"60-69 литров",IF(O26&lt;=79,"70-79 литров",IF(O26&lt;=89,"80-89 литров",IF(O26&lt;=99,"90-99 литров",IF(O26&lt;=200,"100-200 литров","200+ литров"))))))))))))))))</f>
        <v/>
      </c>
    </row>
    <row r="27">
      <c r="A27" s="64" t="n">
        <v>0.61</v>
      </c>
      <c r="B27" s="65">
        <f>A27*1.2</f>
        <v/>
      </c>
      <c r="C27" s="109" t="n">
        <v>27</v>
      </c>
      <c r="D27" s="116" t="inlineStr">
        <is>
          <t>У</t>
        </is>
      </c>
      <c r="E27" s="88" t="inlineStr">
        <is>
          <t>425х55х50</t>
        </is>
      </c>
      <c r="G27" s="83" t="inlineStr">
        <is>
          <t>С</t>
        </is>
      </c>
      <c r="H27" s="146" t="inlineStr">
        <is>
          <t>0471</t>
        </is>
      </c>
      <c r="I27" s="83" t="inlineStr">
        <is>
          <t>В</t>
        </is>
      </c>
      <c r="J27" s="83" t="inlineStr">
        <is>
          <t>х</t>
        </is>
      </c>
      <c r="K27" s="116" t="inlineStr">
        <is>
          <t>K27</t>
        </is>
      </c>
      <c r="N27" s="239">
        <f>IF(D27="","",IF(LEFT(D27,1)="0",0,1))</f>
        <v/>
      </c>
      <c r="O27" s="80">
        <f>ROUND(R27*S27*T27/1000000,2)</f>
        <v/>
      </c>
      <c r="P27" s="160">
        <f>IF(O27="","",
IF(O27&lt;1,"0,1-0,9 литров",
IF(O27&lt;2,"1-1,9 литра",
IF(O27&lt;3,"2-2,9 литра",
IF(O27&lt;4,"3-3,9 литра",
IF(O27&lt;6,"4-5,9 литра",IF(O27&lt;8,"6-7,9 литра",IF(O27&lt;10,"8-9,9 литров",IF(O27&lt;15,"10-14,9 литров",IF(O27&lt;20,"15-19,9 литров",IF(O27&lt;30,"20-29 литров",IF(O27&lt;50,"30-49 литров",IF(O27&lt;60,"50-59 литров",IF(O27&lt;70,"60-69 литров",IF(O27&lt;80,"70-79 литров",IF(O27&lt;90,"80-89 литров",IF(O27&lt;100,"90-99 литров",IF(O27&lt;200,"100-200 литров","200+ литров"))))))))))))))))))</f>
        <v/>
      </c>
      <c r="Q27" s="101">
        <f>IF(O27="","",IF(O27&lt;1,"&lt;1 л",IF(O27&lt;2,"1-2 л",IF(O27&lt;3,"2-3 л",IF(O27&lt;5,"3-5 л",IF(O27&lt;10,"5-10 л",IF(O27&lt;20,"10-20 л",IF(O27&lt;50,"20-50 л",IF(O27&lt;100,"50-100 л","100+ л")))))))))</f>
        <v/>
      </c>
      <c r="R27" s="162">
        <f>IF(E27="","",--LEFT(E27,FIND("х",E27)-1))</f>
        <v/>
      </c>
      <c r="S27" s="162">
        <f>IF(E27="","",--MID(E27,FIND("х",E27)+1,FIND("х",E27,FIND("х",E27)+1)-FIND("х",E27)-1))</f>
        <v/>
      </c>
      <c r="T27" s="162">
        <f>IF(E27="","",--RIGHT(E27,LEN(E27)-FIND("х",E27,FIND("х",E27)+1)))</f>
        <v/>
      </c>
      <c r="U27" s="66">
        <f>(2*(R27+S27)+60)*(S27+T27+8)/1000000</f>
        <v/>
      </c>
      <c r="V27" s="66">
        <f>IF(OR(AND(R27&gt;=2*S27,R27&gt;=2*T27),AND(S27&gt;=2*R27,S27&gt;=2*T27),AND(T27&gt;=2*R27,T27&gt;=2*S27)),"Длинные","")</f>
        <v/>
      </c>
      <c r="W27" s="66">
        <f>IF(OR(AND(R27&lt;=S27/2,R27&lt;=T27/2),AND(S27&lt;=R27/2,S27&lt;=T27/2),AND(T27&lt;=R27/2,T27&lt;=S27/2)),"Плоские","")</f>
        <v/>
      </c>
      <c r="X27" s="160">
        <f>IF(LARGE($R27:$T27,1)="","",IF(LARGE($R27:$T27,1)&lt;=99,"10-99 мм",IF(LARGE($R27:$T27,1)&lt;=199,"100-199 мм",IF(LARGE($R27:$T27,1)&lt;=299,"200-299 мм",IF(LARGE($R27:$T27,1)&lt;=399,"300-399 мм",IF(LARGE($R27:$T27,1)&lt;=499,"400-499 мм",IF(LARGE($R27:$T27,1)&lt;=599,"500-599 мм",IF(LARGE($R27:$T27,1)&lt;=699,"600-699 мм",IF(LARGE($R27:$T27,1)&lt;=999,"700-999 мм","1000+ мм")))))))))</f>
        <v/>
      </c>
      <c r="Y27" s="160">
        <f>IF(LARGE($R27:$T27,2)="","",IF(LARGE($R27:$T27,2)&lt;=99,"10-99 мм",IF(LARGE($R27:$T27,2)&lt;=199,"100-199 мм",IF(LARGE($R27:$T27,2)&lt;=299,"200-299 мм",IF(LARGE($R27:$T27,2)&lt;=399,"300-399 мм",IF(LARGE($R27:$T27,2)&lt;=499,"400-499 мм",IF(LARGE($R27:$T27,2)&lt;=599,"500-599 мм",IF(LARGE($R27:$T27,2)&lt;=699,"600-699 мм",IF(LARGE($R27:$T27,2)&lt;=999,"700-999 мм","1000+ мм")))))))))</f>
        <v/>
      </c>
      <c r="Z27" s="160">
        <f>IF(SMALL($R27:$T27,1)="","",IF(SMALL($R27:$T27,1)&lt;=99,"10-99 мм",IF(SMALL($R27:$T27,1)&lt;=199,"100-199 мм",IF(SMALL($R27:$T27,1)&lt;=299,"200-299 мм",IF(SMALL($R27:$T27,1)&lt;=399,"300-399 мм",IF(SMALL($R27:$T27,1)&lt;=499,"400-499 мм",IF(SMALL($R27:$T27,1)&lt;=599,"500-599 мм",IF(SMALL($R27:$T27,1)&lt;=699,"600-699 мм",IF(SMALL($R27:$T27,1)&lt;=999,"700-999 мм","1000+ мм")))))))))</f>
        <v/>
      </c>
      <c r="AA27" s="101">
        <f>IF(G27="","",IF(G27="Л","Лист гофрокартона",IF(G27="КД","Крышка-дно",IF(G27="С","Самосборные",IF(G27="Ч","Четырехклапанные",IF(G27="А","Архивные","Неизвестно"))))))</f>
        <v/>
      </c>
      <c r="AB27" s="66" t="n">
        <v>1.73</v>
      </c>
      <c r="AC27" s="101">
        <f>IF(O27="","",IF(O27&lt;=1,"0-1 литров",IF(O27&lt;=3,"2-3 литра",IF(O27&lt;=5,"4-5 литра",IF(O27&lt;=7,"6-7 литра",IF(O27&lt;=9,"8-9 литров",IF(O27&lt;=14,"10-14 литров",IF(O27&lt;=19,"15-19 литров",IF(O27&lt;=29,"20-29 литров",IF(O27&lt;=49,"30-49 литров",IF(O27&lt;=59,"50-59 литров",IF(O27&lt;=70,"60-69 литров",IF(O27&lt;=79,"70-79 литров",IF(O27&lt;=89,"80-89 литров",IF(O27&lt;=99,"90-99 литров",IF(O27&lt;=200,"100-200 литров","200+ литров"))))))))))))))))</f>
        <v/>
      </c>
    </row>
    <row r="28">
      <c r="A28" s="64" t="n">
        <v>0.61</v>
      </c>
      <c r="B28" s="65">
        <f>A28*1.2</f>
        <v/>
      </c>
      <c r="C28" s="109" t="n">
        <v>28</v>
      </c>
      <c r="D28" s="116" t="inlineStr">
        <is>
          <t>У</t>
        </is>
      </c>
      <c r="E28" s="88" t="inlineStr">
        <is>
          <t>160х120х100</t>
        </is>
      </c>
      <c r="G28" s="83" t="inlineStr">
        <is>
          <t>С</t>
        </is>
      </c>
      <c r="H28" s="146" t="inlineStr">
        <is>
          <t>0427</t>
        </is>
      </c>
      <c r="I28" s="83" t="inlineStr">
        <is>
          <t>Е</t>
        </is>
      </c>
      <c r="J28" s="83" t="inlineStr">
        <is>
          <t>х</t>
        </is>
      </c>
      <c r="K28" s="116" t="inlineStr">
        <is>
          <t>K28</t>
        </is>
      </c>
      <c r="N28" s="239">
        <f>IF(D28="","",IF(LEFT(D28,1)="0",0,1))</f>
        <v/>
      </c>
      <c r="O28" s="80">
        <f>ROUND(R28*S28*T28/1000000,2)</f>
        <v/>
      </c>
      <c r="P28" s="160">
        <f>IF(O28="","",
IF(O28&lt;1,"0,1-0,9 литров",
IF(O28&lt;2,"1-1,9 литра",
IF(O28&lt;3,"2-2,9 литра",
IF(O28&lt;4,"3-3,9 литра",
IF(O28&lt;6,"4-5,9 литра",IF(O28&lt;8,"6-7,9 литра",IF(O28&lt;10,"8-9,9 литров",IF(O28&lt;15,"10-14,9 литров",IF(O28&lt;20,"15-19,9 литров",IF(O28&lt;30,"20-29 литров",IF(O28&lt;50,"30-49 литров",IF(O28&lt;60,"50-59 литров",IF(O28&lt;70,"60-69 литров",IF(O28&lt;80,"70-79 литров",IF(O28&lt;90,"80-89 литров",IF(O28&lt;100,"90-99 литров",IF(O28&lt;200,"100-200 литров","200+ литров"))))))))))))))))))</f>
        <v/>
      </c>
      <c r="Q28" s="101">
        <f>IF(O28="","",IF(O28&lt;1,"&lt;1 л",IF(O28&lt;2,"1-2 л",IF(O28&lt;3,"2-3 л",IF(O28&lt;5,"3-5 л",IF(O28&lt;10,"5-10 л",IF(O28&lt;20,"10-20 л",IF(O28&lt;50,"20-50 л",IF(O28&lt;100,"50-100 л","100+ л")))))))))</f>
        <v/>
      </c>
      <c r="R28" s="162">
        <f>IF(E28="","",--LEFT(E28,FIND("х",E28)-1))</f>
        <v/>
      </c>
      <c r="S28" s="162">
        <f>IF(E28="","",--MID(E28,FIND("х",E28)+1,FIND("х",E28,FIND("х",E28)+1)-FIND("х",E28)-1))</f>
        <v/>
      </c>
      <c r="T28" s="162">
        <f>IF(E28="","",--RIGHT(E28,LEN(E28)-FIND("х",E28,FIND("х",E28)+1)))</f>
        <v/>
      </c>
      <c r="U28" s="66">
        <f>(2*(R28+S28)+60)*(S28+T28+8)/1000000</f>
        <v/>
      </c>
      <c r="V28" s="66">
        <f>IF(OR(AND(R28&gt;=2*S28,R28&gt;=2*T28),AND(S28&gt;=2*R28,S28&gt;=2*T28),AND(T28&gt;=2*R28,T28&gt;=2*S28)),"Длинные","")</f>
        <v/>
      </c>
      <c r="W28" s="66">
        <f>IF(OR(AND(R28&lt;=S28/2,R28&lt;=T28/2),AND(S28&lt;=R28/2,S28&lt;=T28/2),AND(T28&lt;=R28/2,T28&lt;=S28/2)),"Плоские","")</f>
        <v/>
      </c>
      <c r="X28" s="160">
        <f>IF(LARGE($R28:$T28,1)="","",IF(LARGE($R28:$T28,1)&lt;=99,"10-99 мм",IF(LARGE($R28:$T28,1)&lt;=199,"100-199 мм",IF(LARGE($R28:$T28,1)&lt;=299,"200-299 мм",IF(LARGE($R28:$T28,1)&lt;=399,"300-399 мм",IF(LARGE($R28:$T28,1)&lt;=499,"400-499 мм",IF(LARGE($R28:$T28,1)&lt;=599,"500-599 мм",IF(LARGE($R28:$T28,1)&lt;=699,"600-699 мм",IF(LARGE($R28:$T28,1)&lt;=999,"700-999 мм","1000+ мм")))))))))</f>
        <v/>
      </c>
      <c r="Y28" s="160">
        <f>IF(LARGE($R28:$T28,2)="","",IF(LARGE($R28:$T28,2)&lt;=99,"10-99 мм",IF(LARGE($R28:$T28,2)&lt;=199,"100-199 мм",IF(LARGE($R28:$T28,2)&lt;=299,"200-299 мм",IF(LARGE($R28:$T28,2)&lt;=399,"300-399 мм",IF(LARGE($R28:$T28,2)&lt;=499,"400-499 мм",IF(LARGE($R28:$T28,2)&lt;=599,"500-599 мм",IF(LARGE($R28:$T28,2)&lt;=699,"600-699 мм",IF(LARGE($R28:$T28,2)&lt;=999,"700-999 мм","1000+ мм")))))))))</f>
        <v/>
      </c>
      <c r="Z28" s="160">
        <f>IF(SMALL($R28:$T28,1)="","",IF(SMALL($R28:$T28,1)&lt;=99,"10-99 мм",IF(SMALL($R28:$T28,1)&lt;=199,"100-199 мм",IF(SMALL($R28:$T28,1)&lt;=299,"200-299 мм",IF(SMALL($R28:$T28,1)&lt;=399,"300-399 мм",IF(SMALL($R28:$T28,1)&lt;=499,"400-499 мм",IF(SMALL($R28:$T28,1)&lt;=599,"500-599 мм",IF(SMALL($R28:$T28,1)&lt;=699,"600-699 мм",IF(SMALL($R28:$T28,1)&lt;=999,"700-999 мм","1000+ мм")))))))))</f>
        <v/>
      </c>
      <c r="AA28" s="101">
        <f>IF(G28="","",IF(G28="Л","Лист гофрокартона",IF(G28="КД","Крышка-дно",IF(G28="С","Самосборные",IF(G28="Ч","Четырехклапанные",IF(G28="А","Архивные","Неизвестно"))))))</f>
        <v/>
      </c>
      <c r="AB28" s="66" t="n">
        <v>1.73</v>
      </c>
      <c r="AC28" s="101">
        <f>IF(O28="","",IF(O28&lt;=1,"0-1 литров",IF(O28&lt;=3,"2-3 литра",IF(O28&lt;=5,"4-5 литра",IF(O28&lt;=7,"6-7 литра",IF(O28&lt;=9,"8-9 литров",IF(O28&lt;=14,"10-14 литров",IF(O28&lt;=19,"15-19 литров",IF(O28&lt;=29,"20-29 литров",IF(O28&lt;=49,"30-49 литров",IF(O28&lt;=59,"50-59 литров",IF(O28&lt;=70,"60-69 литров",IF(O28&lt;=79,"70-79 литров",IF(O28&lt;=89,"80-89 литров",IF(O28&lt;=99,"90-99 литров",IF(O28&lt;=200,"100-200 литров","200+ литров"))))))))))))))))</f>
        <v/>
      </c>
    </row>
    <row r="29">
      <c r="A29" s="64" t="n">
        <v>0.61</v>
      </c>
      <c r="B29" s="65">
        <f>A29*1.2</f>
        <v/>
      </c>
      <c r="C29" s="109" t="n">
        <v>29</v>
      </c>
      <c r="D29" s="116" t="inlineStr">
        <is>
          <t>У</t>
        </is>
      </c>
      <c r="E29" s="88" t="inlineStr">
        <is>
          <t>277х280х45</t>
        </is>
      </c>
      <c r="G29" s="83" t="inlineStr">
        <is>
          <t>С</t>
        </is>
      </c>
      <c r="H29" s="146" t="inlineStr">
        <is>
          <t>0427</t>
        </is>
      </c>
      <c r="I29" s="83" t="inlineStr">
        <is>
          <t>В</t>
        </is>
      </c>
      <c r="J29" s="83" t="inlineStr">
        <is>
          <t>х</t>
        </is>
      </c>
      <c r="K29" s="116" t="inlineStr">
        <is>
          <t>K29</t>
        </is>
      </c>
      <c r="N29" s="239">
        <f>IF(D29="","",IF(LEFT(D29,1)="0",0,1))</f>
        <v/>
      </c>
      <c r="O29" s="80">
        <f>ROUND(R29*S29*T29/1000000,2)</f>
        <v/>
      </c>
      <c r="P29" s="160">
        <f>IF(O29="","",
IF(O29&lt;1,"0,1-0,9 литров",
IF(O29&lt;2,"1-1,9 литра",
IF(O29&lt;3,"2-2,9 литра",
IF(O29&lt;4,"3-3,9 литра",
IF(O29&lt;6,"4-5,9 литра",IF(O29&lt;8,"6-7,9 литра",IF(O29&lt;10,"8-9,9 литров",IF(O29&lt;15,"10-14,9 литров",IF(O29&lt;20,"15-19,9 литров",IF(O29&lt;30,"20-29 литров",IF(O29&lt;50,"30-49 литров",IF(O29&lt;60,"50-59 литров",IF(O29&lt;70,"60-69 литров",IF(O29&lt;80,"70-79 литров",IF(O29&lt;90,"80-89 литров",IF(O29&lt;100,"90-99 литров",IF(O29&lt;200,"100-200 литров","200+ литров"))))))))))))))))))</f>
        <v/>
      </c>
      <c r="Q29" s="101">
        <f>IF(O29="","",IF(O29&lt;1,"&lt;1 л",IF(O29&lt;2,"1-2 л",IF(O29&lt;3,"2-3 л",IF(O29&lt;5,"3-5 л",IF(O29&lt;10,"5-10 л",IF(O29&lt;20,"10-20 л",IF(O29&lt;50,"20-50 л",IF(O29&lt;100,"50-100 л","100+ л")))))))))</f>
        <v/>
      </c>
      <c r="R29" s="162">
        <f>IF(E29="","",--LEFT(E29,FIND("х",E29)-1))</f>
        <v/>
      </c>
      <c r="S29" s="162">
        <f>IF(E29="","",--MID(E29,FIND("х",E29)+1,FIND("х",E29,FIND("х",E29)+1)-FIND("х",E29)-1))</f>
        <v/>
      </c>
      <c r="T29" s="162">
        <f>IF(E29="","",--RIGHT(E29,LEN(E29)-FIND("х",E29,FIND("х",E29)+1)))</f>
        <v/>
      </c>
      <c r="U29" s="66">
        <f>(2*(R29+S29)+60)*(S29+T29+8)/1000000</f>
        <v/>
      </c>
      <c r="V29" s="66">
        <f>IF(OR(AND(R29&gt;=2*S29,R29&gt;=2*T29),AND(S29&gt;=2*R29,S29&gt;=2*T29),AND(T29&gt;=2*R29,T29&gt;=2*S29)),"Длинные","")</f>
        <v/>
      </c>
      <c r="W29" s="66">
        <f>IF(OR(AND(R29&lt;=S29/2,R29&lt;=T29/2),AND(S29&lt;=R29/2,S29&lt;=T29/2),AND(T29&lt;=R29/2,T29&lt;=S29/2)),"Плоские","")</f>
        <v/>
      </c>
      <c r="X29" s="160">
        <f>IF(LARGE($R29:$T29,1)="","",IF(LARGE($R29:$T29,1)&lt;=99,"10-99 мм",IF(LARGE($R29:$T29,1)&lt;=199,"100-199 мм",IF(LARGE($R29:$T29,1)&lt;=299,"200-299 мм",IF(LARGE($R29:$T29,1)&lt;=399,"300-399 мм",IF(LARGE($R29:$T29,1)&lt;=499,"400-499 мм",IF(LARGE($R29:$T29,1)&lt;=599,"500-599 мм",IF(LARGE($R29:$T29,1)&lt;=699,"600-699 мм",IF(LARGE($R29:$T29,1)&lt;=999,"700-999 мм","1000+ мм")))))))))</f>
        <v/>
      </c>
      <c r="Y29" s="160">
        <f>IF(LARGE($R29:$T29,2)="","",IF(LARGE($R29:$T29,2)&lt;=99,"10-99 мм",IF(LARGE($R29:$T29,2)&lt;=199,"100-199 мм",IF(LARGE($R29:$T29,2)&lt;=299,"200-299 мм",IF(LARGE($R29:$T29,2)&lt;=399,"300-399 мм",IF(LARGE($R29:$T29,2)&lt;=499,"400-499 мм",IF(LARGE($R29:$T29,2)&lt;=599,"500-599 мм",IF(LARGE($R29:$T29,2)&lt;=699,"600-699 мм",IF(LARGE($R29:$T29,2)&lt;=999,"700-999 мм","1000+ мм")))))))))</f>
        <v/>
      </c>
      <c r="Z29" s="160">
        <f>IF(SMALL($R29:$T29,1)="","",IF(SMALL($R29:$T29,1)&lt;=99,"10-99 мм",IF(SMALL($R29:$T29,1)&lt;=199,"100-199 мм",IF(SMALL($R29:$T29,1)&lt;=299,"200-299 мм",IF(SMALL($R29:$T29,1)&lt;=399,"300-399 мм",IF(SMALL($R29:$T29,1)&lt;=499,"400-499 мм",IF(SMALL($R29:$T29,1)&lt;=599,"500-599 мм",IF(SMALL($R29:$T29,1)&lt;=699,"600-699 мм",IF(SMALL($R29:$T29,1)&lt;=999,"700-999 мм","1000+ мм")))))))))</f>
        <v/>
      </c>
      <c r="AA29" s="101">
        <f>IF(G29="","",IF(G29="Л","Лист гофрокартона",IF(G29="КД","Крышка-дно",IF(G29="С","Самосборные",IF(G29="Ч","Четырехклапанные",IF(G29="А","Архивные","Неизвестно"))))))</f>
        <v/>
      </c>
      <c r="AB29" s="66" t="n">
        <v>1.73</v>
      </c>
      <c r="AC29" s="101">
        <f>IF(O29="","",IF(O29&lt;=1,"0-1 литров",IF(O29&lt;=3,"2-3 литра",IF(O29&lt;=5,"4-5 литра",IF(O29&lt;=7,"6-7 литра",IF(O29&lt;=9,"8-9 литров",IF(O29&lt;=14,"10-14 литров",IF(O29&lt;=19,"15-19 литров",IF(O29&lt;=29,"20-29 литров",IF(O29&lt;=49,"30-49 литров",IF(O29&lt;=59,"50-59 литров",IF(O29&lt;=70,"60-69 литров",IF(O29&lt;=79,"70-79 литров",IF(O29&lt;=89,"80-89 литров",IF(O29&lt;=99,"90-99 литров",IF(O29&lt;=200,"100-200 литров","200+ литров"))))))))))))))))</f>
        <v/>
      </c>
    </row>
    <row r="30">
      <c r="A30" s="64" t="n">
        <v>0.19</v>
      </c>
      <c r="B30" s="65">
        <f>A30*1.2</f>
        <v/>
      </c>
      <c r="C30" s="109" t="n">
        <v>30</v>
      </c>
      <c r="D30" s="116" t="inlineStr">
        <is>
          <t>У</t>
        </is>
      </c>
      <c r="E30" s="88" t="inlineStr">
        <is>
          <t>71х71х152</t>
        </is>
      </c>
      <c r="G30" s="83" t="inlineStr">
        <is>
          <t>С</t>
        </is>
      </c>
      <c r="H30" s="146" t="inlineStr">
        <is>
          <t>0215</t>
        </is>
      </c>
      <c r="I30" s="83" t="inlineStr">
        <is>
          <t>Е</t>
        </is>
      </c>
      <c r="J30" s="83" t="inlineStr">
        <is>
          <t>х</t>
        </is>
      </c>
      <c r="K30" s="116" t="inlineStr">
        <is>
          <t>K30</t>
        </is>
      </c>
      <c r="N30" s="239">
        <f>IF(D30="","",IF(LEFT(D30,1)="0",0,1))</f>
        <v/>
      </c>
      <c r="O30" s="80">
        <f>ROUND(R30*S30*T30/1000000,2)</f>
        <v/>
      </c>
      <c r="P30" s="160">
        <f>IF(O30="","",
IF(O30&lt;1,"0,1-0,9 литров",
IF(O30&lt;2,"1-1,9 литра",
IF(O30&lt;3,"2-2,9 литра",
IF(O30&lt;4,"3-3,9 литра",
IF(O30&lt;6,"4-5,9 литра",IF(O30&lt;8,"6-7,9 литра",IF(O30&lt;10,"8-9,9 литров",IF(O30&lt;15,"10-14,9 литров",IF(O30&lt;20,"15-19,9 литров",IF(O30&lt;30,"20-29 литров",IF(O30&lt;50,"30-49 литров",IF(O30&lt;60,"50-59 литров",IF(O30&lt;70,"60-69 литров",IF(O30&lt;80,"70-79 литров",IF(O30&lt;90,"80-89 литров",IF(O30&lt;100,"90-99 литров",IF(O30&lt;200,"100-200 литров","200+ литров"))))))))))))))))))</f>
        <v/>
      </c>
      <c r="Q30" s="101">
        <f>IF(O30="","",IF(O30&lt;1,"&lt;1 л",IF(O30&lt;2,"1-2 л",IF(O30&lt;3,"2-3 л",IF(O30&lt;5,"3-5 л",IF(O30&lt;10,"5-10 л",IF(O30&lt;20,"10-20 л",IF(O30&lt;50,"20-50 л",IF(O30&lt;100,"50-100 л","100+ л")))))))))</f>
        <v/>
      </c>
      <c r="R30" s="162">
        <f>IF(E30="","",--LEFT(E30,FIND("х",E30)-1))</f>
        <v/>
      </c>
      <c r="S30" s="162">
        <f>IF(E30="","",--MID(E30,FIND("х",E30)+1,FIND("х",E30,FIND("х",E30)+1)-FIND("х",E30)-1))</f>
        <v/>
      </c>
      <c r="T30" s="162">
        <f>IF(E30="","",--RIGHT(E30,LEN(E30)-FIND("х",E30,FIND("х",E30)+1)))</f>
        <v/>
      </c>
      <c r="U30" s="66">
        <f>(2*(R30+S30)+60)*(S30+T30+8)/1000000</f>
        <v/>
      </c>
      <c r="V30" s="66">
        <f>IF(OR(AND(R30&gt;=2*S30,R30&gt;=2*T30),AND(S30&gt;=2*R30,S30&gt;=2*T30),AND(T30&gt;=2*R30,T30&gt;=2*S30)),"Длинные","")</f>
        <v/>
      </c>
      <c r="W30" s="66">
        <f>IF(OR(AND(R30&lt;=S30/2,R30&lt;=T30/2),AND(S30&lt;=R30/2,S30&lt;=T30/2),AND(T30&lt;=R30/2,T30&lt;=S30/2)),"Плоские","")</f>
        <v/>
      </c>
      <c r="X30" s="160">
        <f>IF(LARGE($R30:$T30,1)="","",IF(LARGE($R30:$T30,1)&lt;=99,"10-99 мм",IF(LARGE($R30:$T30,1)&lt;=199,"100-199 мм",IF(LARGE($R30:$T30,1)&lt;=299,"200-299 мм",IF(LARGE($R30:$T30,1)&lt;=399,"300-399 мм",IF(LARGE($R30:$T30,1)&lt;=499,"400-499 мм",IF(LARGE($R30:$T30,1)&lt;=599,"500-599 мм",IF(LARGE($R30:$T30,1)&lt;=699,"600-699 мм",IF(LARGE($R30:$T30,1)&lt;=999,"700-999 мм","1000+ мм")))))))))</f>
        <v/>
      </c>
      <c r="Y30" s="160">
        <f>IF(LARGE($R30:$T30,2)="","",IF(LARGE($R30:$T30,2)&lt;=99,"10-99 мм",IF(LARGE($R30:$T30,2)&lt;=199,"100-199 мм",IF(LARGE($R30:$T30,2)&lt;=299,"200-299 мм",IF(LARGE($R30:$T30,2)&lt;=399,"300-399 мм",IF(LARGE($R30:$T30,2)&lt;=499,"400-499 мм",IF(LARGE($R30:$T30,2)&lt;=599,"500-599 мм",IF(LARGE($R30:$T30,2)&lt;=699,"600-699 мм",IF(LARGE($R30:$T30,2)&lt;=999,"700-999 мм","1000+ мм")))))))))</f>
        <v/>
      </c>
      <c r="Z30" s="160">
        <f>IF(SMALL($R30:$T30,1)="","",IF(SMALL($R30:$T30,1)&lt;=99,"10-99 мм",IF(SMALL($R30:$T30,1)&lt;=199,"100-199 мм",IF(SMALL($R30:$T30,1)&lt;=299,"200-299 мм",IF(SMALL($R30:$T30,1)&lt;=399,"300-399 мм",IF(SMALL($R30:$T30,1)&lt;=499,"400-499 мм",IF(SMALL($R30:$T30,1)&lt;=599,"500-599 мм",IF(SMALL($R30:$T30,1)&lt;=699,"600-699 мм",IF(SMALL($R30:$T30,1)&lt;=999,"700-999 мм","1000+ мм")))))))))</f>
        <v/>
      </c>
      <c r="AA30" s="101">
        <f>IF(G30="","",IF(G30="Л","Лист гофрокартона",IF(G30="КД","Крышка-дно",IF(G30="С","Самосборные",IF(G30="Ч","Четырехклапанные",IF(G30="А","Архивные","Неизвестно"))))))</f>
        <v/>
      </c>
      <c r="AB30" s="66" t="n">
        <v>1.73</v>
      </c>
      <c r="AC30" s="101">
        <f>IF(O30="","",IF(O30&lt;=1,"0-1 литров",IF(O30&lt;=3,"2-3 литра",IF(O30&lt;=5,"4-5 литра",IF(O30&lt;=7,"6-7 литра",IF(O30&lt;=9,"8-9 литров",IF(O30&lt;=14,"10-14 литров",IF(O30&lt;=19,"15-19 литров",IF(O30&lt;=29,"20-29 литров",IF(O30&lt;=49,"30-49 литров",IF(O30&lt;=59,"50-59 литров",IF(O30&lt;=70,"60-69 литров",IF(O30&lt;=79,"70-79 литров",IF(O30&lt;=89,"80-89 литров",IF(O30&lt;=99,"90-99 литров",IF(O30&lt;=200,"100-200 литров","200+ литров"))))))))))))))))</f>
        <v/>
      </c>
    </row>
    <row r="31">
      <c r="A31" s="64" t="n">
        <v>0.19</v>
      </c>
      <c r="B31" s="65">
        <f>A31*1.2</f>
        <v/>
      </c>
      <c r="C31" s="109" t="n">
        <v>31</v>
      </c>
      <c r="D31" s="116" t="inlineStr">
        <is>
          <t>У</t>
        </is>
      </c>
      <c r="E31" s="88" t="inlineStr">
        <is>
          <t>110х110х110</t>
        </is>
      </c>
      <c r="G31" s="83" t="inlineStr">
        <is>
          <t>Ч</t>
        </is>
      </c>
      <c r="H31" s="146" t="inlineStr">
        <is>
          <t>0201</t>
        </is>
      </c>
      <c r="I31" s="83" t="inlineStr">
        <is>
          <t>В</t>
        </is>
      </c>
      <c r="J31" s="83" t="inlineStr">
        <is>
          <t>х</t>
        </is>
      </c>
      <c r="K31" s="116" t="inlineStr">
        <is>
          <t>K31</t>
        </is>
      </c>
      <c r="N31" s="239">
        <f>IF(D31="","",IF(LEFT(D31,1)="0",0,1))</f>
        <v/>
      </c>
      <c r="O31" s="80">
        <f>ROUND(R31*S31*T31/1000000,2)</f>
        <v/>
      </c>
      <c r="P31" s="160">
        <f>IF(O31="","",
IF(O31&lt;1,"0,1-0,9 литров",
IF(O31&lt;2,"1-1,9 литра",
IF(O31&lt;3,"2-2,9 литра",
IF(O31&lt;4,"3-3,9 литра",
IF(O31&lt;6,"4-5,9 литра",IF(O31&lt;8,"6-7,9 литра",IF(O31&lt;10,"8-9,9 литров",IF(O31&lt;15,"10-14,9 литров",IF(O31&lt;20,"15-19,9 литров",IF(O31&lt;30,"20-29 литров",IF(O31&lt;50,"30-49 литров",IF(O31&lt;60,"50-59 литров",IF(O31&lt;70,"60-69 литров",IF(O31&lt;80,"70-79 литров",IF(O31&lt;90,"80-89 литров",IF(O31&lt;100,"90-99 литров",IF(O31&lt;200,"100-200 литров","200+ литров"))))))))))))))))))</f>
        <v/>
      </c>
      <c r="Q31" s="101">
        <f>IF(O31="","",IF(O31&lt;1,"&lt;1 л",IF(O31&lt;2,"1-2 л",IF(O31&lt;3,"2-3 л",IF(O31&lt;5,"3-5 л",IF(O31&lt;10,"5-10 л",IF(O31&lt;20,"10-20 л",IF(O31&lt;50,"20-50 л",IF(O31&lt;100,"50-100 л","100+ л")))))))))</f>
        <v/>
      </c>
      <c r="R31" s="162">
        <f>IF(E31="","",--LEFT(E31,FIND("х",E31)-1))</f>
        <v/>
      </c>
      <c r="S31" s="162">
        <f>IF(E31="","",--MID(E31,FIND("х",E31)+1,FIND("х",E31,FIND("х",E31)+1)-FIND("х",E31)-1))</f>
        <v/>
      </c>
      <c r="T31" s="162">
        <f>IF(E31="","",--RIGHT(E31,LEN(E31)-FIND("х",E31,FIND("х",E31)+1)))</f>
        <v/>
      </c>
      <c r="U31" s="66">
        <f>(2*(R31+S31)+60)*(S31+T31+8)/1000000</f>
        <v/>
      </c>
      <c r="V31" s="66">
        <f>IF(OR(AND(R31&gt;=2*S31,R31&gt;=2*T31),AND(S31&gt;=2*R31,S31&gt;=2*T31),AND(T31&gt;=2*R31,T31&gt;=2*S31)),"Длинные","")</f>
        <v/>
      </c>
      <c r="W31" s="66">
        <f>IF(OR(AND(R31&lt;=S31/2,R31&lt;=T31/2),AND(S31&lt;=R31/2,S31&lt;=T31/2),AND(T31&lt;=R31/2,T31&lt;=S31/2)),"Плоские","")</f>
        <v/>
      </c>
      <c r="X31" s="160">
        <f>IF(LARGE($R31:$T31,1)="","",IF(LARGE($R31:$T31,1)&lt;=99,"10-99 мм",IF(LARGE($R31:$T31,1)&lt;=199,"100-199 мм",IF(LARGE($R31:$T31,1)&lt;=299,"200-299 мм",IF(LARGE($R31:$T31,1)&lt;=399,"300-399 мм",IF(LARGE($R31:$T31,1)&lt;=499,"400-499 мм",IF(LARGE($R31:$T31,1)&lt;=599,"500-599 мм",IF(LARGE($R31:$T31,1)&lt;=699,"600-699 мм",IF(LARGE($R31:$T31,1)&lt;=999,"700-999 мм","1000+ мм")))))))))</f>
        <v/>
      </c>
      <c r="Y31" s="160">
        <f>IF(LARGE($R31:$T31,2)="","",IF(LARGE($R31:$T31,2)&lt;=99,"10-99 мм",IF(LARGE($R31:$T31,2)&lt;=199,"100-199 мм",IF(LARGE($R31:$T31,2)&lt;=299,"200-299 мм",IF(LARGE($R31:$T31,2)&lt;=399,"300-399 мм",IF(LARGE($R31:$T31,2)&lt;=499,"400-499 мм",IF(LARGE($R31:$T31,2)&lt;=599,"500-599 мм",IF(LARGE($R31:$T31,2)&lt;=699,"600-699 мм",IF(LARGE($R31:$T31,2)&lt;=999,"700-999 мм","1000+ мм")))))))))</f>
        <v/>
      </c>
      <c r="Z31" s="160">
        <f>IF(SMALL($R31:$T31,1)="","",IF(SMALL($R31:$T31,1)&lt;=99,"10-99 мм",IF(SMALL($R31:$T31,1)&lt;=199,"100-199 мм",IF(SMALL($R31:$T31,1)&lt;=299,"200-299 мм",IF(SMALL($R31:$T31,1)&lt;=399,"300-399 мм",IF(SMALL($R31:$T31,1)&lt;=499,"400-499 мм",IF(SMALL($R31:$T31,1)&lt;=599,"500-599 мм",IF(SMALL($R31:$T31,1)&lt;=699,"600-699 мм",IF(SMALL($R31:$T31,1)&lt;=999,"700-999 мм","1000+ мм")))))))))</f>
        <v/>
      </c>
      <c r="AA31" s="101">
        <f>IF(G31="","",IF(G31="Л","Лист гофрокартона",IF(G31="КД","Крышка-дно",IF(G31="С","Самосборные",IF(G31="Ч","Четырехклапанные",IF(G31="А","Архивные","Неизвестно"))))))</f>
        <v/>
      </c>
      <c r="AB31" s="66" t="n">
        <v>1.73</v>
      </c>
      <c r="AC31" s="101">
        <f>IF(O31="","",IF(O31&lt;=1,"0-1 литров",IF(O31&lt;=3,"2-3 литра",IF(O31&lt;=5,"4-5 литра",IF(O31&lt;=7,"6-7 литра",IF(O31&lt;=9,"8-9 литров",IF(O31&lt;=14,"10-14 литров",IF(O31&lt;=19,"15-19 литров",IF(O31&lt;=29,"20-29 литров",IF(O31&lt;=49,"30-49 литров",IF(O31&lt;=59,"50-59 литров",IF(O31&lt;=70,"60-69 литров",IF(O31&lt;=79,"70-79 литров",IF(O31&lt;=89,"80-89 литров",IF(O31&lt;=99,"90-99 литров",IF(O31&lt;=200,"100-200 литров","200+ литров"))))))))))))))))</f>
        <v/>
      </c>
    </row>
    <row r="32">
      <c r="A32" s="64" t="n">
        <v>0.41</v>
      </c>
      <c r="B32" s="65">
        <f>A32*1.2</f>
        <v/>
      </c>
      <c r="C32" s="109" t="n">
        <v>32</v>
      </c>
      <c r="D32" s="116" t="inlineStr">
        <is>
          <t>У</t>
        </is>
      </c>
      <c r="E32" s="88" t="inlineStr">
        <is>
          <t>130х80х100</t>
        </is>
      </c>
      <c r="G32" s="83" t="inlineStr">
        <is>
          <t>С</t>
        </is>
      </c>
      <c r="H32" s="146" t="inlineStr">
        <is>
          <t>0215</t>
        </is>
      </c>
      <c r="I32" s="83" t="inlineStr">
        <is>
          <t>В</t>
        </is>
      </c>
      <c r="J32" s="83" t="inlineStr">
        <is>
          <t>х</t>
        </is>
      </c>
      <c r="K32" s="116" t="inlineStr">
        <is>
          <t>K32</t>
        </is>
      </c>
      <c r="N32" s="239">
        <f>IF(D32="","",IF(LEFT(D32,1)="0",0,1))</f>
        <v/>
      </c>
      <c r="O32" s="80">
        <f>ROUND(R32*S32*T32/1000000,2)</f>
        <v/>
      </c>
      <c r="P32" s="160">
        <f>IF(O32="","",
IF(O32&lt;1,"0,1-0,9 литров",
IF(O32&lt;2,"1-1,9 литра",
IF(O32&lt;3,"2-2,9 литра",
IF(O32&lt;4,"3-3,9 литра",
IF(O32&lt;6,"4-5,9 литра",IF(O32&lt;8,"6-7,9 литра",IF(O32&lt;10,"8-9,9 литров",IF(O32&lt;15,"10-14,9 литров",IF(O32&lt;20,"15-19,9 литров",IF(O32&lt;30,"20-29 литров",IF(O32&lt;50,"30-49 литров",IF(O32&lt;60,"50-59 литров",IF(O32&lt;70,"60-69 литров",IF(O32&lt;80,"70-79 литров",IF(O32&lt;90,"80-89 литров",IF(O32&lt;100,"90-99 литров",IF(O32&lt;200,"100-200 литров","200+ литров"))))))))))))))))))</f>
        <v/>
      </c>
      <c r="Q32" s="101">
        <f>IF(O32="","",IF(O32&lt;1,"&lt;1 л",IF(O32&lt;2,"1-2 л",IF(O32&lt;3,"2-3 л",IF(O32&lt;5,"3-5 л",IF(O32&lt;10,"5-10 л",IF(O32&lt;20,"10-20 л",IF(O32&lt;50,"20-50 л",IF(O32&lt;100,"50-100 л","100+ л")))))))))</f>
        <v/>
      </c>
      <c r="R32" s="162">
        <f>IF(E32="","",--LEFT(E32,FIND("х",E32)-1))</f>
        <v/>
      </c>
      <c r="S32" s="162">
        <f>IF(E32="","",--MID(E32,FIND("х",E32)+1,FIND("х",E32,FIND("х",E32)+1)-FIND("х",E32)-1))</f>
        <v/>
      </c>
      <c r="T32" s="162">
        <f>IF(E32="","",--RIGHT(E32,LEN(E32)-FIND("х",E32,FIND("х",E32)+1)))</f>
        <v/>
      </c>
      <c r="U32" s="66">
        <f>(2*(R32+S32)+60)*(S32+T32+8)/1000000</f>
        <v/>
      </c>
      <c r="V32" s="66">
        <f>IF(OR(AND(R32&gt;=2*S32,R32&gt;=2*T32),AND(S32&gt;=2*R32,S32&gt;=2*T32),AND(T32&gt;=2*R32,T32&gt;=2*S32)),"Длинные","")</f>
        <v/>
      </c>
      <c r="W32" s="66">
        <f>IF(OR(AND(R32&lt;=S32/2,R32&lt;=T32/2),AND(S32&lt;=R32/2,S32&lt;=T32/2),AND(T32&lt;=R32/2,T32&lt;=S32/2)),"Плоские","")</f>
        <v/>
      </c>
      <c r="X32" s="160">
        <f>IF(LARGE($R32:$T32,1)="","",IF(LARGE($R32:$T32,1)&lt;=99,"10-99 мм",IF(LARGE($R32:$T32,1)&lt;=199,"100-199 мм",IF(LARGE($R32:$T32,1)&lt;=299,"200-299 мм",IF(LARGE($R32:$T32,1)&lt;=399,"300-399 мм",IF(LARGE($R32:$T32,1)&lt;=499,"400-499 мм",IF(LARGE($R32:$T32,1)&lt;=599,"500-599 мм",IF(LARGE($R32:$T32,1)&lt;=699,"600-699 мм",IF(LARGE($R32:$T32,1)&lt;=999,"700-999 мм","1000+ мм")))))))))</f>
        <v/>
      </c>
      <c r="Y32" s="160">
        <f>IF(LARGE($R32:$T32,2)="","",IF(LARGE($R32:$T32,2)&lt;=99,"10-99 мм",IF(LARGE($R32:$T32,2)&lt;=199,"100-199 мм",IF(LARGE($R32:$T32,2)&lt;=299,"200-299 мм",IF(LARGE($R32:$T32,2)&lt;=399,"300-399 мм",IF(LARGE($R32:$T32,2)&lt;=499,"400-499 мм",IF(LARGE($R32:$T32,2)&lt;=599,"500-599 мм",IF(LARGE($R32:$T32,2)&lt;=699,"600-699 мм",IF(LARGE($R32:$T32,2)&lt;=999,"700-999 мм","1000+ мм")))))))))</f>
        <v/>
      </c>
      <c r="Z32" s="160">
        <f>IF(SMALL($R32:$T32,1)="","",IF(SMALL($R32:$T32,1)&lt;=99,"10-99 мм",IF(SMALL($R32:$T32,1)&lt;=199,"100-199 мм",IF(SMALL($R32:$T32,1)&lt;=299,"200-299 мм",IF(SMALL($R32:$T32,1)&lt;=399,"300-399 мм",IF(SMALL($R32:$T32,1)&lt;=499,"400-499 мм",IF(SMALL($R32:$T32,1)&lt;=599,"500-599 мм",IF(SMALL($R32:$T32,1)&lt;=699,"600-699 мм",IF(SMALL($R32:$T32,1)&lt;=999,"700-999 мм","1000+ мм")))))))))</f>
        <v/>
      </c>
      <c r="AA32" s="101">
        <f>IF(G32="","",IF(G32="Л","Лист гофрокартона",IF(G32="КД","Крышка-дно",IF(G32="С","Самосборные",IF(G32="Ч","Четырехклапанные",IF(G32="А","Архивные","Неизвестно"))))))</f>
        <v/>
      </c>
      <c r="AB32" s="66" t="n">
        <v>1.73</v>
      </c>
      <c r="AC32" s="101">
        <f>IF(O32="","",IF(O32&lt;=1,"0-1 литров",IF(O32&lt;=3,"2-3 литра",IF(O32&lt;=5,"4-5 литра",IF(O32&lt;=7,"6-7 литра",IF(O32&lt;=9,"8-9 литров",IF(O32&lt;=14,"10-14 литров",IF(O32&lt;=19,"15-19 литров",IF(O32&lt;=29,"20-29 литров",IF(O32&lt;=49,"30-49 литров",IF(O32&lt;=59,"50-59 литров",IF(O32&lt;=70,"60-69 литров",IF(O32&lt;=79,"70-79 литров",IF(O32&lt;=89,"80-89 литров",IF(O32&lt;=99,"90-99 литров",IF(O32&lt;=200,"100-200 литров","200+ литров"))))))))))))))))</f>
        <v/>
      </c>
    </row>
    <row r="33" ht="13.75" customHeight="1" s="55">
      <c r="A33" s="64" t="n">
        <v>0.77</v>
      </c>
      <c r="B33" s="65">
        <f>A33*1.2</f>
        <v/>
      </c>
      <c r="C33" s="109" t="n">
        <v>33</v>
      </c>
      <c r="D33" s="116" t="inlineStr">
        <is>
          <t>У</t>
        </is>
      </c>
      <c r="E33" s="88" t="inlineStr">
        <is>
          <t>250х170х90</t>
        </is>
      </c>
      <c r="F33" s="213" t="inlineStr">
        <is>
          <t>временная расспродажа</t>
        </is>
      </c>
      <c r="G33" s="83" t="inlineStr">
        <is>
          <t>С</t>
        </is>
      </c>
      <c r="H33" s="146" t="inlineStr">
        <is>
          <t>0427</t>
        </is>
      </c>
      <c r="I33" s="83" t="inlineStr">
        <is>
          <t>В</t>
        </is>
      </c>
      <c r="J33" s="83" t="inlineStr">
        <is>
          <t>х</t>
        </is>
      </c>
      <c r="K33" s="116" t="inlineStr">
        <is>
          <t>K33</t>
        </is>
      </c>
      <c r="L33" s="103" t="inlineStr">
        <is>
          <t>Sale</t>
        </is>
      </c>
      <c r="N33" s="239">
        <f>IF(D33="","",IF(LEFT(D33,1)="0",0,1))</f>
        <v/>
      </c>
      <c r="O33" s="80">
        <f>ROUND(R33*S33*T33/1000000,2)</f>
        <v/>
      </c>
      <c r="P33" s="160">
        <f>IF(O33="","",
IF(O33&lt;1,"0,1-0,9 литров",
IF(O33&lt;2,"1-1,9 литра",
IF(O33&lt;3,"2-2,9 литра",
IF(O33&lt;4,"3-3,9 литра",
IF(O33&lt;6,"4-5,9 литра",IF(O33&lt;8,"6-7,9 литра",IF(O33&lt;10,"8-9,9 литров",IF(O33&lt;15,"10-14,9 литров",IF(O33&lt;20,"15-19,9 литров",IF(O33&lt;30,"20-29 литров",IF(O33&lt;50,"30-49 литров",IF(O33&lt;60,"50-59 литров",IF(O33&lt;70,"60-69 литров",IF(O33&lt;80,"70-79 литров",IF(O33&lt;90,"80-89 литров",IF(O33&lt;100,"90-99 литров",IF(O33&lt;200,"100-200 литров","200+ литров"))))))))))))))))))</f>
        <v/>
      </c>
      <c r="Q33" s="101">
        <f>IF(O33="","",IF(O33&lt;1,"&lt;1 л",IF(O33&lt;2,"1-2 л",IF(O33&lt;3,"2-3 л",IF(O33&lt;5,"3-5 л",IF(O33&lt;10,"5-10 л",IF(O33&lt;20,"10-20 л",IF(O33&lt;50,"20-50 л",IF(O33&lt;100,"50-100 л","100+ л")))))))))</f>
        <v/>
      </c>
      <c r="R33" s="162">
        <f>IF(E33="","",--LEFT(E33,FIND("х",E33)-1))</f>
        <v/>
      </c>
      <c r="S33" s="162">
        <f>IF(E33="","",--MID(E33,FIND("х",E33)+1,FIND("х",E33,FIND("х",E33)+1)-FIND("х",E33)-1))</f>
        <v/>
      </c>
      <c r="T33" s="162">
        <f>IF(E33="","",--RIGHT(E33,LEN(E33)-FIND("х",E33,FIND("х",E33)+1)))</f>
        <v/>
      </c>
      <c r="U33" s="66">
        <f>(2*(R33+S33)+60)*(S33+T33+8)/1000000</f>
        <v/>
      </c>
      <c r="V33" s="66">
        <f>IF(OR(AND(R33&gt;=2*S33,R33&gt;=2*T33),AND(S33&gt;=2*R33,S33&gt;=2*T33),AND(T33&gt;=2*R33,T33&gt;=2*S33)),"Длинные","")</f>
        <v/>
      </c>
      <c r="W33" s="66">
        <f>IF(OR(AND(R33&lt;=S33/2,R33&lt;=T33/2),AND(S33&lt;=R33/2,S33&lt;=T33/2),AND(T33&lt;=R33/2,T33&lt;=S33/2)),"Плоские","")</f>
        <v/>
      </c>
      <c r="X33" s="160">
        <f>IF(LARGE($R33:$T33,1)="","",IF(LARGE($R33:$T33,1)&lt;=99,"10-99 мм",IF(LARGE($R33:$T33,1)&lt;=199,"100-199 мм",IF(LARGE($R33:$T33,1)&lt;=299,"200-299 мм",IF(LARGE($R33:$T33,1)&lt;=399,"300-399 мм",IF(LARGE($R33:$T33,1)&lt;=499,"400-499 мм",IF(LARGE($R33:$T33,1)&lt;=599,"500-599 мм",IF(LARGE($R33:$T33,1)&lt;=699,"600-699 мм",IF(LARGE($R33:$T33,1)&lt;=999,"700-999 мм","1000+ мм")))))))))</f>
        <v/>
      </c>
      <c r="Y33" s="160">
        <f>IF(LARGE($R33:$T33,2)="","",IF(LARGE($R33:$T33,2)&lt;=99,"10-99 мм",IF(LARGE($R33:$T33,2)&lt;=199,"100-199 мм",IF(LARGE($R33:$T33,2)&lt;=299,"200-299 мм",IF(LARGE($R33:$T33,2)&lt;=399,"300-399 мм",IF(LARGE($R33:$T33,2)&lt;=499,"400-499 мм",IF(LARGE($R33:$T33,2)&lt;=599,"500-599 мм",IF(LARGE($R33:$T33,2)&lt;=699,"600-699 мм",IF(LARGE($R33:$T33,2)&lt;=999,"700-999 мм","1000+ мм")))))))))</f>
        <v/>
      </c>
      <c r="Z33" s="160">
        <f>IF(SMALL($R33:$T33,1)="","",IF(SMALL($R33:$T33,1)&lt;=99,"10-99 мм",IF(SMALL($R33:$T33,1)&lt;=199,"100-199 мм",IF(SMALL($R33:$T33,1)&lt;=299,"200-299 мм",IF(SMALL($R33:$T33,1)&lt;=399,"300-399 мм",IF(SMALL($R33:$T33,1)&lt;=499,"400-499 мм",IF(SMALL($R33:$T33,1)&lt;=599,"500-599 мм",IF(SMALL($R33:$T33,1)&lt;=699,"600-699 мм",IF(SMALL($R33:$T33,1)&lt;=999,"700-999 мм","1000+ мм")))))))))</f>
        <v/>
      </c>
      <c r="AA33" s="101">
        <f>IF(G33="","",IF(G33="Л","Лист гофрокартона",IF(G33="КД","Крышка-дно",IF(G33="С","Самосборные",IF(G33="Ч","Четырехклапанные",IF(G33="А","Архивные","Неизвестно"))))))</f>
        <v/>
      </c>
      <c r="AB33" s="66" t="n">
        <v>1.73</v>
      </c>
      <c r="AC33" s="101">
        <f>IF(O33="","",IF(O33&lt;=1,"0-1 литров",IF(O33&lt;=3,"2-3 литра",IF(O33&lt;=5,"4-5 литра",IF(O33&lt;=7,"6-7 литра",IF(O33&lt;=9,"8-9 литров",IF(O33&lt;=14,"10-14 литров",IF(O33&lt;=19,"15-19 литров",IF(O33&lt;=29,"20-29 литров",IF(O33&lt;=49,"30-49 литров",IF(O33&lt;=59,"50-59 литров",IF(O33&lt;=70,"60-69 литров",IF(O33&lt;=79,"70-79 литров",IF(O33&lt;=89,"80-89 литров",IF(O33&lt;=99,"90-99 литров",IF(O33&lt;=200,"100-200 литров","200+ литров"))))))))))))))))</f>
        <v/>
      </c>
    </row>
    <row r="34">
      <c r="A34" s="64" t="n">
        <v>0.31</v>
      </c>
      <c r="B34" s="65">
        <f>A34*1.2</f>
        <v/>
      </c>
      <c r="C34" s="109" t="n">
        <v>34</v>
      </c>
      <c r="D34" s="116" t="inlineStr">
        <is>
          <t>У</t>
        </is>
      </c>
      <c r="E34" s="88" t="inlineStr">
        <is>
          <t>200х80х80</t>
        </is>
      </c>
      <c r="G34" s="83" t="inlineStr">
        <is>
          <t>С</t>
        </is>
      </c>
      <c r="H34" s="146" t="inlineStr">
        <is>
          <t>0471</t>
        </is>
      </c>
      <c r="I34" s="83" t="inlineStr">
        <is>
          <t>В</t>
        </is>
      </c>
      <c r="J34" s="83" t="inlineStr">
        <is>
          <t>х</t>
        </is>
      </c>
      <c r="K34" s="116" t="inlineStr">
        <is>
          <t>K34</t>
        </is>
      </c>
      <c r="N34" s="239">
        <f>IF(D34="","",IF(LEFT(D34,1)="0",0,1))</f>
        <v/>
      </c>
      <c r="O34" s="80">
        <f>ROUND(R34*S34*T34/1000000,2)</f>
        <v/>
      </c>
      <c r="P34" s="160">
        <f>IF(O34="","",
IF(O34&lt;1,"0,1-0,9 литров",
IF(O34&lt;2,"1-1,9 литра",
IF(O34&lt;3,"2-2,9 литра",
IF(O34&lt;4,"3-3,9 литра",
IF(O34&lt;6,"4-5,9 литра",IF(O34&lt;8,"6-7,9 литра",IF(O34&lt;10,"8-9,9 литров",IF(O34&lt;15,"10-14,9 литров",IF(O34&lt;20,"15-19,9 литров",IF(O34&lt;30,"20-29 литров",IF(O34&lt;50,"30-49 литров",IF(O34&lt;60,"50-59 литров",IF(O34&lt;70,"60-69 литров",IF(O34&lt;80,"70-79 литров",IF(O34&lt;90,"80-89 литров",IF(O34&lt;100,"90-99 литров",IF(O34&lt;200,"100-200 литров","200+ литров"))))))))))))))))))</f>
        <v/>
      </c>
      <c r="Q34" s="101">
        <f>IF(O34="","",IF(O34&lt;1,"&lt;1 л",IF(O34&lt;2,"1-2 л",IF(O34&lt;3,"2-3 л",IF(O34&lt;5,"3-5 л",IF(O34&lt;10,"5-10 л",IF(O34&lt;20,"10-20 л",IF(O34&lt;50,"20-50 л",IF(O34&lt;100,"50-100 л","100+ л")))))))))</f>
        <v/>
      </c>
      <c r="R34" s="162">
        <f>IF(E34="","",--LEFT(E34,FIND("х",E34)-1))</f>
        <v/>
      </c>
      <c r="S34" s="162">
        <f>IF(E34="","",--MID(E34,FIND("х",E34)+1,FIND("х",E34,FIND("х",E34)+1)-FIND("х",E34)-1))</f>
        <v/>
      </c>
      <c r="T34" s="162">
        <f>IF(E34="","",--RIGHT(E34,LEN(E34)-FIND("х",E34,FIND("х",E34)+1)))</f>
        <v/>
      </c>
      <c r="U34" s="66">
        <f>(2*(R34+S34)+60)*(S34+T34+8)/1000000</f>
        <v/>
      </c>
      <c r="V34" s="66">
        <f>IF(OR(AND(R34&gt;=2*S34,R34&gt;=2*T34),AND(S34&gt;=2*R34,S34&gt;=2*T34),AND(T34&gt;=2*R34,T34&gt;=2*S34)),"Длинные","")</f>
        <v/>
      </c>
      <c r="W34" s="66">
        <f>IF(OR(AND(R34&lt;=S34/2,R34&lt;=T34/2),AND(S34&lt;=R34/2,S34&lt;=T34/2),AND(T34&lt;=R34/2,T34&lt;=S34/2)),"Плоские","")</f>
        <v/>
      </c>
      <c r="X34" s="160">
        <f>IF(LARGE($R34:$T34,1)="","",IF(LARGE($R34:$T34,1)&lt;=99,"10-99 мм",IF(LARGE($R34:$T34,1)&lt;=199,"100-199 мм",IF(LARGE($R34:$T34,1)&lt;=299,"200-299 мм",IF(LARGE($R34:$T34,1)&lt;=399,"300-399 мм",IF(LARGE($R34:$T34,1)&lt;=499,"400-499 мм",IF(LARGE($R34:$T34,1)&lt;=599,"500-599 мм",IF(LARGE($R34:$T34,1)&lt;=699,"600-699 мм",IF(LARGE($R34:$T34,1)&lt;=999,"700-999 мм","1000+ мм")))))))))</f>
        <v/>
      </c>
      <c r="Y34" s="160">
        <f>IF(LARGE($R34:$T34,2)="","",IF(LARGE($R34:$T34,2)&lt;=99,"10-99 мм",IF(LARGE($R34:$T34,2)&lt;=199,"100-199 мм",IF(LARGE($R34:$T34,2)&lt;=299,"200-299 мм",IF(LARGE($R34:$T34,2)&lt;=399,"300-399 мм",IF(LARGE($R34:$T34,2)&lt;=499,"400-499 мм",IF(LARGE($R34:$T34,2)&lt;=599,"500-599 мм",IF(LARGE($R34:$T34,2)&lt;=699,"600-699 мм",IF(LARGE($R34:$T34,2)&lt;=999,"700-999 мм","1000+ мм")))))))))</f>
        <v/>
      </c>
      <c r="Z34" s="160">
        <f>IF(SMALL($R34:$T34,1)="","",IF(SMALL($R34:$T34,1)&lt;=99,"10-99 мм",IF(SMALL($R34:$T34,1)&lt;=199,"100-199 мм",IF(SMALL($R34:$T34,1)&lt;=299,"200-299 мм",IF(SMALL($R34:$T34,1)&lt;=399,"300-399 мм",IF(SMALL($R34:$T34,1)&lt;=499,"400-499 мм",IF(SMALL($R34:$T34,1)&lt;=599,"500-599 мм",IF(SMALL($R34:$T34,1)&lt;=699,"600-699 мм",IF(SMALL($R34:$T34,1)&lt;=999,"700-999 мм","1000+ мм")))))))))</f>
        <v/>
      </c>
      <c r="AA34" s="101">
        <f>IF(G34="","",IF(G34="Л","Лист гофрокартона",IF(G34="КД","Крышка-дно",IF(G34="С","Самосборные",IF(G34="Ч","Четырехклапанные",IF(G34="А","Архивные","Неизвестно"))))))</f>
        <v/>
      </c>
      <c r="AB34" s="66" t="n">
        <v>1.73</v>
      </c>
      <c r="AC34" s="101">
        <f>IF(O34="","",IF(O34&lt;=1,"0-1 литров",IF(O34&lt;=3,"2-3 литра",IF(O34&lt;=5,"4-5 литра",IF(O34&lt;=7,"6-7 литра",IF(O34&lt;=9,"8-9 литров",IF(O34&lt;=14,"10-14 литров",IF(O34&lt;=19,"15-19 литров",IF(O34&lt;=29,"20-29 литров",IF(O34&lt;=49,"30-49 литров",IF(O34&lt;=59,"50-59 литров",IF(O34&lt;=70,"60-69 литров",IF(O34&lt;=79,"70-79 литров",IF(O34&lt;=89,"80-89 литров",IF(O34&lt;=99,"90-99 литров",IF(O34&lt;=200,"100-200 литров","200+ литров"))))))))))))))))</f>
        <v/>
      </c>
    </row>
    <row r="35">
      <c r="A35" s="64" t="n">
        <v>0.83</v>
      </c>
      <c r="B35" s="65">
        <f>A35*1.2</f>
        <v/>
      </c>
      <c r="C35" s="109" t="n">
        <v>35</v>
      </c>
      <c r="D35" s="116" t="inlineStr">
        <is>
          <t>У</t>
        </is>
      </c>
      <c r="E35" s="88" t="inlineStr">
        <is>
          <t>690х170х55</t>
        </is>
      </c>
      <c r="G35" s="83" t="inlineStr">
        <is>
          <t>С</t>
        </is>
      </c>
      <c r="H35" s="146" t="inlineStr">
        <is>
          <t>0427</t>
        </is>
      </c>
      <c r="I35" s="83" t="inlineStr">
        <is>
          <t>В</t>
        </is>
      </c>
      <c r="J35" s="83" t="inlineStr">
        <is>
          <t>х</t>
        </is>
      </c>
      <c r="K35" s="116" t="inlineStr">
        <is>
          <t>K35</t>
        </is>
      </c>
      <c r="N35" s="239">
        <f>IF(D35="","",IF(LEFT(D35,1)="0",0,1))</f>
        <v/>
      </c>
      <c r="O35" s="80">
        <f>ROUND(R35*S35*T35/1000000,2)</f>
        <v/>
      </c>
      <c r="P35" s="160">
        <f>IF(O35="","",
IF(O35&lt;1,"0,1-0,9 литров",
IF(O35&lt;2,"1-1,9 литра",
IF(O35&lt;3,"2-2,9 литра",
IF(O35&lt;4,"3-3,9 литра",
IF(O35&lt;6,"4-5,9 литра",IF(O35&lt;8,"6-7,9 литра",IF(O35&lt;10,"8-9,9 литров",IF(O35&lt;15,"10-14,9 литров",IF(O35&lt;20,"15-19,9 литров",IF(O35&lt;30,"20-29 литров",IF(O35&lt;50,"30-49 литров",IF(O35&lt;60,"50-59 литров",IF(O35&lt;70,"60-69 литров",IF(O35&lt;80,"70-79 литров",IF(O35&lt;90,"80-89 литров",IF(O35&lt;100,"90-99 литров",IF(O35&lt;200,"100-200 литров","200+ литров"))))))))))))))))))</f>
        <v/>
      </c>
      <c r="Q35" s="101">
        <f>IF(O35="","",IF(O35&lt;1,"&lt;1 л",IF(O35&lt;2,"1-2 л",IF(O35&lt;3,"2-3 л",IF(O35&lt;5,"3-5 л",IF(O35&lt;10,"5-10 л",IF(O35&lt;20,"10-20 л",IF(O35&lt;50,"20-50 л",IF(O35&lt;100,"50-100 л","100+ л")))))))))</f>
        <v/>
      </c>
      <c r="R35" s="162">
        <f>IF(E35="","",--LEFT(E35,FIND("х",E35)-1))</f>
        <v/>
      </c>
      <c r="S35" s="162">
        <f>IF(E35="","",--MID(E35,FIND("х",E35)+1,FIND("х",E35,FIND("х",E35)+1)-FIND("х",E35)-1))</f>
        <v/>
      </c>
      <c r="T35" s="162">
        <f>IF(E35="","",--RIGHT(E35,LEN(E35)-FIND("х",E35,FIND("х",E35)+1)))</f>
        <v/>
      </c>
      <c r="U35" s="66">
        <f>(2*(R35+S35)+60)*(S35+T35+8)/1000000</f>
        <v/>
      </c>
      <c r="V35" s="66">
        <f>IF(OR(AND(R35&gt;=2*S35,R35&gt;=2*T35),AND(S35&gt;=2*R35,S35&gt;=2*T35),AND(T35&gt;=2*R35,T35&gt;=2*S35)),"Длинные","")</f>
        <v/>
      </c>
      <c r="W35" s="66">
        <f>IF(OR(AND(R35&lt;=S35/2,R35&lt;=T35/2),AND(S35&lt;=R35/2,S35&lt;=T35/2),AND(T35&lt;=R35/2,T35&lt;=S35/2)),"Плоские","")</f>
        <v/>
      </c>
      <c r="X35" s="160">
        <f>IF(LARGE($R35:$T35,1)="","",IF(LARGE($R35:$T35,1)&lt;=99,"10-99 мм",IF(LARGE($R35:$T35,1)&lt;=199,"100-199 мм",IF(LARGE($R35:$T35,1)&lt;=299,"200-299 мм",IF(LARGE($R35:$T35,1)&lt;=399,"300-399 мм",IF(LARGE($R35:$T35,1)&lt;=499,"400-499 мм",IF(LARGE($R35:$T35,1)&lt;=599,"500-599 мм",IF(LARGE($R35:$T35,1)&lt;=699,"600-699 мм",IF(LARGE($R35:$T35,1)&lt;=999,"700-999 мм","1000+ мм")))))))))</f>
        <v/>
      </c>
      <c r="Y35" s="160">
        <f>IF(LARGE($R35:$T35,2)="","",IF(LARGE($R35:$T35,2)&lt;=99,"10-99 мм",IF(LARGE($R35:$T35,2)&lt;=199,"100-199 мм",IF(LARGE($R35:$T35,2)&lt;=299,"200-299 мм",IF(LARGE($R35:$T35,2)&lt;=399,"300-399 мм",IF(LARGE($R35:$T35,2)&lt;=499,"400-499 мм",IF(LARGE($R35:$T35,2)&lt;=599,"500-599 мм",IF(LARGE($R35:$T35,2)&lt;=699,"600-699 мм",IF(LARGE($R35:$T35,2)&lt;=999,"700-999 мм","1000+ мм")))))))))</f>
        <v/>
      </c>
      <c r="Z35" s="160">
        <f>IF(SMALL($R35:$T35,1)="","",IF(SMALL($R35:$T35,1)&lt;=99,"10-99 мм",IF(SMALL($R35:$T35,1)&lt;=199,"100-199 мм",IF(SMALL($R35:$T35,1)&lt;=299,"200-299 мм",IF(SMALL($R35:$T35,1)&lt;=399,"300-399 мм",IF(SMALL($R35:$T35,1)&lt;=499,"400-499 мм",IF(SMALL($R35:$T35,1)&lt;=599,"500-599 мм",IF(SMALL($R35:$T35,1)&lt;=699,"600-699 мм",IF(SMALL($R35:$T35,1)&lt;=999,"700-999 мм","1000+ мм")))))))))</f>
        <v/>
      </c>
      <c r="AA35" s="101">
        <f>IF(G35="","",IF(G35="Л","Лист гофрокартона",IF(G35="КД","Крышка-дно",IF(G35="С","Самосборные",IF(G35="Ч","Четырехклапанные",IF(G35="А","Архивные","Неизвестно"))))))</f>
        <v/>
      </c>
      <c r="AB35" s="66" t="n">
        <v>1.73</v>
      </c>
      <c r="AC35" s="101">
        <f>IF(O35="","",IF(O35&lt;=1,"0-1 литров",IF(O35&lt;=3,"2-3 литра",IF(O35&lt;=5,"4-5 литра",IF(O35&lt;=7,"6-7 литра",IF(O35&lt;=9,"8-9 литров",IF(O35&lt;=14,"10-14 литров",IF(O35&lt;=19,"15-19 литров",IF(O35&lt;=29,"20-29 литров",IF(O35&lt;=49,"30-49 литров",IF(O35&lt;=59,"50-59 литров",IF(O35&lt;=70,"60-69 литров",IF(O35&lt;=79,"70-79 литров",IF(O35&lt;=89,"80-89 литров",IF(O35&lt;=99,"90-99 литров",IF(O35&lt;=200,"100-200 литров","200+ литров"))))))))))))))))</f>
        <v/>
      </c>
    </row>
    <row r="36">
      <c r="A36" s="64" t="n">
        <v>1.46</v>
      </c>
      <c r="B36" s="65">
        <f>A36*1.2</f>
        <v/>
      </c>
      <c r="C36" s="109" t="n">
        <v>36</v>
      </c>
      <c r="D36" s="116" t="inlineStr">
        <is>
          <t>У</t>
        </is>
      </c>
      <c r="E36" s="88" t="inlineStr">
        <is>
          <t>1110х115х105</t>
        </is>
      </c>
      <c r="G36" s="83" t="inlineStr">
        <is>
          <t>С</t>
        </is>
      </c>
      <c r="H36" s="146" t="inlineStr">
        <is>
          <t>0427</t>
        </is>
      </c>
      <c r="I36" s="83" t="inlineStr">
        <is>
          <t>В</t>
        </is>
      </c>
      <c r="J36" s="83" t="inlineStr">
        <is>
          <t>х</t>
        </is>
      </c>
      <c r="K36" s="116" t="inlineStr">
        <is>
          <t>K36</t>
        </is>
      </c>
      <c r="N36" s="239">
        <f>IF(D36="","",IF(LEFT(D36,1)="0",0,1))</f>
        <v/>
      </c>
      <c r="O36" s="80">
        <f>ROUND(R36*S36*T36/1000000,2)</f>
        <v/>
      </c>
      <c r="P36" s="160">
        <f>IF(O36="","",
IF(O36&lt;1,"0,1-0,9 литров",
IF(O36&lt;2,"1-1,9 литра",
IF(O36&lt;3,"2-2,9 литра",
IF(O36&lt;4,"3-3,9 литра",
IF(O36&lt;6,"4-5,9 литра",IF(O36&lt;8,"6-7,9 литра",IF(O36&lt;10,"8-9,9 литров",IF(O36&lt;15,"10-14,9 литров",IF(O36&lt;20,"15-19,9 литров",IF(O36&lt;30,"20-29 литров",IF(O36&lt;50,"30-49 литров",IF(O36&lt;60,"50-59 литров",IF(O36&lt;70,"60-69 литров",IF(O36&lt;80,"70-79 литров",IF(O36&lt;90,"80-89 литров",IF(O36&lt;100,"90-99 литров",IF(O36&lt;200,"100-200 литров","200+ литров"))))))))))))))))))</f>
        <v/>
      </c>
      <c r="Q36" s="101">
        <f>IF(O36="","",IF(O36&lt;1,"&lt;1 л",IF(O36&lt;2,"1-2 л",IF(O36&lt;3,"2-3 л",IF(O36&lt;5,"3-5 л",IF(O36&lt;10,"5-10 л",IF(O36&lt;20,"10-20 л",IF(O36&lt;50,"20-50 л",IF(O36&lt;100,"50-100 л","100+ л")))))))))</f>
        <v/>
      </c>
      <c r="R36" s="162">
        <f>IF(E36="","",--LEFT(E36,FIND("х",E36)-1))</f>
        <v/>
      </c>
      <c r="S36" s="162">
        <f>IF(E36="","",--MID(E36,FIND("х",E36)+1,FIND("х",E36,FIND("х",E36)+1)-FIND("х",E36)-1))</f>
        <v/>
      </c>
      <c r="T36" s="162">
        <f>IF(E36="","",--RIGHT(E36,LEN(E36)-FIND("х",E36,FIND("х",E36)+1)))</f>
        <v/>
      </c>
      <c r="U36" s="66">
        <f>(2*(R36+S36)+60)*(S36+T36+8)/1000000</f>
        <v/>
      </c>
      <c r="V36" s="66">
        <f>IF(OR(AND(R36&gt;=2*S36,R36&gt;=2*T36),AND(S36&gt;=2*R36,S36&gt;=2*T36),AND(T36&gt;=2*R36,T36&gt;=2*S36)),"Длинные","")</f>
        <v/>
      </c>
      <c r="W36" s="66">
        <f>IF(OR(AND(R36&lt;=S36/2,R36&lt;=T36/2),AND(S36&lt;=R36/2,S36&lt;=T36/2),AND(T36&lt;=R36/2,T36&lt;=S36/2)),"Плоские","")</f>
        <v/>
      </c>
      <c r="X36" s="160">
        <f>IF(LARGE($R36:$T36,1)="","",IF(LARGE($R36:$T36,1)&lt;=99,"10-99 мм",IF(LARGE($R36:$T36,1)&lt;=199,"100-199 мм",IF(LARGE($R36:$T36,1)&lt;=299,"200-299 мм",IF(LARGE($R36:$T36,1)&lt;=399,"300-399 мм",IF(LARGE($R36:$T36,1)&lt;=499,"400-499 мм",IF(LARGE($R36:$T36,1)&lt;=599,"500-599 мм",IF(LARGE($R36:$T36,1)&lt;=699,"600-699 мм",IF(LARGE($R36:$T36,1)&lt;=999,"700-999 мм","1000+ мм")))))))))</f>
        <v/>
      </c>
      <c r="Y36" s="160">
        <f>IF(LARGE($R36:$T36,2)="","",IF(LARGE($R36:$T36,2)&lt;=99,"10-99 мм",IF(LARGE($R36:$T36,2)&lt;=199,"100-199 мм",IF(LARGE($R36:$T36,2)&lt;=299,"200-299 мм",IF(LARGE($R36:$T36,2)&lt;=399,"300-399 мм",IF(LARGE($R36:$T36,2)&lt;=499,"400-499 мм",IF(LARGE($R36:$T36,2)&lt;=599,"500-599 мм",IF(LARGE($R36:$T36,2)&lt;=699,"600-699 мм",IF(LARGE($R36:$T36,2)&lt;=999,"700-999 мм","1000+ мм")))))))))</f>
        <v/>
      </c>
      <c r="Z36" s="160">
        <f>IF(SMALL($R36:$T36,1)="","",IF(SMALL($R36:$T36,1)&lt;=99,"10-99 мм",IF(SMALL($R36:$T36,1)&lt;=199,"100-199 мм",IF(SMALL($R36:$T36,1)&lt;=299,"200-299 мм",IF(SMALL($R36:$T36,1)&lt;=399,"300-399 мм",IF(SMALL($R36:$T36,1)&lt;=499,"400-499 мм",IF(SMALL($R36:$T36,1)&lt;=599,"500-599 мм",IF(SMALL($R36:$T36,1)&lt;=699,"600-699 мм",IF(SMALL($R36:$T36,1)&lt;=999,"700-999 мм","1000+ мм")))))))))</f>
        <v/>
      </c>
      <c r="AA36" s="101">
        <f>IF(G36="","",IF(G36="Л","Лист гофрокартона",IF(G36="КД","Крышка-дно",IF(G36="С","Самосборные",IF(G36="Ч","Четырехклапанные",IF(G36="А","Архивные","Неизвестно"))))))</f>
        <v/>
      </c>
      <c r="AB36" s="66" t="n">
        <v>1.73</v>
      </c>
      <c r="AC36" s="101">
        <f>IF(O36="","",IF(O36&lt;=1,"0-1 литров",IF(O36&lt;=3,"2-3 литра",IF(O36&lt;=5,"4-5 литра",IF(O36&lt;=7,"6-7 литра",IF(O36&lt;=9,"8-9 литров",IF(O36&lt;=14,"10-14 литров",IF(O36&lt;=19,"15-19 литров",IF(O36&lt;=29,"20-29 литров",IF(O36&lt;=49,"30-49 литров",IF(O36&lt;=59,"50-59 литров",IF(O36&lt;=70,"60-69 литров",IF(O36&lt;=79,"70-79 литров",IF(O36&lt;=89,"80-89 литров",IF(O36&lt;=99,"90-99 литров",IF(O36&lt;=200,"100-200 литров","200+ литров"))))))))))))))))</f>
        <v/>
      </c>
    </row>
    <row r="37">
      <c r="A37" s="64" t="n">
        <v>1.46</v>
      </c>
      <c r="B37" s="65">
        <f>A37*1.2</f>
        <v/>
      </c>
      <c r="C37" s="109" t="n">
        <v>37</v>
      </c>
      <c r="D37" s="116" t="inlineStr">
        <is>
          <t>У</t>
        </is>
      </c>
      <c r="E37" s="88" t="inlineStr">
        <is>
          <t>500х500х65</t>
        </is>
      </c>
      <c r="G37" s="83" t="inlineStr">
        <is>
          <t>С</t>
        </is>
      </c>
      <c r="H37" s="146" t="inlineStr">
        <is>
          <t>0426</t>
        </is>
      </c>
      <c r="I37" s="83" t="inlineStr">
        <is>
          <t>В</t>
        </is>
      </c>
      <c r="J37" s="83" t="inlineStr">
        <is>
          <t>х</t>
        </is>
      </c>
      <c r="K37" s="116" t="inlineStr">
        <is>
          <t>K37</t>
        </is>
      </c>
      <c r="N37" s="239">
        <f>IF(D37="","",IF(LEFT(D37,1)="0",0,1))</f>
        <v/>
      </c>
      <c r="O37" s="80">
        <f>ROUND(R37*S37*T37/1000000,2)</f>
        <v/>
      </c>
      <c r="P37" s="160">
        <f>IF(O37="","",
IF(O37&lt;1,"0,1-0,9 литров",
IF(O37&lt;2,"1-1,9 литра",
IF(O37&lt;3,"2-2,9 литра",
IF(O37&lt;4,"3-3,9 литра",
IF(O37&lt;6,"4-5,9 литра",IF(O37&lt;8,"6-7,9 литра",IF(O37&lt;10,"8-9,9 литров",IF(O37&lt;15,"10-14,9 литров",IF(O37&lt;20,"15-19,9 литров",IF(O37&lt;30,"20-29 литров",IF(O37&lt;50,"30-49 литров",IF(O37&lt;60,"50-59 литров",IF(O37&lt;70,"60-69 литров",IF(O37&lt;80,"70-79 литров",IF(O37&lt;90,"80-89 литров",IF(O37&lt;100,"90-99 литров",IF(O37&lt;200,"100-200 литров","200+ литров"))))))))))))))))))</f>
        <v/>
      </c>
      <c r="Q37" s="101">
        <f>IF(O37="","",IF(O37&lt;1,"&lt;1 л",IF(O37&lt;2,"1-2 л",IF(O37&lt;3,"2-3 л",IF(O37&lt;5,"3-5 л",IF(O37&lt;10,"5-10 л",IF(O37&lt;20,"10-20 л",IF(O37&lt;50,"20-50 л",IF(O37&lt;100,"50-100 л","100+ л")))))))))</f>
        <v/>
      </c>
      <c r="R37" s="162">
        <f>IF(E37="","",--LEFT(E37,FIND("х",E37)-1))</f>
        <v/>
      </c>
      <c r="S37" s="162">
        <f>IF(E37="","",--MID(E37,FIND("х",E37)+1,FIND("х",E37,FIND("х",E37)+1)-FIND("х",E37)-1))</f>
        <v/>
      </c>
      <c r="T37" s="162">
        <f>IF(E37="","",--RIGHT(E37,LEN(E37)-FIND("х",E37,FIND("х",E37)+1)))</f>
        <v/>
      </c>
      <c r="U37" s="66">
        <f>(2*(R37+S37)+60)*(S37+T37+8)/1000000</f>
        <v/>
      </c>
      <c r="V37" s="66">
        <f>IF(OR(AND(R37&gt;=2*S37,R37&gt;=2*T37),AND(S37&gt;=2*R37,S37&gt;=2*T37),AND(T37&gt;=2*R37,T37&gt;=2*S37)),"Длинные","")</f>
        <v/>
      </c>
      <c r="W37" s="66">
        <f>IF(OR(AND(R37&lt;=S37/2,R37&lt;=T37/2),AND(S37&lt;=R37/2,S37&lt;=T37/2),AND(T37&lt;=R37/2,T37&lt;=S37/2)),"Плоские","")</f>
        <v/>
      </c>
      <c r="X37" s="160">
        <f>IF(LARGE($R37:$T37,1)="","",IF(LARGE($R37:$T37,1)&lt;=99,"10-99 мм",IF(LARGE($R37:$T37,1)&lt;=199,"100-199 мм",IF(LARGE($R37:$T37,1)&lt;=299,"200-299 мм",IF(LARGE($R37:$T37,1)&lt;=399,"300-399 мм",IF(LARGE($R37:$T37,1)&lt;=499,"400-499 мм",IF(LARGE($R37:$T37,1)&lt;=599,"500-599 мм",IF(LARGE($R37:$T37,1)&lt;=699,"600-699 мм",IF(LARGE($R37:$T37,1)&lt;=999,"700-999 мм","1000+ мм")))))))))</f>
        <v/>
      </c>
      <c r="Y37" s="160">
        <f>IF(LARGE($R37:$T37,2)="","",IF(LARGE($R37:$T37,2)&lt;=99,"10-99 мм",IF(LARGE($R37:$T37,2)&lt;=199,"100-199 мм",IF(LARGE($R37:$T37,2)&lt;=299,"200-299 мм",IF(LARGE($R37:$T37,2)&lt;=399,"300-399 мм",IF(LARGE($R37:$T37,2)&lt;=499,"400-499 мм",IF(LARGE($R37:$T37,2)&lt;=599,"500-599 мм",IF(LARGE($R37:$T37,2)&lt;=699,"600-699 мм",IF(LARGE($R37:$T37,2)&lt;=999,"700-999 мм","1000+ мм")))))))))</f>
        <v/>
      </c>
      <c r="Z37" s="160">
        <f>IF(SMALL($R37:$T37,1)="","",IF(SMALL($R37:$T37,1)&lt;=99,"10-99 мм",IF(SMALL($R37:$T37,1)&lt;=199,"100-199 мм",IF(SMALL($R37:$T37,1)&lt;=299,"200-299 мм",IF(SMALL($R37:$T37,1)&lt;=399,"300-399 мм",IF(SMALL($R37:$T37,1)&lt;=499,"400-499 мм",IF(SMALL($R37:$T37,1)&lt;=599,"500-599 мм",IF(SMALL($R37:$T37,1)&lt;=699,"600-699 мм",IF(SMALL($R37:$T37,1)&lt;=999,"700-999 мм","1000+ мм")))))))))</f>
        <v/>
      </c>
      <c r="AA37" s="101">
        <f>IF(G37="","",IF(G37="Л","Лист гофрокартона",IF(G37="КД","Крышка-дно",IF(G37="С","Самосборные",IF(G37="Ч","Четырехклапанные",IF(G37="А","Архивные","Неизвестно"))))))</f>
        <v/>
      </c>
      <c r="AB37" s="66" t="n">
        <v>1.73</v>
      </c>
      <c r="AC37" s="101">
        <f>IF(O37="","",IF(O37&lt;=1,"0-1 литров",IF(O37&lt;=3,"2-3 литра",IF(O37&lt;=5,"4-5 литра",IF(O37&lt;=7,"6-7 литра",IF(O37&lt;=9,"8-9 литров",IF(O37&lt;=14,"10-14 литров",IF(O37&lt;=19,"15-19 литров",IF(O37&lt;=29,"20-29 литров",IF(O37&lt;=49,"30-49 литров",IF(O37&lt;=59,"50-59 литров",IF(O37&lt;=70,"60-69 литров",IF(O37&lt;=79,"70-79 литров",IF(O37&lt;=89,"80-89 литров",IF(O37&lt;=99,"90-99 литров",IF(O37&lt;=200,"100-200 литров","200+ литров"))))))))))))))))</f>
        <v/>
      </c>
    </row>
    <row r="38">
      <c r="A38" s="64" t="n">
        <v>0.73</v>
      </c>
      <c r="B38" s="65">
        <f>A38*1.2</f>
        <v/>
      </c>
      <c r="C38" s="109" t="n">
        <v>38</v>
      </c>
      <c r="D38" s="116" t="inlineStr">
        <is>
          <t>У</t>
        </is>
      </c>
      <c r="E38" s="88" t="inlineStr">
        <is>
          <t>300х215х65</t>
        </is>
      </c>
      <c r="G38" s="83" t="inlineStr">
        <is>
          <t>С</t>
        </is>
      </c>
      <c r="H38" s="146" t="inlineStr">
        <is>
          <t>0427</t>
        </is>
      </c>
      <c r="I38" s="83" t="inlineStr">
        <is>
          <t>В</t>
        </is>
      </c>
      <c r="J38" s="83" t="inlineStr">
        <is>
          <t>х</t>
        </is>
      </c>
      <c r="K38" s="116" t="inlineStr">
        <is>
          <t>K38</t>
        </is>
      </c>
      <c r="N38" s="239">
        <f>IF(D38="","",IF(LEFT(D38,1)="0",0,1))</f>
        <v/>
      </c>
      <c r="O38" s="80">
        <f>ROUND(R38*S38*T38/1000000,2)</f>
        <v/>
      </c>
      <c r="P38" s="160">
        <f>IF(O38="","",
IF(O38&lt;1,"0,1-0,9 литров",
IF(O38&lt;2,"1-1,9 литра",
IF(O38&lt;3,"2-2,9 литра",
IF(O38&lt;4,"3-3,9 литра",
IF(O38&lt;6,"4-5,9 литра",IF(O38&lt;8,"6-7,9 литра",IF(O38&lt;10,"8-9,9 литров",IF(O38&lt;15,"10-14,9 литров",IF(O38&lt;20,"15-19,9 литров",IF(O38&lt;30,"20-29 литров",IF(O38&lt;50,"30-49 литров",IF(O38&lt;60,"50-59 литров",IF(O38&lt;70,"60-69 литров",IF(O38&lt;80,"70-79 литров",IF(O38&lt;90,"80-89 литров",IF(O38&lt;100,"90-99 литров",IF(O38&lt;200,"100-200 литров","200+ литров"))))))))))))))))))</f>
        <v/>
      </c>
      <c r="Q38" s="101">
        <f>IF(O38="","",IF(O38&lt;1,"&lt;1 л",IF(O38&lt;2,"1-2 л",IF(O38&lt;3,"2-3 л",IF(O38&lt;5,"3-5 л",IF(O38&lt;10,"5-10 л",IF(O38&lt;20,"10-20 л",IF(O38&lt;50,"20-50 л",IF(O38&lt;100,"50-100 л","100+ л")))))))))</f>
        <v/>
      </c>
      <c r="R38" s="162">
        <f>IF(E38="","",--LEFT(E38,FIND("х",E38)-1))</f>
        <v/>
      </c>
      <c r="S38" s="162">
        <f>IF(E38="","",--MID(E38,FIND("х",E38)+1,FIND("х",E38,FIND("х",E38)+1)-FIND("х",E38)-1))</f>
        <v/>
      </c>
      <c r="T38" s="162">
        <f>IF(E38="","",--RIGHT(E38,LEN(E38)-FIND("х",E38,FIND("х",E38)+1)))</f>
        <v/>
      </c>
      <c r="U38" s="66">
        <f>(2*(R38+S38)+60)*(S38+T38+8)/1000000</f>
        <v/>
      </c>
      <c r="V38" s="66">
        <f>IF(OR(AND(R38&gt;=2*S38,R38&gt;=2*T38),AND(S38&gt;=2*R38,S38&gt;=2*T38),AND(T38&gt;=2*R38,T38&gt;=2*S38)),"Длинные","")</f>
        <v/>
      </c>
      <c r="W38" s="66">
        <f>IF(OR(AND(R38&lt;=S38/2,R38&lt;=T38/2),AND(S38&lt;=R38/2,S38&lt;=T38/2),AND(T38&lt;=R38/2,T38&lt;=S38/2)),"Плоские","")</f>
        <v/>
      </c>
      <c r="X38" s="160">
        <f>IF(LARGE($R38:$T38,1)="","",IF(LARGE($R38:$T38,1)&lt;=99,"10-99 мм",IF(LARGE($R38:$T38,1)&lt;=199,"100-199 мм",IF(LARGE($R38:$T38,1)&lt;=299,"200-299 мм",IF(LARGE($R38:$T38,1)&lt;=399,"300-399 мм",IF(LARGE($R38:$T38,1)&lt;=499,"400-499 мм",IF(LARGE($R38:$T38,1)&lt;=599,"500-599 мм",IF(LARGE($R38:$T38,1)&lt;=699,"600-699 мм",IF(LARGE($R38:$T38,1)&lt;=999,"700-999 мм","1000+ мм")))))))))</f>
        <v/>
      </c>
      <c r="Y38" s="160">
        <f>IF(LARGE($R38:$T38,2)="","",IF(LARGE($R38:$T38,2)&lt;=99,"10-99 мм",IF(LARGE($R38:$T38,2)&lt;=199,"100-199 мм",IF(LARGE($R38:$T38,2)&lt;=299,"200-299 мм",IF(LARGE($R38:$T38,2)&lt;=399,"300-399 мм",IF(LARGE($R38:$T38,2)&lt;=499,"400-499 мм",IF(LARGE($R38:$T38,2)&lt;=599,"500-599 мм",IF(LARGE($R38:$T38,2)&lt;=699,"600-699 мм",IF(LARGE($R38:$T38,2)&lt;=999,"700-999 мм","1000+ мм")))))))))</f>
        <v/>
      </c>
      <c r="Z38" s="160">
        <f>IF(SMALL($R38:$T38,1)="","",IF(SMALL($R38:$T38,1)&lt;=99,"10-99 мм",IF(SMALL($R38:$T38,1)&lt;=199,"100-199 мм",IF(SMALL($R38:$T38,1)&lt;=299,"200-299 мм",IF(SMALL($R38:$T38,1)&lt;=399,"300-399 мм",IF(SMALL($R38:$T38,1)&lt;=499,"400-499 мм",IF(SMALL($R38:$T38,1)&lt;=599,"500-599 мм",IF(SMALL($R38:$T38,1)&lt;=699,"600-699 мм",IF(SMALL($R38:$T38,1)&lt;=999,"700-999 мм","1000+ мм")))))))))</f>
        <v/>
      </c>
      <c r="AA38" s="101">
        <f>IF(G38="","",IF(G38="Л","Лист гофрокартона",IF(G38="КД","Крышка-дно",IF(G38="С","Самосборные",IF(G38="Ч","Четырехклапанные",IF(G38="А","Архивные","Неизвестно"))))))</f>
        <v/>
      </c>
      <c r="AB38" s="66" t="n">
        <v>1.73</v>
      </c>
      <c r="AC38" s="101">
        <f>IF(O38="","",IF(O38&lt;=1,"0-1 литров",IF(O38&lt;=3,"2-3 литра",IF(O38&lt;=5,"4-5 литра",IF(O38&lt;=7,"6-7 литра",IF(O38&lt;=9,"8-9 литров",IF(O38&lt;=14,"10-14 литров",IF(O38&lt;=19,"15-19 литров",IF(O38&lt;=29,"20-29 литров",IF(O38&lt;=49,"30-49 литров",IF(O38&lt;=59,"50-59 литров",IF(O38&lt;=70,"60-69 литров",IF(O38&lt;=79,"70-79 литров",IF(O38&lt;=89,"80-89 литров",IF(O38&lt;=99,"90-99 литров",IF(O38&lt;=200,"100-200 литров","200+ литров"))))))))))))))))</f>
        <v/>
      </c>
    </row>
    <row r="39">
      <c r="A39" s="64" t="n">
        <v>0.9399999999999999</v>
      </c>
      <c r="B39" s="65">
        <f>A39*1.2</f>
        <v/>
      </c>
      <c r="C39" s="109" t="n">
        <v>39</v>
      </c>
      <c r="D39" s="116" t="inlineStr">
        <is>
          <t>У</t>
        </is>
      </c>
      <c r="E39" s="88" t="inlineStr">
        <is>
          <t>120х100х890</t>
        </is>
      </c>
      <c r="G39" s="83" t="inlineStr">
        <is>
          <t>С</t>
        </is>
      </c>
      <c r="H39" s="146" t="inlineStr">
        <is>
          <t>0201</t>
        </is>
      </c>
      <c r="I39" s="83" t="inlineStr">
        <is>
          <t>В</t>
        </is>
      </c>
      <c r="J39" s="83" t="inlineStr">
        <is>
          <t>х</t>
        </is>
      </c>
      <c r="K39" s="116" t="inlineStr">
        <is>
          <t>K39</t>
        </is>
      </c>
      <c r="N39" s="239">
        <f>IF(D39="","",IF(LEFT(D39,1)="0",0,1))</f>
        <v/>
      </c>
      <c r="O39" s="80">
        <f>ROUND(R39*S39*T39/1000000,2)</f>
        <v/>
      </c>
      <c r="P39" s="160">
        <f>IF(O39="","",
IF(O39&lt;1,"0,1-0,9 литров",
IF(O39&lt;2,"1-1,9 литра",
IF(O39&lt;3,"2-2,9 литра",
IF(O39&lt;4,"3-3,9 литра",
IF(O39&lt;6,"4-5,9 литра",IF(O39&lt;8,"6-7,9 литра",IF(O39&lt;10,"8-9,9 литров",IF(O39&lt;15,"10-14,9 литров",IF(O39&lt;20,"15-19,9 литров",IF(O39&lt;30,"20-29 литров",IF(O39&lt;50,"30-49 литров",IF(O39&lt;60,"50-59 литров",IF(O39&lt;70,"60-69 литров",IF(O39&lt;80,"70-79 литров",IF(O39&lt;90,"80-89 литров",IF(O39&lt;100,"90-99 литров",IF(O39&lt;200,"100-200 литров","200+ литров"))))))))))))))))))</f>
        <v/>
      </c>
      <c r="Q39" s="101">
        <f>IF(O39="","",IF(O39&lt;1,"&lt;1 л",IF(O39&lt;2,"1-2 л",IF(O39&lt;3,"2-3 л",IF(O39&lt;5,"3-5 л",IF(O39&lt;10,"5-10 л",IF(O39&lt;20,"10-20 л",IF(O39&lt;50,"20-50 л",IF(O39&lt;100,"50-100 л","100+ л")))))))))</f>
        <v/>
      </c>
      <c r="R39" s="162">
        <f>IF(E39="","",--LEFT(E39,FIND("х",E39)-1))</f>
        <v/>
      </c>
      <c r="S39" s="162">
        <f>IF(E39="","",--MID(E39,FIND("х",E39)+1,FIND("х",E39,FIND("х",E39)+1)-FIND("х",E39)-1))</f>
        <v/>
      </c>
      <c r="T39" s="162">
        <f>IF(E39="","",--RIGHT(E39,LEN(E39)-FIND("х",E39,FIND("х",E39)+1)))</f>
        <v/>
      </c>
      <c r="U39" s="66">
        <f>(2*(R39+S39)+60)*(S39+T39+8)/1000000</f>
        <v/>
      </c>
      <c r="V39" s="66">
        <f>IF(OR(AND(R39&gt;=2*S39,R39&gt;=2*T39),AND(S39&gt;=2*R39,S39&gt;=2*T39),AND(T39&gt;=2*R39,T39&gt;=2*S39)),"Длинные","")</f>
        <v/>
      </c>
      <c r="W39" s="66">
        <f>IF(OR(AND(R39&lt;=S39/2,R39&lt;=T39/2),AND(S39&lt;=R39/2,S39&lt;=T39/2),AND(T39&lt;=R39/2,T39&lt;=S39/2)),"Плоские","")</f>
        <v/>
      </c>
      <c r="X39" s="160">
        <f>IF(LARGE($R39:$T39,1)="","",IF(LARGE($R39:$T39,1)&lt;=99,"10-99 мм",IF(LARGE($R39:$T39,1)&lt;=199,"100-199 мм",IF(LARGE($R39:$T39,1)&lt;=299,"200-299 мм",IF(LARGE($R39:$T39,1)&lt;=399,"300-399 мм",IF(LARGE($R39:$T39,1)&lt;=499,"400-499 мм",IF(LARGE($R39:$T39,1)&lt;=599,"500-599 мм",IF(LARGE($R39:$T39,1)&lt;=699,"600-699 мм",IF(LARGE($R39:$T39,1)&lt;=999,"700-999 мм","1000+ мм")))))))))</f>
        <v/>
      </c>
      <c r="Y39" s="160">
        <f>IF(LARGE($R39:$T39,2)="","",IF(LARGE($R39:$T39,2)&lt;=99,"10-99 мм",IF(LARGE($R39:$T39,2)&lt;=199,"100-199 мм",IF(LARGE($R39:$T39,2)&lt;=299,"200-299 мм",IF(LARGE($R39:$T39,2)&lt;=399,"300-399 мм",IF(LARGE($R39:$T39,2)&lt;=499,"400-499 мм",IF(LARGE($R39:$T39,2)&lt;=599,"500-599 мм",IF(LARGE($R39:$T39,2)&lt;=699,"600-699 мм",IF(LARGE($R39:$T39,2)&lt;=999,"700-999 мм","1000+ мм")))))))))</f>
        <v/>
      </c>
      <c r="Z39" s="160">
        <f>IF(SMALL($R39:$T39,1)="","",IF(SMALL($R39:$T39,1)&lt;=99,"10-99 мм",IF(SMALL($R39:$T39,1)&lt;=199,"100-199 мм",IF(SMALL($R39:$T39,1)&lt;=299,"200-299 мм",IF(SMALL($R39:$T39,1)&lt;=399,"300-399 мм",IF(SMALL($R39:$T39,1)&lt;=499,"400-499 мм",IF(SMALL($R39:$T39,1)&lt;=599,"500-599 мм",IF(SMALL($R39:$T39,1)&lt;=699,"600-699 мм",IF(SMALL($R39:$T39,1)&lt;=999,"700-999 мм","1000+ мм")))))))))</f>
        <v/>
      </c>
      <c r="AA39" s="101">
        <f>IF(G39="","",IF(G39="Л","Лист гофрокартона",IF(G39="КД","Крышка-дно",IF(G39="С","Самосборные",IF(G39="Ч","Четырехклапанные",IF(G39="А","Архивные","Неизвестно"))))))</f>
        <v/>
      </c>
      <c r="AB39" s="66" t="n">
        <v>1.73</v>
      </c>
      <c r="AC39" s="101">
        <f>IF(O39="","",IF(O39&lt;=1,"0-1 литров",IF(O39&lt;=3,"2-3 литра",IF(O39&lt;=5,"4-5 литра",IF(O39&lt;=7,"6-7 литра",IF(O39&lt;=9,"8-9 литров",IF(O39&lt;=14,"10-14 литров",IF(O39&lt;=19,"15-19 литров",IF(O39&lt;=29,"20-29 литров",IF(O39&lt;=49,"30-49 литров",IF(O39&lt;=59,"50-59 литров",IF(O39&lt;=70,"60-69 литров",IF(O39&lt;=79,"70-79 литров",IF(O39&lt;=89,"80-89 литров",IF(O39&lt;=99,"90-99 литров",IF(O39&lt;=200,"100-200 литров","200+ литров"))))))))))))))))</f>
        <v/>
      </c>
    </row>
    <row r="40">
      <c r="A40" s="64" t="n">
        <v>0.63</v>
      </c>
      <c r="B40" s="65">
        <f>A40*1.2</f>
        <v/>
      </c>
      <c r="C40" s="109" t="n">
        <v>40</v>
      </c>
      <c r="D40" s="116" t="inlineStr">
        <is>
          <t>У</t>
        </is>
      </c>
      <c r="E40" s="88" t="inlineStr">
        <is>
          <t>55х55х425</t>
        </is>
      </c>
      <c r="G40" s="83" t="inlineStr">
        <is>
          <t>С</t>
        </is>
      </c>
      <c r="H40" s="146" t="inlineStr">
        <is>
          <t>0215</t>
        </is>
      </c>
      <c r="I40" s="83" t="inlineStr">
        <is>
          <t>В</t>
        </is>
      </c>
      <c r="J40" s="83" t="inlineStr">
        <is>
          <t>х</t>
        </is>
      </c>
      <c r="K40" s="116" t="inlineStr">
        <is>
          <t>K40</t>
        </is>
      </c>
      <c r="N40" s="239">
        <f>IF(D40="","",IF(LEFT(D40,1)="0",0,1))</f>
        <v/>
      </c>
      <c r="O40" s="80">
        <f>ROUND(R40*S40*T40/1000000,2)</f>
        <v/>
      </c>
      <c r="P40" s="160">
        <f>IF(O40="","",
IF(O40&lt;1,"0,1-0,9 литров",
IF(O40&lt;2,"1-1,9 литра",
IF(O40&lt;3,"2-2,9 литра",
IF(O40&lt;4,"3-3,9 литра",
IF(O40&lt;6,"4-5,9 литра",IF(O40&lt;8,"6-7,9 литра",IF(O40&lt;10,"8-9,9 литров",IF(O40&lt;15,"10-14,9 литров",IF(O40&lt;20,"15-19,9 литров",IF(O40&lt;30,"20-29 литров",IF(O40&lt;50,"30-49 литров",IF(O40&lt;60,"50-59 литров",IF(O40&lt;70,"60-69 литров",IF(O40&lt;80,"70-79 литров",IF(O40&lt;90,"80-89 литров",IF(O40&lt;100,"90-99 литров",IF(O40&lt;200,"100-200 литров","200+ литров"))))))))))))))))))</f>
        <v/>
      </c>
      <c r="Q40" s="101">
        <f>IF(O40="","",IF(O40&lt;1,"&lt;1 л",IF(O40&lt;2,"1-2 л",IF(O40&lt;3,"2-3 л",IF(O40&lt;5,"3-5 л",IF(O40&lt;10,"5-10 л",IF(O40&lt;20,"10-20 л",IF(O40&lt;50,"20-50 л",IF(O40&lt;100,"50-100 л","100+ л")))))))))</f>
        <v/>
      </c>
      <c r="R40" s="162">
        <f>IF(E40="","",--LEFT(E40,FIND("х",E40)-1))</f>
        <v/>
      </c>
      <c r="S40" s="162">
        <f>IF(E40="","",--MID(E40,FIND("х",E40)+1,FIND("х",E40,FIND("х",E40)+1)-FIND("х",E40)-1))</f>
        <v/>
      </c>
      <c r="T40" s="162">
        <f>IF(E40="","",--RIGHT(E40,LEN(E40)-FIND("х",E40,FIND("х",E40)+1)))</f>
        <v/>
      </c>
      <c r="U40" s="66">
        <f>(2*(R40+S40)+60)*(S40+T40+8)/1000000</f>
        <v/>
      </c>
      <c r="V40" s="66">
        <f>IF(OR(AND(R40&gt;=2*S40,R40&gt;=2*T40),AND(S40&gt;=2*R40,S40&gt;=2*T40),AND(T40&gt;=2*R40,T40&gt;=2*S40)),"Длинные","")</f>
        <v/>
      </c>
      <c r="W40" s="66">
        <f>IF(OR(AND(R40&lt;=S40/2,R40&lt;=T40/2),AND(S40&lt;=R40/2,S40&lt;=T40/2),AND(T40&lt;=R40/2,T40&lt;=S40/2)),"Плоские","")</f>
        <v/>
      </c>
      <c r="X40" s="160">
        <f>IF(LARGE($R40:$T40,1)="","",IF(LARGE($R40:$T40,1)&lt;=99,"10-99 мм",IF(LARGE($R40:$T40,1)&lt;=199,"100-199 мм",IF(LARGE($R40:$T40,1)&lt;=299,"200-299 мм",IF(LARGE($R40:$T40,1)&lt;=399,"300-399 мм",IF(LARGE($R40:$T40,1)&lt;=499,"400-499 мм",IF(LARGE($R40:$T40,1)&lt;=599,"500-599 мм",IF(LARGE($R40:$T40,1)&lt;=699,"600-699 мм",IF(LARGE($R40:$T40,1)&lt;=999,"700-999 мм","1000+ мм")))))))))</f>
        <v/>
      </c>
      <c r="Y40" s="160">
        <f>IF(LARGE($R40:$T40,2)="","",IF(LARGE($R40:$T40,2)&lt;=99,"10-99 мм",IF(LARGE($R40:$T40,2)&lt;=199,"100-199 мм",IF(LARGE($R40:$T40,2)&lt;=299,"200-299 мм",IF(LARGE($R40:$T40,2)&lt;=399,"300-399 мм",IF(LARGE($R40:$T40,2)&lt;=499,"400-499 мм",IF(LARGE($R40:$T40,2)&lt;=599,"500-599 мм",IF(LARGE($R40:$T40,2)&lt;=699,"600-699 мм",IF(LARGE($R40:$T40,2)&lt;=999,"700-999 мм","1000+ мм")))))))))</f>
        <v/>
      </c>
      <c r="Z40" s="160">
        <f>IF(SMALL($R40:$T40,1)="","",IF(SMALL($R40:$T40,1)&lt;=99,"10-99 мм",IF(SMALL($R40:$T40,1)&lt;=199,"100-199 мм",IF(SMALL($R40:$T40,1)&lt;=299,"200-299 мм",IF(SMALL($R40:$T40,1)&lt;=399,"300-399 мм",IF(SMALL($R40:$T40,1)&lt;=499,"400-499 мм",IF(SMALL($R40:$T40,1)&lt;=599,"500-599 мм",IF(SMALL($R40:$T40,1)&lt;=699,"600-699 мм",IF(SMALL($R40:$T40,1)&lt;=999,"700-999 мм","1000+ мм")))))))))</f>
        <v/>
      </c>
      <c r="AA40" s="101">
        <f>IF(G40="","",IF(G40="Л","Лист гофрокартона",IF(G40="КД","Крышка-дно",IF(G40="С","Самосборные",IF(G40="Ч","Четырехклапанные",IF(G40="А","Архивные","Неизвестно"))))))</f>
        <v/>
      </c>
      <c r="AB40" s="66" t="n">
        <v>1.73</v>
      </c>
      <c r="AC40" s="101">
        <f>IF(O40="","",IF(O40&lt;=1,"0-1 литров",IF(O40&lt;=3,"2-3 литра",IF(O40&lt;=5,"4-5 литра",IF(O40&lt;=7,"6-7 литра",IF(O40&lt;=9,"8-9 литров",IF(O40&lt;=14,"10-14 литров",IF(O40&lt;=19,"15-19 литров",IF(O40&lt;=29,"20-29 литров",IF(O40&lt;=49,"30-49 литров",IF(O40&lt;=59,"50-59 литров",IF(O40&lt;=70,"60-69 литров",IF(O40&lt;=79,"70-79 литров",IF(O40&lt;=89,"80-89 литров",IF(O40&lt;=99,"90-99 литров",IF(O40&lt;=200,"100-200 литров","200+ литров"))))))))))))))))</f>
        <v/>
      </c>
    </row>
    <row r="41">
      <c r="A41" s="64" t="n">
        <v>0.6</v>
      </c>
      <c r="B41" s="65">
        <f>A41*1.2</f>
        <v/>
      </c>
      <c r="C41" s="109" t="n">
        <v>41</v>
      </c>
      <c r="D41" s="116" t="inlineStr">
        <is>
          <t>У</t>
        </is>
      </c>
      <c r="E41" s="88" t="inlineStr">
        <is>
          <t>245х140х110</t>
        </is>
      </c>
      <c r="G41" s="83" t="inlineStr">
        <is>
          <t>С</t>
        </is>
      </c>
      <c r="H41" s="146" t="inlineStr">
        <is>
          <t>0427</t>
        </is>
      </c>
      <c r="I41" s="83" t="inlineStr">
        <is>
          <t>В</t>
        </is>
      </c>
      <c r="J41" s="83" t="inlineStr">
        <is>
          <t>х</t>
        </is>
      </c>
      <c r="K41" s="116" t="inlineStr">
        <is>
          <t>K41</t>
        </is>
      </c>
      <c r="N41" s="239">
        <f>IF(D41="","",IF(LEFT(D41,1)="0",0,1))</f>
        <v/>
      </c>
      <c r="O41" s="80">
        <f>ROUND(R41*S41*T41/1000000,2)</f>
        <v/>
      </c>
      <c r="P41" s="160">
        <f>IF(O41="","",
IF(O41&lt;1,"0,1-0,9 литров",
IF(O41&lt;2,"1-1,9 литра",
IF(O41&lt;3,"2-2,9 литра",
IF(O41&lt;4,"3-3,9 литра",
IF(O41&lt;6,"4-5,9 литра",IF(O41&lt;8,"6-7,9 литра",IF(O41&lt;10,"8-9,9 литров",IF(O41&lt;15,"10-14,9 литров",IF(O41&lt;20,"15-19,9 литров",IF(O41&lt;30,"20-29 литров",IF(O41&lt;50,"30-49 литров",IF(O41&lt;60,"50-59 литров",IF(O41&lt;70,"60-69 литров",IF(O41&lt;80,"70-79 литров",IF(O41&lt;90,"80-89 литров",IF(O41&lt;100,"90-99 литров",IF(O41&lt;200,"100-200 литров","200+ литров"))))))))))))))))))</f>
        <v/>
      </c>
      <c r="Q41" s="101">
        <f>IF(O41="","",IF(O41&lt;1,"&lt;1 л",IF(O41&lt;2,"1-2 л",IF(O41&lt;3,"2-3 л",IF(O41&lt;5,"3-5 л",IF(O41&lt;10,"5-10 л",IF(O41&lt;20,"10-20 л",IF(O41&lt;50,"20-50 л",IF(O41&lt;100,"50-100 л","100+ л")))))))))</f>
        <v/>
      </c>
      <c r="R41" s="162">
        <f>IF(E41="","",--LEFT(E41,FIND("х",E41)-1))</f>
        <v/>
      </c>
      <c r="S41" s="162">
        <f>IF(E41="","",--MID(E41,FIND("х",E41)+1,FIND("х",E41,FIND("х",E41)+1)-FIND("х",E41)-1))</f>
        <v/>
      </c>
      <c r="T41" s="162">
        <f>IF(E41="","",--RIGHT(E41,LEN(E41)-FIND("х",E41,FIND("х",E41)+1)))</f>
        <v/>
      </c>
      <c r="U41" s="66">
        <f>(2*(R41+S41)+60)*(S41+T41+8)/1000000</f>
        <v/>
      </c>
      <c r="V41" s="66">
        <f>IF(OR(AND(R41&gt;=2*S41,R41&gt;=2*T41),AND(S41&gt;=2*R41,S41&gt;=2*T41),AND(T41&gt;=2*R41,T41&gt;=2*S41)),"Длинные","")</f>
        <v/>
      </c>
      <c r="W41" s="66">
        <f>IF(OR(AND(R41&lt;=S41/2,R41&lt;=T41/2),AND(S41&lt;=R41/2,S41&lt;=T41/2),AND(T41&lt;=R41/2,T41&lt;=S41/2)),"Плоские","")</f>
        <v/>
      </c>
      <c r="X41" s="160">
        <f>IF(LARGE($R41:$T41,1)="","",IF(LARGE($R41:$T41,1)&lt;=99,"10-99 мм",IF(LARGE($R41:$T41,1)&lt;=199,"100-199 мм",IF(LARGE($R41:$T41,1)&lt;=299,"200-299 мм",IF(LARGE($R41:$T41,1)&lt;=399,"300-399 мм",IF(LARGE($R41:$T41,1)&lt;=499,"400-499 мм",IF(LARGE($R41:$T41,1)&lt;=599,"500-599 мм",IF(LARGE($R41:$T41,1)&lt;=699,"600-699 мм",IF(LARGE($R41:$T41,1)&lt;=999,"700-999 мм","1000+ мм")))))))))</f>
        <v/>
      </c>
      <c r="Y41" s="160">
        <f>IF(LARGE($R41:$T41,2)="","",IF(LARGE($R41:$T41,2)&lt;=99,"10-99 мм",IF(LARGE($R41:$T41,2)&lt;=199,"100-199 мм",IF(LARGE($R41:$T41,2)&lt;=299,"200-299 мм",IF(LARGE($R41:$T41,2)&lt;=399,"300-399 мм",IF(LARGE($R41:$T41,2)&lt;=499,"400-499 мм",IF(LARGE($R41:$T41,2)&lt;=599,"500-599 мм",IF(LARGE($R41:$T41,2)&lt;=699,"600-699 мм",IF(LARGE($R41:$T41,2)&lt;=999,"700-999 мм","1000+ мм")))))))))</f>
        <v/>
      </c>
      <c r="Z41" s="160">
        <f>IF(SMALL($R41:$T41,1)="","",IF(SMALL($R41:$T41,1)&lt;=99,"10-99 мм",IF(SMALL($R41:$T41,1)&lt;=199,"100-199 мм",IF(SMALL($R41:$T41,1)&lt;=299,"200-299 мм",IF(SMALL($R41:$T41,1)&lt;=399,"300-399 мм",IF(SMALL($R41:$T41,1)&lt;=499,"400-499 мм",IF(SMALL($R41:$T41,1)&lt;=599,"500-599 мм",IF(SMALL($R41:$T41,1)&lt;=699,"600-699 мм",IF(SMALL($R41:$T41,1)&lt;=999,"700-999 мм","1000+ мм")))))))))</f>
        <v/>
      </c>
      <c r="AA41" s="101">
        <f>IF(G41="","",IF(G41="Л","Лист гофрокартона",IF(G41="КД","Крышка-дно",IF(G41="С","Самосборные",IF(G41="Ч","Четырехклапанные",IF(G41="А","Архивные","Неизвестно"))))))</f>
        <v/>
      </c>
      <c r="AB41" s="66" t="n">
        <v>1.73</v>
      </c>
      <c r="AC41" s="101">
        <f>IF(O41="","",IF(O41&lt;=1,"0-1 литров",IF(O41&lt;=3,"2-3 литра",IF(O41&lt;=5,"4-5 литра",IF(O41&lt;=7,"6-7 литра",IF(O41&lt;=9,"8-9 литров",IF(O41&lt;=14,"10-14 литров",IF(O41&lt;=19,"15-19 литров",IF(O41&lt;=29,"20-29 литров",IF(O41&lt;=49,"30-49 литров",IF(O41&lt;=59,"50-59 литров",IF(O41&lt;=70,"60-69 литров",IF(O41&lt;=79,"70-79 литров",IF(O41&lt;=89,"80-89 литров",IF(O41&lt;=99,"90-99 литров",IF(O41&lt;=200,"100-200 литров","200+ литров"))))))))))))))))</f>
        <v/>
      </c>
    </row>
    <row r="42">
      <c r="A42" s="64" t="n">
        <v>1</v>
      </c>
      <c r="B42" s="65">
        <f>A42*1.2</f>
        <v/>
      </c>
      <c r="C42" s="109" t="n">
        <v>42</v>
      </c>
      <c r="D42" s="116" t="inlineStr">
        <is>
          <t>У</t>
        </is>
      </c>
      <c r="E42" s="88" t="inlineStr">
        <is>
          <t>450х220х192</t>
        </is>
      </c>
      <c r="G42" s="83" t="inlineStr">
        <is>
          <t>С</t>
        </is>
      </c>
      <c r="H42" s="146" t="inlineStr">
        <is>
          <t>0201</t>
        </is>
      </c>
      <c r="I42" s="83" t="inlineStr">
        <is>
          <t>В</t>
        </is>
      </c>
      <c r="J42" s="83" t="inlineStr">
        <is>
          <t>х</t>
        </is>
      </c>
      <c r="K42" s="116" t="inlineStr">
        <is>
          <t>K42</t>
        </is>
      </c>
      <c r="N42" s="239">
        <f>IF(D42="","",IF(LEFT(D42,1)="0",0,1))</f>
        <v/>
      </c>
      <c r="O42" s="80">
        <f>ROUND(R42*S42*T42/1000000,2)</f>
        <v/>
      </c>
      <c r="P42" s="160">
        <f>IF(O42="","",
IF(O42&lt;1,"0,1-0,9 литров",
IF(O42&lt;2,"1-1,9 литра",
IF(O42&lt;3,"2-2,9 литра",
IF(O42&lt;4,"3-3,9 литра",
IF(O42&lt;6,"4-5,9 литра",IF(O42&lt;8,"6-7,9 литра",IF(O42&lt;10,"8-9,9 литров",IF(O42&lt;15,"10-14,9 литров",IF(O42&lt;20,"15-19,9 литров",IF(O42&lt;30,"20-29 литров",IF(O42&lt;50,"30-49 литров",IF(O42&lt;60,"50-59 литров",IF(O42&lt;70,"60-69 литров",IF(O42&lt;80,"70-79 литров",IF(O42&lt;90,"80-89 литров",IF(O42&lt;100,"90-99 литров",IF(O42&lt;200,"100-200 литров","200+ литров"))))))))))))))))))</f>
        <v/>
      </c>
      <c r="Q42" s="101">
        <f>IF(O42="","",IF(O42&lt;1,"&lt;1 л",IF(O42&lt;2,"1-2 л",IF(O42&lt;3,"2-3 л",IF(O42&lt;5,"3-5 л",IF(O42&lt;10,"5-10 л",IF(O42&lt;20,"10-20 л",IF(O42&lt;50,"20-50 л",IF(O42&lt;100,"50-100 л","100+ л")))))))))</f>
        <v/>
      </c>
      <c r="R42" s="162">
        <f>IF(E42="","",--LEFT(E42,FIND("х",E42)-1))</f>
        <v/>
      </c>
      <c r="S42" s="162">
        <f>IF(E42="","",--MID(E42,FIND("х",E42)+1,FIND("х",E42,FIND("х",E42)+1)-FIND("х",E42)-1))</f>
        <v/>
      </c>
      <c r="T42" s="162">
        <f>IF(E42="","",--RIGHT(E42,LEN(E42)-FIND("х",E42,FIND("х",E42)+1)))</f>
        <v/>
      </c>
      <c r="U42" s="66">
        <f>(2*(R42+S42)+60)*(S42+T42+8)/1000000</f>
        <v/>
      </c>
      <c r="V42" s="66">
        <f>IF(OR(AND(R42&gt;=2*S42,R42&gt;=2*T42),AND(S42&gt;=2*R42,S42&gt;=2*T42),AND(T42&gt;=2*R42,T42&gt;=2*S42)),"Длинные","")</f>
        <v/>
      </c>
      <c r="W42" s="66">
        <f>IF(OR(AND(R42&lt;=S42/2,R42&lt;=T42/2),AND(S42&lt;=R42/2,S42&lt;=T42/2),AND(T42&lt;=R42/2,T42&lt;=S42/2)),"Плоские","")</f>
        <v/>
      </c>
      <c r="X42" s="160">
        <f>IF(LARGE($R42:$T42,1)="","",IF(LARGE($R42:$T42,1)&lt;=99,"10-99 мм",IF(LARGE($R42:$T42,1)&lt;=199,"100-199 мм",IF(LARGE($R42:$T42,1)&lt;=299,"200-299 мм",IF(LARGE($R42:$T42,1)&lt;=399,"300-399 мм",IF(LARGE($R42:$T42,1)&lt;=499,"400-499 мм",IF(LARGE($R42:$T42,1)&lt;=599,"500-599 мм",IF(LARGE($R42:$T42,1)&lt;=699,"600-699 мм",IF(LARGE($R42:$T42,1)&lt;=999,"700-999 мм","1000+ мм")))))))))</f>
        <v/>
      </c>
      <c r="Y42" s="160">
        <f>IF(LARGE($R42:$T42,2)="","",IF(LARGE($R42:$T42,2)&lt;=99,"10-99 мм",IF(LARGE($R42:$T42,2)&lt;=199,"100-199 мм",IF(LARGE($R42:$T42,2)&lt;=299,"200-299 мм",IF(LARGE($R42:$T42,2)&lt;=399,"300-399 мм",IF(LARGE($R42:$T42,2)&lt;=499,"400-499 мм",IF(LARGE($R42:$T42,2)&lt;=599,"500-599 мм",IF(LARGE($R42:$T42,2)&lt;=699,"600-699 мм",IF(LARGE($R42:$T42,2)&lt;=999,"700-999 мм","1000+ мм")))))))))</f>
        <v/>
      </c>
      <c r="Z42" s="160">
        <f>IF(SMALL($R42:$T42,1)="","",IF(SMALL($R42:$T42,1)&lt;=99,"10-99 мм",IF(SMALL($R42:$T42,1)&lt;=199,"100-199 мм",IF(SMALL($R42:$T42,1)&lt;=299,"200-299 мм",IF(SMALL($R42:$T42,1)&lt;=399,"300-399 мм",IF(SMALL($R42:$T42,1)&lt;=499,"400-499 мм",IF(SMALL($R42:$T42,1)&lt;=599,"500-599 мм",IF(SMALL($R42:$T42,1)&lt;=699,"600-699 мм",IF(SMALL($R42:$T42,1)&lt;=999,"700-999 мм","1000+ мм")))))))))</f>
        <v/>
      </c>
      <c r="AA42" s="101">
        <f>IF(G42="","",IF(G42="Л","Лист гофрокартона",IF(G42="КД","Крышка-дно",IF(G42="С","Самосборные",IF(G42="Ч","Четырехклапанные",IF(G42="А","Архивные","Неизвестно"))))))</f>
        <v/>
      </c>
      <c r="AB42" s="66" t="n">
        <v>1.73</v>
      </c>
      <c r="AC42" s="101">
        <f>IF(O42="","",IF(O42&lt;=1,"0-1 литров",IF(O42&lt;=3,"2-3 литра",IF(O42&lt;=5,"4-5 литра",IF(O42&lt;=7,"6-7 литра",IF(O42&lt;=9,"8-9 литров",IF(O42&lt;=14,"10-14 литров",IF(O42&lt;=19,"15-19 литров",IF(O42&lt;=29,"20-29 литров",IF(O42&lt;=49,"30-49 литров",IF(O42&lt;=59,"50-59 литров",IF(O42&lt;=70,"60-69 литров",IF(O42&lt;=79,"70-79 литров",IF(O42&lt;=89,"80-89 литров",IF(O42&lt;=99,"90-99 литров",IF(O42&lt;=200,"100-200 литров","200+ литров"))))))))))))))))</f>
        <v/>
      </c>
    </row>
    <row r="43">
      <c r="A43" s="64" t="n">
        <v>0.53</v>
      </c>
      <c r="B43" s="65">
        <f>A43*1.2</f>
        <v/>
      </c>
      <c r="C43" s="109" t="n">
        <v>43</v>
      </c>
      <c r="D43" s="116" t="inlineStr">
        <is>
          <t>У</t>
        </is>
      </c>
      <c r="E43" s="88" t="inlineStr">
        <is>
          <t>200х80х100</t>
        </is>
      </c>
      <c r="G43" s="83" t="inlineStr">
        <is>
          <t>С</t>
        </is>
      </c>
      <c r="H43" s="146" t="inlineStr">
        <is>
          <t>0215</t>
        </is>
      </c>
      <c r="I43" s="83" t="inlineStr">
        <is>
          <t>В</t>
        </is>
      </c>
      <c r="J43" s="83" t="inlineStr">
        <is>
          <t>х</t>
        </is>
      </c>
      <c r="K43" s="116" t="inlineStr">
        <is>
          <t>K43</t>
        </is>
      </c>
      <c r="N43" s="239">
        <f>IF(D43="","",IF(LEFT(D43,1)="0",0,1))</f>
        <v/>
      </c>
      <c r="O43" s="80">
        <f>ROUND(R43*S43*T43/1000000,2)</f>
        <v/>
      </c>
      <c r="P43" s="160">
        <f>IF(O43="","",
IF(O43&lt;1,"0,1-0,9 литров",
IF(O43&lt;2,"1-1,9 литра",
IF(O43&lt;3,"2-2,9 литра",
IF(O43&lt;4,"3-3,9 литра",
IF(O43&lt;6,"4-5,9 литра",IF(O43&lt;8,"6-7,9 литра",IF(O43&lt;10,"8-9,9 литров",IF(O43&lt;15,"10-14,9 литров",IF(O43&lt;20,"15-19,9 литров",IF(O43&lt;30,"20-29 литров",IF(O43&lt;50,"30-49 литров",IF(O43&lt;60,"50-59 литров",IF(O43&lt;70,"60-69 литров",IF(O43&lt;80,"70-79 литров",IF(O43&lt;90,"80-89 литров",IF(O43&lt;100,"90-99 литров",IF(O43&lt;200,"100-200 литров","200+ литров"))))))))))))))))))</f>
        <v/>
      </c>
      <c r="Q43" s="101">
        <f>IF(O43="","",IF(O43&lt;1,"&lt;1 л",IF(O43&lt;2,"1-2 л",IF(O43&lt;3,"2-3 л",IF(O43&lt;5,"3-5 л",IF(O43&lt;10,"5-10 л",IF(O43&lt;20,"10-20 л",IF(O43&lt;50,"20-50 л",IF(O43&lt;100,"50-100 л","100+ л")))))))))</f>
        <v/>
      </c>
      <c r="R43" s="162">
        <f>IF(E43="","",--LEFT(E43,FIND("х",E43)-1))</f>
        <v/>
      </c>
      <c r="S43" s="162">
        <f>IF(E43="","",--MID(E43,FIND("х",E43)+1,FIND("х",E43,FIND("х",E43)+1)-FIND("х",E43)-1))</f>
        <v/>
      </c>
      <c r="T43" s="162">
        <f>IF(E43="","",--RIGHT(E43,LEN(E43)-FIND("х",E43,FIND("х",E43)+1)))</f>
        <v/>
      </c>
      <c r="U43" s="66">
        <f>(2*(R43+S43)+60)*(S43+T43+8)/1000000</f>
        <v/>
      </c>
      <c r="V43" s="66">
        <f>IF(OR(AND(R43&gt;=2*S43,R43&gt;=2*T43),AND(S43&gt;=2*R43,S43&gt;=2*T43),AND(T43&gt;=2*R43,T43&gt;=2*S43)),"Длинные","")</f>
        <v/>
      </c>
      <c r="W43" s="66">
        <f>IF(OR(AND(R43&lt;=S43/2,R43&lt;=T43/2),AND(S43&lt;=R43/2,S43&lt;=T43/2),AND(T43&lt;=R43/2,T43&lt;=S43/2)),"Плоские","")</f>
        <v/>
      </c>
      <c r="X43" s="160">
        <f>IF(LARGE($R43:$T43,1)="","",IF(LARGE($R43:$T43,1)&lt;=99,"10-99 мм",IF(LARGE($R43:$T43,1)&lt;=199,"100-199 мм",IF(LARGE($R43:$T43,1)&lt;=299,"200-299 мм",IF(LARGE($R43:$T43,1)&lt;=399,"300-399 мм",IF(LARGE($R43:$T43,1)&lt;=499,"400-499 мм",IF(LARGE($R43:$T43,1)&lt;=599,"500-599 мм",IF(LARGE($R43:$T43,1)&lt;=699,"600-699 мм",IF(LARGE($R43:$T43,1)&lt;=999,"700-999 мм","1000+ мм")))))))))</f>
        <v/>
      </c>
      <c r="Y43" s="160">
        <f>IF(LARGE($R43:$T43,2)="","",IF(LARGE($R43:$T43,2)&lt;=99,"10-99 мм",IF(LARGE($R43:$T43,2)&lt;=199,"100-199 мм",IF(LARGE($R43:$T43,2)&lt;=299,"200-299 мм",IF(LARGE($R43:$T43,2)&lt;=399,"300-399 мм",IF(LARGE($R43:$T43,2)&lt;=499,"400-499 мм",IF(LARGE($R43:$T43,2)&lt;=599,"500-599 мм",IF(LARGE($R43:$T43,2)&lt;=699,"600-699 мм",IF(LARGE($R43:$T43,2)&lt;=999,"700-999 мм","1000+ мм")))))))))</f>
        <v/>
      </c>
      <c r="Z43" s="160">
        <f>IF(SMALL($R43:$T43,1)="","",IF(SMALL($R43:$T43,1)&lt;=99,"10-99 мм",IF(SMALL($R43:$T43,1)&lt;=199,"100-199 мм",IF(SMALL($R43:$T43,1)&lt;=299,"200-299 мм",IF(SMALL($R43:$T43,1)&lt;=399,"300-399 мм",IF(SMALL($R43:$T43,1)&lt;=499,"400-499 мм",IF(SMALL($R43:$T43,1)&lt;=599,"500-599 мм",IF(SMALL($R43:$T43,1)&lt;=699,"600-699 мм",IF(SMALL($R43:$T43,1)&lt;=999,"700-999 мм","1000+ мм")))))))))</f>
        <v/>
      </c>
      <c r="AA43" s="101">
        <f>IF(G43="","",IF(G43="Л","Лист гофрокартона",IF(G43="КД","Крышка-дно",IF(G43="С","Самосборные",IF(G43="Ч","Четырехклапанные",IF(G43="А","Архивные","Неизвестно"))))))</f>
        <v/>
      </c>
      <c r="AB43" s="66" t="n">
        <v>1.73</v>
      </c>
      <c r="AC43" s="101">
        <f>IF(O43="","",IF(O43&lt;=1,"0-1 литров",IF(O43&lt;=3,"2-3 литра",IF(O43&lt;=5,"4-5 литра",IF(O43&lt;=7,"6-7 литра",IF(O43&lt;=9,"8-9 литров",IF(O43&lt;=14,"10-14 литров",IF(O43&lt;=19,"15-19 литров",IF(O43&lt;=29,"20-29 литров",IF(O43&lt;=49,"30-49 литров",IF(O43&lt;=59,"50-59 литров",IF(O43&lt;=70,"60-69 литров",IF(O43&lt;=79,"70-79 литров",IF(O43&lt;=89,"80-89 литров",IF(O43&lt;=99,"90-99 литров",IF(O43&lt;=200,"100-200 литров","200+ литров"))))))))))))))))</f>
        <v/>
      </c>
    </row>
    <row r="44">
      <c r="A44" s="64" t="n">
        <v>1.7</v>
      </c>
      <c r="B44" s="65">
        <f>A44*1.2</f>
        <v/>
      </c>
      <c r="C44" s="109" t="n">
        <v>44</v>
      </c>
      <c r="D44" s="116" t="inlineStr">
        <is>
          <t>У</t>
        </is>
      </c>
      <c r="E44" s="88" t="inlineStr">
        <is>
          <t>573х333х85</t>
        </is>
      </c>
      <c r="G44" s="83" t="inlineStr">
        <is>
          <t>С</t>
        </is>
      </c>
      <c r="H44" s="146" t="inlineStr">
        <is>
          <t>0427</t>
        </is>
      </c>
      <c r="I44" s="83" t="inlineStr">
        <is>
          <t>В</t>
        </is>
      </c>
      <c r="J44" s="83" t="inlineStr">
        <is>
          <t>х</t>
        </is>
      </c>
      <c r="K44" s="116" t="inlineStr">
        <is>
          <t>K44</t>
        </is>
      </c>
      <c r="N44" s="239">
        <f>IF(D44="","",IF(LEFT(D44,1)="0",0,1))</f>
        <v/>
      </c>
      <c r="O44" s="80">
        <f>ROUND(R44*S44*T44/1000000,2)</f>
        <v/>
      </c>
      <c r="P44" s="160">
        <f>IF(O44="","",
IF(O44&lt;1,"0,1-0,9 литров",
IF(O44&lt;2,"1-1,9 литра",
IF(O44&lt;3,"2-2,9 литра",
IF(O44&lt;4,"3-3,9 литра",
IF(O44&lt;6,"4-5,9 литра",IF(O44&lt;8,"6-7,9 литра",IF(O44&lt;10,"8-9,9 литров",IF(O44&lt;15,"10-14,9 литров",IF(O44&lt;20,"15-19,9 литров",IF(O44&lt;30,"20-29 литров",IF(O44&lt;50,"30-49 литров",IF(O44&lt;60,"50-59 литров",IF(O44&lt;70,"60-69 литров",IF(O44&lt;80,"70-79 литров",IF(O44&lt;90,"80-89 литров",IF(O44&lt;100,"90-99 литров",IF(O44&lt;200,"100-200 литров","200+ литров"))))))))))))))))))</f>
        <v/>
      </c>
      <c r="Q44" s="101">
        <f>IF(O44="","",IF(O44&lt;1,"&lt;1 л",IF(O44&lt;2,"1-2 л",IF(O44&lt;3,"2-3 л",IF(O44&lt;5,"3-5 л",IF(O44&lt;10,"5-10 л",IF(O44&lt;20,"10-20 л",IF(O44&lt;50,"20-50 л",IF(O44&lt;100,"50-100 л","100+ л")))))))))</f>
        <v/>
      </c>
      <c r="R44" s="162">
        <f>IF(E44="","",--LEFT(E44,FIND("х",E44)-1))</f>
        <v/>
      </c>
      <c r="S44" s="162">
        <f>IF(E44="","",--MID(E44,FIND("х",E44)+1,FIND("х",E44,FIND("х",E44)+1)-FIND("х",E44)-1))</f>
        <v/>
      </c>
      <c r="T44" s="162">
        <f>IF(E44="","",--RIGHT(E44,LEN(E44)-FIND("х",E44,FIND("х",E44)+1)))</f>
        <v/>
      </c>
      <c r="U44" s="66">
        <f>(2*(R44+S44)+60)*(S44+T44+8)/1000000</f>
        <v/>
      </c>
      <c r="V44" s="66">
        <f>IF(OR(AND(R44&gt;=2*S44,R44&gt;=2*T44),AND(S44&gt;=2*R44,S44&gt;=2*T44),AND(T44&gt;=2*R44,T44&gt;=2*S44)),"Длинные","")</f>
        <v/>
      </c>
      <c r="W44" s="66">
        <f>IF(OR(AND(R44&lt;=S44/2,R44&lt;=T44/2),AND(S44&lt;=R44/2,S44&lt;=T44/2),AND(T44&lt;=R44/2,T44&lt;=S44/2)),"Плоские","")</f>
        <v/>
      </c>
      <c r="X44" s="160">
        <f>IF(LARGE($R44:$T44,1)="","",IF(LARGE($R44:$T44,1)&lt;=99,"10-99 мм",IF(LARGE($R44:$T44,1)&lt;=199,"100-199 мм",IF(LARGE($R44:$T44,1)&lt;=299,"200-299 мм",IF(LARGE($R44:$T44,1)&lt;=399,"300-399 мм",IF(LARGE($R44:$T44,1)&lt;=499,"400-499 мм",IF(LARGE($R44:$T44,1)&lt;=599,"500-599 мм",IF(LARGE($R44:$T44,1)&lt;=699,"600-699 мм",IF(LARGE($R44:$T44,1)&lt;=999,"700-999 мм","1000+ мм")))))))))</f>
        <v/>
      </c>
      <c r="Y44" s="160">
        <f>IF(LARGE($R44:$T44,2)="","",IF(LARGE($R44:$T44,2)&lt;=99,"10-99 мм",IF(LARGE($R44:$T44,2)&lt;=199,"100-199 мм",IF(LARGE($R44:$T44,2)&lt;=299,"200-299 мм",IF(LARGE($R44:$T44,2)&lt;=399,"300-399 мм",IF(LARGE($R44:$T44,2)&lt;=499,"400-499 мм",IF(LARGE($R44:$T44,2)&lt;=599,"500-599 мм",IF(LARGE($R44:$T44,2)&lt;=699,"600-699 мм",IF(LARGE($R44:$T44,2)&lt;=999,"700-999 мм","1000+ мм")))))))))</f>
        <v/>
      </c>
      <c r="Z44" s="160">
        <f>IF(SMALL($R44:$T44,1)="","",IF(SMALL($R44:$T44,1)&lt;=99,"10-99 мм",IF(SMALL($R44:$T44,1)&lt;=199,"100-199 мм",IF(SMALL($R44:$T44,1)&lt;=299,"200-299 мм",IF(SMALL($R44:$T44,1)&lt;=399,"300-399 мм",IF(SMALL($R44:$T44,1)&lt;=499,"400-499 мм",IF(SMALL($R44:$T44,1)&lt;=599,"500-599 мм",IF(SMALL($R44:$T44,1)&lt;=699,"600-699 мм",IF(SMALL($R44:$T44,1)&lt;=999,"700-999 мм","1000+ мм")))))))))</f>
        <v/>
      </c>
      <c r="AA44" s="101">
        <f>IF(G44="","",IF(G44="Л","Лист гофрокартона",IF(G44="КД","Крышка-дно",IF(G44="С","Самосборные",IF(G44="Ч","Четырехклапанные",IF(G44="А","Архивные","Неизвестно"))))))</f>
        <v/>
      </c>
      <c r="AB44" s="66" t="n">
        <v>1.73</v>
      </c>
      <c r="AC44" s="101">
        <f>IF(O44="","",IF(O44&lt;=1,"0-1 литров",IF(O44&lt;=3,"2-3 литра",IF(O44&lt;=5,"4-5 литра",IF(O44&lt;=7,"6-7 литра",IF(O44&lt;=9,"8-9 литров",IF(O44&lt;=14,"10-14 литров",IF(O44&lt;=19,"15-19 литров",IF(O44&lt;=29,"20-29 литров",IF(O44&lt;=49,"30-49 литров",IF(O44&lt;=59,"50-59 литров",IF(O44&lt;=70,"60-69 литров",IF(O44&lt;=79,"70-79 литров",IF(O44&lt;=89,"80-89 литров",IF(O44&lt;=99,"90-99 литров",IF(O44&lt;=200,"100-200 литров","200+ литров"))))))))))))))))</f>
        <v/>
      </c>
    </row>
    <row r="45">
      <c r="A45" s="64" t="n">
        <v>0.85</v>
      </c>
      <c r="B45" s="65">
        <f>A45*1.2</f>
        <v/>
      </c>
      <c r="C45" s="109" t="n">
        <v>45</v>
      </c>
      <c r="D45" s="116" t="inlineStr">
        <is>
          <t>У</t>
        </is>
      </c>
      <c r="E45" s="88" t="inlineStr">
        <is>
          <t>380х155х125</t>
        </is>
      </c>
      <c r="G45" s="83" t="inlineStr">
        <is>
          <t>С</t>
        </is>
      </c>
      <c r="H45" s="146" t="inlineStr">
        <is>
          <t>0215</t>
        </is>
      </c>
      <c r="I45" s="83" t="inlineStr">
        <is>
          <t>В</t>
        </is>
      </c>
      <c r="J45" s="83" t="inlineStr">
        <is>
          <t>х</t>
        </is>
      </c>
      <c r="K45" s="116" t="inlineStr">
        <is>
          <t>K45</t>
        </is>
      </c>
      <c r="N45" s="239">
        <f>IF(D45="","",IF(LEFT(D45,1)="0",0,1))</f>
        <v/>
      </c>
      <c r="O45" s="80">
        <f>ROUND(R45*S45*T45/1000000,2)</f>
        <v/>
      </c>
      <c r="P45" s="160">
        <f>IF(O45="","",
IF(O45&lt;1,"0,1-0,9 литров",
IF(O45&lt;2,"1-1,9 литра",
IF(O45&lt;3,"2-2,9 литра",
IF(O45&lt;4,"3-3,9 литра",
IF(O45&lt;6,"4-5,9 литра",IF(O45&lt;8,"6-7,9 литра",IF(O45&lt;10,"8-9,9 литров",IF(O45&lt;15,"10-14,9 литров",IF(O45&lt;20,"15-19,9 литров",IF(O45&lt;30,"20-29 литров",IF(O45&lt;50,"30-49 литров",IF(O45&lt;60,"50-59 литров",IF(O45&lt;70,"60-69 литров",IF(O45&lt;80,"70-79 литров",IF(O45&lt;90,"80-89 литров",IF(O45&lt;100,"90-99 литров",IF(O45&lt;200,"100-200 литров","200+ литров"))))))))))))))))))</f>
        <v/>
      </c>
      <c r="Q45" s="101">
        <f>IF(O45="","",IF(O45&lt;1,"&lt;1 л",IF(O45&lt;2,"1-2 л",IF(O45&lt;3,"2-3 л",IF(O45&lt;5,"3-5 л",IF(O45&lt;10,"5-10 л",IF(O45&lt;20,"10-20 л",IF(O45&lt;50,"20-50 л",IF(O45&lt;100,"50-100 л","100+ л")))))))))</f>
        <v/>
      </c>
      <c r="R45" s="162">
        <f>IF(E45="","",--LEFT(E45,FIND("х",E45)-1))</f>
        <v/>
      </c>
      <c r="S45" s="162">
        <f>IF(E45="","",--MID(E45,FIND("х",E45)+1,FIND("х",E45,FIND("х",E45)+1)-FIND("х",E45)-1))</f>
        <v/>
      </c>
      <c r="T45" s="162">
        <f>IF(E45="","",--RIGHT(E45,LEN(E45)-FIND("х",E45,FIND("х",E45)+1)))</f>
        <v/>
      </c>
      <c r="U45" s="66">
        <f>(2*(R45+S45)+60)*(S45+T45+8)/1000000</f>
        <v/>
      </c>
      <c r="V45" s="66">
        <f>IF(OR(AND(R45&gt;=2*S45,R45&gt;=2*T45),AND(S45&gt;=2*R45,S45&gt;=2*T45),AND(T45&gt;=2*R45,T45&gt;=2*S45)),"Длинные","")</f>
        <v/>
      </c>
      <c r="W45" s="66">
        <f>IF(OR(AND(R45&lt;=S45/2,R45&lt;=T45/2),AND(S45&lt;=R45/2,S45&lt;=T45/2),AND(T45&lt;=R45/2,T45&lt;=S45/2)),"Плоские","")</f>
        <v/>
      </c>
      <c r="X45" s="160">
        <f>IF(LARGE($R45:$T45,1)="","",IF(LARGE($R45:$T45,1)&lt;=99,"10-99 мм",IF(LARGE($R45:$T45,1)&lt;=199,"100-199 мм",IF(LARGE($R45:$T45,1)&lt;=299,"200-299 мм",IF(LARGE($R45:$T45,1)&lt;=399,"300-399 мм",IF(LARGE($R45:$T45,1)&lt;=499,"400-499 мм",IF(LARGE($R45:$T45,1)&lt;=599,"500-599 мм",IF(LARGE($R45:$T45,1)&lt;=699,"600-699 мм",IF(LARGE($R45:$T45,1)&lt;=999,"700-999 мм","1000+ мм")))))))))</f>
        <v/>
      </c>
      <c r="Y45" s="160">
        <f>IF(LARGE($R45:$T45,2)="","",IF(LARGE($R45:$T45,2)&lt;=99,"10-99 мм",IF(LARGE($R45:$T45,2)&lt;=199,"100-199 мм",IF(LARGE($R45:$T45,2)&lt;=299,"200-299 мм",IF(LARGE($R45:$T45,2)&lt;=399,"300-399 мм",IF(LARGE($R45:$T45,2)&lt;=499,"400-499 мм",IF(LARGE($R45:$T45,2)&lt;=599,"500-599 мм",IF(LARGE($R45:$T45,2)&lt;=699,"600-699 мм",IF(LARGE($R45:$T45,2)&lt;=999,"700-999 мм","1000+ мм")))))))))</f>
        <v/>
      </c>
      <c r="Z45" s="160">
        <f>IF(SMALL($R45:$T45,1)="","",IF(SMALL($R45:$T45,1)&lt;=99,"10-99 мм",IF(SMALL($R45:$T45,1)&lt;=199,"100-199 мм",IF(SMALL($R45:$T45,1)&lt;=299,"200-299 мм",IF(SMALL($R45:$T45,1)&lt;=399,"300-399 мм",IF(SMALL($R45:$T45,1)&lt;=499,"400-499 мм",IF(SMALL($R45:$T45,1)&lt;=599,"500-599 мм",IF(SMALL($R45:$T45,1)&lt;=699,"600-699 мм",IF(SMALL($R45:$T45,1)&lt;=999,"700-999 мм","1000+ мм")))))))))</f>
        <v/>
      </c>
      <c r="AA45" s="101">
        <f>IF(G45="","",IF(G45="Л","Лист гофрокартона",IF(G45="КД","Крышка-дно",IF(G45="С","Самосборные",IF(G45="Ч","Четырехклапанные",IF(G45="А","Архивные","Неизвестно"))))))</f>
        <v/>
      </c>
      <c r="AB45" s="66" t="n">
        <v>1.73</v>
      </c>
      <c r="AC45" s="101">
        <f>IF(O45="","",IF(O45&lt;=1,"0-1 литров",IF(O45&lt;=3,"2-3 литра",IF(O45&lt;=5,"4-5 литра",IF(O45&lt;=7,"6-7 литра",IF(O45&lt;=9,"8-9 литров",IF(O45&lt;=14,"10-14 литров",IF(O45&lt;=19,"15-19 литров",IF(O45&lt;=29,"20-29 литров",IF(O45&lt;=49,"30-49 литров",IF(O45&lt;=59,"50-59 литров",IF(O45&lt;=70,"60-69 литров",IF(O45&lt;=79,"70-79 литров",IF(O45&lt;=89,"80-89 литров",IF(O45&lt;=99,"90-99 литров",IF(O45&lt;=200,"100-200 литров","200+ литров"))))))))))))))))</f>
        <v/>
      </c>
    </row>
    <row r="46">
      <c r="A46" s="64" t="n">
        <v>0.85</v>
      </c>
      <c r="B46" s="65">
        <f>A46*1.2</f>
        <v/>
      </c>
      <c r="C46" s="109" t="n">
        <v>46</v>
      </c>
      <c r="D46" s="116" t="inlineStr">
        <is>
          <t>У</t>
        </is>
      </c>
      <c r="E46" s="88" t="inlineStr">
        <is>
          <t>120х100х770</t>
        </is>
      </c>
      <c r="G46" s="83" t="inlineStr">
        <is>
          <t>С</t>
        </is>
      </c>
      <c r="H46" s="146" t="inlineStr">
        <is>
          <t>0201</t>
        </is>
      </c>
      <c r="I46" s="83" t="inlineStr">
        <is>
          <t>В</t>
        </is>
      </c>
      <c r="J46" s="83" t="inlineStr">
        <is>
          <t>х</t>
        </is>
      </c>
      <c r="K46" s="116" t="inlineStr">
        <is>
          <t>K46</t>
        </is>
      </c>
      <c r="N46" s="239">
        <f>IF(D46="","",IF(LEFT(D46,1)="0",0,1))</f>
        <v/>
      </c>
      <c r="O46" s="80">
        <f>ROUND(R46*S46*T46/1000000,2)</f>
        <v/>
      </c>
      <c r="P46" s="160">
        <f>IF(O46="","",
IF(O46&lt;1,"0,1-0,9 литров",
IF(O46&lt;2,"1-1,9 литра",
IF(O46&lt;3,"2-2,9 литра",
IF(O46&lt;4,"3-3,9 литра",
IF(O46&lt;6,"4-5,9 литра",IF(O46&lt;8,"6-7,9 литра",IF(O46&lt;10,"8-9,9 литров",IF(O46&lt;15,"10-14,9 литров",IF(O46&lt;20,"15-19,9 литров",IF(O46&lt;30,"20-29 литров",IF(O46&lt;50,"30-49 литров",IF(O46&lt;60,"50-59 литров",IF(O46&lt;70,"60-69 литров",IF(O46&lt;80,"70-79 литров",IF(O46&lt;90,"80-89 литров",IF(O46&lt;100,"90-99 литров",IF(O46&lt;200,"100-200 литров","200+ литров"))))))))))))))))))</f>
        <v/>
      </c>
      <c r="Q46" s="101">
        <f>IF(O46="","",IF(O46&lt;1,"&lt;1 л",IF(O46&lt;2,"1-2 л",IF(O46&lt;3,"2-3 л",IF(O46&lt;5,"3-5 л",IF(O46&lt;10,"5-10 л",IF(O46&lt;20,"10-20 л",IF(O46&lt;50,"20-50 л",IF(O46&lt;100,"50-100 л","100+ л")))))))))</f>
        <v/>
      </c>
      <c r="R46" s="162">
        <f>IF(E46="","",--LEFT(E46,FIND("х",E46)-1))</f>
        <v/>
      </c>
      <c r="S46" s="162">
        <f>IF(E46="","",--MID(E46,FIND("х",E46)+1,FIND("х",E46,FIND("х",E46)+1)-FIND("х",E46)-1))</f>
        <v/>
      </c>
      <c r="T46" s="162">
        <f>IF(E46="","",--RIGHT(E46,LEN(E46)-FIND("х",E46,FIND("х",E46)+1)))</f>
        <v/>
      </c>
      <c r="U46" s="66">
        <f>(2*(R46+S46)+60)*(S46+T46+8)/1000000</f>
        <v/>
      </c>
      <c r="V46" s="66">
        <f>IF(OR(AND(R46&gt;=2*S46,R46&gt;=2*T46),AND(S46&gt;=2*R46,S46&gt;=2*T46),AND(T46&gt;=2*R46,T46&gt;=2*S46)),"Длинные","")</f>
        <v/>
      </c>
      <c r="W46" s="66">
        <f>IF(OR(AND(R46&lt;=S46/2,R46&lt;=T46/2),AND(S46&lt;=R46/2,S46&lt;=T46/2),AND(T46&lt;=R46/2,T46&lt;=S46/2)),"Плоские","")</f>
        <v/>
      </c>
      <c r="X46" s="160">
        <f>IF(LARGE($R46:$T46,1)="","",IF(LARGE($R46:$T46,1)&lt;=99,"10-99 мм",IF(LARGE($R46:$T46,1)&lt;=199,"100-199 мм",IF(LARGE($R46:$T46,1)&lt;=299,"200-299 мм",IF(LARGE($R46:$T46,1)&lt;=399,"300-399 мм",IF(LARGE($R46:$T46,1)&lt;=499,"400-499 мм",IF(LARGE($R46:$T46,1)&lt;=599,"500-599 мм",IF(LARGE($R46:$T46,1)&lt;=699,"600-699 мм",IF(LARGE($R46:$T46,1)&lt;=999,"700-999 мм","1000+ мм")))))))))</f>
        <v/>
      </c>
      <c r="Y46" s="160">
        <f>IF(LARGE($R46:$T46,2)="","",IF(LARGE($R46:$T46,2)&lt;=99,"10-99 мм",IF(LARGE($R46:$T46,2)&lt;=199,"100-199 мм",IF(LARGE($R46:$T46,2)&lt;=299,"200-299 мм",IF(LARGE($R46:$T46,2)&lt;=399,"300-399 мм",IF(LARGE($R46:$T46,2)&lt;=499,"400-499 мм",IF(LARGE($R46:$T46,2)&lt;=599,"500-599 мм",IF(LARGE($R46:$T46,2)&lt;=699,"600-699 мм",IF(LARGE($R46:$T46,2)&lt;=999,"700-999 мм","1000+ мм")))))))))</f>
        <v/>
      </c>
      <c r="Z46" s="160">
        <f>IF(SMALL($R46:$T46,1)="","",IF(SMALL($R46:$T46,1)&lt;=99,"10-99 мм",IF(SMALL($R46:$T46,1)&lt;=199,"100-199 мм",IF(SMALL($R46:$T46,1)&lt;=299,"200-299 мм",IF(SMALL($R46:$T46,1)&lt;=399,"300-399 мм",IF(SMALL($R46:$T46,1)&lt;=499,"400-499 мм",IF(SMALL($R46:$T46,1)&lt;=599,"500-599 мм",IF(SMALL($R46:$T46,1)&lt;=699,"600-699 мм",IF(SMALL($R46:$T46,1)&lt;=999,"700-999 мм","1000+ мм")))))))))</f>
        <v/>
      </c>
      <c r="AA46" s="101">
        <f>IF(G46="","",IF(G46="Л","Лист гофрокартона",IF(G46="КД","Крышка-дно",IF(G46="С","Самосборные",IF(G46="Ч","Четырехклапанные",IF(G46="А","Архивные","Неизвестно"))))))</f>
        <v/>
      </c>
      <c r="AB46" s="66" t="n">
        <v>1.73</v>
      </c>
      <c r="AC46" s="101">
        <f>IF(O46="","",IF(O46&lt;=1,"0-1 литров",IF(O46&lt;=3,"2-3 литра",IF(O46&lt;=5,"4-5 литра",IF(O46&lt;=7,"6-7 литра",IF(O46&lt;=9,"8-9 литров",IF(O46&lt;=14,"10-14 литров",IF(O46&lt;=19,"15-19 литров",IF(O46&lt;=29,"20-29 литров",IF(O46&lt;=49,"30-49 литров",IF(O46&lt;=59,"50-59 литров",IF(O46&lt;=70,"60-69 литров",IF(O46&lt;=79,"70-79 литров",IF(O46&lt;=89,"80-89 литров",IF(O46&lt;=99,"90-99 литров",IF(O46&lt;=200,"100-200 литров","200+ литров"))))))))))))))))</f>
        <v/>
      </c>
    </row>
    <row r="47">
      <c r="A47" s="64" t="n">
        <v>1.25</v>
      </c>
      <c r="B47" s="65">
        <f>A47*1.2</f>
        <v/>
      </c>
      <c r="C47" s="109" t="n">
        <v>47</v>
      </c>
      <c r="D47" s="116" t="inlineStr">
        <is>
          <t>У</t>
        </is>
      </c>
      <c r="E47" s="88" t="inlineStr">
        <is>
          <t>500х500х45</t>
        </is>
      </c>
      <c r="G47" s="83" t="inlineStr">
        <is>
          <t>С</t>
        </is>
      </c>
      <c r="H47" s="146" t="inlineStr">
        <is>
          <t>0426</t>
        </is>
      </c>
      <c r="I47" s="83" t="inlineStr">
        <is>
          <t>В</t>
        </is>
      </c>
      <c r="J47" s="83" t="inlineStr">
        <is>
          <t>х</t>
        </is>
      </c>
      <c r="K47" s="116" t="inlineStr">
        <is>
          <t>K47</t>
        </is>
      </c>
      <c r="N47" s="239">
        <f>IF(D47="","",IF(LEFT(D47,1)="0",0,1))</f>
        <v/>
      </c>
      <c r="O47" s="80">
        <f>ROUND(R47*S47*T47/1000000,2)</f>
        <v/>
      </c>
      <c r="P47" s="160">
        <f>IF(O47="","",
IF(O47&lt;1,"0,1-0,9 литров",
IF(O47&lt;2,"1-1,9 литра",
IF(O47&lt;3,"2-2,9 литра",
IF(O47&lt;4,"3-3,9 литра",
IF(O47&lt;6,"4-5,9 литра",IF(O47&lt;8,"6-7,9 литра",IF(O47&lt;10,"8-9,9 литров",IF(O47&lt;15,"10-14,9 литров",IF(O47&lt;20,"15-19,9 литров",IF(O47&lt;30,"20-29 литров",IF(O47&lt;50,"30-49 литров",IF(O47&lt;60,"50-59 литров",IF(O47&lt;70,"60-69 литров",IF(O47&lt;80,"70-79 литров",IF(O47&lt;90,"80-89 литров",IF(O47&lt;100,"90-99 литров",IF(O47&lt;200,"100-200 литров","200+ литров"))))))))))))))))))</f>
        <v/>
      </c>
      <c r="Q47" s="101">
        <f>IF(O47="","",IF(O47&lt;1,"&lt;1 л",IF(O47&lt;2,"1-2 л",IF(O47&lt;3,"2-3 л",IF(O47&lt;5,"3-5 л",IF(O47&lt;10,"5-10 л",IF(O47&lt;20,"10-20 л",IF(O47&lt;50,"20-50 л",IF(O47&lt;100,"50-100 л","100+ л")))))))))</f>
        <v/>
      </c>
      <c r="R47" s="162">
        <f>IF(E47="","",--LEFT(E47,FIND("х",E47)-1))</f>
        <v/>
      </c>
      <c r="S47" s="162">
        <f>IF(E47="","",--MID(E47,FIND("х",E47)+1,FIND("х",E47,FIND("х",E47)+1)-FIND("х",E47)-1))</f>
        <v/>
      </c>
      <c r="T47" s="162">
        <f>IF(E47="","",--RIGHT(E47,LEN(E47)-FIND("х",E47,FIND("х",E47)+1)))</f>
        <v/>
      </c>
      <c r="U47" s="66">
        <f>(2*(R47+S47)+60)*(S47+T47+8)/1000000</f>
        <v/>
      </c>
      <c r="V47" s="66">
        <f>IF(OR(AND(R47&gt;=2*S47,R47&gt;=2*T47),AND(S47&gt;=2*R47,S47&gt;=2*T47),AND(T47&gt;=2*R47,T47&gt;=2*S47)),"Длинные","")</f>
        <v/>
      </c>
      <c r="W47" s="66">
        <f>IF(OR(AND(R47&lt;=S47/2,R47&lt;=T47/2),AND(S47&lt;=R47/2,S47&lt;=T47/2),AND(T47&lt;=R47/2,T47&lt;=S47/2)),"Плоские","")</f>
        <v/>
      </c>
      <c r="X47" s="160">
        <f>IF(LARGE($R47:$T47,1)="","",IF(LARGE($R47:$T47,1)&lt;=99,"10-99 мм",IF(LARGE($R47:$T47,1)&lt;=199,"100-199 мм",IF(LARGE($R47:$T47,1)&lt;=299,"200-299 мм",IF(LARGE($R47:$T47,1)&lt;=399,"300-399 мм",IF(LARGE($R47:$T47,1)&lt;=499,"400-499 мм",IF(LARGE($R47:$T47,1)&lt;=599,"500-599 мм",IF(LARGE($R47:$T47,1)&lt;=699,"600-699 мм",IF(LARGE($R47:$T47,1)&lt;=999,"700-999 мм","1000+ мм")))))))))</f>
        <v/>
      </c>
      <c r="Y47" s="160">
        <f>IF(LARGE($R47:$T47,2)="","",IF(LARGE($R47:$T47,2)&lt;=99,"10-99 мм",IF(LARGE($R47:$T47,2)&lt;=199,"100-199 мм",IF(LARGE($R47:$T47,2)&lt;=299,"200-299 мм",IF(LARGE($R47:$T47,2)&lt;=399,"300-399 мм",IF(LARGE($R47:$T47,2)&lt;=499,"400-499 мм",IF(LARGE($R47:$T47,2)&lt;=599,"500-599 мм",IF(LARGE($R47:$T47,2)&lt;=699,"600-699 мм",IF(LARGE($R47:$T47,2)&lt;=999,"700-999 мм","1000+ мм")))))))))</f>
        <v/>
      </c>
      <c r="Z47" s="160">
        <f>IF(SMALL($R47:$T47,1)="","",IF(SMALL($R47:$T47,1)&lt;=99,"10-99 мм",IF(SMALL($R47:$T47,1)&lt;=199,"100-199 мм",IF(SMALL($R47:$T47,1)&lt;=299,"200-299 мм",IF(SMALL($R47:$T47,1)&lt;=399,"300-399 мм",IF(SMALL($R47:$T47,1)&lt;=499,"400-499 мм",IF(SMALL($R47:$T47,1)&lt;=599,"500-599 мм",IF(SMALL($R47:$T47,1)&lt;=699,"600-699 мм",IF(SMALL($R47:$T47,1)&lt;=999,"700-999 мм","1000+ мм")))))))))</f>
        <v/>
      </c>
      <c r="AA47" s="101">
        <f>IF(G47="","",IF(G47="Л","Лист гофрокартона",IF(G47="КД","Крышка-дно",IF(G47="С","Самосборные",IF(G47="Ч","Четырехклапанные",IF(G47="А","Архивные","Неизвестно"))))))</f>
        <v/>
      </c>
      <c r="AB47" s="66" t="n">
        <v>1.73</v>
      </c>
      <c r="AC47" s="101">
        <f>IF(O47="","",IF(O47&lt;=1,"0-1 литров",IF(O47&lt;=3,"2-3 литра",IF(O47&lt;=5,"4-5 литра",IF(O47&lt;=7,"6-7 литра",IF(O47&lt;=9,"8-9 литров",IF(O47&lt;=14,"10-14 литров",IF(O47&lt;=19,"15-19 литров",IF(O47&lt;=29,"20-29 литров",IF(O47&lt;=49,"30-49 литров",IF(O47&lt;=59,"50-59 литров",IF(O47&lt;=70,"60-69 литров",IF(O47&lt;=79,"70-79 литров",IF(O47&lt;=89,"80-89 литров",IF(O47&lt;=99,"90-99 литров",IF(O47&lt;=200,"100-200 литров","200+ литров"))))))))))))))))</f>
        <v/>
      </c>
    </row>
    <row r="48">
      <c r="A48" s="64" t="n">
        <v>1.61</v>
      </c>
      <c r="B48" s="65">
        <f>A48*1.2</f>
        <v/>
      </c>
      <c r="C48" s="109" t="n">
        <v>48</v>
      </c>
      <c r="D48" s="116" t="inlineStr">
        <is>
          <t>У</t>
        </is>
      </c>
      <c r="E48" s="88" t="inlineStr">
        <is>
          <t>250х120х900</t>
        </is>
      </c>
      <c r="G48" s="83" t="inlineStr">
        <is>
          <t>С</t>
        </is>
      </c>
      <c r="H48" s="146" t="inlineStr">
        <is>
          <t>0201</t>
        </is>
      </c>
      <c r="I48" s="83" t="inlineStr">
        <is>
          <t>В</t>
        </is>
      </c>
      <c r="J48" s="83" t="inlineStr">
        <is>
          <t>х</t>
        </is>
      </c>
      <c r="K48" s="116" t="inlineStr">
        <is>
          <t>K48</t>
        </is>
      </c>
      <c r="N48" s="239">
        <f>IF(D48="","",IF(LEFT(D48,1)="0",0,1))</f>
        <v/>
      </c>
      <c r="O48" s="80">
        <f>ROUND(R48*S48*T48/1000000,2)</f>
        <v/>
      </c>
      <c r="P48" s="160">
        <f>IF(O48="","",
IF(O48&lt;1,"0,1-0,9 литров",
IF(O48&lt;2,"1-1,9 литра",
IF(O48&lt;3,"2-2,9 литра",
IF(O48&lt;4,"3-3,9 литра",
IF(O48&lt;6,"4-5,9 литра",IF(O48&lt;8,"6-7,9 литра",IF(O48&lt;10,"8-9,9 литров",IF(O48&lt;15,"10-14,9 литров",IF(O48&lt;20,"15-19,9 литров",IF(O48&lt;30,"20-29 литров",IF(O48&lt;50,"30-49 литров",IF(O48&lt;60,"50-59 литров",IF(O48&lt;70,"60-69 литров",IF(O48&lt;80,"70-79 литров",IF(O48&lt;90,"80-89 литров",IF(O48&lt;100,"90-99 литров",IF(O48&lt;200,"100-200 литров","200+ литров"))))))))))))))))))</f>
        <v/>
      </c>
      <c r="Q48" s="101">
        <f>IF(O48="","",IF(O48&lt;1,"&lt;1 л",IF(O48&lt;2,"1-2 л",IF(O48&lt;3,"2-3 л",IF(O48&lt;5,"3-5 л",IF(O48&lt;10,"5-10 л",IF(O48&lt;20,"10-20 л",IF(O48&lt;50,"20-50 л",IF(O48&lt;100,"50-100 л","100+ л")))))))))</f>
        <v/>
      </c>
      <c r="R48" s="162">
        <f>IF(E48="","",--LEFT(E48,FIND("х",E48)-1))</f>
        <v/>
      </c>
      <c r="S48" s="162">
        <f>IF(E48="","",--MID(E48,FIND("х",E48)+1,FIND("х",E48,FIND("х",E48)+1)-FIND("х",E48)-1))</f>
        <v/>
      </c>
      <c r="T48" s="162">
        <f>IF(E48="","",--RIGHT(E48,LEN(E48)-FIND("х",E48,FIND("х",E48)+1)))</f>
        <v/>
      </c>
      <c r="U48" s="66">
        <f>(2*(R48+S48)+60)*(S48+T48+8)/1000000</f>
        <v/>
      </c>
      <c r="V48" s="66">
        <f>IF(OR(AND(R48&gt;=2*S48,R48&gt;=2*T48),AND(S48&gt;=2*R48,S48&gt;=2*T48),AND(T48&gt;=2*R48,T48&gt;=2*S48)),"Длинные","")</f>
        <v/>
      </c>
      <c r="W48" s="66">
        <f>IF(OR(AND(R48&lt;=S48/2,R48&lt;=T48/2),AND(S48&lt;=R48/2,S48&lt;=T48/2),AND(T48&lt;=R48/2,T48&lt;=S48/2)),"Плоские","")</f>
        <v/>
      </c>
      <c r="X48" s="160">
        <f>IF(LARGE($R48:$T48,1)="","",IF(LARGE($R48:$T48,1)&lt;=99,"10-99 мм",IF(LARGE($R48:$T48,1)&lt;=199,"100-199 мм",IF(LARGE($R48:$T48,1)&lt;=299,"200-299 мм",IF(LARGE($R48:$T48,1)&lt;=399,"300-399 мм",IF(LARGE($R48:$T48,1)&lt;=499,"400-499 мм",IF(LARGE($R48:$T48,1)&lt;=599,"500-599 мм",IF(LARGE($R48:$T48,1)&lt;=699,"600-699 мм",IF(LARGE($R48:$T48,1)&lt;=999,"700-999 мм","1000+ мм")))))))))</f>
        <v/>
      </c>
      <c r="Y48" s="160">
        <f>IF(LARGE($R48:$T48,2)="","",IF(LARGE($R48:$T48,2)&lt;=99,"10-99 мм",IF(LARGE($R48:$T48,2)&lt;=199,"100-199 мм",IF(LARGE($R48:$T48,2)&lt;=299,"200-299 мм",IF(LARGE($R48:$T48,2)&lt;=399,"300-399 мм",IF(LARGE($R48:$T48,2)&lt;=499,"400-499 мм",IF(LARGE($R48:$T48,2)&lt;=599,"500-599 мм",IF(LARGE($R48:$T48,2)&lt;=699,"600-699 мм",IF(LARGE($R48:$T48,2)&lt;=999,"700-999 мм","1000+ мм")))))))))</f>
        <v/>
      </c>
      <c r="Z48" s="160">
        <f>IF(SMALL($R48:$T48,1)="","",IF(SMALL($R48:$T48,1)&lt;=99,"10-99 мм",IF(SMALL($R48:$T48,1)&lt;=199,"100-199 мм",IF(SMALL($R48:$T48,1)&lt;=299,"200-299 мм",IF(SMALL($R48:$T48,1)&lt;=399,"300-399 мм",IF(SMALL($R48:$T48,1)&lt;=499,"400-499 мм",IF(SMALL($R48:$T48,1)&lt;=599,"500-599 мм",IF(SMALL($R48:$T48,1)&lt;=699,"600-699 мм",IF(SMALL($R48:$T48,1)&lt;=999,"700-999 мм","1000+ мм")))))))))</f>
        <v/>
      </c>
      <c r="AA48" s="101">
        <f>IF(G48="","",IF(G48="Л","Лист гофрокартона",IF(G48="КД","Крышка-дно",IF(G48="С","Самосборные",IF(G48="Ч","Четырехклапанные",IF(G48="А","Архивные","Неизвестно"))))))</f>
        <v/>
      </c>
      <c r="AB48" s="66" t="n">
        <v>1.73</v>
      </c>
      <c r="AC48" s="101">
        <f>IF(O48="","",IF(O48&lt;=1,"0-1 литров",IF(O48&lt;=3,"2-3 литра",IF(O48&lt;=5,"4-5 литра",IF(O48&lt;=7,"6-7 литра",IF(O48&lt;=9,"8-9 литров",IF(O48&lt;=14,"10-14 литров",IF(O48&lt;=19,"15-19 литров",IF(O48&lt;=29,"20-29 литров",IF(O48&lt;=49,"30-49 литров",IF(O48&lt;=59,"50-59 литров",IF(O48&lt;=70,"60-69 литров",IF(O48&lt;=79,"70-79 литров",IF(O48&lt;=89,"80-89 литров",IF(O48&lt;=99,"90-99 литров",IF(O48&lt;=200,"100-200 литров","200+ литров"))))))))))))))))</f>
        <v/>
      </c>
    </row>
    <row r="49">
      <c r="A49" s="64" t="n">
        <v>0.86</v>
      </c>
      <c r="B49" s="65">
        <f>A49*1.2</f>
        <v/>
      </c>
      <c r="C49" s="109" t="n">
        <v>49</v>
      </c>
      <c r="D49" s="116" t="inlineStr">
        <is>
          <t>У</t>
        </is>
      </c>
      <c r="E49" s="88" t="inlineStr">
        <is>
          <t>350х350х40</t>
        </is>
      </c>
      <c r="G49" s="83" t="inlineStr">
        <is>
          <t>С</t>
        </is>
      </c>
      <c r="H49" s="146" t="inlineStr">
        <is>
          <t>0427</t>
        </is>
      </c>
      <c r="I49" s="83" t="inlineStr">
        <is>
          <t>В</t>
        </is>
      </c>
      <c r="J49" s="83" t="inlineStr">
        <is>
          <t>х</t>
        </is>
      </c>
      <c r="K49" s="116" t="inlineStr">
        <is>
          <t>K49</t>
        </is>
      </c>
      <c r="N49" s="239">
        <f>IF(D49="","",IF(LEFT(D49,1)="0",0,1))</f>
        <v/>
      </c>
      <c r="O49" s="80">
        <f>ROUND(R49*S49*T49/1000000,2)</f>
        <v/>
      </c>
      <c r="P49" s="160">
        <f>IF(O49="","",
IF(O49&lt;1,"0,1-0,9 литров",
IF(O49&lt;2,"1-1,9 литра",
IF(O49&lt;3,"2-2,9 литра",
IF(O49&lt;4,"3-3,9 литра",
IF(O49&lt;6,"4-5,9 литра",IF(O49&lt;8,"6-7,9 литра",IF(O49&lt;10,"8-9,9 литров",IF(O49&lt;15,"10-14,9 литров",IF(O49&lt;20,"15-19,9 литров",IF(O49&lt;30,"20-29 литров",IF(O49&lt;50,"30-49 литров",IF(O49&lt;60,"50-59 литров",IF(O49&lt;70,"60-69 литров",IF(O49&lt;80,"70-79 литров",IF(O49&lt;90,"80-89 литров",IF(O49&lt;100,"90-99 литров",IF(O49&lt;200,"100-200 литров","200+ литров"))))))))))))))))))</f>
        <v/>
      </c>
      <c r="Q49" s="101">
        <f>IF(O49="","",IF(O49&lt;1,"&lt;1 л",IF(O49&lt;2,"1-2 л",IF(O49&lt;3,"2-3 л",IF(O49&lt;5,"3-5 л",IF(O49&lt;10,"5-10 л",IF(O49&lt;20,"10-20 л",IF(O49&lt;50,"20-50 л",IF(O49&lt;100,"50-100 л","100+ л")))))))))</f>
        <v/>
      </c>
      <c r="R49" s="162">
        <f>IF(E49="","",--LEFT(E49,FIND("х",E49)-1))</f>
        <v/>
      </c>
      <c r="S49" s="162">
        <f>IF(E49="","",--MID(E49,FIND("х",E49)+1,FIND("х",E49,FIND("х",E49)+1)-FIND("х",E49)-1))</f>
        <v/>
      </c>
      <c r="T49" s="162">
        <f>IF(E49="","",--RIGHT(E49,LEN(E49)-FIND("х",E49,FIND("х",E49)+1)))</f>
        <v/>
      </c>
      <c r="U49" s="66">
        <f>(2*(R49+S49)+60)*(S49+T49+8)/1000000</f>
        <v/>
      </c>
      <c r="V49" s="66">
        <f>IF(OR(AND(R49&gt;=2*S49,R49&gt;=2*T49),AND(S49&gt;=2*R49,S49&gt;=2*T49),AND(T49&gt;=2*R49,T49&gt;=2*S49)),"Длинные","")</f>
        <v/>
      </c>
      <c r="W49" s="66">
        <f>IF(OR(AND(R49&lt;=S49/2,R49&lt;=T49/2),AND(S49&lt;=R49/2,S49&lt;=T49/2),AND(T49&lt;=R49/2,T49&lt;=S49/2)),"Плоские","")</f>
        <v/>
      </c>
      <c r="X49" s="160">
        <f>IF(LARGE($R49:$T49,1)="","",IF(LARGE($R49:$T49,1)&lt;=99,"10-99 мм",IF(LARGE($R49:$T49,1)&lt;=199,"100-199 мм",IF(LARGE($R49:$T49,1)&lt;=299,"200-299 мм",IF(LARGE($R49:$T49,1)&lt;=399,"300-399 мм",IF(LARGE($R49:$T49,1)&lt;=499,"400-499 мм",IF(LARGE($R49:$T49,1)&lt;=599,"500-599 мм",IF(LARGE($R49:$T49,1)&lt;=699,"600-699 мм",IF(LARGE($R49:$T49,1)&lt;=999,"700-999 мм","1000+ мм")))))))))</f>
        <v/>
      </c>
      <c r="Y49" s="160">
        <f>IF(LARGE($R49:$T49,2)="","",IF(LARGE($R49:$T49,2)&lt;=99,"10-99 мм",IF(LARGE($R49:$T49,2)&lt;=199,"100-199 мм",IF(LARGE($R49:$T49,2)&lt;=299,"200-299 мм",IF(LARGE($R49:$T49,2)&lt;=399,"300-399 мм",IF(LARGE($R49:$T49,2)&lt;=499,"400-499 мм",IF(LARGE($R49:$T49,2)&lt;=599,"500-599 мм",IF(LARGE($R49:$T49,2)&lt;=699,"600-699 мм",IF(LARGE($R49:$T49,2)&lt;=999,"700-999 мм","1000+ мм")))))))))</f>
        <v/>
      </c>
      <c r="Z49" s="160">
        <f>IF(SMALL($R49:$T49,1)="","",IF(SMALL($R49:$T49,1)&lt;=99,"10-99 мм",IF(SMALL($R49:$T49,1)&lt;=199,"100-199 мм",IF(SMALL($R49:$T49,1)&lt;=299,"200-299 мм",IF(SMALL($R49:$T49,1)&lt;=399,"300-399 мм",IF(SMALL($R49:$T49,1)&lt;=499,"400-499 мм",IF(SMALL($R49:$T49,1)&lt;=599,"500-599 мм",IF(SMALL($R49:$T49,1)&lt;=699,"600-699 мм",IF(SMALL($R49:$T49,1)&lt;=999,"700-999 мм","1000+ мм")))))))))</f>
        <v/>
      </c>
      <c r="AA49" s="101">
        <f>IF(G49="","",IF(G49="Л","Лист гофрокартона",IF(G49="КД","Крышка-дно",IF(G49="С","Самосборные",IF(G49="Ч","Четырехклапанные",IF(G49="А","Архивные","Неизвестно"))))))</f>
        <v/>
      </c>
      <c r="AB49" s="66" t="n">
        <v>1.73</v>
      </c>
      <c r="AC49" s="101">
        <f>IF(O49="","",IF(O49&lt;=1,"0-1 литров",IF(O49&lt;=3,"2-3 литра",IF(O49&lt;=5,"4-5 литра",IF(O49&lt;=7,"6-7 литра",IF(O49&lt;=9,"8-9 литров",IF(O49&lt;=14,"10-14 литров",IF(O49&lt;=19,"15-19 литров",IF(O49&lt;=29,"20-29 литров",IF(O49&lt;=49,"30-49 литров",IF(O49&lt;=59,"50-59 литров",IF(O49&lt;=70,"60-69 литров",IF(O49&lt;=79,"70-79 литров",IF(O49&lt;=89,"80-89 литров",IF(O49&lt;=99,"90-99 литров",IF(O49&lt;=200,"100-200 литров","200+ литров"))))))))))))))))</f>
        <v/>
      </c>
    </row>
    <row r="50">
      <c r="A50" s="64" t="n">
        <v>0.86</v>
      </c>
      <c r="B50" s="65">
        <f>A50*1.2</f>
        <v/>
      </c>
      <c r="C50" s="109" t="n">
        <v>50</v>
      </c>
      <c r="D50" s="116" t="inlineStr">
        <is>
          <t>У</t>
        </is>
      </c>
      <c r="E50" s="88" t="inlineStr">
        <is>
          <t>935х135х55</t>
        </is>
      </c>
      <c r="G50" s="83" t="inlineStr">
        <is>
          <t>С</t>
        </is>
      </c>
      <c r="H50" s="146" t="inlineStr">
        <is>
          <t>0421</t>
        </is>
      </c>
      <c r="I50" s="83" t="inlineStr">
        <is>
          <t>В</t>
        </is>
      </c>
      <c r="J50" s="83" t="inlineStr">
        <is>
          <t>х</t>
        </is>
      </c>
      <c r="K50" s="116" t="inlineStr">
        <is>
          <t>K50</t>
        </is>
      </c>
      <c r="N50" s="239">
        <f>IF(D50="","",IF(LEFT(D50,1)="0",0,1))</f>
        <v/>
      </c>
      <c r="O50" s="80">
        <f>ROUND(R50*S50*T50/1000000,2)</f>
        <v/>
      </c>
      <c r="P50" s="160">
        <f>IF(O50="","",
IF(O50&lt;1,"0,1-0,9 литров",
IF(O50&lt;2,"1-1,9 литра",
IF(O50&lt;3,"2-2,9 литра",
IF(O50&lt;4,"3-3,9 литра",
IF(O50&lt;6,"4-5,9 литра",IF(O50&lt;8,"6-7,9 литра",IF(O50&lt;10,"8-9,9 литров",IF(O50&lt;15,"10-14,9 литров",IF(O50&lt;20,"15-19,9 литров",IF(O50&lt;30,"20-29 литров",IF(O50&lt;50,"30-49 литров",IF(O50&lt;60,"50-59 литров",IF(O50&lt;70,"60-69 литров",IF(O50&lt;80,"70-79 литров",IF(O50&lt;90,"80-89 литров",IF(O50&lt;100,"90-99 литров",IF(O50&lt;200,"100-200 литров","200+ литров"))))))))))))))))))</f>
        <v/>
      </c>
      <c r="Q50" s="101">
        <f>IF(O50="","",IF(O50&lt;1,"&lt;1 л",IF(O50&lt;2,"1-2 л",IF(O50&lt;3,"2-3 л",IF(O50&lt;5,"3-5 л",IF(O50&lt;10,"5-10 л",IF(O50&lt;20,"10-20 л",IF(O50&lt;50,"20-50 л",IF(O50&lt;100,"50-100 л","100+ л")))))))))</f>
        <v/>
      </c>
      <c r="R50" s="162">
        <f>IF(E50="","",--LEFT(E50,FIND("х",E50)-1))</f>
        <v/>
      </c>
      <c r="S50" s="162">
        <f>IF(E50="","",--MID(E50,FIND("х",E50)+1,FIND("х",E50,FIND("х",E50)+1)-FIND("х",E50)-1))</f>
        <v/>
      </c>
      <c r="T50" s="162">
        <f>IF(E50="","",--RIGHT(E50,LEN(E50)-FIND("х",E50,FIND("х",E50)+1)))</f>
        <v/>
      </c>
      <c r="U50" s="66">
        <f>(2*(R50+S50)+60)*(S50+T50+8)/1000000</f>
        <v/>
      </c>
      <c r="V50" s="66">
        <f>IF(OR(AND(R50&gt;=2*S50,R50&gt;=2*T50),AND(S50&gt;=2*R50,S50&gt;=2*T50),AND(T50&gt;=2*R50,T50&gt;=2*S50)),"Длинные","")</f>
        <v/>
      </c>
      <c r="W50" s="66">
        <f>IF(OR(AND(R50&lt;=S50/2,R50&lt;=T50/2),AND(S50&lt;=R50/2,S50&lt;=T50/2),AND(T50&lt;=R50/2,T50&lt;=S50/2)),"Плоские","")</f>
        <v/>
      </c>
      <c r="X50" s="160">
        <f>IF(LARGE($R50:$T50,1)="","",IF(LARGE($R50:$T50,1)&lt;=99,"10-99 мм",IF(LARGE($R50:$T50,1)&lt;=199,"100-199 мм",IF(LARGE($R50:$T50,1)&lt;=299,"200-299 мм",IF(LARGE($R50:$T50,1)&lt;=399,"300-399 мм",IF(LARGE($R50:$T50,1)&lt;=499,"400-499 мм",IF(LARGE($R50:$T50,1)&lt;=599,"500-599 мм",IF(LARGE($R50:$T50,1)&lt;=699,"600-699 мм",IF(LARGE($R50:$T50,1)&lt;=999,"700-999 мм","1000+ мм")))))))))</f>
        <v/>
      </c>
      <c r="Y50" s="160">
        <f>IF(LARGE($R50:$T50,2)="","",IF(LARGE($R50:$T50,2)&lt;=99,"10-99 мм",IF(LARGE($R50:$T50,2)&lt;=199,"100-199 мм",IF(LARGE($R50:$T50,2)&lt;=299,"200-299 мм",IF(LARGE($R50:$T50,2)&lt;=399,"300-399 мм",IF(LARGE($R50:$T50,2)&lt;=499,"400-499 мм",IF(LARGE($R50:$T50,2)&lt;=599,"500-599 мм",IF(LARGE($R50:$T50,2)&lt;=699,"600-699 мм",IF(LARGE($R50:$T50,2)&lt;=999,"700-999 мм","1000+ мм")))))))))</f>
        <v/>
      </c>
      <c r="Z50" s="160">
        <f>IF(SMALL($R50:$T50,1)="","",IF(SMALL($R50:$T50,1)&lt;=99,"10-99 мм",IF(SMALL($R50:$T50,1)&lt;=199,"100-199 мм",IF(SMALL($R50:$T50,1)&lt;=299,"200-299 мм",IF(SMALL($R50:$T50,1)&lt;=399,"300-399 мм",IF(SMALL($R50:$T50,1)&lt;=499,"400-499 мм",IF(SMALL($R50:$T50,1)&lt;=599,"500-599 мм",IF(SMALL($R50:$T50,1)&lt;=699,"600-699 мм",IF(SMALL($R50:$T50,1)&lt;=999,"700-999 мм","1000+ мм")))))))))</f>
        <v/>
      </c>
      <c r="AA50" s="101">
        <f>IF(G50="","",IF(G50="Л","Лист гофрокартона",IF(G50="КД","Крышка-дно",IF(G50="С","Самосборные",IF(G50="Ч","Четырехклапанные",IF(G50="А","Архивные","Неизвестно"))))))</f>
        <v/>
      </c>
      <c r="AB50" s="66" t="n">
        <v>1.73</v>
      </c>
      <c r="AC50" s="101">
        <f>IF(O50="","",IF(O50&lt;=1,"0-1 литров",IF(O50&lt;=3,"2-3 литра",IF(O50&lt;=5,"4-5 литра",IF(O50&lt;=7,"6-7 литра",IF(O50&lt;=9,"8-9 литров",IF(O50&lt;=14,"10-14 литров",IF(O50&lt;=19,"15-19 литров",IF(O50&lt;=29,"20-29 литров",IF(O50&lt;=49,"30-49 литров",IF(O50&lt;=59,"50-59 литров",IF(O50&lt;=70,"60-69 литров",IF(O50&lt;=79,"70-79 литров",IF(O50&lt;=89,"80-89 литров",IF(O50&lt;=99,"90-99 литров",IF(O50&lt;=200,"100-200 литров","200+ литров"))))))))))))))))</f>
        <v/>
      </c>
    </row>
    <row r="51">
      <c r="A51" s="64" t="n">
        <v>0.16</v>
      </c>
      <c r="B51" s="65">
        <f>A51*1.2</f>
        <v/>
      </c>
      <c r="C51" s="109" t="n">
        <v>51</v>
      </c>
      <c r="D51" s="116" t="inlineStr">
        <is>
          <t>У</t>
        </is>
      </c>
      <c r="E51" s="88" t="inlineStr">
        <is>
          <t>80х80х80</t>
        </is>
      </c>
      <c r="G51" s="83" t="inlineStr">
        <is>
          <t>С</t>
        </is>
      </c>
      <c r="H51" s="146" t="inlineStr">
        <is>
          <t>0215</t>
        </is>
      </c>
      <c r="I51" s="83" t="inlineStr">
        <is>
          <t>Е</t>
        </is>
      </c>
      <c r="J51" s="83" t="inlineStr">
        <is>
          <t>х</t>
        </is>
      </c>
      <c r="K51" s="116" t="inlineStr">
        <is>
          <t>K51</t>
        </is>
      </c>
      <c r="N51" s="239">
        <f>IF(D51="","",IF(LEFT(D51,1)="0",0,1))</f>
        <v/>
      </c>
      <c r="O51" s="80">
        <f>ROUND(R51*S51*T51/1000000,2)</f>
        <v/>
      </c>
      <c r="P51" s="160">
        <f>IF(O51="","",
IF(O51&lt;1,"0,1-0,9 литров",
IF(O51&lt;2,"1-1,9 литра",
IF(O51&lt;3,"2-2,9 литра",
IF(O51&lt;4,"3-3,9 литра",
IF(O51&lt;6,"4-5,9 литра",IF(O51&lt;8,"6-7,9 литра",IF(O51&lt;10,"8-9,9 литров",IF(O51&lt;15,"10-14,9 литров",IF(O51&lt;20,"15-19,9 литров",IF(O51&lt;30,"20-29 литров",IF(O51&lt;50,"30-49 литров",IF(O51&lt;60,"50-59 литров",IF(O51&lt;70,"60-69 литров",IF(O51&lt;80,"70-79 литров",IF(O51&lt;90,"80-89 литров",IF(O51&lt;100,"90-99 литров",IF(O51&lt;200,"100-200 литров","200+ литров"))))))))))))))))))</f>
        <v/>
      </c>
      <c r="Q51" s="101">
        <f>IF(O51="","",IF(O51&lt;1,"&lt;1 л",IF(O51&lt;2,"1-2 л",IF(O51&lt;3,"2-3 л",IF(O51&lt;5,"3-5 л",IF(O51&lt;10,"5-10 л",IF(O51&lt;20,"10-20 л",IF(O51&lt;50,"20-50 л",IF(O51&lt;100,"50-100 л","100+ л")))))))))</f>
        <v/>
      </c>
      <c r="R51" s="162">
        <f>IF(E51="","",--LEFT(E51,FIND("х",E51)-1))</f>
        <v/>
      </c>
      <c r="S51" s="162">
        <f>IF(E51="","",--MID(E51,FIND("х",E51)+1,FIND("х",E51,FIND("х",E51)+1)-FIND("х",E51)-1))</f>
        <v/>
      </c>
      <c r="T51" s="162">
        <f>IF(E51="","",--RIGHT(E51,LEN(E51)-FIND("х",E51,FIND("х",E51)+1)))</f>
        <v/>
      </c>
      <c r="U51" s="66">
        <f>(2*(R51+S51)+60)*(S51+T51+8)/1000000</f>
        <v/>
      </c>
      <c r="V51" s="66">
        <f>IF(OR(AND(R51&gt;=2*S51,R51&gt;=2*T51),AND(S51&gt;=2*R51,S51&gt;=2*T51),AND(T51&gt;=2*R51,T51&gt;=2*S51)),"Длинные","")</f>
        <v/>
      </c>
      <c r="W51" s="66">
        <f>IF(OR(AND(R51&lt;=S51/2,R51&lt;=T51/2),AND(S51&lt;=R51/2,S51&lt;=T51/2),AND(T51&lt;=R51/2,T51&lt;=S51/2)),"Плоские","")</f>
        <v/>
      </c>
      <c r="X51" s="160">
        <f>IF(LARGE($R51:$T51,1)="","",IF(LARGE($R51:$T51,1)&lt;=99,"10-99 мм",IF(LARGE($R51:$T51,1)&lt;=199,"100-199 мм",IF(LARGE($R51:$T51,1)&lt;=299,"200-299 мм",IF(LARGE($R51:$T51,1)&lt;=399,"300-399 мм",IF(LARGE($R51:$T51,1)&lt;=499,"400-499 мм",IF(LARGE($R51:$T51,1)&lt;=599,"500-599 мм",IF(LARGE($R51:$T51,1)&lt;=699,"600-699 мм",IF(LARGE($R51:$T51,1)&lt;=999,"700-999 мм","1000+ мм")))))))))</f>
        <v/>
      </c>
      <c r="Y51" s="160">
        <f>IF(LARGE($R51:$T51,2)="","",IF(LARGE($R51:$T51,2)&lt;=99,"10-99 мм",IF(LARGE($R51:$T51,2)&lt;=199,"100-199 мм",IF(LARGE($R51:$T51,2)&lt;=299,"200-299 мм",IF(LARGE($R51:$T51,2)&lt;=399,"300-399 мм",IF(LARGE($R51:$T51,2)&lt;=499,"400-499 мм",IF(LARGE($R51:$T51,2)&lt;=599,"500-599 мм",IF(LARGE($R51:$T51,2)&lt;=699,"600-699 мм",IF(LARGE($R51:$T51,2)&lt;=999,"700-999 мм","1000+ мм")))))))))</f>
        <v/>
      </c>
      <c r="Z51" s="160">
        <f>IF(SMALL($R51:$T51,1)="","",IF(SMALL($R51:$T51,1)&lt;=99,"10-99 мм",IF(SMALL($R51:$T51,1)&lt;=199,"100-199 мм",IF(SMALL($R51:$T51,1)&lt;=299,"200-299 мм",IF(SMALL($R51:$T51,1)&lt;=399,"300-399 мм",IF(SMALL($R51:$T51,1)&lt;=499,"400-499 мм",IF(SMALL($R51:$T51,1)&lt;=599,"500-599 мм",IF(SMALL($R51:$T51,1)&lt;=699,"600-699 мм",IF(SMALL($R51:$T51,1)&lt;=999,"700-999 мм","1000+ мм")))))))))</f>
        <v/>
      </c>
      <c r="AA51" s="101">
        <f>IF(G51="","",IF(G51="Л","Лист гофрокартона",IF(G51="КД","Крышка-дно",IF(G51="С","Самосборные",IF(G51="Ч","Четырехклапанные",IF(G51="А","Архивные","Неизвестно"))))))</f>
        <v/>
      </c>
      <c r="AB51" s="66" t="n">
        <v>1.73</v>
      </c>
      <c r="AC51" s="101">
        <f>IF(O51="","",IF(O51&lt;=1,"0-1 литров",IF(O51&lt;=3,"2-3 литра",IF(O51&lt;=5,"4-5 литра",IF(O51&lt;=7,"6-7 литра",IF(O51&lt;=9,"8-9 литров",IF(O51&lt;=14,"10-14 литров",IF(O51&lt;=19,"15-19 литров",IF(O51&lt;=29,"20-29 литров",IF(O51&lt;=49,"30-49 литров",IF(O51&lt;=59,"50-59 литров",IF(O51&lt;=70,"60-69 литров",IF(O51&lt;=79,"70-79 литров",IF(O51&lt;=89,"80-89 литров",IF(O51&lt;=99,"90-99 литров",IF(O51&lt;=200,"100-200 литров","200+ литров"))))))))))))))))</f>
        <v/>
      </c>
    </row>
    <row r="52">
      <c r="A52" s="64" t="n">
        <v>0.19</v>
      </c>
      <c r="B52" s="65">
        <f>A52*1.2</f>
        <v/>
      </c>
      <c r="C52" s="109" t="n">
        <v>52</v>
      </c>
      <c r="D52" s="116" t="inlineStr">
        <is>
          <t>У</t>
        </is>
      </c>
      <c r="E52" s="88" t="inlineStr">
        <is>
          <t>205х60х60</t>
        </is>
      </c>
      <c r="G52" s="83" t="inlineStr">
        <is>
          <t>С</t>
        </is>
      </c>
      <c r="H52" s="146" t="inlineStr">
        <is>
          <t>0427</t>
        </is>
      </c>
      <c r="I52" s="83" t="inlineStr">
        <is>
          <t>Е</t>
        </is>
      </c>
      <c r="J52" s="83" t="inlineStr">
        <is>
          <t>У</t>
        </is>
      </c>
      <c r="K52" s="116" t="inlineStr">
        <is>
          <t>K52</t>
        </is>
      </c>
      <c r="N52" s="239">
        <f>IF(D52="","",IF(LEFT(D52,1)="0",0,1))</f>
        <v/>
      </c>
      <c r="O52" s="80">
        <f>ROUND(R52*S52*T52/1000000,2)</f>
        <v/>
      </c>
      <c r="P52" s="160">
        <f>IF(O52="","",
IF(O52&lt;1,"0,1-0,9 литров",
IF(O52&lt;2,"1-1,9 литра",
IF(O52&lt;3,"2-2,9 литра",
IF(O52&lt;4,"3-3,9 литра",
IF(O52&lt;6,"4-5,9 литра",IF(O52&lt;8,"6-7,9 литра",IF(O52&lt;10,"8-9,9 литров",IF(O52&lt;15,"10-14,9 литров",IF(O52&lt;20,"15-19,9 литров",IF(O52&lt;30,"20-29 литров",IF(O52&lt;50,"30-49 литров",IF(O52&lt;60,"50-59 литров",IF(O52&lt;70,"60-69 литров",IF(O52&lt;80,"70-79 литров",IF(O52&lt;90,"80-89 литров",IF(O52&lt;100,"90-99 литров",IF(O52&lt;200,"100-200 литров","200+ литров"))))))))))))))))))</f>
        <v/>
      </c>
      <c r="Q52" s="101">
        <f>IF(O52="","",IF(O52&lt;1,"&lt;1 л",IF(O52&lt;2,"1-2 л",IF(O52&lt;3,"2-3 л",IF(O52&lt;5,"3-5 л",IF(O52&lt;10,"5-10 л",IF(O52&lt;20,"10-20 л",IF(O52&lt;50,"20-50 л",IF(O52&lt;100,"50-100 л","100+ л")))))))))</f>
        <v/>
      </c>
      <c r="R52" s="162">
        <f>IF(E52="","",--LEFT(E52,FIND("х",E52)-1))</f>
        <v/>
      </c>
      <c r="S52" s="162">
        <f>IF(E52="","",--MID(E52,FIND("х",E52)+1,FIND("х",E52,FIND("х",E52)+1)-FIND("х",E52)-1))</f>
        <v/>
      </c>
      <c r="T52" s="162">
        <f>IF(E52="","",--RIGHT(E52,LEN(E52)-FIND("х",E52,FIND("х",E52)+1)))</f>
        <v/>
      </c>
      <c r="U52" s="66">
        <f>(2*(R52+S52)+60)*(S52+T52+8)/1000000</f>
        <v/>
      </c>
      <c r="V52" s="66">
        <f>IF(OR(AND(R52&gt;=2*S52,R52&gt;=2*T52),AND(S52&gt;=2*R52,S52&gt;=2*T52),AND(T52&gt;=2*R52,T52&gt;=2*S52)),"Длинные","")</f>
        <v/>
      </c>
      <c r="W52" s="66">
        <f>IF(OR(AND(R52&lt;=S52/2,R52&lt;=T52/2),AND(S52&lt;=R52/2,S52&lt;=T52/2),AND(T52&lt;=R52/2,T52&lt;=S52/2)),"Плоские","")</f>
        <v/>
      </c>
      <c r="X52" s="160">
        <f>IF(LARGE($R52:$T52,1)="","",IF(LARGE($R52:$T52,1)&lt;=99,"10-99 мм",IF(LARGE($R52:$T52,1)&lt;=199,"100-199 мм",IF(LARGE($R52:$T52,1)&lt;=299,"200-299 мм",IF(LARGE($R52:$T52,1)&lt;=399,"300-399 мм",IF(LARGE($R52:$T52,1)&lt;=499,"400-499 мм",IF(LARGE($R52:$T52,1)&lt;=599,"500-599 мм",IF(LARGE($R52:$T52,1)&lt;=699,"600-699 мм",IF(LARGE($R52:$T52,1)&lt;=999,"700-999 мм","1000+ мм")))))))))</f>
        <v/>
      </c>
      <c r="Y52" s="160">
        <f>IF(LARGE($R52:$T52,2)="","",IF(LARGE($R52:$T52,2)&lt;=99,"10-99 мм",IF(LARGE($R52:$T52,2)&lt;=199,"100-199 мм",IF(LARGE($R52:$T52,2)&lt;=299,"200-299 мм",IF(LARGE($R52:$T52,2)&lt;=399,"300-399 мм",IF(LARGE($R52:$T52,2)&lt;=499,"400-499 мм",IF(LARGE($R52:$T52,2)&lt;=599,"500-599 мм",IF(LARGE($R52:$T52,2)&lt;=699,"600-699 мм",IF(LARGE($R52:$T52,2)&lt;=999,"700-999 мм","1000+ мм")))))))))</f>
        <v/>
      </c>
      <c r="Z52" s="160">
        <f>IF(SMALL($R52:$T52,1)="","",IF(SMALL($R52:$T52,1)&lt;=99,"10-99 мм",IF(SMALL($R52:$T52,1)&lt;=199,"100-199 мм",IF(SMALL($R52:$T52,1)&lt;=299,"200-299 мм",IF(SMALL($R52:$T52,1)&lt;=399,"300-399 мм",IF(SMALL($R52:$T52,1)&lt;=499,"400-499 мм",IF(SMALL($R52:$T52,1)&lt;=599,"500-599 мм",IF(SMALL($R52:$T52,1)&lt;=699,"600-699 мм",IF(SMALL($R52:$T52,1)&lt;=999,"700-999 мм","1000+ мм")))))))))</f>
        <v/>
      </c>
      <c r="AA52" s="101">
        <f>IF(G52="","",IF(G52="Л","Лист гофрокартона",IF(G52="КД","Крышка-дно",IF(G52="С","Самосборные",IF(G52="Ч","Четырехклапанные",IF(G52="А","Архивные","Неизвестно"))))))</f>
        <v/>
      </c>
      <c r="AB52" s="66" t="n">
        <v>1.73</v>
      </c>
      <c r="AC52" s="101">
        <f>IF(O52="","",IF(O52&lt;=1,"0-1 литров",IF(O52&lt;=3,"2-3 литра",IF(O52&lt;=5,"4-5 литра",IF(O52&lt;=7,"6-7 литра",IF(O52&lt;=9,"8-9 литров",IF(O52&lt;=14,"10-14 литров",IF(O52&lt;=19,"15-19 литров",IF(O52&lt;=29,"20-29 литров",IF(O52&lt;=49,"30-49 литров",IF(O52&lt;=59,"50-59 литров",IF(O52&lt;=70,"60-69 литров",IF(O52&lt;=79,"70-79 литров",IF(O52&lt;=89,"80-89 литров",IF(O52&lt;=99,"90-99 литров",IF(O52&lt;=200,"100-200 литров","200+ литров"))))))))))))))))</f>
        <v/>
      </c>
    </row>
    <row r="53">
      <c r="A53" s="64" t="n">
        <v>0.29</v>
      </c>
      <c r="B53" s="65">
        <f>A53*1.2</f>
        <v/>
      </c>
      <c r="C53" s="109" t="n">
        <v>53</v>
      </c>
      <c r="D53" s="116" t="inlineStr">
        <is>
          <t>У</t>
        </is>
      </c>
      <c r="E53" s="88" t="inlineStr">
        <is>
          <t>245х75х75</t>
        </is>
      </c>
      <c r="G53" s="83" t="inlineStr">
        <is>
          <t>С</t>
        </is>
      </c>
      <c r="H53" s="146" t="inlineStr">
        <is>
          <t>0471</t>
        </is>
      </c>
      <c r="I53" s="83" t="inlineStr">
        <is>
          <t>Е</t>
        </is>
      </c>
      <c r="J53" s="83" t="inlineStr">
        <is>
          <t>х</t>
        </is>
      </c>
      <c r="K53" s="116" t="inlineStr">
        <is>
          <t>K53</t>
        </is>
      </c>
      <c r="N53" s="239">
        <f>IF(D53="","",IF(LEFT(D53,1)="0",0,1))</f>
        <v/>
      </c>
      <c r="O53" s="80">
        <f>ROUND(R53*S53*T53/1000000,2)</f>
        <v/>
      </c>
      <c r="P53" s="160">
        <f>IF(O53="","",
IF(O53&lt;1,"0,1-0,9 литров",
IF(O53&lt;2,"1-1,9 литра",
IF(O53&lt;3,"2-2,9 литра",
IF(O53&lt;4,"3-3,9 литра",
IF(O53&lt;6,"4-5,9 литра",IF(O53&lt;8,"6-7,9 литра",IF(O53&lt;10,"8-9,9 литров",IF(O53&lt;15,"10-14,9 литров",IF(O53&lt;20,"15-19,9 литров",IF(O53&lt;30,"20-29 литров",IF(O53&lt;50,"30-49 литров",IF(O53&lt;60,"50-59 литров",IF(O53&lt;70,"60-69 литров",IF(O53&lt;80,"70-79 литров",IF(O53&lt;90,"80-89 литров",IF(O53&lt;100,"90-99 литров",IF(O53&lt;200,"100-200 литров","200+ литров"))))))))))))))))))</f>
        <v/>
      </c>
      <c r="Q53" s="101">
        <f>IF(O53="","",IF(O53&lt;1,"&lt;1 л",IF(O53&lt;2,"1-2 л",IF(O53&lt;3,"2-3 л",IF(O53&lt;5,"3-5 л",IF(O53&lt;10,"5-10 л",IF(O53&lt;20,"10-20 л",IF(O53&lt;50,"20-50 л",IF(O53&lt;100,"50-100 л","100+ л")))))))))</f>
        <v/>
      </c>
      <c r="R53" s="162">
        <f>IF(E53="","",--LEFT(E53,FIND("х",E53)-1))</f>
        <v/>
      </c>
      <c r="S53" s="162">
        <f>IF(E53="","",--MID(E53,FIND("х",E53)+1,FIND("х",E53,FIND("х",E53)+1)-FIND("х",E53)-1))</f>
        <v/>
      </c>
      <c r="T53" s="162">
        <f>IF(E53="","",--RIGHT(E53,LEN(E53)-FIND("х",E53,FIND("х",E53)+1)))</f>
        <v/>
      </c>
      <c r="U53" s="66">
        <f>(2*(R53+S53)+60)*(S53+T53+8)/1000000</f>
        <v/>
      </c>
      <c r="V53" s="66">
        <f>IF(OR(AND(R53&gt;=2*S53,R53&gt;=2*T53),AND(S53&gt;=2*R53,S53&gt;=2*T53),AND(T53&gt;=2*R53,T53&gt;=2*S53)),"Длинные","")</f>
        <v/>
      </c>
      <c r="W53" s="66">
        <f>IF(OR(AND(R53&lt;=S53/2,R53&lt;=T53/2),AND(S53&lt;=R53/2,S53&lt;=T53/2),AND(T53&lt;=R53/2,T53&lt;=S53/2)),"Плоские","")</f>
        <v/>
      </c>
      <c r="X53" s="160">
        <f>IF(LARGE($R53:$T53,1)="","",IF(LARGE($R53:$T53,1)&lt;=99,"10-99 мм",IF(LARGE($R53:$T53,1)&lt;=199,"100-199 мм",IF(LARGE($R53:$T53,1)&lt;=299,"200-299 мм",IF(LARGE($R53:$T53,1)&lt;=399,"300-399 мм",IF(LARGE($R53:$T53,1)&lt;=499,"400-499 мм",IF(LARGE($R53:$T53,1)&lt;=599,"500-599 мм",IF(LARGE($R53:$T53,1)&lt;=699,"600-699 мм",IF(LARGE($R53:$T53,1)&lt;=999,"700-999 мм","1000+ мм")))))))))</f>
        <v/>
      </c>
      <c r="Y53" s="160">
        <f>IF(LARGE($R53:$T53,2)="","",IF(LARGE($R53:$T53,2)&lt;=99,"10-99 мм",IF(LARGE($R53:$T53,2)&lt;=199,"100-199 мм",IF(LARGE($R53:$T53,2)&lt;=299,"200-299 мм",IF(LARGE($R53:$T53,2)&lt;=399,"300-399 мм",IF(LARGE($R53:$T53,2)&lt;=499,"400-499 мм",IF(LARGE($R53:$T53,2)&lt;=599,"500-599 мм",IF(LARGE($R53:$T53,2)&lt;=699,"600-699 мм",IF(LARGE($R53:$T53,2)&lt;=999,"700-999 мм","1000+ мм")))))))))</f>
        <v/>
      </c>
      <c r="Z53" s="160">
        <f>IF(SMALL($R53:$T53,1)="","",IF(SMALL($R53:$T53,1)&lt;=99,"10-99 мм",IF(SMALL($R53:$T53,1)&lt;=199,"100-199 мм",IF(SMALL($R53:$T53,1)&lt;=299,"200-299 мм",IF(SMALL($R53:$T53,1)&lt;=399,"300-399 мм",IF(SMALL($R53:$T53,1)&lt;=499,"400-499 мм",IF(SMALL($R53:$T53,1)&lt;=599,"500-599 мм",IF(SMALL($R53:$T53,1)&lt;=699,"600-699 мм",IF(SMALL($R53:$T53,1)&lt;=999,"700-999 мм","1000+ мм")))))))))</f>
        <v/>
      </c>
      <c r="AA53" s="101">
        <f>IF(G53="","",IF(G53="Л","Лист гофрокартона",IF(G53="КД","Крышка-дно",IF(G53="С","Самосборные",IF(G53="Ч","Четырехклапанные",IF(G53="А","Архивные","Неизвестно"))))))</f>
        <v/>
      </c>
      <c r="AB53" s="66" t="n">
        <v>1.73</v>
      </c>
      <c r="AC53" s="101">
        <f>IF(O53="","",IF(O53&lt;=1,"0-1 литров",IF(O53&lt;=3,"2-3 литра",IF(O53&lt;=5,"4-5 литра",IF(O53&lt;=7,"6-7 литра",IF(O53&lt;=9,"8-9 литров",IF(O53&lt;=14,"10-14 литров",IF(O53&lt;=19,"15-19 литров",IF(O53&lt;=29,"20-29 литров",IF(O53&lt;=49,"30-49 литров",IF(O53&lt;=59,"50-59 литров",IF(O53&lt;=70,"60-69 литров",IF(O53&lt;=79,"70-79 литров",IF(O53&lt;=89,"80-89 литров",IF(O53&lt;=99,"90-99 литров",IF(O53&lt;=200,"100-200 литров","200+ литров"))))))))))))))))</f>
        <v/>
      </c>
    </row>
    <row r="54">
      <c r="A54" s="64" t="n">
        <v>0.42</v>
      </c>
      <c r="B54" s="65">
        <f>A54*1.2</f>
        <v/>
      </c>
      <c r="C54" s="109" t="n">
        <v>54</v>
      </c>
      <c r="D54" s="116" t="inlineStr">
        <is>
          <t>У</t>
        </is>
      </c>
      <c r="E54" s="88" t="inlineStr">
        <is>
          <t>145х115х115</t>
        </is>
      </c>
      <c r="G54" s="83" t="inlineStr">
        <is>
          <t>С</t>
        </is>
      </c>
      <c r="H54" s="146" t="inlineStr">
        <is>
          <t>0471</t>
        </is>
      </c>
      <c r="I54" s="83" t="inlineStr">
        <is>
          <t>В</t>
        </is>
      </c>
      <c r="J54" s="83" t="inlineStr">
        <is>
          <t>х</t>
        </is>
      </c>
      <c r="K54" s="116" t="inlineStr">
        <is>
          <t>K54</t>
        </is>
      </c>
      <c r="N54" s="239">
        <f>IF(D54="","",IF(LEFT(D54,1)="0",0,1))</f>
        <v/>
      </c>
      <c r="O54" s="80">
        <f>ROUND(R54*S54*T54/1000000,2)</f>
        <v/>
      </c>
      <c r="P54" s="160">
        <f>IF(O54="","",
IF(O54&lt;1,"0,1-0,9 литров",
IF(O54&lt;2,"1-1,9 литра",
IF(O54&lt;3,"2-2,9 литра",
IF(O54&lt;4,"3-3,9 литра",
IF(O54&lt;6,"4-5,9 литра",IF(O54&lt;8,"6-7,9 литра",IF(O54&lt;10,"8-9,9 литров",IF(O54&lt;15,"10-14,9 литров",IF(O54&lt;20,"15-19,9 литров",IF(O54&lt;30,"20-29 литров",IF(O54&lt;50,"30-49 литров",IF(O54&lt;60,"50-59 литров",IF(O54&lt;70,"60-69 литров",IF(O54&lt;80,"70-79 литров",IF(O54&lt;90,"80-89 литров",IF(O54&lt;100,"90-99 литров",IF(O54&lt;200,"100-200 литров","200+ литров"))))))))))))))))))</f>
        <v/>
      </c>
      <c r="Q54" s="101">
        <f>IF(O54="","",IF(O54&lt;1,"&lt;1 л",IF(O54&lt;2,"1-2 л",IF(O54&lt;3,"2-3 л",IF(O54&lt;5,"3-5 л",IF(O54&lt;10,"5-10 л",IF(O54&lt;20,"10-20 л",IF(O54&lt;50,"20-50 л",IF(O54&lt;100,"50-100 л","100+ л")))))))))</f>
        <v/>
      </c>
      <c r="R54" s="162">
        <f>IF(E54="","",--LEFT(E54,FIND("х",E54)-1))</f>
        <v/>
      </c>
      <c r="S54" s="162">
        <f>IF(E54="","",--MID(E54,FIND("х",E54)+1,FIND("х",E54,FIND("х",E54)+1)-FIND("х",E54)-1))</f>
        <v/>
      </c>
      <c r="T54" s="162">
        <f>IF(E54="","",--RIGHT(E54,LEN(E54)-FIND("х",E54,FIND("х",E54)+1)))</f>
        <v/>
      </c>
      <c r="U54" s="66">
        <f>(2*(R54+S54)+60)*(S54+T54+8)/1000000</f>
        <v/>
      </c>
      <c r="V54" s="66">
        <f>IF(OR(AND(R54&gt;=2*S54,R54&gt;=2*T54),AND(S54&gt;=2*R54,S54&gt;=2*T54),AND(T54&gt;=2*R54,T54&gt;=2*S54)),"Длинные","")</f>
        <v/>
      </c>
      <c r="W54" s="66">
        <f>IF(OR(AND(R54&lt;=S54/2,R54&lt;=T54/2),AND(S54&lt;=R54/2,S54&lt;=T54/2),AND(T54&lt;=R54/2,T54&lt;=S54/2)),"Плоские","")</f>
        <v/>
      </c>
      <c r="X54" s="160">
        <f>IF(LARGE($R54:$T54,1)="","",IF(LARGE($R54:$T54,1)&lt;=99,"10-99 мм",IF(LARGE($R54:$T54,1)&lt;=199,"100-199 мм",IF(LARGE($R54:$T54,1)&lt;=299,"200-299 мм",IF(LARGE($R54:$T54,1)&lt;=399,"300-399 мм",IF(LARGE($R54:$T54,1)&lt;=499,"400-499 мм",IF(LARGE($R54:$T54,1)&lt;=599,"500-599 мм",IF(LARGE($R54:$T54,1)&lt;=699,"600-699 мм",IF(LARGE($R54:$T54,1)&lt;=999,"700-999 мм","1000+ мм")))))))))</f>
        <v/>
      </c>
      <c r="Y54" s="160">
        <f>IF(LARGE($R54:$T54,2)="","",IF(LARGE($R54:$T54,2)&lt;=99,"10-99 мм",IF(LARGE($R54:$T54,2)&lt;=199,"100-199 мм",IF(LARGE($R54:$T54,2)&lt;=299,"200-299 мм",IF(LARGE($R54:$T54,2)&lt;=399,"300-399 мм",IF(LARGE($R54:$T54,2)&lt;=499,"400-499 мм",IF(LARGE($R54:$T54,2)&lt;=599,"500-599 мм",IF(LARGE($R54:$T54,2)&lt;=699,"600-699 мм",IF(LARGE($R54:$T54,2)&lt;=999,"700-999 мм","1000+ мм")))))))))</f>
        <v/>
      </c>
      <c r="Z54" s="160">
        <f>IF(SMALL($R54:$T54,1)="","",IF(SMALL($R54:$T54,1)&lt;=99,"10-99 мм",IF(SMALL($R54:$T54,1)&lt;=199,"100-199 мм",IF(SMALL($R54:$T54,1)&lt;=299,"200-299 мм",IF(SMALL($R54:$T54,1)&lt;=399,"300-399 мм",IF(SMALL($R54:$T54,1)&lt;=499,"400-499 мм",IF(SMALL($R54:$T54,1)&lt;=599,"500-599 мм",IF(SMALL($R54:$T54,1)&lt;=699,"600-699 мм",IF(SMALL($R54:$T54,1)&lt;=999,"700-999 мм","1000+ мм")))))))))</f>
        <v/>
      </c>
      <c r="AA54" s="101">
        <f>IF(G54="","",IF(G54="Л","Лист гофрокартона",IF(G54="КД","Крышка-дно",IF(G54="С","Самосборные",IF(G54="Ч","Четырехклапанные",IF(G54="А","Архивные","Неизвестно"))))))</f>
        <v/>
      </c>
      <c r="AB54" s="66" t="n">
        <v>1.73</v>
      </c>
      <c r="AC54" s="101">
        <f>IF(O54="","",IF(O54&lt;=1,"0-1 литров",IF(O54&lt;=3,"2-3 литра",IF(O54&lt;=5,"4-5 литра",IF(O54&lt;=7,"6-7 литра",IF(O54&lt;=9,"8-9 литров",IF(O54&lt;=14,"10-14 литров",IF(O54&lt;=19,"15-19 литров",IF(O54&lt;=29,"20-29 литров",IF(O54&lt;=49,"30-49 литров",IF(O54&lt;=59,"50-59 литров",IF(O54&lt;=70,"60-69 литров",IF(O54&lt;=79,"70-79 литров",IF(O54&lt;=89,"80-89 литров",IF(O54&lt;=99,"90-99 литров",IF(O54&lt;=200,"100-200 литров","200+ литров"))))))))))))))))</f>
        <v/>
      </c>
    </row>
    <row r="55">
      <c r="A55" s="64" t="n">
        <v>0.47</v>
      </c>
      <c r="B55" s="65">
        <f>A55*1.2</f>
        <v/>
      </c>
      <c r="C55" s="109" t="n">
        <v>55</v>
      </c>
      <c r="D55" s="116" t="inlineStr">
        <is>
          <t>У</t>
        </is>
      </c>
      <c r="E55" s="88" t="inlineStr">
        <is>
          <t>320х170х75</t>
        </is>
      </c>
      <c r="G55" s="83" t="inlineStr">
        <is>
          <t>С</t>
        </is>
      </c>
      <c r="H55" s="146" t="inlineStr">
        <is>
          <t>0201</t>
        </is>
      </c>
      <c r="I55" s="83" t="inlineStr">
        <is>
          <t>В</t>
        </is>
      </c>
      <c r="J55" s="83" t="inlineStr">
        <is>
          <t>х</t>
        </is>
      </c>
      <c r="K55" s="116" t="inlineStr">
        <is>
          <t>K55</t>
        </is>
      </c>
      <c r="N55" s="239">
        <f>IF(D55="","",IF(LEFT(D55,1)="0",0,1))</f>
        <v/>
      </c>
      <c r="O55" s="80">
        <f>ROUND(R55*S55*T55/1000000,2)</f>
        <v/>
      </c>
      <c r="P55" s="160">
        <f>IF(O55="","",
IF(O55&lt;1,"0,1-0,9 литров",
IF(O55&lt;2,"1-1,9 литра",
IF(O55&lt;3,"2-2,9 литра",
IF(O55&lt;4,"3-3,9 литра",
IF(O55&lt;6,"4-5,9 литра",IF(O55&lt;8,"6-7,9 литра",IF(O55&lt;10,"8-9,9 литров",IF(O55&lt;15,"10-14,9 литров",IF(O55&lt;20,"15-19,9 литров",IF(O55&lt;30,"20-29 литров",IF(O55&lt;50,"30-49 литров",IF(O55&lt;60,"50-59 литров",IF(O55&lt;70,"60-69 литров",IF(O55&lt;80,"70-79 литров",IF(O55&lt;90,"80-89 литров",IF(O55&lt;100,"90-99 литров",IF(O55&lt;200,"100-200 литров","200+ литров"))))))))))))))))))</f>
        <v/>
      </c>
      <c r="Q55" s="101">
        <f>IF(O55="","",IF(O55&lt;1,"&lt;1 л",IF(O55&lt;2,"1-2 л",IF(O55&lt;3,"2-3 л",IF(O55&lt;5,"3-5 л",IF(O55&lt;10,"5-10 л",IF(O55&lt;20,"10-20 л",IF(O55&lt;50,"20-50 л",IF(O55&lt;100,"50-100 л","100+ л")))))))))</f>
        <v/>
      </c>
      <c r="R55" s="162">
        <f>IF(E55="","",--LEFT(E55,FIND("х",E55)-1))</f>
        <v/>
      </c>
      <c r="S55" s="162">
        <f>IF(E55="","",--MID(E55,FIND("х",E55)+1,FIND("х",E55,FIND("х",E55)+1)-FIND("х",E55)-1))</f>
        <v/>
      </c>
      <c r="T55" s="162">
        <f>IF(E55="","",--RIGHT(E55,LEN(E55)-FIND("х",E55,FIND("х",E55)+1)))</f>
        <v/>
      </c>
      <c r="U55" s="66">
        <f>(2*(R55+S55)+60)*(S55+T55+8)/1000000</f>
        <v/>
      </c>
      <c r="V55" s="66">
        <f>IF(OR(AND(R55&gt;=2*S55,R55&gt;=2*T55),AND(S55&gt;=2*R55,S55&gt;=2*T55),AND(T55&gt;=2*R55,T55&gt;=2*S55)),"Длинные","")</f>
        <v/>
      </c>
      <c r="W55" s="66">
        <f>IF(OR(AND(R55&lt;=S55/2,R55&lt;=T55/2),AND(S55&lt;=R55/2,S55&lt;=T55/2),AND(T55&lt;=R55/2,T55&lt;=S55/2)),"Плоские","")</f>
        <v/>
      </c>
      <c r="X55" s="160">
        <f>IF(LARGE($R55:$T55,1)="","",IF(LARGE($R55:$T55,1)&lt;=99,"10-99 мм",IF(LARGE($R55:$T55,1)&lt;=199,"100-199 мм",IF(LARGE($R55:$T55,1)&lt;=299,"200-299 мм",IF(LARGE($R55:$T55,1)&lt;=399,"300-399 мм",IF(LARGE($R55:$T55,1)&lt;=499,"400-499 мм",IF(LARGE($R55:$T55,1)&lt;=599,"500-599 мм",IF(LARGE($R55:$T55,1)&lt;=699,"600-699 мм",IF(LARGE($R55:$T55,1)&lt;=999,"700-999 мм","1000+ мм")))))))))</f>
        <v/>
      </c>
      <c r="Y55" s="160">
        <f>IF(LARGE($R55:$T55,2)="","",IF(LARGE($R55:$T55,2)&lt;=99,"10-99 мм",IF(LARGE($R55:$T55,2)&lt;=199,"100-199 мм",IF(LARGE($R55:$T55,2)&lt;=299,"200-299 мм",IF(LARGE($R55:$T55,2)&lt;=399,"300-399 мм",IF(LARGE($R55:$T55,2)&lt;=499,"400-499 мм",IF(LARGE($R55:$T55,2)&lt;=599,"500-599 мм",IF(LARGE($R55:$T55,2)&lt;=699,"600-699 мм",IF(LARGE($R55:$T55,2)&lt;=999,"700-999 мм","1000+ мм")))))))))</f>
        <v/>
      </c>
      <c r="Z55" s="160">
        <f>IF(SMALL($R55:$T55,1)="","",IF(SMALL($R55:$T55,1)&lt;=99,"10-99 мм",IF(SMALL($R55:$T55,1)&lt;=199,"100-199 мм",IF(SMALL($R55:$T55,1)&lt;=299,"200-299 мм",IF(SMALL($R55:$T55,1)&lt;=399,"300-399 мм",IF(SMALL($R55:$T55,1)&lt;=499,"400-499 мм",IF(SMALL($R55:$T55,1)&lt;=599,"500-599 мм",IF(SMALL($R55:$T55,1)&lt;=699,"600-699 мм",IF(SMALL($R55:$T55,1)&lt;=999,"700-999 мм","1000+ мм")))))))))</f>
        <v/>
      </c>
      <c r="AA55" s="101">
        <f>IF(G55="","",IF(G55="Л","Лист гофрокартона",IF(G55="КД","Крышка-дно",IF(G55="С","Самосборные",IF(G55="Ч","Четырехклапанные",IF(G55="А","Архивные","Неизвестно"))))))</f>
        <v/>
      </c>
      <c r="AB55" s="66" t="n">
        <v>1.73</v>
      </c>
      <c r="AC55" s="101">
        <f>IF(O55="","",IF(O55&lt;=1,"0-1 литров",IF(O55&lt;=3,"2-3 литра",IF(O55&lt;=5,"4-5 литра",IF(O55&lt;=7,"6-7 литра",IF(O55&lt;=9,"8-9 литров",IF(O55&lt;=14,"10-14 литров",IF(O55&lt;=19,"15-19 литров",IF(O55&lt;=29,"20-29 литров",IF(O55&lt;=49,"30-49 литров",IF(O55&lt;=59,"50-59 литров",IF(O55&lt;=70,"60-69 литров",IF(O55&lt;=79,"70-79 литров",IF(O55&lt;=89,"80-89 литров",IF(O55&lt;=99,"90-99 литров",IF(O55&lt;=200,"100-200 литров","200+ литров"))))))))))))))))</f>
        <v/>
      </c>
    </row>
    <row r="56">
      <c r="A56" s="64" t="n">
        <v>1.02</v>
      </c>
      <c r="B56" s="65">
        <f>A56*1.2</f>
        <v/>
      </c>
      <c r="C56" s="109" t="n">
        <v>56</v>
      </c>
      <c r="D56" s="116" t="inlineStr">
        <is>
          <t>У</t>
        </is>
      </c>
      <c r="E56" s="88" t="inlineStr">
        <is>
          <t>820х110х110</t>
        </is>
      </c>
      <c r="G56" s="83" t="inlineStr">
        <is>
          <t>С</t>
        </is>
      </c>
      <c r="H56" s="146" t="inlineStr">
        <is>
          <t>0471</t>
        </is>
      </c>
      <c r="I56" s="83" t="inlineStr">
        <is>
          <t>В</t>
        </is>
      </c>
      <c r="J56" s="83" t="inlineStr">
        <is>
          <t>х</t>
        </is>
      </c>
      <c r="K56" s="116" t="inlineStr">
        <is>
          <t>K56</t>
        </is>
      </c>
      <c r="N56" s="239">
        <f>IF(D56="","",IF(LEFT(D56,1)="0",0,1))</f>
        <v/>
      </c>
      <c r="O56" s="80">
        <f>ROUND(R56*S56*T56/1000000,2)</f>
        <v/>
      </c>
      <c r="P56" s="160">
        <f>IF(O56="","",
IF(O56&lt;1,"0,1-0,9 литров",
IF(O56&lt;2,"1-1,9 литра",
IF(O56&lt;3,"2-2,9 литра",
IF(O56&lt;4,"3-3,9 литра",
IF(O56&lt;6,"4-5,9 литра",IF(O56&lt;8,"6-7,9 литра",IF(O56&lt;10,"8-9,9 литров",IF(O56&lt;15,"10-14,9 литров",IF(O56&lt;20,"15-19,9 литров",IF(O56&lt;30,"20-29 литров",IF(O56&lt;50,"30-49 литров",IF(O56&lt;60,"50-59 литров",IF(O56&lt;70,"60-69 литров",IF(O56&lt;80,"70-79 литров",IF(O56&lt;90,"80-89 литров",IF(O56&lt;100,"90-99 литров",IF(O56&lt;200,"100-200 литров","200+ литров"))))))))))))))))))</f>
        <v/>
      </c>
      <c r="Q56" s="101">
        <f>IF(O56="","",IF(O56&lt;1,"&lt;1 л",IF(O56&lt;2,"1-2 л",IF(O56&lt;3,"2-3 л",IF(O56&lt;5,"3-5 л",IF(O56&lt;10,"5-10 л",IF(O56&lt;20,"10-20 л",IF(O56&lt;50,"20-50 л",IF(O56&lt;100,"50-100 л","100+ л")))))))))</f>
        <v/>
      </c>
      <c r="R56" s="162">
        <f>IF(E56="","",--LEFT(E56,FIND("х",E56)-1))</f>
        <v/>
      </c>
      <c r="S56" s="162">
        <f>IF(E56="","",--MID(E56,FIND("х",E56)+1,FIND("х",E56,FIND("х",E56)+1)-FIND("х",E56)-1))</f>
        <v/>
      </c>
      <c r="T56" s="162">
        <f>IF(E56="","",--RIGHT(E56,LEN(E56)-FIND("х",E56,FIND("х",E56)+1)))</f>
        <v/>
      </c>
      <c r="U56" s="66">
        <f>(2*(R56+S56)+60)*(S56+T56+8)/1000000</f>
        <v/>
      </c>
      <c r="V56" s="66">
        <f>IF(OR(AND(R56&gt;=2*S56,R56&gt;=2*T56),AND(S56&gt;=2*R56,S56&gt;=2*T56),AND(T56&gt;=2*R56,T56&gt;=2*S56)),"Длинные","")</f>
        <v/>
      </c>
      <c r="W56" s="66">
        <f>IF(OR(AND(R56&lt;=S56/2,R56&lt;=T56/2),AND(S56&lt;=R56/2,S56&lt;=T56/2),AND(T56&lt;=R56/2,T56&lt;=S56/2)),"Плоские","")</f>
        <v/>
      </c>
      <c r="X56" s="160">
        <f>IF(LARGE($R56:$T56,1)="","",IF(LARGE($R56:$T56,1)&lt;=99,"10-99 мм",IF(LARGE($R56:$T56,1)&lt;=199,"100-199 мм",IF(LARGE($R56:$T56,1)&lt;=299,"200-299 мм",IF(LARGE($R56:$T56,1)&lt;=399,"300-399 мм",IF(LARGE($R56:$T56,1)&lt;=499,"400-499 мм",IF(LARGE($R56:$T56,1)&lt;=599,"500-599 мм",IF(LARGE($R56:$T56,1)&lt;=699,"600-699 мм",IF(LARGE($R56:$T56,1)&lt;=999,"700-999 мм","1000+ мм")))))))))</f>
        <v/>
      </c>
      <c r="Y56" s="160">
        <f>IF(LARGE($R56:$T56,2)="","",IF(LARGE($R56:$T56,2)&lt;=99,"10-99 мм",IF(LARGE($R56:$T56,2)&lt;=199,"100-199 мм",IF(LARGE($R56:$T56,2)&lt;=299,"200-299 мм",IF(LARGE($R56:$T56,2)&lt;=399,"300-399 мм",IF(LARGE($R56:$T56,2)&lt;=499,"400-499 мм",IF(LARGE($R56:$T56,2)&lt;=599,"500-599 мм",IF(LARGE($R56:$T56,2)&lt;=699,"600-699 мм",IF(LARGE($R56:$T56,2)&lt;=999,"700-999 мм","1000+ мм")))))))))</f>
        <v/>
      </c>
      <c r="Z56" s="160">
        <f>IF(SMALL($R56:$T56,1)="","",IF(SMALL($R56:$T56,1)&lt;=99,"10-99 мм",IF(SMALL($R56:$T56,1)&lt;=199,"100-199 мм",IF(SMALL($R56:$T56,1)&lt;=299,"200-299 мм",IF(SMALL($R56:$T56,1)&lt;=399,"300-399 мм",IF(SMALL($R56:$T56,1)&lt;=499,"400-499 мм",IF(SMALL($R56:$T56,1)&lt;=599,"500-599 мм",IF(SMALL($R56:$T56,1)&lt;=699,"600-699 мм",IF(SMALL($R56:$T56,1)&lt;=999,"700-999 мм","1000+ мм")))))))))</f>
        <v/>
      </c>
      <c r="AA56" s="101">
        <f>IF(G56="","",IF(G56="Л","Лист гофрокартона",IF(G56="КД","Крышка-дно",IF(G56="С","Самосборные",IF(G56="Ч","Четырехклапанные",IF(G56="А","Архивные","Неизвестно"))))))</f>
        <v/>
      </c>
      <c r="AB56" s="66" t="n">
        <v>1.73</v>
      </c>
      <c r="AC56" s="101">
        <f>IF(O56="","",IF(O56&lt;=1,"0-1 литров",IF(O56&lt;=3,"2-3 литра",IF(O56&lt;=5,"4-5 литра",IF(O56&lt;=7,"6-7 литра",IF(O56&lt;=9,"8-9 литров",IF(O56&lt;=14,"10-14 литров",IF(O56&lt;=19,"15-19 литров",IF(O56&lt;=29,"20-29 литров",IF(O56&lt;=49,"30-49 литров",IF(O56&lt;=59,"50-59 литров",IF(O56&lt;=70,"60-69 литров",IF(O56&lt;=79,"70-79 литров",IF(O56&lt;=89,"80-89 литров",IF(O56&lt;=99,"90-99 литров",IF(O56&lt;=200,"100-200 литров","200+ литров"))))))))))))))))</f>
        <v/>
      </c>
    </row>
    <row r="57">
      <c r="A57" s="64" t="n">
        <v>2.01</v>
      </c>
      <c r="B57" s="65">
        <f>A57*1.2</f>
        <v/>
      </c>
      <c r="C57" s="109" t="n">
        <v>57</v>
      </c>
      <c r="D57" s="116" t="inlineStr">
        <is>
          <t>У</t>
        </is>
      </c>
      <c r="E57" s="88" t="inlineStr">
        <is>
          <t>440х330х386</t>
        </is>
      </c>
      <c r="G57" s="83" t="inlineStr">
        <is>
          <t>Ч</t>
        </is>
      </c>
      <c r="H57" s="146" t="inlineStr">
        <is>
          <t>0201</t>
        </is>
      </c>
      <c r="I57" s="83" t="inlineStr">
        <is>
          <t>В</t>
        </is>
      </c>
      <c r="J57" s="83" t="inlineStr">
        <is>
          <t>х</t>
        </is>
      </c>
      <c r="K57" s="116" t="inlineStr">
        <is>
          <t>K57</t>
        </is>
      </c>
      <c r="N57" s="239">
        <f>IF(D57="","",IF(LEFT(D57,1)="0",0,1))</f>
        <v/>
      </c>
      <c r="O57" s="80">
        <f>ROUND(R57*S57*T57/1000000,2)</f>
        <v/>
      </c>
      <c r="P57" s="160">
        <f>IF(O57="","",
IF(O57&lt;1,"0,1-0,9 литров",
IF(O57&lt;2,"1-1,9 литра",
IF(O57&lt;3,"2-2,9 литра",
IF(O57&lt;4,"3-3,9 литра",
IF(O57&lt;6,"4-5,9 литра",IF(O57&lt;8,"6-7,9 литра",IF(O57&lt;10,"8-9,9 литров",IF(O57&lt;15,"10-14,9 литров",IF(O57&lt;20,"15-19,9 литров",IF(O57&lt;30,"20-29 литров",IF(O57&lt;50,"30-49 литров",IF(O57&lt;60,"50-59 литров",IF(O57&lt;70,"60-69 литров",IF(O57&lt;80,"70-79 литров",IF(O57&lt;90,"80-89 литров",IF(O57&lt;100,"90-99 литров",IF(O57&lt;200,"100-200 литров","200+ литров"))))))))))))))))))</f>
        <v/>
      </c>
      <c r="Q57" s="101">
        <f>IF(O57="","",IF(O57&lt;1,"&lt;1 л",IF(O57&lt;2,"1-2 л",IF(O57&lt;3,"2-3 л",IF(O57&lt;5,"3-5 л",IF(O57&lt;10,"5-10 л",IF(O57&lt;20,"10-20 л",IF(O57&lt;50,"20-50 л",IF(O57&lt;100,"50-100 л","100+ л")))))))))</f>
        <v/>
      </c>
      <c r="R57" s="162">
        <f>IF(E57="","",--LEFT(E57,FIND("х",E57)-1))</f>
        <v/>
      </c>
      <c r="S57" s="162">
        <f>IF(E57="","",--MID(E57,FIND("х",E57)+1,FIND("х",E57,FIND("х",E57)+1)-FIND("х",E57)-1))</f>
        <v/>
      </c>
      <c r="T57" s="162">
        <f>IF(E57="","",--RIGHT(E57,LEN(E57)-FIND("х",E57,FIND("х",E57)+1)))</f>
        <v/>
      </c>
      <c r="U57" s="66">
        <f>(2*(R57+S57)+60)*(S57+T57+8)/1000000</f>
        <v/>
      </c>
      <c r="V57" s="66">
        <f>IF(OR(AND(R57&gt;=2*S57,R57&gt;=2*T57),AND(S57&gt;=2*R57,S57&gt;=2*T57),AND(T57&gt;=2*R57,T57&gt;=2*S57)),"Длинные","")</f>
        <v/>
      </c>
      <c r="W57" s="66">
        <f>IF(OR(AND(R57&lt;=S57/2,R57&lt;=T57/2),AND(S57&lt;=R57/2,S57&lt;=T57/2),AND(T57&lt;=R57/2,T57&lt;=S57/2)),"Плоские","")</f>
        <v/>
      </c>
      <c r="X57" s="160">
        <f>IF(LARGE($R57:$T57,1)="","",IF(LARGE($R57:$T57,1)&lt;=99,"10-99 мм",IF(LARGE($R57:$T57,1)&lt;=199,"100-199 мм",IF(LARGE($R57:$T57,1)&lt;=299,"200-299 мм",IF(LARGE($R57:$T57,1)&lt;=399,"300-399 мм",IF(LARGE($R57:$T57,1)&lt;=499,"400-499 мм",IF(LARGE($R57:$T57,1)&lt;=599,"500-599 мм",IF(LARGE($R57:$T57,1)&lt;=699,"600-699 мм",IF(LARGE($R57:$T57,1)&lt;=999,"700-999 мм","1000+ мм")))))))))</f>
        <v/>
      </c>
      <c r="Y57" s="160">
        <f>IF(LARGE($R57:$T57,2)="","",IF(LARGE($R57:$T57,2)&lt;=99,"10-99 мм",IF(LARGE($R57:$T57,2)&lt;=199,"100-199 мм",IF(LARGE($R57:$T57,2)&lt;=299,"200-299 мм",IF(LARGE($R57:$T57,2)&lt;=399,"300-399 мм",IF(LARGE($R57:$T57,2)&lt;=499,"400-499 мм",IF(LARGE($R57:$T57,2)&lt;=599,"500-599 мм",IF(LARGE($R57:$T57,2)&lt;=699,"600-699 мм",IF(LARGE($R57:$T57,2)&lt;=999,"700-999 мм","1000+ мм")))))))))</f>
        <v/>
      </c>
      <c r="Z57" s="160">
        <f>IF(SMALL($R57:$T57,1)="","",IF(SMALL($R57:$T57,1)&lt;=99,"10-99 мм",IF(SMALL($R57:$T57,1)&lt;=199,"100-199 мм",IF(SMALL($R57:$T57,1)&lt;=299,"200-299 мм",IF(SMALL($R57:$T57,1)&lt;=399,"300-399 мм",IF(SMALL($R57:$T57,1)&lt;=499,"400-499 мм",IF(SMALL($R57:$T57,1)&lt;=599,"500-599 мм",IF(SMALL($R57:$T57,1)&lt;=699,"600-699 мм",IF(SMALL($R57:$T57,1)&lt;=999,"700-999 мм","1000+ мм")))))))))</f>
        <v/>
      </c>
      <c r="AA57" s="101">
        <f>IF(G57="","",IF(G57="Л","Лист гофрокартона",IF(G57="КД","Крышка-дно",IF(G57="С","Самосборные",IF(G57="Ч","Четырехклапанные",IF(G57="А","Архивные","Неизвестно"))))))</f>
        <v/>
      </c>
      <c r="AB57" s="66" t="n">
        <v>1.73</v>
      </c>
      <c r="AC57" s="101">
        <f>IF(O57="","",IF(O57&lt;=1,"0-1 литров",IF(O57&lt;=3,"2-3 литра",IF(O57&lt;=5,"4-5 литра",IF(O57&lt;=7,"6-7 литра",IF(O57&lt;=9,"8-9 литров",IF(O57&lt;=14,"10-14 литров",IF(O57&lt;=19,"15-19 литров",IF(O57&lt;=29,"20-29 литров",IF(O57&lt;=49,"30-49 литров",IF(O57&lt;=59,"50-59 литров",IF(O57&lt;=70,"60-69 литров",IF(O57&lt;=79,"70-79 литров",IF(O57&lt;=89,"80-89 литров",IF(O57&lt;=99,"90-99 литров",IF(O57&lt;=200,"100-200 литров","200+ литров"))))))))))))))))</f>
        <v/>
      </c>
    </row>
    <row r="58">
      <c r="A58" s="64" t="n">
        <v>6.55</v>
      </c>
      <c r="B58" s="65">
        <f>A58*1.2</f>
        <v/>
      </c>
      <c r="C58" s="109" t="n">
        <v>58</v>
      </c>
      <c r="D58" s="116" t="inlineStr">
        <is>
          <t>У</t>
        </is>
      </c>
      <c r="E58" s="88" t="inlineStr">
        <is>
          <t>795х510х870</t>
        </is>
      </c>
      <c r="F58" s="213" t="inlineStr">
        <is>
          <t>П32</t>
        </is>
      </c>
      <c r="G58" s="83" t="inlineStr">
        <is>
          <t>Ч</t>
        </is>
      </c>
      <c r="H58" s="146" t="inlineStr">
        <is>
          <t>0200</t>
        </is>
      </c>
      <c r="I58" s="83" t="inlineStr">
        <is>
          <t>ВС</t>
        </is>
      </c>
      <c r="J58" s="83" t="inlineStr">
        <is>
          <t>х</t>
        </is>
      </c>
      <c r="K58" s="116" t="inlineStr">
        <is>
          <t>K58</t>
        </is>
      </c>
      <c r="N58" s="239">
        <f>IF(D58="","",IF(LEFT(D58,1)="0",0,1))</f>
        <v/>
      </c>
      <c r="O58" s="80">
        <f>ROUND(R58*S58*T58/1000000,2)</f>
        <v/>
      </c>
      <c r="P58" s="160">
        <f>IF(O58="","",
IF(O58&lt;1,"0,1-0,9 литров",
IF(O58&lt;2,"1-1,9 литра",
IF(O58&lt;3,"2-2,9 литра",
IF(O58&lt;4,"3-3,9 литра",
IF(O58&lt;6,"4-5,9 литра",IF(O58&lt;8,"6-7,9 литра",IF(O58&lt;10,"8-9,9 литров",IF(O58&lt;15,"10-14,9 литров",IF(O58&lt;20,"15-19,9 литров",IF(O58&lt;30,"20-29 литров",IF(O58&lt;50,"30-49 литров",IF(O58&lt;60,"50-59 литров",IF(O58&lt;70,"60-69 литров",IF(O58&lt;80,"70-79 литров",IF(O58&lt;90,"80-89 литров",IF(O58&lt;100,"90-99 литров",IF(O58&lt;200,"100-200 литров","200+ литров"))))))))))))))))))</f>
        <v/>
      </c>
      <c r="Q58" s="101">
        <f>IF(O58="","",IF(O58&lt;1,"&lt;1 л",IF(O58&lt;2,"1-2 л",IF(O58&lt;3,"2-3 л",IF(O58&lt;5,"3-5 л",IF(O58&lt;10,"5-10 л",IF(O58&lt;20,"10-20 л",IF(O58&lt;50,"20-50 л",IF(O58&lt;100,"50-100 л","100+ л")))))))))</f>
        <v/>
      </c>
      <c r="R58" s="162">
        <f>IF(E58="","",--LEFT(E58,FIND("х",E58)-1))</f>
        <v/>
      </c>
      <c r="S58" s="162">
        <f>IF(E58="","",--MID(E58,FIND("х",E58)+1,FIND("х",E58,FIND("х",E58)+1)-FIND("х",E58)-1))</f>
        <v/>
      </c>
      <c r="T58" s="162">
        <f>IF(E58="","",--RIGHT(E58,LEN(E58)-FIND("х",E58,FIND("х",E58)+1)))</f>
        <v/>
      </c>
      <c r="U58" s="66">
        <f>(2*(R58+S58)+60)*(S58+T58+8)/1000000</f>
        <v/>
      </c>
      <c r="V58" s="66">
        <f>IF(OR(AND(R58&gt;=2*S58,R58&gt;=2*T58),AND(S58&gt;=2*R58,S58&gt;=2*T58),AND(T58&gt;=2*R58,T58&gt;=2*S58)),"Длинные","")</f>
        <v/>
      </c>
      <c r="W58" s="66">
        <f>IF(OR(AND(R58&lt;=S58/2,R58&lt;=T58/2),AND(S58&lt;=R58/2,S58&lt;=T58/2),AND(T58&lt;=R58/2,T58&lt;=S58/2)),"Плоские","")</f>
        <v/>
      </c>
      <c r="X58" s="160">
        <f>IF(LARGE($R58:$T58,1)="","",IF(LARGE($R58:$T58,1)&lt;=99,"10-99 мм",IF(LARGE($R58:$T58,1)&lt;=199,"100-199 мм",IF(LARGE($R58:$T58,1)&lt;=299,"200-299 мм",IF(LARGE($R58:$T58,1)&lt;=399,"300-399 мм",IF(LARGE($R58:$T58,1)&lt;=499,"400-499 мм",IF(LARGE($R58:$T58,1)&lt;=599,"500-599 мм",IF(LARGE($R58:$T58,1)&lt;=699,"600-699 мм",IF(LARGE($R58:$T58,1)&lt;=999,"700-999 мм","1000+ мм")))))))))</f>
        <v/>
      </c>
      <c r="Y58" s="160">
        <f>IF(LARGE($R58:$T58,2)="","",IF(LARGE($R58:$T58,2)&lt;=99,"10-99 мм",IF(LARGE($R58:$T58,2)&lt;=199,"100-199 мм",IF(LARGE($R58:$T58,2)&lt;=299,"200-299 мм",IF(LARGE($R58:$T58,2)&lt;=399,"300-399 мм",IF(LARGE($R58:$T58,2)&lt;=499,"400-499 мм",IF(LARGE($R58:$T58,2)&lt;=599,"500-599 мм",IF(LARGE($R58:$T58,2)&lt;=699,"600-699 мм",IF(LARGE($R58:$T58,2)&lt;=999,"700-999 мм","1000+ мм")))))))))</f>
        <v/>
      </c>
      <c r="Z58" s="160">
        <f>IF(SMALL($R58:$T58,1)="","",IF(SMALL($R58:$T58,1)&lt;=99,"10-99 мм",IF(SMALL($R58:$T58,1)&lt;=199,"100-199 мм",IF(SMALL($R58:$T58,1)&lt;=299,"200-299 мм",IF(SMALL($R58:$T58,1)&lt;=399,"300-399 мм",IF(SMALL($R58:$T58,1)&lt;=499,"400-499 мм",IF(SMALL($R58:$T58,1)&lt;=599,"500-599 мм",IF(SMALL($R58:$T58,1)&lt;=699,"600-699 мм",IF(SMALL($R58:$T58,1)&lt;=999,"700-999 мм","1000+ мм")))))))))</f>
        <v/>
      </c>
      <c r="AA58" s="101">
        <f>IF(G58="","",IF(G58="Л","Лист гофрокартона",IF(G58="КД","Крышка-дно",IF(G58="С","Самосборные",IF(G58="Ч","Четырехклапанные",IF(G58="А","Архивные","Неизвестно"))))))</f>
        <v/>
      </c>
      <c r="AB58" s="66" t="n">
        <v>1.73</v>
      </c>
      <c r="AC58" s="101">
        <f>IF(O58="","",IF(O58&lt;=1,"0-1 литров",IF(O58&lt;=3,"2-3 литра",IF(O58&lt;=5,"4-5 литра",IF(O58&lt;=7,"6-7 литра",IF(O58&lt;=9,"8-9 литров",IF(O58&lt;=14,"10-14 литров",IF(O58&lt;=19,"15-19 литров",IF(O58&lt;=29,"20-29 литров",IF(O58&lt;=49,"30-49 литров",IF(O58&lt;=59,"50-59 литров",IF(O58&lt;=70,"60-69 литров",IF(O58&lt;=79,"70-79 литров",IF(O58&lt;=89,"80-89 литров",IF(O58&lt;=99,"90-99 литров",IF(O58&lt;=200,"100-200 литров","200+ литров"))))))))))))))))</f>
        <v/>
      </c>
    </row>
    <row r="59">
      <c r="A59" s="64" t="n">
        <v>7.76</v>
      </c>
      <c r="B59" s="65">
        <f>A59*1.2</f>
        <v/>
      </c>
      <c r="C59" s="109" t="n">
        <v>59</v>
      </c>
      <c r="D59" s="116" t="inlineStr">
        <is>
          <t>У</t>
        </is>
      </c>
      <c r="E59" s="88" t="inlineStr">
        <is>
          <t>795х510х870</t>
        </is>
      </c>
      <c r="F59" s="213" t="inlineStr">
        <is>
          <t xml:space="preserve"> + кр П32</t>
        </is>
      </c>
      <c r="G59" s="83" t="inlineStr">
        <is>
          <t>Ч</t>
        </is>
      </c>
      <c r="H59" s="146" t="inlineStr">
        <is>
          <t>0312</t>
        </is>
      </c>
      <c r="I59" s="83" t="inlineStr">
        <is>
          <t>ВС</t>
        </is>
      </c>
      <c r="J59" s="83" t="inlineStr">
        <is>
          <t>х</t>
        </is>
      </c>
      <c r="K59" s="116" t="inlineStr">
        <is>
          <t>K59</t>
        </is>
      </c>
      <c r="N59" s="239">
        <f>IF(D59="","",IF(LEFT(D59,1)="0",0,1))</f>
        <v/>
      </c>
      <c r="O59" s="80">
        <f>ROUND(R59*S59*T59/1000000,2)</f>
        <v/>
      </c>
      <c r="P59" s="160">
        <f>IF(O59="","",
IF(O59&lt;1,"0,1-0,9 литров",
IF(O59&lt;2,"1-1,9 литра",
IF(O59&lt;3,"2-2,9 литра",
IF(O59&lt;4,"3-3,9 литра",
IF(O59&lt;6,"4-5,9 литра",IF(O59&lt;8,"6-7,9 литра",IF(O59&lt;10,"8-9,9 литров",IF(O59&lt;15,"10-14,9 литров",IF(O59&lt;20,"15-19,9 литров",IF(O59&lt;30,"20-29 литров",IF(O59&lt;50,"30-49 литров",IF(O59&lt;60,"50-59 литров",IF(O59&lt;70,"60-69 литров",IF(O59&lt;80,"70-79 литров",IF(O59&lt;90,"80-89 литров",IF(O59&lt;100,"90-99 литров",IF(O59&lt;200,"100-200 литров","200+ литров"))))))))))))))))))</f>
        <v/>
      </c>
      <c r="Q59" s="101">
        <f>IF(O59="","",IF(O59&lt;1,"&lt;1 л",IF(O59&lt;2,"1-2 л",IF(O59&lt;3,"2-3 л",IF(O59&lt;5,"3-5 л",IF(O59&lt;10,"5-10 л",IF(O59&lt;20,"10-20 л",IF(O59&lt;50,"20-50 л",IF(O59&lt;100,"50-100 л","100+ л")))))))))</f>
        <v/>
      </c>
      <c r="R59" s="162">
        <f>IF(E59="","",--LEFT(E59,FIND("х",E59)-1))</f>
        <v/>
      </c>
      <c r="S59" s="162">
        <f>IF(E59="","",--MID(E59,FIND("х",E59)+1,FIND("х",E59,FIND("х",E59)+1)-FIND("х",E59)-1))</f>
        <v/>
      </c>
      <c r="T59" s="162">
        <f>IF(E59="","",--RIGHT(E59,LEN(E59)-FIND("х",E59,FIND("х",E59)+1)))</f>
        <v/>
      </c>
      <c r="U59" s="66">
        <f>(2*(R59+S59)+60)*(S59+T59+8)/1000000</f>
        <v/>
      </c>
      <c r="V59" s="66">
        <f>IF(OR(AND(R59&gt;=2*S59,R59&gt;=2*T59),AND(S59&gt;=2*R59,S59&gt;=2*T59),AND(T59&gt;=2*R59,T59&gt;=2*S59)),"Длинные","")</f>
        <v/>
      </c>
      <c r="W59" s="66">
        <f>IF(OR(AND(R59&lt;=S59/2,R59&lt;=T59/2),AND(S59&lt;=R59/2,S59&lt;=T59/2),AND(T59&lt;=R59/2,T59&lt;=S59/2)),"Плоские","")</f>
        <v/>
      </c>
      <c r="X59" s="160">
        <f>IF(LARGE($R59:$T59,1)="","",IF(LARGE($R59:$T59,1)&lt;=99,"10-99 мм",IF(LARGE($R59:$T59,1)&lt;=199,"100-199 мм",IF(LARGE($R59:$T59,1)&lt;=299,"200-299 мм",IF(LARGE($R59:$T59,1)&lt;=399,"300-399 мм",IF(LARGE($R59:$T59,1)&lt;=499,"400-499 мм",IF(LARGE($R59:$T59,1)&lt;=599,"500-599 мм",IF(LARGE($R59:$T59,1)&lt;=699,"600-699 мм",IF(LARGE($R59:$T59,1)&lt;=999,"700-999 мм","1000+ мм")))))))))</f>
        <v/>
      </c>
      <c r="Y59" s="160">
        <f>IF(LARGE($R59:$T59,2)="","",IF(LARGE($R59:$T59,2)&lt;=99,"10-99 мм",IF(LARGE($R59:$T59,2)&lt;=199,"100-199 мм",IF(LARGE($R59:$T59,2)&lt;=299,"200-299 мм",IF(LARGE($R59:$T59,2)&lt;=399,"300-399 мм",IF(LARGE($R59:$T59,2)&lt;=499,"400-499 мм",IF(LARGE($R59:$T59,2)&lt;=599,"500-599 мм",IF(LARGE($R59:$T59,2)&lt;=699,"600-699 мм",IF(LARGE($R59:$T59,2)&lt;=999,"700-999 мм","1000+ мм")))))))))</f>
        <v/>
      </c>
      <c r="Z59" s="160">
        <f>IF(SMALL($R59:$T59,1)="","",IF(SMALL($R59:$T59,1)&lt;=99,"10-99 мм",IF(SMALL($R59:$T59,1)&lt;=199,"100-199 мм",IF(SMALL($R59:$T59,1)&lt;=299,"200-299 мм",IF(SMALL($R59:$T59,1)&lt;=399,"300-399 мм",IF(SMALL($R59:$T59,1)&lt;=499,"400-499 мм",IF(SMALL($R59:$T59,1)&lt;=599,"500-599 мм",IF(SMALL($R59:$T59,1)&lt;=699,"600-699 мм",IF(SMALL($R59:$T59,1)&lt;=999,"700-999 мм","1000+ мм")))))))))</f>
        <v/>
      </c>
      <c r="AA59" s="101">
        <f>IF(G59="","",IF(G59="Л","Лист гофрокартона",IF(G59="КД","Крышка-дно",IF(G59="С","Самосборные",IF(G59="Ч","Четырехклапанные",IF(G59="А","Архивные","Неизвестно"))))))</f>
        <v/>
      </c>
      <c r="AB59" s="66" t="n">
        <v>1.73</v>
      </c>
      <c r="AC59" s="101">
        <f>IF(O59="","",IF(O59&lt;=1,"0-1 литров",IF(O59&lt;=3,"2-3 литра",IF(O59&lt;=5,"4-5 литра",IF(O59&lt;=7,"6-7 литра",IF(O59&lt;=9,"8-9 литров",IF(O59&lt;=14,"10-14 литров",IF(O59&lt;=19,"15-19 литров",IF(O59&lt;=29,"20-29 литров",IF(O59&lt;=49,"30-49 литров",IF(O59&lt;=59,"50-59 литров",IF(O59&lt;=70,"60-69 литров",IF(O59&lt;=79,"70-79 литров",IF(O59&lt;=89,"80-89 литров",IF(O59&lt;=99,"90-99 литров",IF(O59&lt;=200,"100-200 литров","200+ литров"))))))))))))))))</f>
        <v/>
      </c>
    </row>
    <row r="60">
      <c r="A60" s="64" t="n">
        <v>5.46</v>
      </c>
      <c r="B60" s="65">
        <f>A60*1.2</f>
        <v/>
      </c>
      <c r="C60" s="109" t="n">
        <v>60</v>
      </c>
      <c r="D60" s="116" t="inlineStr">
        <is>
          <t>У</t>
        </is>
      </c>
      <c r="E60" s="88" t="inlineStr">
        <is>
          <t>795х510х870</t>
        </is>
      </c>
      <c r="F60" s="213" t="inlineStr">
        <is>
          <t>Т22</t>
        </is>
      </c>
      <c r="G60" s="83" t="inlineStr">
        <is>
          <t>Ч</t>
        </is>
      </c>
      <c r="H60" s="146" t="inlineStr">
        <is>
          <t>0200</t>
        </is>
      </c>
      <c r="I60" s="83" t="inlineStr">
        <is>
          <t>В</t>
        </is>
      </c>
      <c r="J60" s="83" t="inlineStr">
        <is>
          <t>х</t>
        </is>
      </c>
      <c r="K60" s="116" t="inlineStr">
        <is>
          <t>K60</t>
        </is>
      </c>
      <c r="N60" s="239">
        <f>IF(D60="","",IF(LEFT(D60,1)="0",0,1))</f>
        <v/>
      </c>
      <c r="O60" s="80">
        <f>ROUND(R60*S60*T60/1000000,2)</f>
        <v/>
      </c>
      <c r="P60" s="160">
        <f>IF(O60="","",
IF(O60&lt;1,"0,1-0,9 литров",
IF(O60&lt;2,"1-1,9 литра",
IF(O60&lt;3,"2-2,9 литра",
IF(O60&lt;4,"3-3,9 литра",
IF(O60&lt;6,"4-5,9 литра",IF(O60&lt;8,"6-7,9 литра",IF(O60&lt;10,"8-9,9 литров",IF(O60&lt;15,"10-14,9 литров",IF(O60&lt;20,"15-19,9 литров",IF(O60&lt;30,"20-29 литров",IF(O60&lt;50,"30-49 литров",IF(O60&lt;60,"50-59 литров",IF(O60&lt;70,"60-69 литров",IF(O60&lt;80,"70-79 литров",IF(O60&lt;90,"80-89 литров",IF(O60&lt;100,"90-99 литров",IF(O60&lt;200,"100-200 литров","200+ литров"))))))))))))))))))</f>
        <v/>
      </c>
      <c r="Q60" s="101">
        <f>IF(O60="","",IF(O60&lt;1,"&lt;1 л",IF(O60&lt;2,"1-2 л",IF(O60&lt;3,"2-3 л",IF(O60&lt;5,"3-5 л",IF(O60&lt;10,"5-10 л",IF(O60&lt;20,"10-20 л",IF(O60&lt;50,"20-50 л",IF(O60&lt;100,"50-100 л","100+ л")))))))))</f>
        <v/>
      </c>
      <c r="R60" s="162">
        <f>IF(E60="","",--LEFT(E60,FIND("х",E60)-1))</f>
        <v/>
      </c>
      <c r="S60" s="162">
        <f>IF(E60="","",--MID(E60,FIND("х",E60)+1,FIND("х",E60,FIND("х",E60)+1)-FIND("х",E60)-1))</f>
        <v/>
      </c>
      <c r="T60" s="162">
        <f>IF(E60="","",--RIGHT(E60,LEN(E60)-FIND("х",E60,FIND("х",E60)+1)))</f>
        <v/>
      </c>
      <c r="U60" s="66">
        <f>(2*(R60+S60)+60)*(S60+T60+8)/1000000</f>
        <v/>
      </c>
      <c r="V60" s="66">
        <f>IF(OR(AND(R60&gt;=2*S60,R60&gt;=2*T60),AND(S60&gt;=2*R60,S60&gt;=2*T60),AND(T60&gt;=2*R60,T60&gt;=2*S60)),"Длинные","")</f>
        <v/>
      </c>
      <c r="W60" s="66">
        <f>IF(OR(AND(R60&lt;=S60/2,R60&lt;=T60/2),AND(S60&lt;=R60/2,S60&lt;=T60/2),AND(T60&lt;=R60/2,T60&lt;=S60/2)),"Плоские","")</f>
        <v/>
      </c>
      <c r="X60" s="160">
        <f>IF(LARGE($R60:$T60,1)="","",IF(LARGE($R60:$T60,1)&lt;=99,"10-99 мм",IF(LARGE($R60:$T60,1)&lt;=199,"100-199 мм",IF(LARGE($R60:$T60,1)&lt;=299,"200-299 мм",IF(LARGE($R60:$T60,1)&lt;=399,"300-399 мм",IF(LARGE($R60:$T60,1)&lt;=499,"400-499 мм",IF(LARGE($R60:$T60,1)&lt;=599,"500-599 мм",IF(LARGE($R60:$T60,1)&lt;=699,"600-699 мм",IF(LARGE($R60:$T60,1)&lt;=999,"700-999 мм","1000+ мм")))))))))</f>
        <v/>
      </c>
      <c r="Y60" s="160">
        <f>IF(LARGE($R60:$T60,2)="","",IF(LARGE($R60:$T60,2)&lt;=99,"10-99 мм",IF(LARGE($R60:$T60,2)&lt;=199,"100-199 мм",IF(LARGE($R60:$T60,2)&lt;=299,"200-299 мм",IF(LARGE($R60:$T60,2)&lt;=399,"300-399 мм",IF(LARGE($R60:$T60,2)&lt;=499,"400-499 мм",IF(LARGE($R60:$T60,2)&lt;=599,"500-599 мм",IF(LARGE($R60:$T60,2)&lt;=699,"600-699 мм",IF(LARGE($R60:$T60,2)&lt;=999,"700-999 мм","1000+ мм")))))))))</f>
        <v/>
      </c>
      <c r="Z60" s="160">
        <f>IF(SMALL($R60:$T60,1)="","",IF(SMALL($R60:$T60,1)&lt;=99,"10-99 мм",IF(SMALL($R60:$T60,1)&lt;=199,"100-199 мм",IF(SMALL($R60:$T60,1)&lt;=299,"200-299 мм",IF(SMALL($R60:$T60,1)&lt;=399,"300-399 мм",IF(SMALL($R60:$T60,1)&lt;=499,"400-499 мм",IF(SMALL($R60:$T60,1)&lt;=599,"500-599 мм",IF(SMALL($R60:$T60,1)&lt;=699,"600-699 мм",IF(SMALL($R60:$T60,1)&lt;=999,"700-999 мм","1000+ мм")))))))))</f>
        <v/>
      </c>
      <c r="AA60" s="101">
        <f>IF(G60="","",IF(G60="Л","Лист гофрокартона",IF(G60="КД","Крышка-дно",IF(G60="С","Самосборные",IF(G60="Ч","Четырехклапанные",IF(G60="А","Архивные","Неизвестно"))))))</f>
        <v/>
      </c>
      <c r="AB60" s="66" t="n">
        <v>1.73</v>
      </c>
      <c r="AC60" s="101">
        <f>IF(O60="","",IF(O60&lt;=1,"0-1 литров",IF(O60&lt;=3,"2-3 литра",IF(O60&lt;=5,"4-5 литра",IF(O60&lt;=7,"6-7 литра",IF(O60&lt;=9,"8-9 литров",IF(O60&lt;=14,"10-14 литров",IF(O60&lt;=19,"15-19 литров",IF(O60&lt;=29,"20-29 литров",IF(O60&lt;=49,"30-49 литров",IF(O60&lt;=59,"50-59 литров",IF(O60&lt;=70,"60-69 литров",IF(O60&lt;=79,"70-79 литров",IF(O60&lt;=89,"80-89 литров",IF(O60&lt;=99,"90-99 литров",IF(O60&lt;=200,"100-200 литров","200+ литров"))))))))))))))))</f>
        <v/>
      </c>
    </row>
    <row r="61">
      <c r="A61" s="64" t="n">
        <v>6.43</v>
      </c>
      <c r="B61" s="65">
        <f>A61*1.2</f>
        <v/>
      </c>
      <c r="C61" s="109" t="n">
        <v>61</v>
      </c>
      <c r="D61" s="116" t="inlineStr">
        <is>
          <t>У</t>
        </is>
      </c>
      <c r="E61" s="88" t="inlineStr">
        <is>
          <t>795х510х870</t>
        </is>
      </c>
      <c r="F61" s="213" t="inlineStr">
        <is>
          <t xml:space="preserve"> +кр Т22</t>
        </is>
      </c>
      <c r="G61" s="83" t="inlineStr">
        <is>
          <t>Ч</t>
        </is>
      </c>
      <c r="H61" s="146" t="inlineStr">
        <is>
          <t>0312</t>
        </is>
      </c>
      <c r="I61" s="83" t="inlineStr">
        <is>
          <t>В</t>
        </is>
      </c>
      <c r="J61" s="83" t="inlineStr">
        <is>
          <t>х</t>
        </is>
      </c>
      <c r="K61" s="116" t="inlineStr">
        <is>
          <t>K61</t>
        </is>
      </c>
      <c r="N61" s="239">
        <f>IF(D61="","",IF(LEFT(D61,1)="0",0,1))</f>
        <v/>
      </c>
      <c r="O61" s="80">
        <f>ROUND(R61*S61*T61/1000000,2)</f>
        <v/>
      </c>
      <c r="P61" s="160">
        <f>IF(O61="","",
IF(O61&lt;1,"0,1-0,9 литров",
IF(O61&lt;2,"1-1,9 литра",
IF(O61&lt;3,"2-2,9 литра",
IF(O61&lt;4,"3-3,9 литра",
IF(O61&lt;6,"4-5,9 литра",IF(O61&lt;8,"6-7,9 литра",IF(O61&lt;10,"8-9,9 литров",IF(O61&lt;15,"10-14,9 литров",IF(O61&lt;20,"15-19,9 литров",IF(O61&lt;30,"20-29 литров",IF(O61&lt;50,"30-49 литров",IF(O61&lt;60,"50-59 литров",IF(O61&lt;70,"60-69 литров",IF(O61&lt;80,"70-79 литров",IF(O61&lt;90,"80-89 литров",IF(O61&lt;100,"90-99 литров",IF(O61&lt;200,"100-200 литров","200+ литров"))))))))))))))))))</f>
        <v/>
      </c>
      <c r="Q61" s="101">
        <f>IF(O61="","",IF(O61&lt;1,"&lt;1 л",IF(O61&lt;2,"1-2 л",IF(O61&lt;3,"2-3 л",IF(O61&lt;5,"3-5 л",IF(O61&lt;10,"5-10 л",IF(O61&lt;20,"10-20 л",IF(O61&lt;50,"20-50 л",IF(O61&lt;100,"50-100 л","100+ л")))))))))</f>
        <v/>
      </c>
      <c r="R61" s="162">
        <f>IF(E61="","",--LEFT(E61,FIND("х",E61)-1))</f>
        <v/>
      </c>
      <c r="S61" s="162">
        <f>IF(E61="","",--MID(E61,FIND("х",E61)+1,FIND("х",E61,FIND("х",E61)+1)-FIND("х",E61)-1))</f>
        <v/>
      </c>
      <c r="T61" s="162">
        <f>IF(E61="","",--RIGHT(E61,LEN(E61)-FIND("х",E61,FIND("х",E61)+1)))</f>
        <v/>
      </c>
      <c r="U61" s="66">
        <f>(2*(R61+S61)+60)*(S61+T61+8)/1000000</f>
        <v/>
      </c>
      <c r="V61" s="66">
        <f>IF(OR(AND(R61&gt;=2*S61,R61&gt;=2*T61),AND(S61&gt;=2*R61,S61&gt;=2*T61),AND(T61&gt;=2*R61,T61&gt;=2*S61)),"Длинные","")</f>
        <v/>
      </c>
      <c r="W61" s="66">
        <f>IF(OR(AND(R61&lt;=S61/2,R61&lt;=T61/2),AND(S61&lt;=R61/2,S61&lt;=T61/2),AND(T61&lt;=R61/2,T61&lt;=S61/2)),"Плоские","")</f>
        <v/>
      </c>
      <c r="X61" s="160">
        <f>IF(LARGE($R61:$T61,1)="","",IF(LARGE($R61:$T61,1)&lt;=99,"10-99 мм",IF(LARGE($R61:$T61,1)&lt;=199,"100-199 мм",IF(LARGE($R61:$T61,1)&lt;=299,"200-299 мм",IF(LARGE($R61:$T61,1)&lt;=399,"300-399 мм",IF(LARGE($R61:$T61,1)&lt;=499,"400-499 мм",IF(LARGE($R61:$T61,1)&lt;=599,"500-599 мм",IF(LARGE($R61:$T61,1)&lt;=699,"600-699 мм",IF(LARGE($R61:$T61,1)&lt;=999,"700-999 мм","1000+ мм")))))))))</f>
        <v/>
      </c>
      <c r="Y61" s="160">
        <f>IF(LARGE($R61:$T61,2)="","",IF(LARGE($R61:$T61,2)&lt;=99,"10-99 мм",IF(LARGE($R61:$T61,2)&lt;=199,"100-199 мм",IF(LARGE($R61:$T61,2)&lt;=299,"200-299 мм",IF(LARGE($R61:$T61,2)&lt;=399,"300-399 мм",IF(LARGE($R61:$T61,2)&lt;=499,"400-499 мм",IF(LARGE($R61:$T61,2)&lt;=599,"500-599 мм",IF(LARGE($R61:$T61,2)&lt;=699,"600-699 мм",IF(LARGE($R61:$T61,2)&lt;=999,"700-999 мм","1000+ мм")))))))))</f>
        <v/>
      </c>
      <c r="Z61" s="160">
        <f>IF(SMALL($R61:$T61,1)="","",IF(SMALL($R61:$T61,1)&lt;=99,"10-99 мм",IF(SMALL($R61:$T61,1)&lt;=199,"100-199 мм",IF(SMALL($R61:$T61,1)&lt;=299,"200-299 мм",IF(SMALL($R61:$T61,1)&lt;=399,"300-399 мм",IF(SMALL($R61:$T61,1)&lt;=499,"400-499 мм",IF(SMALL($R61:$T61,1)&lt;=599,"500-599 мм",IF(SMALL($R61:$T61,1)&lt;=699,"600-699 мм",IF(SMALL($R61:$T61,1)&lt;=999,"700-999 мм","1000+ мм")))))))))</f>
        <v/>
      </c>
      <c r="AA61" s="101">
        <f>IF(G61="","",IF(G61="Л","Лист гофрокартона",IF(G61="КД","Крышка-дно",IF(G61="С","Самосборные",IF(G61="Ч","Четырехклапанные",IF(G61="А","Архивные","Неизвестно"))))))</f>
        <v/>
      </c>
      <c r="AB61" s="66" t="n">
        <v>1.73</v>
      </c>
      <c r="AC61" s="101">
        <f>IF(O61="","",IF(O61&lt;=1,"0-1 литров",IF(O61&lt;=3,"2-3 литра",IF(O61&lt;=5,"4-5 литра",IF(O61&lt;=7,"6-7 литра",IF(O61&lt;=9,"8-9 литров",IF(O61&lt;=14,"10-14 литров",IF(O61&lt;=19,"15-19 литров",IF(O61&lt;=29,"20-29 литров",IF(O61&lt;=49,"30-49 литров",IF(O61&lt;=59,"50-59 литров",IF(O61&lt;=70,"60-69 литров",IF(O61&lt;=79,"70-79 литров",IF(O61&lt;=89,"80-89 литров",IF(O61&lt;=99,"90-99 литров",IF(O61&lt;=200,"100-200 литров","200+ литров"))))))))))))))))</f>
        <v/>
      </c>
    </row>
    <row r="62">
      <c r="A62" s="64" t="n">
        <v>8.77</v>
      </c>
      <c r="B62" s="65">
        <f>A62*1.2</f>
        <v/>
      </c>
      <c r="C62" s="109" t="n">
        <v>62</v>
      </c>
      <c r="D62" s="116" t="inlineStr">
        <is>
          <t>У</t>
        </is>
      </c>
      <c r="E62" s="88" t="inlineStr">
        <is>
          <t>1100х700х1000</t>
        </is>
      </c>
      <c r="F62" s="213" t="inlineStr">
        <is>
          <t>Т</t>
        </is>
      </c>
      <c r="G62" s="83" t="inlineStr">
        <is>
          <t>Ч</t>
        </is>
      </c>
      <c r="H62" s="146" t="inlineStr">
        <is>
          <t>0200</t>
        </is>
      </c>
      <c r="I62" s="83" t="inlineStr">
        <is>
          <t>В</t>
        </is>
      </c>
      <c r="J62" s="83" t="inlineStr">
        <is>
          <t>х</t>
        </is>
      </c>
      <c r="K62" s="116" t="inlineStr">
        <is>
          <t>K62</t>
        </is>
      </c>
      <c r="N62" s="239">
        <f>IF(D62="","",IF(LEFT(D62,1)="0",0,1))</f>
        <v/>
      </c>
      <c r="O62" s="80">
        <f>ROUND(R62*S62*T62/1000000,2)</f>
        <v/>
      </c>
      <c r="P62" s="160">
        <f>IF(O62="","",
IF(O62&lt;1,"0,1-0,9 литров",
IF(O62&lt;2,"1-1,9 литра",
IF(O62&lt;3,"2-2,9 литра",
IF(O62&lt;4,"3-3,9 литра",
IF(O62&lt;6,"4-5,9 литра",IF(O62&lt;8,"6-7,9 литра",IF(O62&lt;10,"8-9,9 литров",IF(O62&lt;15,"10-14,9 литров",IF(O62&lt;20,"15-19,9 литров",IF(O62&lt;30,"20-29 литров",IF(O62&lt;50,"30-49 литров",IF(O62&lt;60,"50-59 литров",IF(O62&lt;70,"60-69 литров",IF(O62&lt;80,"70-79 литров",IF(O62&lt;90,"80-89 литров",IF(O62&lt;100,"90-99 литров",IF(O62&lt;200,"100-200 литров","200+ литров"))))))))))))))))))</f>
        <v/>
      </c>
      <c r="Q62" s="101">
        <f>IF(O62="","",IF(O62&lt;1,"&lt;1 л",IF(O62&lt;2,"1-2 л",IF(O62&lt;3,"2-3 л",IF(O62&lt;5,"3-5 л",IF(O62&lt;10,"5-10 л",IF(O62&lt;20,"10-20 л",IF(O62&lt;50,"20-50 л",IF(O62&lt;100,"50-100 л","100+ л")))))))))</f>
        <v/>
      </c>
      <c r="R62" s="162">
        <f>IF(E62="","",--LEFT(E62,FIND("х",E62)-1))</f>
        <v/>
      </c>
      <c r="S62" s="162">
        <f>IF(E62="","",--MID(E62,FIND("х",E62)+1,FIND("х",E62,FIND("х",E62)+1)-FIND("х",E62)-1))</f>
        <v/>
      </c>
      <c r="T62" s="162">
        <f>IF(E62="","",--RIGHT(E62,LEN(E62)-FIND("х",E62,FIND("х",E62)+1)))</f>
        <v/>
      </c>
      <c r="U62" s="66">
        <f>(2*(R62+S62)+60)*(S62+T62+8)/1000000</f>
        <v/>
      </c>
      <c r="V62" s="66">
        <f>IF(OR(AND(R62&gt;=2*S62,R62&gt;=2*T62),AND(S62&gt;=2*R62,S62&gt;=2*T62),AND(T62&gt;=2*R62,T62&gt;=2*S62)),"Длинные","")</f>
        <v/>
      </c>
      <c r="W62" s="66">
        <f>IF(OR(AND(R62&lt;=S62/2,R62&lt;=T62/2),AND(S62&lt;=R62/2,S62&lt;=T62/2),AND(T62&lt;=R62/2,T62&lt;=S62/2)),"Плоские","")</f>
        <v/>
      </c>
      <c r="X62" s="160">
        <f>IF(LARGE($R62:$T62,1)="","",IF(LARGE($R62:$T62,1)&lt;=99,"10-99 мм",IF(LARGE($R62:$T62,1)&lt;=199,"100-199 мм",IF(LARGE($R62:$T62,1)&lt;=299,"200-299 мм",IF(LARGE($R62:$T62,1)&lt;=399,"300-399 мм",IF(LARGE($R62:$T62,1)&lt;=499,"400-499 мм",IF(LARGE($R62:$T62,1)&lt;=599,"500-599 мм",IF(LARGE($R62:$T62,1)&lt;=699,"600-699 мм",IF(LARGE($R62:$T62,1)&lt;=999,"700-999 мм","1000+ мм")))))))))</f>
        <v/>
      </c>
      <c r="Y62" s="160">
        <f>IF(LARGE($R62:$T62,2)="","",IF(LARGE($R62:$T62,2)&lt;=99,"10-99 мм",IF(LARGE($R62:$T62,2)&lt;=199,"100-199 мм",IF(LARGE($R62:$T62,2)&lt;=299,"200-299 мм",IF(LARGE($R62:$T62,2)&lt;=399,"300-399 мм",IF(LARGE($R62:$T62,2)&lt;=499,"400-499 мм",IF(LARGE($R62:$T62,2)&lt;=599,"500-599 мм",IF(LARGE($R62:$T62,2)&lt;=699,"600-699 мм",IF(LARGE($R62:$T62,2)&lt;=999,"700-999 мм","1000+ мм")))))))))</f>
        <v/>
      </c>
      <c r="Z62" s="160">
        <f>IF(SMALL($R62:$T62,1)="","",IF(SMALL($R62:$T62,1)&lt;=99,"10-99 мм",IF(SMALL($R62:$T62,1)&lt;=199,"100-199 мм",IF(SMALL($R62:$T62,1)&lt;=299,"200-299 мм",IF(SMALL($R62:$T62,1)&lt;=399,"300-399 мм",IF(SMALL($R62:$T62,1)&lt;=499,"400-499 мм",IF(SMALL($R62:$T62,1)&lt;=599,"500-599 мм",IF(SMALL($R62:$T62,1)&lt;=699,"600-699 мм",IF(SMALL($R62:$T62,1)&lt;=999,"700-999 мм","1000+ мм")))))))))</f>
        <v/>
      </c>
      <c r="AA62" s="101">
        <f>IF(G62="","",IF(G62="Л","Лист гофрокартона",IF(G62="КД","Крышка-дно",IF(G62="С","Самосборные",IF(G62="Ч","Четырехклапанные",IF(G62="А","Архивные","Неизвестно"))))))</f>
        <v/>
      </c>
      <c r="AB62" s="66" t="n">
        <v>1.73</v>
      </c>
      <c r="AC62" s="101">
        <f>IF(O62="","",IF(O62&lt;=1,"0-1 литров",IF(O62&lt;=3,"2-3 литра",IF(O62&lt;=5,"4-5 литра",IF(O62&lt;=7,"6-7 литра",IF(O62&lt;=9,"8-9 литров",IF(O62&lt;=14,"10-14 литров",IF(O62&lt;=19,"15-19 литров",IF(O62&lt;=29,"20-29 литров",IF(O62&lt;=49,"30-49 литров",IF(O62&lt;=59,"50-59 литров",IF(O62&lt;=70,"60-69 литров",IF(O62&lt;=79,"70-79 литров",IF(O62&lt;=89,"80-89 литров",IF(O62&lt;=99,"90-99 литров",IF(O62&lt;=200,"100-200 литров","200+ литров"))))))))))))))))</f>
        <v/>
      </c>
    </row>
    <row r="63">
      <c r="A63" s="64" t="n">
        <v>15.17</v>
      </c>
      <c r="B63" s="65">
        <f>A63*1.2</f>
        <v/>
      </c>
      <c r="C63" s="109" t="n">
        <v>63</v>
      </c>
      <c r="D63" s="116" t="inlineStr">
        <is>
          <t>У</t>
        </is>
      </c>
      <c r="E63" s="88" t="inlineStr">
        <is>
          <t>1100х700х1000</t>
        </is>
      </c>
      <c r="F63" s="213" t="inlineStr">
        <is>
          <t>П</t>
        </is>
      </c>
      <c r="G63" s="83" t="inlineStr">
        <is>
          <t>Ч</t>
        </is>
      </c>
      <c r="H63" s="146" t="inlineStr">
        <is>
          <t>0200</t>
        </is>
      </c>
      <c r="I63" s="83" t="inlineStr">
        <is>
          <t>ВС</t>
        </is>
      </c>
      <c r="J63" s="83" t="inlineStr">
        <is>
          <t>х</t>
        </is>
      </c>
      <c r="K63" s="116" t="inlineStr">
        <is>
          <t>K63</t>
        </is>
      </c>
      <c r="N63" s="239">
        <f>IF(D63="","",IF(LEFT(D63,1)="0",0,1))</f>
        <v/>
      </c>
      <c r="O63" s="80">
        <f>ROUND(R63*S63*T63/1000000,2)</f>
        <v/>
      </c>
      <c r="P63" s="160">
        <f>IF(O63="","",
IF(O63&lt;1,"0,1-0,9 литров",
IF(O63&lt;2,"1-1,9 литра",
IF(O63&lt;3,"2-2,9 литра",
IF(O63&lt;4,"3-3,9 литра",
IF(O63&lt;6,"4-5,9 литра",IF(O63&lt;8,"6-7,9 литра",IF(O63&lt;10,"8-9,9 литров",IF(O63&lt;15,"10-14,9 литров",IF(O63&lt;20,"15-19,9 литров",IF(O63&lt;30,"20-29 литров",IF(O63&lt;50,"30-49 литров",IF(O63&lt;60,"50-59 литров",IF(O63&lt;70,"60-69 литров",IF(O63&lt;80,"70-79 литров",IF(O63&lt;90,"80-89 литров",IF(O63&lt;100,"90-99 литров",IF(O63&lt;200,"100-200 литров","200+ литров"))))))))))))))))))</f>
        <v/>
      </c>
      <c r="Q63" s="101">
        <f>IF(O63="","",IF(O63&lt;1,"&lt;1 л",IF(O63&lt;2,"1-2 л",IF(O63&lt;3,"2-3 л",IF(O63&lt;5,"3-5 л",IF(O63&lt;10,"5-10 л",IF(O63&lt;20,"10-20 л",IF(O63&lt;50,"20-50 л",IF(O63&lt;100,"50-100 л","100+ л")))))))))</f>
        <v/>
      </c>
      <c r="R63" s="162">
        <f>IF(E63="","",--LEFT(E63,FIND("х",E63)-1))</f>
        <v/>
      </c>
      <c r="S63" s="162">
        <f>IF(E63="","",--MID(E63,FIND("х",E63)+1,FIND("х",E63,FIND("х",E63)+1)-FIND("х",E63)-1))</f>
        <v/>
      </c>
      <c r="T63" s="162">
        <f>IF(E63="","",--RIGHT(E63,LEN(E63)-FIND("х",E63,FIND("х",E63)+1)))</f>
        <v/>
      </c>
      <c r="U63" s="66">
        <f>(2*(R63+S63)+60)*(S63+T63+8)/1000000</f>
        <v/>
      </c>
      <c r="V63" s="66">
        <f>IF(OR(AND(R63&gt;=2*S63,R63&gt;=2*T63),AND(S63&gt;=2*R63,S63&gt;=2*T63),AND(T63&gt;=2*R63,T63&gt;=2*S63)),"Длинные","")</f>
        <v/>
      </c>
      <c r="W63" s="66">
        <f>IF(OR(AND(R63&lt;=S63/2,R63&lt;=T63/2),AND(S63&lt;=R63/2,S63&lt;=T63/2),AND(T63&lt;=R63/2,T63&lt;=S63/2)),"Плоские","")</f>
        <v/>
      </c>
      <c r="X63" s="160">
        <f>IF(LARGE($R63:$T63,1)="","",IF(LARGE($R63:$T63,1)&lt;=99,"10-99 мм",IF(LARGE($R63:$T63,1)&lt;=199,"100-199 мм",IF(LARGE($R63:$T63,1)&lt;=299,"200-299 мм",IF(LARGE($R63:$T63,1)&lt;=399,"300-399 мм",IF(LARGE($R63:$T63,1)&lt;=499,"400-499 мм",IF(LARGE($R63:$T63,1)&lt;=599,"500-599 мм",IF(LARGE($R63:$T63,1)&lt;=699,"600-699 мм",IF(LARGE($R63:$T63,1)&lt;=999,"700-999 мм","1000+ мм")))))))))</f>
        <v/>
      </c>
      <c r="Y63" s="160">
        <f>IF(LARGE($R63:$T63,2)="","",IF(LARGE($R63:$T63,2)&lt;=99,"10-99 мм",IF(LARGE($R63:$T63,2)&lt;=199,"100-199 мм",IF(LARGE($R63:$T63,2)&lt;=299,"200-299 мм",IF(LARGE($R63:$T63,2)&lt;=399,"300-399 мм",IF(LARGE($R63:$T63,2)&lt;=499,"400-499 мм",IF(LARGE($R63:$T63,2)&lt;=599,"500-599 мм",IF(LARGE($R63:$T63,2)&lt;=699,"600-699 мм",IF(LARGE($R63:$T63,2)&lt;=999,"700-999 мм","1000+ мм")))))))))</f>
        <v/>
      </c>
      <c r="Z63" s="160">
        <f>IF(SMALL($R63:$T63,1)="","",IF(SMALL($R63:$T63,1)&lt;=99,"10-99 мм",IF(SMALL($R63:$T63,1)&lt;=199,"100-199 мм",IF(SMALL($R63:$T63,1)&lt;=299,"200-299 мм",IF(SMALL($R63:$T63,1)&lt;=399,"300-399 мм",IF(SMALL($R63:$T63,1)&lt;=499,"400-499 мм",IF(SMALL($R63:$T63,1)&lt;=599,"500-599 мм",IF(SMALL($R63:$T63,1)&lt;=699,"600-699 мм",IF(SMALL($R63:$T63,1)&lt;=999,"700-999 мм","1000+ мм")))))))))</f>
        <v/>
      </c>
      <c r="AA63" s="101">
        <f>IF(G63="","",IF(G63="Л","Лист гофрокартона",IF(G63="КД","Крышка-дно",IF(G63="С","Самосборные",IF(G63="Ч","Четырехклапанные",IF(G63="А","Архивные","Неизвестно"))))))</f>
        <v/>
      </c>
      <c r="AB63" s="66" t="n">
        <v>1.73</v>
      </c>
      <c r="AC63" s="101">
        <f>IF(O63="","",IF(O63&lt;=1,"0-1 литров",IF(O63&lt;=3,"2-3 литра",IF(O63&lt;=5,"4-5 литра",IF(O63&lt;=7,"6-7 литра",IF(O63&lt;=9,"8-9 литров",IF(O63&lt;=14,"10-14 литров",IF(O63&lt;=19,"15-19 литров",IF(O63&lt;=29,"20-29 литров",IF(O63&lt;=49,"30-49 литров",IF(O63&lt;=59,"50-59 литров",IF(O63&lt;=70,"60-69 литров",IF(O63&lt;=79,"70-79 литров",IF(O63&lt;=89,"80-89 литров",IF(O63&lt;=99,"90-99 литров",IF(O63&lt;=200,"100-200 литров","200+ литров"))))))))))))))))</f>
        <v/>
      </c>
    </row>
    <row r="64">
      <c r="A64" s="64" t="n">
        <v>10.56</v>
      </c>
      <c r="B64" s="65">
        <f>A64*1.2</f>
        <v/>
      </c>
      <c r="C64" s="109" t="n">
        <v>64</v>
      </c>
      <c r="D64" s="116" t="inlineStr">
        <is>
          <t>У</t>
        </is>
      </c>
      <c r="E64" s="88" t="inlineStr">
        <is>
          <t>1100х700х1000</t>
        </is>
      </c>
      <c r="F64" s="213" t="inlineStr">
        <is>
          <t xml:space="preserve"> Т +крышка</t>
        </is>
      </c>
      <c r="G64" s="83" t="inlineStr">
        <is>
          <t>Ч</t>
        </is>
      </c>
      <c r="H64" s="146" t="inlineStr">
        <is>
          <t>0312</t>
        </is>
      </c>
      <c r="I64" s="83" t="inlineStr">
        <is>
          <t>В</t>
        </is>
      </c>
      <c r="J64" s="83" t="inlineStr">
        <is>
          <t>х</t>
        </is>
      </c>
      <c r="K64" s="116" t="inlineStr">
        <is>
          <t>K64</t>
        </is>
      </c>
      <c r="N64" s="239">
        <f>IF(D64="","",IF(LEFT(D64,1)="0",0,1))</f>
        <v/>
      </c>
      <c r="O64" s="80">
        <f>ROUND(R64*S64*T64/1000000,2)</f>
        <v/>
      </c>
      <c r="P64" s="160">
        <f>IF(O64="","",
IF(O64&lt;1,"0,1-0,9 литров",
IF(O64&lt;2,"1-1,9 литра",
IF(O64&lt;3,"2-2,9 литра",
IF(O64&lt;4,"3-3,9 литра",
IF(O64&lt;6,"4-5,9 литра",IF(O64&lt;8,"6-7,9 литра",IF(O64&lt;10,"8-9,9 литров",IF(O64&lt;15,"10-14,9 литров",IF(O64&lt;20,"15-19,9 литров",IF(O64&lt;30,"20-29 литров",IF(O64&lt;50,"30-49 литров",IF(O64&lt;60,"50-59 литров",IF(O64&lt;70,"60-69 литров",IF(O64&lt;80,"70-79 литров",IF(O64&lt;90,"80-89 литров",IF(O64&lt;100,"90-99 литров",IF(O64&lt;200,"100-200 литров","200+ литров"))))))))))))))))))</f>
        <v/>
      </c>
      <c r="Q64" s="101">
        <f>IF(O64="","",IF(O64&lt;1,"&lt;1 л",IF(O64&lt;2,"1-2 л",IF(O64&lt;3,"2-3 л",IF(O64&lt;5,"3-5 л",IF(O64&lt;10,"5-10 л",IF(O64&lt;20,"10-20 л",IF(O64&lt;50,"20-50 л",IF(O64&lt;100,"50-100 л","100+ л")))))))))</f>
        <v/>
      </c>
      <c r="R64" s="162">
        <f>IF(E64="","",--LEFT(E64,FIND("х",E64)-1))</f>
        <v/>
      </c>
      <c r="S64" s="162">
        <f>IF(E64="","",--MID(E64,FIND("х",E64)+1,FIND("х",E64,FIND("х",E64)+1)-FIND("х",E64)-1))</f>
        <v/>
      </c>
      <c r="T64" s="162">
        <f>IF(E64="","",--RIGHT(E64,LEN(E64)-FIND("х",E64,FIND("х",E64)+1)))</f>
        <v/>
      </c>
      <c r="U64" s="66">
        <f>(2*(R64+S64)+60)*(S64+T64+8)/1000000</f>
        <v/>
      </c>
      <c r="V64" s="66">
        <f>IF(OR(AND(R64&gt;=2*S64,R64&gt;=2*T64),AND(S64&gt;=2*R64,S64&gt;=2*T64),AND(T64&gt;=2*R64,T64&gt;=2*S64)),"Длинные","")</f>
        <v/>
      </c>
      <c r="W64" s="66">
        <f>IF(OR(AND(R64&lt;=S64/2,R64&lt;=T64/2),AND(S64&lt;=R64/2,S64&lt;=T64/2),AND(T64&lt;=R64/2,T64&lt;=S64/2)),"Плоские","")</f>
        <v/>
      </c>
      <c r="X64" s="160">
        <f>IF(LARGE($R64:$T64,1)="","",IF(LARGE($R64:$T64,1)&lt;=99,"10-99 мм",IF(LARGE($R64:$T64,1)&lt;=199,"100-199 мм",IF(LARGE($R64:$T64,1)&lt;=299,"200-299 мм",IF(LARGE($R64:$T64,1)&lt;=399,"300-399 мм",IF(LARGE($R64:$T64,1)&lt;=499,"400-499 мм",IF(LARGE($R64:$T64,1)&lt;=599,"500-599 мм",IF(LARGE($R64:$T64,1)&lt;=699,"600-699 мм",IF(LARGE($R64:$T64,1)&lt;=999,"700-999 мм","1000+ мм")))))))))</f>
        <v/>
      </c>
      <c r="Y64" s="160">
        <f>IF(LARGE($R64:$T64,2)="","",IF(LARGE($R64:$T64,2)&lt;=99,"10-99 мм",IF(LARGE($R64:$T64,2)&lt;=199,"100-199 мм",IF(LARGE($R64:$T64,2)&lt;=299,"200-299 мм",IF(LARGE($R64:$T64,2)&lt;=399,"300-399 мм",IF(LARGE($R64:$T64,2)&lt;=499,"400-499 мм",IF(LARGE($R64:$T64,2)&lt;=599,"500-599 мм",IF(LARGE($R64:$T64,2)&lt;=699,"600-699 мм",IF(LARGE($R64:$T64,2)&lt;=999,"700-999 мм","1000+ мм")))))))))</f>
        <v/>
      </c>
      <c r="Z64" s="160">
        <f>IF(SMALL($R64:$T64,1)="","",IF(SMALL($R64:$T64,1)&lt;=99,"10-99 мм",IF(SMALL($R64:$T64,1)&lt;=199,"100-199 мм",IF(SMALL($R64:$T64,1)&lt;=299,"200-299 мм",IF(SMALL($R64:$T64,1)&lt;=399,"300-399 мм",IF(SMALL($R64:$T64,1)&lt;=499,"400-499 мм",IF(SMALL($R64:$T64,1)&lt;=599,"500-599 мм",IF(SMALL($R64:$T64,1)&lt;=699,"600-699 мм",IF(SMALL($R64:$T64,1)&lt;=999,"700-999 мм","1000+ мм")))))))))</f>
        <v/>
      </c>
      <c r="AA64" s="101">
        <f>IF(G64="","",IF(G64="Л","Лист гофрокартона",IF(G64="КД","Крышка-дно",IF(G64="С","Самосборные",IF(G64="Ч","Четырехклапанные",IF(G64="А","Архивные","Неизвестно"))))))</f>
        <v/>
      </c>
      <c r="AB64" s="66" t="n">
        <v>1.73</v>
      </c>
      <c r="AC64" s="101">
        <f>IF(O64="","",IF(O64&lt;=1,"0-1 литров",IF(O64&lt;=3,"2-3 литра",IF(O64&lt;=5,"4-5 литра",IF(O64&lt;=7,"6-7 литра",IF(O64&lt;=9,"8-9 литров",IF(O64&lt;=14,"10-14 литров",IF(O64&lt;=19,"15-19 литров",IF(O64&lt;=29,"20-29 литров",IF(O64&lt;=49,"30-49 литров",IF(O64&lt;=59,"50-59 литров",IF(O64&lt;=70,"60-69 литров",IF(O64&lt;=79,"70-79 литров",IF(O64&lt;=89,"80-89 литров",IF(O64&lt;=99,"90-99 литров",IF(O64&lt;=200,"100-200 литров","200+ литров"))))))))))))))))</f>
        <v/>
      </c>
    </row>
    <row r="65">
      <c r="A65" s="64" t="n">
        <v>16.96</v>
      </c>
      <c r="B65" s="65">
        <f>A65*1.2</f>
        <v/>
      </c>
      <c r="C65" s="109" t="n">
        <v>65</v>
      </c>
      <c r="D65" s="116" t="inlineStr">
        <is>
          <t>У</t>
        </is>
      </c>
      <c r="E65" s="88" t="inlineStr">
        <is>
          <t>1100х700х1000</t>
        </is>
      </c>
      <c r="F65" s="213" t="inlineStr">
        <is>
          <t xml:space="preserve"> П +крышка</t>
        </is>
      </c>
      <c r="G65" s="83" t="inlineStr">
        <is>
          <t>Ч</t>
        </is>
      </c>
      <c r="H65" s="146" t="inlineStr">
        <is>
          <t>0312</t>
        </is>
      </c>
      <c r="I65" s="83" t="inlineStr">
        <is>
          <t>ВС</t>
        </is>
      </c>
      <c r="J65" s="83" t="inlineStr">
        <is>
          <t>х</t>
        </is>
      </c>
      <c r="K65" s="116" t="inlineStr">
        <is>
          <t>K65</t>
        </is>
      </c>
      <c r="N65" s="239">
        <f>IF(D65="","",IF(LEFT(D65,1)="0",0,1))</f>
        <v/>
      </c>
      <c r="O65" s="80">
        <f>ROUND(R65*S65*T65/1000000,2)</f>
        <v/>
      </c>
      <c r="P65" s="160">
        <f>IF(O65="","",
IF(O65&lt;1,"0,1-0,9 литров",
IF(O65&lt;2,"1-1,9 литра",
IF(O65&lt;3,"2-2,9 литра",
IF(O65&lt;4,"3-3,9 литра",
IF(O65&lt;6,"4-5,9 литра",IF(O65&lt;8,"6-7,9 литра",IF(O65&lt;10,"8-9,9 литров",IF(O65&lt;15,"10-14,9 литров",IF(O65&lt;20,"15-19,9 литров",IF(O65&lt;30,"20-29 литров",IF(O65&lt;50,"30-49 литров",IF(O65&lt;60,"50-59 литров",IF(O65&lt;70,"60-69 литров",IF(O65&lt;80,"70-79 литров",IF(O65&lt;90,"80-89 литров",IF(O65&lt;100,"90-99 литров",IF(O65&lt;200,"100-200 литров","200+ литров"))))))))))))))))))</f>
        <v/>
      </c>
      <c r="Q65" s="101">
        <f>IF(O65="","",IF(O65&lt;1,"&lt;1 л",IF(O65&lt;2,"1-2 л",IF(O65&lt;3,"2-3 л",IF(O65&lt;5,"3-5 л",IF(O65&lt;10,"5-10 л",IF(O65&lt;20,"10-20 л",IF(O65&lt;50,"20-50 л",IF(O65&lt;100,"50-100 л","100+ л")))))))))</f>
        <v/>
      </c>
      <c r="R65" s="162">
        <f>IF(E65="","",--LEFT(E65,FIND("х",E65)-1))</f>
        <v/>
      </c>
      <c r="S65" s="162">
        <f>IF(E65="","",--MID(E65,FIND("х",E65)+1,FIND("х",E65,FIND("х",E65)+1)-FIND("х",E65)-1))</f>
        <v/>
      </c>
      <c r="T65" s="162">
        <f>IF(E65="","",--RIGHT(E65,LEN(E65)-FIND("х",E65,FIND("х",E65)+1)))</f>
        <v/>
      </c>
      <c r="U65" s="66">
        <f>(2*(R65+S65)+60)*(S65+T65+8)/1000000</f>
        <v/>
      </c>
      <c r="V65" s="66">
        <f>IF(OR(AND(R65&gt;=2*S65,R65&gt;=2*T65),AND(S65&gt;=2*R65,S65&gt;=2*T65),AND(T65&gt;=2*R65,T65&gt;=2*S65)),"Длинные","")</f>
        <v/>
      </c>
      <c r="W65" s="66">
        <f>IF(OR(AND(R65&lt;=S65/2,R65&lt;=T65/2),AND(S65&lt;=R65/2,S65&lt;=T65/2),AND(T65&lt;=R65/2,T65&lt;=S65/2)),"Плоские","")</f>
        <v/>
      </c>
      <c r="X65" s="160">
        <f>IF(LARGE($R65:$T65,1)="","",IF(LARGE($R65:$T65,1)&lt;=99,"10-99 мм",IF(LARGE($R65:$T65,1)&lt;=199,"100-199 мм",IF(LARGE($R65:$T65,1)&lt;=299,"200-299 мм",IF(LARGE($R65:$T65,1)&lt;=399,"300-399 мм",IF(LARGE($R65:$T65,1)&lt;=499,"400-499 мм",IF(LARGE($R65:$T65,1)&lt;=599,"500-599 мм",IF(LARGE($R65:$T65,1)&lt;=699,"600-699 мм",IF(LARGE($R65:$T65,1)&lt;=999,"700-999 мм","1000+ мм")))))))))</f>
        <v/>
      </c>
      <c r="Y65" s="160">
        <f>IF(LARGE($R65:$T65,2)="","",IF(LARGE($R65:$T65,2)&lt;=99,"10-99 мм",IF(LARGE($R65:$T65,2)&lt;=199,"100-199 мм",IF(LARGE($R65:$T65,2)&lt;=299,"200-299 мм",IF(LARGE($R65:$T65,2)&lt;=399,"300-399 мм",IF(LARGE($R65:$T65,2)&lt;=499,"400-499 мм",IF(LARGE($R65:$T65,2)&lt;=599,"500-599 мм",IF(LARGE($R65:$T65,2)&lt;=699,"600-699 мм",IF(LARGE($R65:$T65,2)&lt;=999,"700-999 мм","1000+ мм")))))))))</f>
        <v/>
      </c>
      <c r="Z65" s="160">
        <f>IF(SMALL($R65:$T65,1)="","",IF(SMALL($R65:$T65,1)&lt;=99,"10-99 мм",IF(SMALL($R65:$T65,1)&lt;=199,"100-199 мм",IF(SMALL($R65:$T65,1)&lt;=299,"200-299 мм",IF(SMALL($R65:$T65,1)&lt;=399,"300-399 мм",IF(SMALL($R65:$T65,1)&lt;=499,"400-499 мм",IF(SMALL($R65:$T65,1)&lt;=599,"500-599 мм",IF(SMALL($R65:$T65,1)&lt;=699,"600-699 мм",IF(SMALL($R65:$T65,1)&lt;=999,"700-999 мм","1000+ мм")))))))))</f>
        <v/>
      </c>
      <c r="AA65" s="101">
        <f>IF(G65="","",IF(G65="Л","Лист гофрокартона",IF(G65="КД","Крышка-дно",IF(G65="С","Самосборные",IF(G65="Ч","Четырехклапанные",IF(G65="А","Архивные","Неизвестно"))))))</f>
        <v/>
      </c>
      <c r="AB65" s="66" t="n">
        <v>1.73</v>
      </c>
      <c r="AC65" s="101">
        <f>IF(O65="","",IF(O65&lt;=1,"0-1 литров",IF(O65&lt;=3,"2-3 литра",IF(O65&lt;=5,"4-5 литра",IF(O65&lt;=7,"6-7 литра",IF(O65&lt;=9,"8-9 литров",IF(O65&lt;=14,"10-14 литров",IF(O65&lt;=19,"15-19 литров",IF(O65&lt;=29,"20-29 литров",IF(O65&lt;=49,"30-49 литров",IF(O65&lt;=59,"50-59 литров",IF(O65&lt;=70,"60-69 литров",IF(O65&lt;=79,"70-79 литров",IF(O65&lt;=89,"80-89 литров",IF(O65&lt;=99,"90-99 литров",IF(O65&lt;=200,"100-200 литров","200+ литров"))))))))))))))))</f>
        <v/>
      </c>
    </row>
    <row r="66">
      <c r="A66" s="64" t="n">
        <v>0.85</v>
      </c>
      <c r="B66" s="65">
        <f>A66*1.2</f>
        <v/>
      </c>
      <c r="C66" s="109" t="n">
        <v>66</v>
      </c>
      <c r="D66" s="116" t="inlineStr">
        <is>
          <t>У</t>
        </is>
      </c>
      <c r="E66" s="88" t="inlineStr">
        <is>
          <t>340х420х25</t>
        </is>
      </c>
      <c r="G66" s="83" t="inlineStr">
        <is>
          <t>С</t>
        </is>
      </c>
      <c r="H66" s="146" t="inlineStr">
        <is>
          <t>0427</t>
        </is>
      </c>
      <c r="I66" s="83" t="inlineStr">
        <is>
          <t>В</t>
        </is>
      </c>
      <c r="J66" s="83" t="inlineStr">
        <is>
          <t>х</t>
        </is>
      </c>
      <c r="K66" s="116" t="inlineStr">
        <is>
          <t>K66</t>
        </is>
      </c>
      <c r="N66" s="239">
        <f>IF(D66="","",IF(LEFT(D66,1)="0",0,1))</f>
        <v/>
      </c>
      <c r="O66" s="80">
        <f>ROUND(R66*S66*T66/1000000,2)</f>
        <v/>
      </c>
      <c r="P66" s="160">
        <f>IF(O66="","",
IF(O66&lt;1,"0,1-0,9 литров",
IF(O66&lt;2,"1-1,9 литра",
IF(O66&lt;3,"2-2,9 литра",
IF(O66&lt;4,"3-3,9 литра",
IF(O66&lt;6,"4-5,9 литра",IF(O66&lt;8,"6-7,9 литра",IF(O66&lt;10,"8-9,9 литров",IF(O66&lt;15,"10-14,9 литров",IF(O66&lt;20,"15-19,9 литров",IF(O66&lt;30,"20-29 литров",IF(O66&lt;50,"30-49 литров",IF(O66&lt;60,"50-59 литров",IF(O66&lt;70,"60-69 литров",IF(O66&lt;80,"70-79 литров",IF(O66&lt;90,"80-89 литров",IF(O66&lt;100,"90-99 литров",IF(O66&lt;200,"100-200 литров","200+ литров"))))))))))))))))))</f>
        <v/>
      </c>
      <c r="Q66" s="101">
        <f>IF(O66="","",IF(O66&lt;1,"&lt;1 л",IF(O66&lt;2,"1-2 л",IF(O66&lt;3,"2-3 л",IF(O66&lt;5,"3-5 л",IF(O66&lt;10,"5-10 л",IF(O66&lt;20,"10-20 л",IF(O66&lt;50,"20-50 л",IF(O66&lt;100,"50-100 л","100+ л")))))))))</f>
        <v/>
      </c>
      <c r="R66" s="162">
        <f>IF(E66="","",--LEFT(E66,FIND("х",E66)-1))</f>
        <v/>
      </c>
      <c r="S66" s="162">
        <f>IF(E66="","",--MID(E66,FIND("х",E66)+1,FIND("х",E66,FIND("х",E66)+1)-FIND("х",E66)-1))</f>
        <v/>
      </c>
      <c r="T66" s="162">
        <f>IF(E66="","",--RIGHT(E66,LEN(E66)-FIND("х",E66,FIND("х",E66)+1)))</f>
        <v/>
      </c>
      <c r="U66" s="66">
        <f>(2*(R66+S66)+60)*(S66+T66+8)/1000000</f>
        <v/>
      </c>
      <c r="V66" s="66">
        <f>IF(OR(AND(R66&gt;=2*S66,R66&gt;=2*T66),AND(S66&gt;=2*R66,S66&gt;=2*T66),AND(T66&gt;=2*R66,T66&gt;=2*S66)),"Длинные","")</f>
        <v/>
      </c>
      <c r="W66" s="66">
        <f>IF(OR(AND(R66&lt;=S66/2,R66&lt;=T66/2),AND(S66&lt;=R66/2,S66&lt;=T66/2),AND(T66&lt;=R66/2,T66&lt;=S66/2)),"Плоские","")</f>
        <v/>
      </c>
      <c r="X66" s="160">
        <f>IF(LARGE($R66:$T66,1)="","",IF(LARGE($R66:$T66,1)&lt;=99,"10-99 мм",IF(LARGE($R66:$T66,1)&lt;=199,"100-199 мм",IF(LARGE($R66:$T66,1)&lt;=299,"200-299 мм",IF(LARGE($R66:$T66,1)&lt;=399,"300-399 мм",IF(LARGE($R66:$T66,1)&lt;=499,"400-499 мм",IF(LARGE($R66:$T66,1)&lt;=599,"500-599 мм",IF(LARGE($R66:$T66,1)&lt;=699,"600-699 мм",IF(LARGE($R66:$T66,1)&lt;=999,"700-999 мм","1000+ мм")))))))))</f>
        <v/>
      </c>
      <c r="Y66" s="160">
        <f>IF(LARGE($R66:$T66,2)="","",IF(LARGE($R66:$T66,2)&lt;=99,"10-99 мм",IF(LARGE($R66:$T66,2)&lt;=199,"100-199 мм",IF(LARGE($R66:$T66,2)&lt;=299,"200-299 мм",IF(LARGE($R66:$T66,2)&lt;=399,"300-399 мм",IF(LARGE($R66:$T66,2)&lt;=499,"400-499 мм",IF(LARGE($R66:$T66,2)&lt;=599,"500-599 мм",IF(LARGE($R66:$T66,2)&lt;=699,"600-699 мм",IF(LARGE($R66:$T66,2)&lt;=999,"700-999 мм","1000+ мм")))))))))</f>
        <v/>
      </c>
      <c r="Z66" s="160">
        <f>IF(SMALL($R66:$T66,1)="","",IF(SMALL($R66:$T66,1)&lt;=99,"10-99 мм",IF(SMALL($R66:$T66,1)&lt;=199,"100-199 мм",IF(SMALL($R66:$T66,1)&lt;=299,"200-299 мм",IF(SMALL($R66:$T66,1)&lt;=399,"300-399 мм",IF(SMALL($R66:$T66,1)&lt;=499,"400-499 мм",IF(SMALL($R66:$T66,1)&lt;=599,"500-599 мм",IF(SMALL($R66:$T66,1)&lt;=699,"600-699 мм",IF(SMALL($R66:$T66,1)&lt;=999,"700-999 мм","1000+ мм")))))))))</f>
        <v/>
      </c>
      <c r="AA66" s="101">
        <f>IF(G66="","",IF(G66="Л","Лист гофрокартона",IF(G66="КД","Крышка-дно",IF(G66="С","Самосборные",IF(G66="Ч","Четырехклапанные",IF(G66="А","Архивные","Неизвестно"))))))</f>
        <v/>
      </c>
      <c r="AB66" s="66" t="n">
        <v>1.73</v>
      </c>
      <c r="AC66" s="101">
        <f>IF(O66="","",IF(O66&lt;=1,"0-1 литров",IF(O66&lt;=3,"2-3 литра",IF(O66&lt;=5,"4-5 литра",IF(O66&lt;=7,"6-7 литра",IF(O66&lt;=9,"8-9 литров",IF(O66&lt;=14,"10-14 литров",IF(O66&lt;=19,"15-19 литров",IF(O66&lt;=29,"20-29 литров",IF(O66&lt;=49,"30-49 литров",IF(O66&lt;=59,"50-59 литров",IF(O66&lt;=70,"60-69 литров",IF(O66&lt;=79,"70-79 литров",IF(O66&lt;=89,"80-89 литров",IF(O66&lt;=99,"90-99 литров",IF(O66&lt;=200,"100-200 литров","200+ литров"))))))))))))))))</f>
        <v/>
      </c>
    </row>
    <row r="67">
      <c r="A67" s="64" t="n">
        <v>1.28</v>
      </c>
      <c r="B67" s="65">
        <f>A67*1.2</f>
        <v/>
      </c>
      <c r="C67" s="109" t="n">
        <v>67</v>
      </c>
      <c r="D67" s="116" t="inlineStr">
        <is>
          <t>У</t>
        </is>
      </c>
      <c r="E67" s="88" t="inlineStr">
        <is>
          <t>440х440х85</t>
        </is>
      </c>
      <c r="G67" s="83" t="inlineStr">
        <is>
          <t>С</t>
        </is>
      </c>
      <c r="H67" s="146" t="inlineStr">
        <is>
          <t>0426</t>
        </is>
      </c>
      <c r="I67" s="83" t="inlineStr">
        <is>
          <t>В</t>
        </is>
      </c>
      <c r="J67" s="83" t="inlineStr">
        <is>
          <t>х</t>
        </is>
      </c>
      <c r="K67" s="116" t="inlineStr">
        <is>
          <t>K67</t>
        </is>
      </c>
      <c r="N67" s="239">
        <f>IF(D67="","",IF(LEFT(D67,1)="0",0,1))</f>
        <v/>
      </c>
      <c r="O67" s="80">
        <f>ROUND(R67*S67*T67/1000000,2)</f>
        <v/>
      </c>
      <c r="P67" s="160">
        <f>IF(O67="","",
IF(O67&lt;1,"0,1-0,9 литров",
IF(O67&lt;2,"1-1,9 литра",
IF(O67&lt;3,"2-2,9 литра",
IF(O67&lt;4,"3-3,9 литра",
IF(O67&lt;6,"4-5,9 литра",IF(O67&lt;8,"6-7,9 литра",IF(O67&lt;10,"8-9,9 литров",IF(O67&lt;15,"10-14,9 литров",IF(O67&lt;20,"15-19,9 литров",IF(O67&lt;30,"20-29 литров",IF(O67&lt;50,"30-49 литров",IF(O67&lt;60,"50-59 литров",IF(O67&lt;70,"60-69 литров",IF(O67&lt;80,"70-79 литров",IF(O67&lt;90,"80-89 литров",IF(O67&lt;100,"90-99 литров",IF(O67&lt;200,"100-200 литров","200+ литров"))))))))))))))))))</f>
        <v/>
      </c>
      <c r="Q67" s="101">
        <f>IF(O67="","",IF(O67&lt;1,"&lt;1 л",IF(O67&lt;2,"1-2 л",IF(O67&lt;3,"2-3 л",IF(O67&lt;5,"3-5 л",IF(O67&lt;10,"5-10 л",IF(O67&lt;20,"10-20 л",IF(O67&lt;50,"20-50 л",IF(O67&lt;100,"50-100 л","100+ л")))))))))</f>
        <v/>
      </c>
      <c r="R67" s="162">
        <f>IF(E67="","",--LEFT(E67,FIND("х",E67)-1))</f>
        <v/>
      </c>
      <c r="S67" s="162">
        <f>IF(E67="","",--MID(E67,FIND("х",E67)+1,FIND("х",E67,FIND("х",E67)+1)-FIND("х",E67)-1))</f>
        <v/>
      </c>
      <c r="T67" s="162">
        <f>IF(E67="","",--RIGHT(E67,LEN(E67)-FIND("х",E67,FIND("х",E67)+1)))</f>
        <v/>
      </c>
      <c r="U67" s="66">
        <f>(2*(R67+S67)+60)*(S67+T67+8)/1000000</f>
        <v/>
      </c>
      <c r="V67" s="66">
        <f>IF(OR(AND(R67&gt;=2*S67,R67&gt;=2*T67),AND(S67&gt;=2*R67,S67&gt;=2*T67),AND(T67&gt;=2*R67,T67&gt;=2*S67)),"Длинные","")</f>
        <v/>
      </c>
      <c r="W67" s="66">
        <f>IF(OR(AND(R67&lt;=S67/2,R67&lt;=T67/2),AND(S67&lt;=R67/2,S67&lt;=T67/2),AND(T67&lt;=R67/2,T67&lt;=S67/2)),"Плоские","")</f>
        <v/>
      </c>
      <c r="X67" s="160">
        <f>IF(LARGE($R67:$T67,1)="","",IF(LARGE($R67:$T67,1)&lt;=99,"10-99 мм",IF(LARGE($R67:$T67,1)&lt;=199,"100-199 мм",IF(LARGE($R67:$T67,1)&lt;=299,"200-299 мм",IF(LARGE($R67:$T67,1)&lt;=399,"300-399 мм",IF(LARGE($R67:$T67,1)&lt;=499,"400-499 мм",IF(LARGE($R67:$T67,1)&lt;=599,"500-599 мм",IF(LARGE($R67:$T67,1)&lt;=699,"600-699 мм",IF(LARGE($R67:$T67,1)&lt;=999,"700-999 мм","1000+ мм")))))))))</f>
        <v/>
      </c>
      <c r="Y67" s="160">
        <f>IF(LARGE($R67:$T67,2)="","",IF(LARGE($R67:$T67,2)&lt;=99,"10-99 мм",IF(LARGE($R67:$T67,2)&lt;=199,"100-199 мм",IF(LARGE($R67:$T67,2)&lt;=299,"200-299 мм",IF(LARGE($R67:$T67,2)&lt;=399,"300-399 мм",IF(LARGE($R67:$T67,2)&lt;=499,"400-499 мм",IF(LARGE($R67:$T67,2)&lt;=599,"500-599 мм",IF(LARGE($R67:$T67,2)&lt;=699,"600-699 мм",IF(LARGE($R67:$T67,2)&lt;=999,"700-999 мм","1000+ мм")))))))))</f>
        <v/>
      </c>
      <c r="Z67" s="160">
        <f>IF(SMALL($R67:$T67,1)="","",IF(SMALL($R67:$T67,1)&lt;=99,"10-99 мм",IF(SMALL($R67:$T67,1)&lt;=199,"100-199 мм",IF(SMALL($R67:$T67,1)&lt;=299,"200-299 мм",IF(SMALL($R67:$T67,1)&lt;=399,"300-399 мм",IF(SMALL($R67:$T67,1)&lt;=499,"400-499 мм",IF(SMALL($R67:$T67,1)&lt;=599,"500-599 мм",IF(SMALL($R67:$T67,1)&lt;=699,"600-699 мм",IF(SMALL($R67:$T67,1)&lt;=999,"700-999 мм","1000+ мм")))))))))</f>
        <v/>
      </c>
      <c r="AA67" s="101">
        <f>IF(G67="","",IF(G67="Л","Лист гофрокартона",IF(G67="КД","Крышка-дно",IF(G67="С","Самосборные",IF(G67="Ч","Четырехклапанные",IF(G67="А","Архивные","Неизвестно"))))))</f>
        <v/>
      </c>
      <c r="AB67" s="66" t="n">
        <v>1.73</v>
      </c>
      <c r="AC67" s="101">
        <f>IF(O67="","",IF(O67&lt;=1,"0-1 литров",IF(O67&lt;=3,"2-3 литра",IF(O67&lt;=5,"4-5 литра",IF(O67&lt;=7,"6-7 литра",IF(O67&lt;=9,"8-9 литров",IF(O67&lt;=14,"10-14 литров",IF(O67&lt;=19,"15-19 литров",IF(O67&lt;=29,"20-29 литров",IF(O67&lt;=49,"30-49 литров",IF(O67&lt;=59,"50-59 литров",IF(O67&lt;=70,"60-69 литров",IF(O67&lt;=79,"70-79 литров",IF(O67&lt;=89,"80-89 литров",IF(O67&lt;=99,"90-99 литров",IF(O67&lt;=200,"100-200 литров","200+ литров"))))))))))))))))</f>
        <v/>
      </c>
    </row>
    <row r="68">
      <c r="A68" s="64" t="n">
        <v>0.87</v>
      </c>
      <c r="B68" s="65">
        <f>A68*1.2</f>
        <v/>
      </c>
      <c r="C68" s="109" t="n">
        <v>68</v>
      </c>
      <c r="D68" s="116" t="inlineStr">
        <is>
          <t>У</t>
        </is>
      </c>
      <c r="E68" s="88" t="inlineStr">
        <is>
          <t>450х350х40</t>
        </is>
      </c>
      <c r="G68" s="83" t="inlineStr">
        <is>
          <t>С</t>
        </is>
      </c>
      <c r="H68" s="146" t="inlineStr">
        <is>
          <t>0426</t>
        </is>
      </c>
      <c r="I68" s="83" t="inlineStr">
        <is>
          <t>В</t>
        </is>
      </c>
      <c r="J68" s="83" t="inlineStr">
        <is>
          <t>х</t>
        </is>
      </c>
      <c r="K68" s="116" t="inlineStr">
        <is>
          <t>K68</t>
        </is>
      </c>
      <c r="N68" s="239">
        <f>IF(D68="","",IF(LEFT(D68,1)="0",0,1))</f>
        <v/>
      </c>
      <c r="O68" s="80">
        <f>ROUND(R68*S68*T68/1000000,2)</f>
        <v/>
      </c>
      <c r="P68" s="160">
        <f>IF(O68="","",
IF(O68&lt;1,"0,1-0,9 литров",
IF(O68&lt;2,"1-1,9 литра",
IF(O68&lt;3,"2-2,9 литра",
IF(O68&lt;4,"3-3,9 литра",
IF(O68&lt;6,"4-5,9 литра",IF(O68&lt;8,"6-7,9 литра",IF(O68&lt;10,"8-9,9 литров",IF(O68&lt;15,"10-14,9 литров",IF(O68&lt;20,"15-19,9 литров",IF(O68&lt;30,"20-29 литров",IF(O68&lt;50,"30-49 литров",IF(O68&lt;60,"50-59 литров",IF(O68&lt;70,"60-69 литров",IF(O68&lt;80,"70-79 литров",IF(O68&lt;90,"80-89 литров",IF(O68&lt;100,"90-99 литров",IF(O68&lt;200,"100-200 литров","200+ литров"))))))))))))))))))</f>
        <v/>
      </c>
      <c r="Q68" s="101">
        <f>IF(O68="","",IF(O68&lt;1,"&lt;1 л",IF(O68&lt;2,"1-2 л",IF(O68&lt;3,"2-3 л",IF(O68&lt;5,"3-5 л",IF(O68&lt;10,"5-10 л",IF(O68&lt;20,"10-20 л",IF(O68&lt;50,"20-50 л",IF(O68&lt;100,"50-100 л","100+ л")))))))))</f>
        <v/>
      </c>
      <c r="R68" s="162">
        <f>IF(E68="","",--LEFT(E68,FIND("х",E68)-1))</f>
        <v/>
      </c>
      <c r="S68" s="162">
        <f>IF(E68="","",--MID(E68,FIND("х",E68)+1,FIND("х",E68,FIND("х",E68)+1)-FIND("х",E68)-1))</f>
        <v/>
      </c>
      <c r="T68" s="162">
        <f>IF(E68="","",--RIGHT(E68,LEN(E68)-FIND("х",E68,FIND("х",E68)+1)))</f>
        <v/>
      </c>
      <c r="U68" s="66">
        <f>(2*(R68+S68)+60)*(S68+T68+8)/1000000</f>
        <v/>
      </c>
      <c r="V68" s="66">
        <f>IF(OR(AND(R68&gt;=2*S68,R68&gt;=2*T68),AND(S68&gt;=2*R68,S68&gt;=2*T68),AND(T68&gt;=2*R68,T68&gt;=2*S68)),"Длинные","")</f>
        <v/>
      </c>
      <c r="W68" s="66">
        <f>IF(OR(AND(R68&lt;=S68/2,R68&lt;=T68/2),AND(S68&lt;=R68/2,S68&lt;=T68/2),AND(T68&lt;=R68/2,T68&lt;=S68/2)),"Плоские","")</f>
        <v/>
      </c>
      <c r="X68" s="160">
        <f>IF(LARGE($R68:$T68,1)="","",IF(LARGE($R68:$T68,1)&lt;=99,"10-99 мм",IF(LARGE($R68:$T68,1)&lt;=199,"100-199 мм",IF(LARGE($R68:$T68,1)&lt;=299,"200-299 мм",IF(LARGE($R68:$T68,1)&lt;=399,"300-399 мм",IF(LARGE($R68:$T68,1)&lt;=499,"400-499 мм",IF(LARGE($R68:$T68,1)&lt;=599,"500-599 мм",IF(LARGE($R68:$T68,1)&lt;=699,"600-699 мм",IF(LARGE($R68:$T68,1)&lt;=999,"700-999 мм","1000+ мм")))))))))</f>
        <v/>
      </c>
      <c r="Y68" s="160">
        <f>IF(LARGE($R68:$T68,2)="","",IF(LARGE($R68:$T68,2)&lt;=99,"10-99 мм",IF(LARGE($R68:$T68,2)&lt;=199,"100-199 мм",IF(LARGE($R68:$T68,2)&lt;=299,"200-299 мм",IF(LARGE($R68:$T68,2)&lt;=399,"300-399 мм",IF(LARGE($R68:$T68,2)&lt;=499,"400-499 мм",IF(LARGE($R68:$T68,2)&lt;=599,"500-599 мм",IF(LARGE($R68:$T68,2)&lt;=699,"600-699 мм",IF(LARGE($R68:$T68,2)&lt;=999,"700-999 мм","1000+ мм")))))))))</f>
        <v/>
      </c>
      <c r="Z68" s="160">
        <f>IF(SMALL($R68:$T68,1)="","",IF(SMALL($R68:$T68,1)&lt;=99,"10-99 мм",IF(SMALL($R68:$T68,1)&lt;=199,"100-199 мм",IF(SMALL($R68:$T68,1)&lt;=299,"200-299 мм",IF(SMALL($R68:$T68,1)&lt;=399,"300-399 мм",IF(SMALL($R68:$T68,1)&lt;=499,"400-499 мм",IF(SMALL($R68:$T68,1)&lt;=599,"500-599 мм",IF(SMALL($R68:$T68,1)&lt;=699,"600-699 мм",IF(SMALL($R68:$T68,1)&lt;=999,"700-999 мм","1000+ мм")))))))))</f>
        <v/>
      </c>
      <c r="AA68" s="101">
        <f>IF(G68="","",IF(G68="Л","Лист гофрокартона",IF(G68="КД","Крышка-дно",IF(G68="С","Самосборные",IF(G68="Ч","Четырехклапанные",IF(G68="А","Архивные","Неизвестно"))))))</f>
        <v/>
      </c>
      <c r="AB68" s="66" t="n">
        <v>1.73</v>
      </c>
      <c r="AC68" s="101">
        <f>IF(O68="","",IF(O68&lt;=1,"0-1 литров",IF(O68&lt;=3,"2-3 литра",IF(O68&lt;=5,"4-5 литра",IF(O68&lt;=7,"6-7 литра",IF(O68&lt;=9,"8-9 литров",IF(O68&lt;=14,"10-14 литров",IF(O68&lt;=19,"15-19 литров",IF(O68&lt;=29,"20-29 литров",IF(O68&lt;=49,"30-49 литров",IF(O68&lt;=59,"50-59 литров",IF(O68&lt;=70,"60-69 литров",IF(O68&lt;=79,"70-79 литров",IF(O68&lt;=89,"80-89 литров",IF(O68&lt;=99,"90-99 литров",IF(O68&lt;=200,"100-200 литров","200+ литров"))))))))))))))))</f>
        <v/>
      </c>
    </row>
    <row r="69">
      <c r="A69" s="64" t="n">
        <v>1.42</v>
      </c>
      <c r="B69" s="65">
        <f>A69*1.2</f>
        <v/>
      </c>
      <c r="C69" s="109" t="n">
        <v>69</v>
      </c>
      <c r="D69" s="116" t="inlineStr">
        <is>
          <t>У</t>
        </is>
      </c>
      <c r="E69" s="88" t="inlineStr">
        <is>
          <t>1050х180х70</t>
        </is>
      </c>
      <c r="G69" s="83" t="inlineStr">
        <is>
          <t>С</t>
        </is>
      </c>
      <c r="H69" s="146" t="inlineStr">
        <is>
          <t>0427</t>
        </is>
      </c>
      <c r="I69" s="83" t="inlineStr">
        <is>
          <t>В</t>
        </is>
      </c>
      <c r="J69" s="83" t="inlineStr">
        <is>
          <t>х</t>
        </is>
      </c>
      <c r="K69" s="116" t="inlineStr">
        <is>
          <t>K69</t>
        </is>
      </c>
      <c r="N69" s="239">
        <f>IF(D69="","",IF(LEFT(D69,1)="0",0,1))</f>
        <v/>
      </c>
      <c r="O69" s="80">
        <f>ROUND(R69*S69*T69/1000000,2)</f>
        <v/>
      </c>
      <c r="P69" s="160">
        <f>IF(O69="","",
IF(O69&lt;1,"0,1-0,9 литров",
IF(O69&lt;2,"1-1,9 литра",
IF(O69&lt;3,"2-2,9 литра",
IF(O69&lt;4,"3-3,9 литра",
IF(O69&lt;6,"4-5,9 литра",IF(O69&lt;8,"6-7,9 литра",IF(O69&lt;10,"8-9,9 литров",IF(O69&lt;15,"10-14,9 литров",IF(O69&lt;20,"15-19,9 литров",IF(O69&lt;30,"20-29 литров",IF(O69&lt;50,"30-49 литров",IF(O69&lt;60,"50-59 литров",IF(O69&lt;70,"60-69 литров",IF(O69&lt;80,"70-79 литров",IF(O69&lt;90,"80-89 литров",IF(O69&lt;100,"90-99 литров",IF(O69&lt;200,"100-200 литров","200+ литров"))))))))))))))))))</f>
        <v/>
      </c>
      <c r="Q69" s="101">
        <f>IF(O69="","",IF(O69&lt;1,"&lt;1 л",IF(O69&lt;2,"1-2 л",IF(O69&lt;3,"2-3 л",IF(O69&lt;5,"3-5 л",IF(O69&lt;10,"5-10 л",IF(O69&lt;20,"10-20 л",IF(O69&lt;50,"20-50 л",IF(O69&lt;100,"50-100 л","100+ л")))))))))</f>
        <v/>
      </c>
      <c r="R69" s="162">
        <f>IF(E69="","",--LEFT(E69,FIND("х",E69)-1))</f>
        <v/>
      </c>
      <c r="S69" s="162">
        <f>IF(E69="","",--MID(E69,FIND("х",E69)+1,FIND("х",E69,FIND("х",E69)+1)-FIND("х",E69)-1))</f>
        <v/>
      </c>
      <c r="T69" s="162">
        <f>IF(E69="","",--RIGHT(E69,LEN(E69)-FIND("х",E69,FIND("х",E69)+1)))</f>
        <v/>
      </c>
      <c r="U69" s="66">
        <f>(2*(R69+S69)+60)*(S69+T69+8)/1000000</f>
        <v/>
      </c>
      <c r="V69" s="66">
        <f>IF(OR(AND(R69&gt;=2*S69,R69&gt;=2*T69),AND(S69&gt;=2*R69,S69&gt;=2*T69),AND(T69&gt;=2*R69,T69&gt;=2*S69)),"Длинные","")</f>
        <v/>
      </c>
      <c r="W69" s="66">
        <f>IF(OR(AND(R69&lt;=S69/2,R69&lt;=T69/2),AND(S69&lt;=R69/2,S69&lt;=T69/2),AND(T69&lt;=R69/2,T69&lt;=S69/2)),"Плоские","")</f>
        <v/>
      </c>
      <c r="X69" s="160">
        <f>IF(LARGE($R69:$T69,1)="","",IF(LARGE($R69:$T69,1)&lt;=99,"10-99 мм",IF(LARGE($R69:$T69,1)&lt;=199,"100-199 мм",IF(LARGE($R69:$T69,1)&lt;=299,"200-299 мм",IF(LARGE($R69:$T69,1)&lt;=399,"300-399 мм",IF(LARGE($R69:$T69,1)&lt;=499,"400-499 мм",IF(LARGE($R69:$T69,1)&lt;=599,"500-599 мм",IF(LARGE($R69:$T69,1)&lt;=699,"600-699 мм",IF(LARGE($R69:$T69,1)&lt;=999,"700-999 мм","1000+ мм")))))))))</f>
        <v/>
      </c>
      <c r="Y69" s="160">
        <f>IF(LARGE($R69:$T69,2)="","",IF(LARGE($R69:$T69,2)&lt;=99,"10-99 мм",IF(LARGE($R69:$T69,2)&lt;=199,"100-199 мм",IF(LARGE($R69:$T69,2)&lt;=299,"200-299 мм",IF(LARGE($R69:$T69,2)&lt;=399,"300-399 мм",IF(LARGE($R69:$T69,2)&lt;=499,"400-499 мм",IF(LARGE($R69:$T69,2)&lt;=599,"500-599 мм",IF(LARGE($R69:$T69,2)&lt;=699,"600-699 мм",IF(LARGE($R69:$T69,2)&lt;=999,"700-999 мм","1000+ мм")))))))))</f>
        <v/>
      </c>
      <c r="Z69" s="160">
        <f>IF(SMALL($R69:$T69,1)="","",IF(SMALL($R69:$T69,1)&lt;=99,"10-99 мм",IF(SMALL($R69:$T69,1)&lt;=199,"100-199 мм",IF(SMALL($R69:$T69,1)&lt;=299,"200-299 мм",IF(SMALL($R69:$T69,1)&lt;=399,"300-399 мм",IF(SMALL($R69:$T69,1)&lt;=499,"400-499 мм",IF(SMALL($R69:$T69,1)&lt;=599,"500-599 мм",IF(SMALL($R69:$T69,1)&lt;=699,"600-699 мм",IF(SMALL($R69:$T69,1)&lt;=999,"700-999 мм","1000+ мм")))))))))</f>
        <v/>
      </c>
      <c r="AA69" s="101">
        <f>IF(G69="","",IF(G69="Л","Лист гофрокартона",IF(G69="КД","Крышка-дно",IF(G69="С","Самосборные",IF(G69="Ч","Четырехклапанные",IF(G69="А","Архивные","Неизвестно"))))))</f>
        <v/>
      </c>
      <c r="AB69" s="66" t="n">
        <v>1.73</v>
      </c>
      <c r="AC69" s="101">
        <f>IF(O69="","",IF(O69&lt;=1,"0-1 литров",IF(O69&lt;=3,"2-3 литра",IF(O69&lt;=5,"4-5 литра",IF(O69&lt;=7,"6-7 литра",IF(O69&lt;=9,"8-9 литров",IF(O69&lt;=14,"10-14 литров",IF(O69&lt;=19,"15-19 литров",IF(O69&lt;=29,"20-29 литров",IF(O69&lt;=49,"30-49 литров",IF(O69&lt;=59,"50-59 литров",IF(O69&lt;=70,"60-69 литров",IF(O69&lt;=79,"70-79 литров",IF(O69&lt;=89,"80-89 литров",IF(O69&lt;=99,"90-99 литров",IF(O69&lt;=200,"100-200 литров","200+ литров"))))))))))))))))</f>
        <v/>
      </c>
    </row>
    <row r="70">
      <c r="A70" s="64" t="n">
        <v>0.22</v>
      </c>
      <c r="B70" s="65">
        <f>A70*1.2</f>
        <v/>
      </c>
      <c r="C70" s="109" t="n">
        <v>70</v>
      </c>
      <c r="D70" s="116" t="inlineStr">
        <is>
          <t>У</t>
        </is>
      </c>
      <c r="E70" s="88" t="inlineStr">
        <is>
          <t>305х55х55</t>
        </is>
      </c>
      <c r="G70" s="83" t="inlineStr">
        <is>
          <t>С</t>
        </is>
      </c>
      <c r="H70" s="146" t="inlineStr">
        <is>
          <t>0471</t>
        </is>
      </c>
      <c r="I70" s="83" t="inlineStr">
        <is>
          <t>В</t>
        </is>
      </c>
      <c r="J70" s="83" t="inlineStr">
        <is>
          <t>х</t>
        </is>
      </c>
      <c r="K70" s="116" t="inlineStr">
        <is>
          <t>K70</t>
        </is>
      </c>
      <c r="N70" s="239">
        <f>IF(D70="","",IF(LEFT(D70,1)="0",0,1))</f>
        <v/>
      </c>
      <c r="O70" s="80">
        <f>ROUND(R70*S70*T70/1000000,2)</f>
        <v/>
      </c>
      <c r="P70" s="160">
        <f>IF(O70="","",
IF(O70&lt;1,"0,1-0,9 литров",
IF(O70&lt;2,"1-1,9 литра",
IF(O70&lt;3,"2-2,9 литра",
IF(O70&lt;4,"3-3,9 литра",
IF(O70&lt;6,"4-5,9 литра",IF(O70&lt;8,"6-7,9 литра",IF(O70&lt;10,"8-9,9 литров",IF(O70&lt;15,"10-14,9 литров",IF(O70&lt;20,"15-19,9 литров",IF(O70&lt;30,"20-29 литров",IF(O70&lt;50,"30-49 литров",IF(O70&lt;60,"50-59 литров",IF(O70&lt;70,"60-69 литров",IF(O70&lt;80,"70-79 литров",IF(O70&lt;90,"80-89 литров",IF(O70&lt;100,"90-99 литров",IF(O70&lt;200,"100-200 литров","200+ литров"))))))))))))))))))</f>
        <v/>
      </c>
      <c r="Q70" s="101">
        <f>IF(O70="","",IF(O70&lt;1,"&lt;1 л",IF(O70&lt;2,"1-2 л",IF(O70&lt;3,"2-3 л",IF(O70&lt;5,"3-5 л",IF(O70&lt;10,"5-10 л",IF(O70&lt;20,"10-20 л",IF(O70&lt;50,"20-50 л",IF(O70&lt;100,"50-100 л","100+ л")))))))))</f>
        <v/>
      </c>
      <c r="R70" s="162">
        <f>IF(E70="","",--LEFT(E70,FIND("х",E70)-1))</f>
        <v/>
      </c>
      <c r="S70" s="162">
        <f>IF(E70="","",--MID(E70,FIND("х",E70)+1,FIND("х",E70,FIND("х",E70)+1)-FIND("х",E70)-1))</f>
        <v/>
      </c>
      <c r="T70" s="162">
        <f>IF(E70="","",--RIGHT(E70,LEN(E70)-FIND("х",E70,FIND("х",E70)+1)))</f>
        <v/>
      </c>
      <c r="U70" s="66">
        <f>(2*(R70+S70)+60)*(S70+T70+8)/1000000</f>
        <v/>
      </c>
      <c r="V70" s="66">
        <f>IF(OR(AND(R70&gt;=2*S70,R70&gt;=2*T70),AND(S70&gt;=2*R70,S70&gt;=2*T70),AND(T70&gt;=2*R70,T70&gt;=2*S70)),"Длинные","")</f>
        <v/>
      </c>
      <c r="W70" s="66">
        <f>IF(OR(AND(R70&lt;=S70/2,R70&lt;=T70/2),AND(S70&lt;=R70/2,S70&lt;=T70/2),AND(T70&lt;=R70/2,T70&lt;=S70/2)),"Плоские","")</f>
        <v/>
      </c>
      <c r="X70" s="160">
        <f>IF(LARGE($R70:$T70,1)="","",IF(LARGE($R70:$T70,1)&lt;=99,"10-99 мм",IF(LARGE($R70:$T70,1)&lt;=199,"100-199 мм",IF(LARGE($R70:$T70,1)&lt;=299,"200-299 мм",IF(LARGE($R70:$T70,1)&lt;=399,"300-399 мм",IF(LARGE($R70:$T70,1)&lt;=499,"400-499 мм",IF(LARGE($R70:$T70,1)&lt;=599,"500-599 мм",IF(LARGE($R70:$T70,1)&lt;=699,"600-699 мм",IF(LARGE($R70:$T70,1)&lt;=999,"700-999 мм","1000+ мм")))))))))</f>
        <v/>
      </c>
      <c r="Y70" s="160">
        <f>IF(LARGE($R70:$T70,2)="","",IF(LARGE($R70:$T70,2)&lt;=99,"10-99 мм",IF(LARGE($R70:$T70,2)&lt;=199,"100-199 мм",IF(LARGE($R70:$T70,2)&lt;=299,"200-299 мм",IF(LARGE($R70:$T70,2)&lt;=399,"300-399 мм",IF(LARGE($R70:$T70,2)&lt;=499,"400-499 мм",IF(LARGE($R70:$T70,2)&lt;=599,"500-599 мм",IF(LARGE($R70:$T70,2)&lt;=699,"600-699 мм",IF(LARGE($R70:$T70,2)&lt;=999,"700-999 мм","1000+ мм")))))))))</f>
        <v/>
      </c>
      <c r="Z70" s="160">
        <f>IF(SMALL($R70:$T70,1)="","",IF(SMALL($R70:$T70,1)&lt;=99,"10-99 мм",IF(SMALL($R70:$T70,1)&lt;=199,"100-199 мм",IF(SMALL($R70:$T70,1)&lt;=299,"200-299 мм",IF(SMALL($R70:$T70,1)&lt;=399,"300-399 мм",IF(SMALL($R70:$T70,1)&lt;=499,"400-499 мм",IF(SMALL($R70:$T70,1)&lt;=599,"500-599 мм",IF(SMALL($R70:$T70,1)&lt;=699,"600-699 мм",IF(SMALL($R70:$T70,1)&lt;=999,"700-999 мм","1000+ мм")))))))))</f>
        <v/>
      </c>
      <c r="AA70" s="101">
        <f>IF(G70="","",IF(G70="Л","Лист гофрокартона",IF(G70="КД","Крышка-дно",IF(G70="С","Самосборные",IF(G70="Ч","Четырехклапанные",IF(G70="А","Архивные","Неизвестно"))))))</f>
        <v/>
      </c>
      <c r="AB70" s="66" t="n">
        <v>1.73</v>
      </c>
      <c r="AC70" s="101">
        <f>IF(O70="","",IF(O70&lt;=1,"0-1 литров",IF(O70&lt;=3,"2-3 литра",IF(O70&lt;=5,"4-5 литра",IF(O70&lt;=7,"6-7 литра",IF(O70&lt;=9,"8-9 литров",IF(O70&lt;=14,"10-14 литров",IF(O70&lt;=19,"15-19 литров",IF(O70&lt;=29,"20-29 литров",IF(O70&lt;=49,"30-49 литров",IF(O70&lt;=59,"50-59 литров",IF(O70&lt;=70,"60-69 литров",IF(O70&lt;=79,"70-79 литров",IF(O70&lt;=89,"80-89 литров",IF(O70&lt;=99,"90-99 литров",IF(O70&lt;=200,"100-200 литров","200+ литров"))))))))))))))))</f>
        <v/>
      </c>
    </row>
    <row r="71">
      <c r="A71" s="64" t="n">
        <v>0.77</v>
      </c>
      <c r="B71" s="65">
        <f>A71*1.2</f>
        <v/>
      </c>
      <c r="C71" s="109" t="n">
        <v>71</v>
      </c>
      <c r="D71" s="116" t="inlineStr">
        <is>
          <t>У</t>
        </is>
      </c>
      <c r="E71" s="88" t="inlineStr">
        <is>
          <t>370х140х130</t>
        </is>
      </c>
      <c r="G71" s="83" t="inlineStr">
        <is>
          <t>С</t>
        </is>
      </c>
      <c r="H71" s="146" t="inlineStr">
        <is>
          <t>0215</t>
        </is>
      </c>
      <c r="I71" s="83" t="inlineStr">
        <is>
          <t>В</t>
        </is>
      </c>
      <c r="J71" s="83" t="inlineStr">
        <is>
          <t>х</t>
        </is>
      </c>
      <c r="K71" s="116" t="inlineStr">
        <is>
          <t>K71</t>
        </is>
      </c>
      <c r="N71" s="239">
        <f>IF(D71="","",IF(LEFT(D71,1)="0",0,1))</f>
        <v/>
      </c>
      <c r="O71" s="80">
        <f>ROUND(R71*S71*T71/1000000,2)</f>
        <v/>
      </c>
      <c r="P71" s="160">
        <f>IF(O71="","",
IF(O71&lt;1,"0,1-0,9 литров",
IF(O71&lt;2,"1-1,9 литра",
IF(O71&lt;3,"2-2,9 литра",
IF(O71&lt;4,"3-3,9 литра",
IF(O71&lt;6,"4-5,9 литра",IF(O71&lt;8,"6-7,9 литра",IF(O71&lt;10,"8-9,9 литров",IF(O71&lt;15,"10-14,9 литров",IF(O71&lt;20,"15-19,9 литров",IF(O71&lt;30,"20-29 литров",IF(O71&lt;50,"30-49 литров",IF(O71&lt;60,"50-59 литров",IF(O71&lt;70,"60-69 литров",IF(O71&lt;80,"70-79 литров",IF(O71&lt;90,"80-89 литров",IF(O71&lt;100,"90-99 литров",IF(O71&lt;200,"100-200 литров","200+ литров"))))))))))))))))))</f>
        <v/>
      </c>
      <c r="Q71" s="101">
        <f>IF(O71="","",IF(O71&lt;1,"&lt;1 л",IF(O71&lt;2,"1-2 л",IF(O71&lt;3,"2-3 л",IF(O71&lt;5,"3-5 л",IF(O71&lt;10,"5-10 л",IF(O71&lt;20,"10-20 л",IF(O71&lt;50,"20-50 л",IF(O71&lt;100,"50-100 л","100+ л")))))))))</f>
        <v/>
      </c>
      <c r="R71" s="162">
        <f>IF(E71="","",--LEFT(E71,FIND("х",E71)-1))</f>
        <v/>
      </c>
      <c r="S71" s="162">
        <f>IF(E71="","",--MID(E71,FIND("х",E71)+1,FIND("х",E71,FIND("х",E71)+1)-FIND("х",E71)-1))</f>
        <v/>
      </c>
      <c r="T71" s="162">
        <f>IF(E71="","",--RIGHT(E71,LEN(E71)-FIND("х",E71,FIND("х",E71)+1)))</f>
        <v/>
      </c>
      <c r="U71" s="66">
        <f>(2*(R71+S71)+60)*(S71+T71+8)/1000000</f>
        <v/>
      </c>
      <c r="V71" s="66">
        <f>IF(OR(AND(R71&gt;=2*S71,R71&gt;=2*T71),AND(S71&gt;=2*R71,S71&gt;=2*T71),AND(T71&gt;=2*R71,T71&gt;=2*S71)),"Длинные","")</f>
        <v/>
      </c>
      <c r="W71" s="66">
        <f>IF(OR(AND(R71&lt;=S71/2,R71&lt;=T71/2),AND(S71&lt;=R71/2,S71&lt;=T71/2),AND(T71&lt;=R71/2,T71&lt;=S71/2)),"Плоские","")</f>
        <v/>
      </c>
      <c r="X71" s="160">
        <f>IF(LARGE($R71:$T71,1)="","",IF(LARGE($R71:$T71,1)&lt;=99,"10-99 мм",IF(LARGE($R71:$T71,1)&lt;=199,"100-199 мм",IF(LARGE($R71:$T71,1)&lt;=299,"200-299 мм",IF(LARGE($R71:$T71,1)&lt;=399,"300-399 мм",IF(LARGE($R71:$T71,1)&lt;=499,"400-499 мм",IF(LARGE($R71:$T71,1)&lt;=599,"500-599 мм",IF(LARGE($R71:$T71,1)&lt;=699,"600-699 мм",IF(LARGE($R71:$T71,1)&lt;=999,"700-999 мм","1000+ мм")))))))))</f>
        <v/>
      </c>
      <c r="Y71" s="160">
        <f>IF(LARGE($R71:$T71,2)="","",IF(LARGE($R71:$T71,2)&lt;=99,"10-99 мм",IF(LARGE($R71:$T71,2)&lt;=199,"100-199 мм",IF(LARGE($R71:$T71,2)&lt;=299,"200-299 мм",IF(LARGE($R71:$T71,2)&lt;=399,"300-399 мм",IF(LARGE($R71:$T71,2)&lt;=499,"400-499 мм",IF(LARGE($R71:$T71,2)&lt;=599,"500-599 мм",IF(LARGE($R71:$T71,2)&lt;=699,"600-699 мм",IF(LARGE($R71:$T71,2)&lt;=999,"700-999 мм","1000+ мм")))))))))</f>
        <v/>
      </c>
      <c r="Z71" s="160">
        <f>IF(SMALL($R71:$T71,1)="","",IF(SMALL($R71:$T71,1)&lt;=99,"10-99 мм",IF(SMALL($R71:$T71,1)&lt;=199,"100-199 мм",IF(SMALL($R71:$T71,1)&lt;=299,"200-299 мм",IF(SMALL($R71:$T71,1)&lt;=399,"300-399 мм",IF(SMALL($R71:$T71,1)&lt;=499,"400-499 мм",IF(SMALL($R71:$T71,1)&lt;=599,"500-599 мм",IF(SMALL($R71:$T71,1)&lt;=699,"600-699 мм",IF(SMALL($R71:$T71,1)&lt;=999,"700-999 мм","1000+ мм")))))))))</f>
        <v/>
      </c>
      <c r="AA71" s="101">
        <f>IF(G71="","",IF(G71="Л","Лист гофрокартона",IF(G71="КД","Крышка-дно",IF(G71="С","Самосборные",IF(G71="Ч","Четырехклапанные",IF(G71="А","Архивные","Неизвестно"))))))</f>
        <v/>
      </c>
      <c r="AB71" s="66" t="n">
        <v>1.73</v>
      </c>
      <c r="AC71" s="101">
        <f>IF(O71="","",IF(O71&lt;=1,"0-1 литров",IF(O71&lt;=3,"2-3 литра",IF(O71&lt;=5,"4-5 литра",IF(O71&lt;=7,"6-7 литра",IF(O71&lt;=9,"8-9 литров",IF(O71&lt;=14,"10-14 литров",IF(O71&lt;=19,"15-19 литров",IF(O71&lt;=29,"20-29 литров",IF(O71&lt;=49,"30-49 литров",IF(O71&lt;=59,"50-59 литров",IF(O71&lt;=70,"60-69 литров",IF(O71&lt;=79,"70-79 литров",IF(O71&lt;=89,"80-89 литров",IF(O71&lt;=99,"90-99 литров",IF(O71&lt;=200,"100-200 литров","200+ литров"))))))))))))))))</f>
        <v/>
      </c>
    </row>
    <row r="72">
      <c r="A72" s="64" t="n">
        <v>0.44</v>
      </c>
      <c r="B72" s="65">
        <f>A72*1.2</f>
        <v/>
      </c>
      <c r="C72" s="109" t="n">
        <v>72</v>
      </c>
      <c r="D72" s="116" t="inlineStr">
        <is>
          <t>У</t>
        </is>
      </c>
      <c r="E72" s="88" t="inlineStr">
        <is>
          <t>178х118х152</t>
        </is>
      </c>
      <c r="G72" s="83" t="inlineStr">
        <is>
          <t>С</t>
        </is>
      </c>
      <c r="H72" s="146" t="inlineStr">
        <is>
          <t>0215</t>
        </is>
      </c>
      <c r="I72" s="83" t="inlineStr">
        <is>
          <t>В</t>
        </is>
      </c>
      <c r="J72" s="83" t="inlineStr">
        <is>
          <t>х</t>
        </is>
      </c>
      <c r="K72" s="116" t="inlineStr">
        <is>
          <t>K72</t>
        </is>
      </c>
      <c r="N72" s="239">
        <f>IF(D72="","",IF(LEFT(D72,1)="0",0,1))</f>
        <v/>
      </c>
      <c r="O72" s="80">
        <f>ROUND(R72*S72*T72/1000000,2)</f>
        <v/>
      </c>
      <c r="P72" s="160">
        <f>IF(O72="","",
IF(O72&lt;1,"0,1-0,9 литров",
IF(O72&lt;2,"1-1,9 литра",
IF(O72&lt;3,"2-2,9 литра",
IF(O72&lt;4,"3-3,9 литра",
IF(O72&lt;6,"4-5,9 литра",IF(O72&lt;8,"6-7,9 литра",IF(O72&lt;10,"8-9,9 литров",IF(O72&lt;15,"10-14,9 литров",IF(O72&lt;20,"15-19,9 литров",IF(O72&lt;30,"20-29 литров",IF(O72&lt;50,"30-49 литров",IF(O72&lt;60,"50-59 литров",IF(O72&lt;70,"60-69 литров",IF(O72&lt;80,"70-79 литров",IF(O72&lt;90,"80-89 литров",IF(O72&lt;100,"90-99 литров",IF(O72&lt;200,"100-200 литров","200+ литров"))))))))))))))))))</f>
        <v/>
      </c>
      <c r="Q72" s="101">
        <f>IF(O72="","",IF(O72&lt;1,"&lt;1 л",IF(O72&lt;2,"1-2 л",IF(O72&lt;3,"2-3 л",IF(O72&lt;5,"3-5 л",IF(O72&lt;10,"5-10 л",IF(O72&lt;20,"10-20 л",IF(O72&lt;50,"20-50 л",IF(O72&lt;100,"50-100 л","100+ л")))))))))</f>
        <v/>
      </c>
      <c r="R72" s="162">
        <f>IF(E72="","",--LEFT(E72,FIND("х",E72)-1))</f>
        <v/>
      </c>
      <c r="S72" s="162">
        <f>IF(E72="","",--MID(E72,FIND("х",E72)+1,FIND("х",E72,FIND("х",E72)+1)-FIND("х",E72)-1))</f>
        <v/>
      </c>
      <c r="T72" s="162">
        <f>IF(E72="","",--RIGHT(E72,LEN(E72)-FIND("х",E72,FIND("х",E72)+1)))</f>
        <v/>
      </c>
      <c r="U72" s="66">
        <f>(2*(R72+S72)+60)*(S72+T72+8)/1000000</f>
        <v/>
      </c>
      <c r="V72" s="66">
        <f>IF(OR(AND(R72&gt;=2*S72,R72&gt;=2*T72),AND(S72&gt;=2*R72,S72&gt;=2*T72),AND(T72&gt;=2*R72,T72&gt;=2*S72)),"Длинные","")</f>
        <v/>
      </c>
      <c r="W72" s="66">
        <f>IF(OR(AND(R72&lt;=S72/2,R72&lt;=T72/2),AND(S72&lt;=R72/2,S72&lt;=T72/2),AND(T72&lt;=R72/2,T72&lt;=S72/2)),"Плоские","")</f>
        <v/>
      </c>
      <c r="X72" s="160">
        <f>IF(LARGE($R72:$T72,1)="","",IF(LARGE($R72:$T72,1)&lt;=99,"10-99 мм",IF(LARGE($R72:$T72,1)&lt;=199,"100-199 мм",IF(LARGE($R72:$T72,1)&lt;=299,"200-299 мм",IF(LARGE($R72:$T72,1)&lt;=399,"300-399 мм",IF(LARGE($R72:$T72,1)&lt;=499,"400-499 мм",IF(LARGE($R72:$T72,1)&lt;=599,"500-599 мм",IF(LARGE($R72:$T72,1)&lt;=699,"600-699 мм",IF(LARGE($R72:$T72,1)&lt;=999,"700-999 мм","1000+ мм")))))))))</f>
        <v/>
      </c>
      <c r="Y72" s="160">
        <f>IF(LARGE($R72:$T72,2)="","",IF(LARGE($R72:$T72,2)&lt;=99,"10-99 мм",IF(LARGE($R72:$T72,2)&lt;=199,"100-199 мм",IF(LARGE($R72:$T72,2)&lt;=299,"200-299 мм",IF(LARGE($R72:$T72,2)&lt;=399,"300-399 мм",IF(LARGE($R72:$T72,2)&lt;=499,"400-499 мм",IF(LARGE($R72:$T72,2)&lt;=599,"500-599 мм",IF(LARGE($R72:$T72,2)&lt;=699,"600-699 мм",IF(LARGE($R72:$T72,2)&lt;=999,"700-999 мм","1000+ мм")))))))))</f>
        <v/>
      </c>
      <c r="Z72" s="160">
        <f>IF(SMALL($R72:$T72,1)="","",IF(SMALL($R72:$T72,1)&lt;=99,"10-99 мм",IF(SMALL($R72:$T72,1)&lt;=199,"100-199 мм",IF(SMALL($R72:$T72,1)&lt;=299,"200-299 мм",IF(SMALL($R72:$T72,1)&lt;=399,"300-399 мм",IF(SMALL($R72:$T72,1)&lt;=499,"400-499 мм",IF(SMALL($R72:$T72,1)&lt;=599,"500-599 мм",IF(SMALL($R72:$T72,1)&lt;=699,"600-699 мм",IF(SMALL($R72:$T72,1)&lt;=999,"700-999 мм","1000+ мм")))))))))</f>
        <v/>
      </c>
      <c r="AA72" s="101">
        <f>IF(G72="","",IF(G72="Л","Лист гофрокартона",IF(G72="КД","Крышка-дно",IF(G72="С","Самосборные",IF(G72="Ч","Четырехклапанные",IF(G72="А","Архивные","Неизвестно"))))))</f>
        <v/>
      </c>
      <c r="AB72" s="66" t="n">
        <v>1.73</v>
      </c>
      <c r="AC72" s="101">
        <f>IF(O72="","",IF(O72&lt;=1,"0-1 литров",IF(O72&lt;=3,"2-3 литра",IF(O72&lt;=5,"4-5 литра",IF(O72&lt;=7,"6-7 литра",IF(O72&lt;=9,"8-9 литров",IF(O72&lt;=14,"10-14 литров",IF(O72&lt;=19,"15-19 литров",IF(O72&lt;=29,"20-29 литров",IF(O72&lt;=49,"30-49 литров",IF(O72&lt;=59,"50-59 литров",IF(O72&lt;=70,"60-69 литров",IF(O72&lt;=79,"70-79 литров",IF(O72&lt;=89,"80-89 литров",IF(O72&lt;=99,"90-99 литров",IF(O72&lt;=200,"100-200 литров","200+ литров"))))))))))))))))</f>
        <v/>
      </c>
    </row>
    <row r="73">
      <c r="A73" s="64" t="n">
        <v>1.65</v>
      </c>
      <c r="B73" s="65">
        <f>A73*1.2</f>
        <v/>
      </c>
      <c r="C73" s="109" t="n">
        <v>73</v>
      </c>
      <c r="D73" s="116" t="inlineStr">
        <is>
          <t>У</t>
        </is>
      </c>
      <c r="E73" s="88" t="inlineStr">
        <is>
          <t>1100х250х100</t>
        </is>
      </c>
      <c r="G73" s="83" t="inlineStr">
        <is>
          <t>С</t>
        </is>
      </c>
      <c r="H73" s="146" t="inlineStr">
        <is>
          <t>0411</t>
        </is>
      </c>
      <c r="I73" s="83" t="inlineStr">
        <is>
          <t>В</t>
        </is>
      </c>
      <c r="J73" s="83" t="inlineStr">
        <is>
          <t>х</t>
        </is>
      </c>
      <c r="K73" s="116" t="inlineStr">
        <is>
          <t>K73</t>
        </is>
      </c>
      <c r="N73" s="239">
        <f>IF(D73="","",IF(LEFT(D73,1)="0",0,1))</f>
        <v/>
      </c>
      <c r="O73" s="80">
        <f>ROUND(R73*S73*T73/1000000,2)</f>
        <v/>
      </c>
      <c r="P73" s="160">
        <f>IF(O73="","",
IF(O73&lt;1,"0,1-0,9 литров",
IF(O73&lt;2,"1-1,9 литра",
IF(O73&lt;3,"2-2,9 литра",
IF(O73&lt;4,"3-3,9 литра",
IF(O73&lt;6,"4-5,9 литра",IF(O73&lt;8,"6-7,9 литра",IF(O73&lt;10,"8-9,9 литров",IF(O73&lt;15,"10-14,9 литров",IF(O73&lt;20,"15-19,9 литров",IF(O73&lt;30,"20-29 литров",IF(O73&lt;50,"30-49 литров",IF(O73&lt;60,"50-59 литров",IF(O73&lt;70,"60-69 литров",IF(O73&lt;80,"70-79 литров",IF(O73&lt;90,"80-89 литров",IF(O73&lt;100,"90-99 литров",IF(O73&lt;200,"100-200 литров","200+ литров"))))))))))))))))))</f>
        <v/>
      </c>
      <c r="Q73" s="101">
        <f>IF(O73="","",IF(O73&lt;1,"&lt;1 л",IF(O73&lt;2,"1-2 л",IF(O73&lt;3,"2-3 л",IF(O73&lt;5,"3-5 л",IF(O73&lt;10,"5-10 л",IF(O73&lt;20,"10-20 л",IF(O73&lt;50,"20-50 л",IF(O73&lt;100,"50-100 л","100+ л")))))))))</f>
        <v/>
      </c>
      <c r="R73" s="162">
        <f>IF(E73="","",--LEFT(E73,FIND("х",E73)-1))</f>
        <v/>
      </c>
      <c r="S73" s="162">
        <f>IF(E73="","",--MID(E73,FIND("х",E73)+1,FIND("х",E73,FIND("х",E73)+1)-FIND("х",E73)-1))</f>
        <v/>
      </c>
      <c r="T73" s="162">
        <f>IF(E73="","",--RIGHT(E73,LEN(E73)-FIND("х",E73,FIND("х",E73)+1)))</f>
        <v/>
      </c>
      <c r="U73" s="66">
        <f>(2*(R73+S73)+60)*(S73+T73+8)/1000000</f>
        <v/>
      </c>
      <c r="V73" s="66">
        <f>IF(OR(AND(R73&gt;=2*S73,R73&gt;=2*T73),AND(S73&gt;=2*R73,S73&gt;=2*T73),AND(T73&gt;=2*R73,T73&gt;=2*S73)),"Длинные","")</f>
        <v/>
      </c>
      <c r="W73" s="66">
        <f>IF(OR(AND(R73&lt;=S73/2,R73&lt;=T73/2),AND(S73&lt;=R73/2,S73&lt;=T73/2),AND(T73&lt;=R73/2,T73&lt;=S73/2)),"Плоские","")</f>
        <v/>
      </c>
      <c r="X73" s="160">
        <f>IF(LARGE($R73:$T73,1)="","",IF(LARGE($R73:$T73,1)&lt;=99,"10-99 мм",IF(LARGE($R73:$T73,1)&lt;=199,"100-199 мм",IF(LARGE($R73:$T73,1)&lt;=299,"200-299 мм",IF(LARGE($R73:$T73,1)&lt;=399,"300-399 мм",IF(LARGE($R73:$T73,1)&lt;=499,"400-499 мм",IF(LARGE($R73:$T73,1)&lt;=599,"500-599 мм",IF(LARGE($R73:$T73,1)&lt;=699,"600-699 мм",IF(LARGE($R73:$T73,1)&lt;=999,"700-999 мм","1000+ мм")))))))))</f>
        <v/>
      </c>
      <c r="Y73" s="160">
        <f>IF(LARGE($R73:$T73,2)="","",IF(LARGE($R73:$T73,2)&lt;=99,"10-99 мм",IF(LARGE($R73:$T73,2)&lt;=199,"100-199 мм",IF(LARGE($R73:$T73,2)&lt;=299,"200-299 мм",IF(LARGE($R73:$T73,2)&lt;=399,"300-399 мм",IF(LARGE($R73:$T73,2)&lt;=499,"400-499 мм",IF(LARGE($R73:$T73,2)&lt;=599,"500-599 мм",IF(LARGE($R73:$T73,2)&lt;=699,"600-699 мм",IF(LARGE($R73:$T73,2)&lt;=999,"700-999 мм","1000+ мм")))))))))</f>
        <v/>
      </c>
      <c r="Z73" s="160">
        <f>IF(SMALL($R73:$T73,1)="","",IF(SMALL($R73:$T73,1)&lt;=99,"10-99 мм",IF(SMALL($R73:$T73,1)&lt;=199,"100-199 мм",IF(SMALL($R73:$T73,1)&lt;=299,"200-299 мм",IF(SMALL($R73:$T73,1)&lt;=399,"300-399 мм",IF(SMALL($R73:$T73,1)&lt;=499,"400-499 мм",IF(SMALL($R73:$T73,1)&lt;=599,"500-599 мм",IF(SMALL($R73:$T73,1)&lt;=699,"600-699 мм",IF(SMALL($R73:$T73,1)&lt;=999,"700-999 мм","1000+ мм")))))))))</f>
        <v/>
      </c>
      <c r="AA73" s="101">
        <f>IF(G73="","",IF(G73="Л","Лист гофрокартона",IF(G73="КД","Крышка-дно",IF(G73="С","Самосборные",IF(G73="Ч","Четырехклапанные",IF(G73="А","Архивные","Неизвестно"))))))</f>
        <v/>
      </c>
      <c r="AB73" s="66" t="n">
        <v>1.73</v>
      </c>
      <c r="AC73" s="101">
        <f>IF(O73="","",IF(O73&lt;=1,"0-1 литров",IF(O73&lt;=3,"2-3 литра",IF(O73&lt;=5,"4-5 литра",IF(O73&lt;=7,"6-7 литра",IF(O73&lt;=9,"8-9 литров",IF(O73&lt;=14,"10-14 литров",IF(O73&lt;=19,"15-19 литров",IF(O73&lt;=29,"20-29 литров",IF(O73&lt;=49,"30-49 литров",IF(O73&lt;=59,"50-59 литров",IF(O73&lt;=70,"60-69 литров",IF(O73&lt;=79,"70-79 литров",IF(O73&lt;=89,"80-89 литров",IF(O73&lt;=99,"90-99 литров",IF(O73&lt;=200,"100-200 литров","200+ литров"))))))))))))))))</f>
        <v/>
      </c>
    </row>
    <row r="74">
      <c r="A74" s="64" t="n">
        <v>1.11</v>
      </c>
      <c r="B74" s="65">
        <f>A74*1.2</f>
        <v/>
      </c>
      <c r="C74" s="109" t="n">
        <v>74</v>
      </c>
      <c r="D74" s="116" t="inlineStr">
        <is>
          <t>У</t>
        </is>
      </c>
      <c r="E74" s="88" t="inlineStr">
        <is>
          <t>460х280х60</t>
        </is>
      </c>
      <c r="G74" s="83" t="inlineStr">
        <is>
          <t>С</t>
        </is>
      </c>
      <c r="H74" s="146" t="inlineStr">
        <is>
          <t>0427</t>
        </is>
      </c>
      <c r="I74" s="83" t="inlineStr">
        <is>
          <t>В</t>
        </is>
      </c>
      <c r="J74" s="83" t="inlineStr">
        <is>
          <t>х</t>
        </is>
      </c>
      <c r="K74" s="116" t="inlineStr">
        <is>
          <t>K74</t>
        </is>
      </c>
      <c r="N74" s="239">
        <f>IF(D74="","",IF(LEFT(D74,1)="0",0,1))</f>
        <v/>
      </c>
      <c r="O74" s="80">
        <f>ROUND(R74*S74*T74/1000000,2)</f>
        <v/>
      </c>
      <c r="P74" s="160">
        <f>IF(O74="","",
IF(O74&lt;1,"0,1-0,9 литров",
IF(O74&lt;2,"1-1,9 литра",
IF(O74&lt;3,"2-2,9 литра",
IF(O74&lt;4,"3-3,9 литра",
IF(O74&lt;6,"4-5,9 литра",IF(O74&lt;8,"6-7,9 литра",IF(O74&lt;10,"8-9,9 литров",IF(O74&lt;15,"10-14,9 литров",IF(O74&lt;20,"15-19,9 литров",IF(O74&lt;30,"20-29 литров",IF(O74&lt;50,"30-49 литров",IF(O74&lt;60,"50-59 литров",IF(O74&lt;70,"60-69 литров",IF(O74&lt;80,"70-79 литров",IF(O74&lt;90,"80-89 литров",IF(O74&lt;100,"90-99 литров",IF(O74&lt;200,"100-200 литров","200+ литров"))))))))))))))))))</f>
        <v/>
      </c>
      <c r="Q74" s="101">
        <f>IF(O74="","",IF(O74&lt;1,"&lt;1 л",IF(O74&lt;2,"1-2 л",IF(O74&lt;3,"2-3 л",IF(O74&lt;5,"3-5 л",IF(O74&lt;10,"5-10 л",IF(O74&lt;20,"10-20 л",IF(O74&lt;50,"20-50 л",IF(O74&lt;100,"50-100 л","100+ л")))))))))</f>
        <v/>
      </c>
      <c r="R74" s="162">
        <f>IF(E74="","",--LEFT(E74,FIND("х",E74)-1))</f>
        <v/>
      </c>
      <c r="S74" s="162">
        <f>IF(E74="","",--MID(E74,FIND("х",E74)+1,FIND("х",E74,FIND("х",E74)+1)-FIND("х",E74)-1))</f>
        <v/>
      </c>
      <c r="T74" s="162">
        <f>IF(E74="","",--RIGHT(E74,LEN(E74)-FIND("х",E74,FIND("х",E74)+1)))</f>
        <v/>
      </c>
      <c r="U74" s="66">
        <f>(2*(R74+S74)+60)*(S74+T74+8)/1000000</f>
        <v/>
      </c>
      <c r="V74" s="66">
        <f>IF(OR(AND(R74&gt;=2*S74,R74&gt;=2*T74),AND(S74&gt;=2*R74,S74&gt;=2*T74),AND(T74&gt;=2*R74,T74&gt;=2*S74)),"Длинные","")</f>
        <v/>
      </c>
      <c r="W74" s="66">
        <f>IF(OR(AND(R74&lt;=S74/2,R74&lt;=T74/2),AND(S74&lt;=R74/2,S74&lt;=T74/2),AND(T74&lt;=R74/2,T74&lt;=S74/2)),"Плоские","")</f>
        <v/>
      </c>
      <c r="X74" s="160">
        <f>IF(LARGE($R74:$T74,1)="","",IF(LARGE($R74:$T74,1)&lt;=99,"10-99 мм",IF(LARGE($R74:$T74,1)&lt;=199,"100-199 мм",IF(LARGE($R74:$T74,1)&lt;=299,"200-299 мм",IF(LARGE($R74:$T74,1)&lt;=399,"300-399 мм",IF(LARGE($R74:$T74,1)&lt;=499,"400-499 мм",IF(LARGE($R74:$T74,1)&lt;=599,"500-599 мм",IF(LARGE($R74:$T74,1)&lt;=699,"600-699 мм",IF(LARGE($R74:$T74,1)&lt;=999,"700-999 мм","1000+ мм")))))))))</f>
        <v/>
      </c>
      <c r="Y74" s="160">
        <f>IF(LARGE($R74:$T74,2)="","",IF(LARGE($R74:$T74,2)&lt;=99,"10-99 мм",IF(LARGE($R74:$T74,2)&lt;=199,"100-199 мм",IF(LARGE($R74:$T74,2)&lt;=299,"200-299 мм",IF(LARGE($R74:$T74,2)&lt;=399,"300-399 мм",IF(LARGE($R74:$T74,2)&lt;=499,"400-499 мм",IF(LARGE($R74:$T74,2)&lt;=599,"500-599 мм",IF(LARGE($R74:$T74,2)&lt;=699,"600-699 мм",IF(LARGE($R74:$T74,2)&lt;=999,"700-999 мм","1000+ мм")))))))))</f>
        <v/>
      </c>
      <c r="Z74" s="160">
        <f>IF(SMALL($R74:$T74,1)="","",IF(SMALL($R74:$T74,1)&lt;=99,"10-99 мм",IF(SMALL($R74:$T74,1)&lt;=199,"100-199 мм",IF(SMALL($R74:$T74,1)&lt;=299,"200-299 мм",IF(SMALL($R74:$T74,1)&lt;=399,"300-399 мм",IF(SMALL($R74:$T74,1)&lt;=499,"400-499 мм",IF(SMALL($R74:$T74,1)&lt;=599,"500-599 мм",IF(SMALL($R74:$T74,1)&lt;=699,"600-699 мм",IF(SMALL($R74:$T74,1)&lt;=999,"700-999 мм","1000+ мм")))))))))</f>
        <v/>
      </c>
      <c r="AA74" s="101">
        <f>IF(G74="","",IF(G74="Л","Лист гофрокартона",IF(G74="КД","Крышка-дно",IF(G74="С","Самосборные",IF(G74="Ч","Четырехклапанные",IF(G74="А","Архивные","Неизвестно"))))))</f>
        <v/>
      </c>
      <c r="AB74" s="66" t="n">
        <v>1.73</v>
      </c>
      <c r="AC74" s="101">
        <f>IF(O74="","",IF(O74&lt;=1,"0-1 литров",IF(O74&lt;=3,"2-3 литра",IF(O74&lt;=5,"4-5 литра",IF(O74&lt;=7,"6-7 литра",IF(O74&lt;=9,"8-9 литров",IF(O74&lt;=14,"10-14 литров",IF(O74&lt;=19,"15-19 литров",IF(O74&lt;=29,"20-29 литров",IF(O74&lt;=49,"30-49 литров",IF(O74&lt;=59,"50-59 литров",IF(O74&lt;=70,"60-69 литров",IF(O74&lt;=79,"70-79 литров",IF(O74&lt;=89,"80-89 литров",IF(O74&lt;=99,"90-99 литров",IF(O74&lt;=200,"100-200 литров","200+ литров"))))))))))))))))</f>
        <v/>
      </c>
    </row>
    <row r="75">
      <c r="A75" s="64" t="n">
        <v>1</v>
      </c>
      <c r="B75" s="65">
        <f>A75*1.2</f>
        <v/>
      </c>
      <c r="C75" s="109" t="n">
        <v>75</v>
      </c>
      <c r="D75" s="116" t="inlineStr">
        <is>
          <t>У</t>
        </is>
      </c>
      <c r="E75" s="88" t="inlineStr">
        <is>
          <t>600х115х105</t>
        </is>
      </c>
      <c r="G75" s="83" t="inlineStr">
        <is>
          <t>С</t>
        </is>
      </c>
      <c r="H75" s="146" t="inlineStr">
        <is>
          <t>0427</t>
        </is>
      </c>
      <c r="I75" s="83" t="inlineStr">
        <is>
          <t>В</t>
        </is>
      </c>
      <c r="J75" s="83" t="inlineStr">
        <is>
          <t>х</t>
        </is>
      </c>
      <c r="K75" s="116" t="inlineStr">
        <is>
          <t>K75</t>
        </is>
      </c>
      <c r="N75" s="239">
        <f>IF(D75="","",IF(LEFT(D75,1)="0",0,1))</f>
        <v/>
      </c>
      <c r="O75" s="80">
        <f>ROUND(R75*S75*T75/1000000,2)</f>
        <v/>
      </c>
      <c r="P75" s="160">
        <f>IF(O75="","",
IF(O75&lt;1,"0,1-0,9 литров",
IF(O75&lt;2,"1-1,9 литра",
IF(O75&lt;3,"2-2,9 литра",
IF(O75&lt;4,"3-3,9 литра",
IF(O75&lt;6,"4-5,9 литра",IF(O75&lt;8,"6-7,9 литра",IF(O75&lt;10,"8-9,9 литров",IF(O75&lt;15,"10-14,9 литров",IF(O75&lt;20,"15-19,9 литров",IF(O75&lt;30,"20-29 литров",IF(O75&lt;50,"30-49 литров",IF(O75&lt;60,"50-59 литров",IF(O75&lt;70,"60-69 литров",IF(O75&lt;80,"70-79 литров",IF(O75&lt;90,"80-89 литров",IF(O75&lt;100,"90-99 литров",IF(O75&lt;200,"100-200 литров","200+ литров"))))))))))))))))))</f>
        <v/>
      </c>
      <c r="Q75" s="101">
        <f>IF(O75="","",IF(O75&lt;1,"&lt;1 л",IF(O75&lt;2,"1-2 л",IF(O75&lt;3,"2-3 л",IF(O75&lt;5,"3-5 л",IF(O75&lt;10,"5-10 л",IF(O75&lt;20,"10-20 л",IF(O75&lt;50,"20-50 л",IF(O75&lt;100,"50-100 л","100+ л")))))))))</f>
        <v/>
      </c>
      <c r="R75" s="162">
        <f>IF(E75="","",--LEFT(E75,FIND("х",E75)-1))</f>
        <v/>
      </c>
      <c r="S75" s="162">
        <f>IF(E75="","",--MID(E75,FIND("х",E75)+1,FIND("х",E75,FIND("х",E75)+1)-FIND("х",E75)-1))</f>
        <v/>
      </c>
      <c r="T75" s="162">
        <f>IF(E75="","",--RIGHT(E75,LEN(E75)-FIND("х",E75,FIND("х",E75)+1)))</f>
        <v/>
      </c>
      <c r="U75" s="66">
        <f>(2*(R75+S75)+60)*(S75+T75+8)/1000000</f>
        <v/>
      </c>
      <c r="V75" s="66">
        <f>IF(OR(AND(R75&gt;=2*S75,R75&gt;=2*T75),AND(S75&gt;=2*R75,S75&gt;=2*T75),AND(T75&gt;=2*R75,T75&gt;=2*S75)),"Длинные","")</f>
        <v/>
      </c>
      <c r="W75" s="66">
        <f>IF(OR(AND(R75&lt;=S75/2,R75&lt;=T75/2),AND(S75&lt;=R75/2,S75&lt;=T75/2),AND(T75&lt;=R75/2,T75&lt;=S75/2)),"Плоские","")</f>
        <v/>
      </c>
      <c r="X75" s="160">
        <f>IF(LARGE($R75:$T75,1)="","",IF(LARGE($R75:$T75,1)&lt;=99,"10-99 мм",IF(LARGE($R75:$T75,1)&lt;=199,"100-199 мм",IF(LARGE($R75:$T75,1)&lt;=299,"200-299 мм",IF(LARGE($R75:$T75,1)&lt;=399,"300-399 мм",IF(LARGE($R75:$T75,1)&lt;=499,"400-499 мм",IF(LARGE($R75:$T75,1)&lt;=599,"500-599 мм",IF(LARGE($R75:$T75,1)&lt;=699,"600-699 мм",IF(LARGE($R75:$T75,1)&lt;=999,"700-999 мм","1000+ мм")))))))))</f>
        <v/>
      </c>
      <c r="Y75" s="160">
        <f>IF(LARGE($R75:$T75,2)="","",IF(LARGE($R75:$T75,2)&lt;=99,"10-99 мм",IF(LARGE($R75:$T75,2)&lt;=199,"100-199 мм",IF(LARGE($R75:$T75,2)&lt;=299,"200-299 мм",IF(LARGE($R75:$T75,2)&lt;=399,"300-399 мм",IF(LARGE($R75:$T75,2)&lt;=499,"400-499 мм",IF(LARGE($R75:$T75,2)&lt;=599,"500-599 мм",IF(LARGE($R75:$T75,2)&lt;=699,"600-699 мм",IF(LARGE($R75:$T75,2)&lt;=999,"700-999 мм","1000+ мм")))))))))</f>
        <v/>
      </c>
      <c r="Z75" s="160">
        <f>IF(SMALL($R75:$T75,1)="","",IF(SMALL($R75:$T75,1)&lt;=99,"10-99 мм",IF(SMALL($R75:$T75,1)&lt;=199,"100-199 мм",IF(SMALL($R75:$T75,1)&lt;=299,"200-299 мм",IF(SMALL($R75:$T75,1)&lt;=399,"300-399 мм",IF(SMALL($R75:$T75,1)&lt;=499,"400-499 мм",IF(SMALL($R75:$T75,1)&lt;=599,"500-599 мм",IF(SMALL($R75:$T75,1)&lt;=699,"600-699 мм",IF(SMALL($R75:$T75,1)&lt;=999,"700-999 мм","1000+ мм")))))))))</f>
        <v/>
      </c>
      <c r="AA75" s="101">
        <f>IF(G75="","",IF(G75="Л","Лист гофрокартона",IF(G75="КД","Крышка-дно",IF(G75="С","Самосборные",IF(G75="Ч","Четырехклапанные",IF(G75="А","Архивные","Неизвестно"))))))</f>
        <v/>
      </c>
      <c r="AB75" s="66" t="n">
        <v>1.73</v>
      </c>
      <c r="AC75" s="101">
        <f>IF(O75="","",IF(O75&lt;=1,"0-1 литров",IF(O75&lt;=3,"2-3 литра",IF(O75&lt;=5,"4-5 литра",IF(O75&lt;=7,"6-7 литра",IF(O75&lt;=9,"8-9 литров",IF(O75&lt;=14,"10-14 литров",IF(O75&lt;=19,"15-19 литров",IF(O75&lt;=29,"20-29 литров",IF(O75&lt;=49,"30-49 литров",IF(O75&lt;=59,"50-59 литров",IF(O75&lt;=70,"60-69 литров",IF(O75&lt;=79,"70-79 литров",IF(O75&lt;=89,"80-89 литров",IF(O75&lt;=99,"90-99 литров",IF(O75&lt;=200,"100-200 литров","200+ литров"))))))))))))))))</f>
        <v/>
      </c>
    </row>
    <row r="76">
      <c r="A76" s="64" t="n">
        <v>0.68</v>
      </c>
      <c r="B76" s="65">
        <f>A76*1.2</f>
        <v/>
      </c>
      <c r="C76" s="109" t="n">
        <v>76</v>
      </c>
      <c r="D76" s="116" t="inlineStr">
        <is>
          <t>У</t>
        </is>
      </c>
      <c r="E76" s="88" t="inlineStr">
        <is>
          <t>170х170х90</t>
        </is>
      </c>
      <c r="G76" s="83" t="inlineStr">
        <is>
          <t>С</t>
        </is>
      </c>
      <c r="H76" s="146" t="inlineStr">
        <is>
          <t>0427</t>
        </is>
      </c>
      <c r="I76" s="83" t="inlineStr">
        <is>
          <t>В</t>
        </is>
      </c>
      <c r="J76" s="83" t="inlineStr">
        <is>
          <t>х</t>
        </is>
      </c>
      <c r="K76" s="116" t="inlineStr">
        <is>
          <t>K76</t>
        </is>
      </c>
      <c r="N76" s="239">
        <f>IF(D76="","",IF(LEFT(D76,1)="0",0,1))</f>
        <v/>
      </c>
      <c r="O76" s="80">
        <f>ROUND(R76*S76*T76/1000000,2)</f>
        <v/>
      </c>
      <c r="P76" s="160">
        <f>IF(O76="","",
IF(O76&lt;1,"0,1-0,9 литров",
IF(O76&lt;2,"1-1,9 литра",
IF(O76&lt;3,"2-2,9 литра",
IF(O76&lt;4,"3-3,9 литра",
IF(O76&lt;6,"4-5,9 литра",IF(O76&lt;8,"6-7,9 литра",IF(O76&lt;10,"8-9,9 литров",IF(O76&lt;15,"10-14,9 литров",IF(O76&lt;20,"15-19,9 литров",IF(O76&lt;30,"20-29 литров",IF(O76&lt;50,"30-49 литров",IF(O76&lt;60,"50-59 литров",IF(O76&lt;70,"60-69 литров",IF(O76&lt;80,"70-79 литров",IF(O76&lt;90,"80-89 литров",IF(O76&lt;100,"90-99 литров",IF(O76&lt;200,"100-200 литров","200+ литров"))))))))))))))))))</f>
        <v/>
      </c>
      <c r="Q76" s="101">
        <f>IF(O76="","",IF(O76&lt;1,"&lt;1 л",IF(O76&lt;2,"1-2 л",IF(O76&lt;3,"2-3 л",IF(O76&lt;5,"3-5 л",IF(O76&lt;10,"5-10 л",IF(O76&lt;20,"10-20 л",IF(O76&lt;50,"20-50 л",IF(O76&lt;100,"50-100 л","100+ л")))))))))</f>
        <v/>
      </c>
      <c r="R76" s="162">
        <f>IF(E76="","",--LEFT(E76,FIND("х",E76)-1))</f>
        <v/>
      </c>
      <c r="S76" s="162">
        <f>IF(E76="","",--MID(E76,FIND("х",E76)+1,FIND("х",E76,FIND("х",E76)+1)-FIND("х",E76)-1))</f>
        <v/>
      </c>
      <c r="T76" s="162">
        <f>IF(E76="","",--RIGHT(E76,LEN(E76)-FIND("х",E76,FIND("х",E76)+1)))</f>
        <v/>
      </c>
      <c r="U76" s="66">
        <f>(2*(R76+S76)+60)*(S76+T76+8)/1000000</f>
        <v/>
      </c>
      <c r="V76" s="66">
        <f>IF(OR(AND(R76&gt;=2*S76,R76&gt;=2*T76),AND(S76&gt;=2*R76,S76&gt;=2*T76),AND(T76&gt;=2*R76,T76&gt;=2*S76)),"Длинные","")</f>
        <v/>
      </c>
      <c r="W76" s="66">
        <f>IF(OR(AND(R76&lt;=S76/2,R76&lt;=T76/2),AND(S76&lt;=R76/2,S76&lt;=T76/2),AND(T76&lt;=R76/2,T76&lt;=S76/2)),"Плоские","")</f>
        <v/>
      </c>
      <c r="X76" s="160">
        <f>IF(LARGE($R76:$T76,1)="","",IF(LARGE($R76:$T76,1)&lt;=99,"10-99 мм",IF(LARGE($R76:$T76,1)&lt;=199,"100-199 мм",IF(LARGE($R76:$T76,1)&lt;=299,"200-299 мм",IF(LARGE($R76:$T76,1)&lt;=399,"300-399 мм",IF(LARGE($R76:$T76,1)&lt;=499,"400-499 мм",IF(LARGE($R76:$T76,1)&lt;=599,"500-599 мм",IF(LARGE($R76:$T76,1)&lt;=699,"600-699 мм",IF(LARGE($R76:$T76,1)&lt;=999,"700-999 мм","1000+ мм")))))))))</f>
        <v/>
      </c>
      <c r="Y76" s="160">
        <f>IF(LARGE($R76:$T76,2)="","",IF(LARGE($R76:$T76,2)&lt;=99,"10-99 мм",IF(LARGE($R76:$T76,2)&lt;=199,"100-199 мм",IF(LARGE($R76:$T76,2)&lt;=299,"200-299 мм",IF(LARGE($R76:$T76,2)&lt;=399,"300-399 мм",IF(LARGE($R76:$T76,2)&lt;=499,"400-499 мм",IF(LARGE($R76:$T76,2)&lt;=599,"500-599 мм",IF(LARGE($R76:$T76,2)&lt;=699,"600-699 мм",IF(LARGE($R76:$T76,2)&lt;=999,"700-999 мм","1000+ мм")))))))))</f>
        <v/>
      </c>
      <c r="Z76" s="160">
        <f>IF(SMALL($R76:$T76,1)="","",IF(SMALL($R76:$T76,1)&lt;=99,"10-99 мм",IF(SMALL($R76:$T76,1)&lt;=199,"100-199 мм",IF(SMALL($R76:$T76,1)&lt;=299,"200-299 мм",IF(SMALL($R76:$T76,1)&lt;=399,"300-399 мм",IF(SMALL($R76:$T76,1)&lt;=499,"400-499 мм",IF(SMALL($R76:$T76,1)&lt;=599,"500-599 мм",IF(SMALL($R76:$T76,1)&lt;=699,"600-699 мм",IF(SMALL($R76:$T76,1)&lt;=999,"700-999 мм","1000+ мм")))))))))</f>
        <v/>
      </c>
      <c r="AA76" s="101">
        <f>IF(G76="","",IF(G76="Л","Лист гофрокартона",IF(G76="КД","Крышка-дно",IF(G76="С","Самосборные",IF(G76="Ч","Четырехклапанные",IF(G76="А","Архивные","Неизвестно"))))))</f>
        <v/>
      </c>
      <c r="AB76" s="66" t="n">
        <v>1.73</v>
      </c>
      <c r="AC76" s="101">
        <f>IF(O76="","",IF(O76&lt;=1,"0-1 литров",IF(O76&lt;=3,"2-3 литра",IF(O76&lt;=5,"4-5 литра",IF(O76&lt;=7,"6-7 литра",IF(O76&lt;=9,"8-9 литров",IF(O76&lt;=14,"10-14 литров",IF(O76&lt;=19,"15-19 литров",IF(O76&lt;=29,"20-29 литров",IF(O76&lt;=49,"30-49 литров",IF(O76&lt;=59,"50-59 литров",IF(O76&lt;=70,"60-69 литров",IF(O76&lt;=79,"70-79 литров",IF(O76&lt;=89,"80-89 литров",IF(O76&lt;=99,"90-99 литров",IF(O76&lt;=200,"100-200 литров","200+ литров"))))))))))))))))</f>
        <v/>
      </c>
    </row>
    <row r="77">
      <c r="A77" s="64" t="n">
        <v>1.01</v>
      </c>
      <c r="B77" s="65">
        <f>A77*1.2</f>
        <v/>
      </c>
      <c r="C77" s="109" t="n">
        <v>77</v>
      </c>
      <c r="D77" s="116" t="inlineStr">
        <is>
          <t>У</t>
        </is>
      </c>
      <c r="E77" s="88" t="inlineStr">
        <is>
          <t>780х130х84</t>
        </is>
      </c>
      <c r="G77" s="83" t="inlineStr">
        <is>
          <t>С</t>
        </is>
      </c>
      <c r="H77" s="146" t="inlineStr">
        <is>
          <t>0421</t>
        </is>
      </c>
      <c r="I77" s="83" t="inlineStr">
        <is>
          <t>Е</t>
        </is>
      </c>
      <c r="J77" s="83" t="inlineStr">
        <is>
          <t>х</t>
        </is>
      </c>
      <c r="K77" s="116" t="inlineStr">
        <is>
          <t>K77</t>
        </is>
      </c>
      <c r="N77" s="239">
        <f>IF(D77="","",IF(LEFT(D77,1)="0",0,1))</f>
        <v/>
      </c>
      <c r="O77" s="80">
        <f>ROUND(R77*S77*T77/1000000,2)</f>
        <v/>
      </c>
      <c r="P77" s="160">
        <f>IF(O77="","",
IF(O77&lt;1,"0,1-0,9 литров",
IF(O77&lt;2,"1-1,9 литра",
IF(O77&lt;3,"2-2,9 литра",
IF(O77&lt;4,"3-3,9 литра",
IF(O77&lt;6,"4-5,9 литра",IF(O77&lt;8,"6-7,9 литра",IF(O77&lt;10,"8-9,9 литров",IF(O77&lt;15,"10-14,9 литров",IF(O77&lt;20,"15-19,9 литров",IF(O77&lt;30,"20-29 литров",IF(O77&lt;50,"30-49 литров",IF(O77&lt;60,"50-59 литров",IF(O77&lt;70,"60-69 литров",IF(O77&lt;80,"70-79 литров",IF(O77&lt;90,"80-89 литров",IF(O77&lt;100,"90-99 литров",IF(O77&lt;200,"100-200 литров","200+ литров"))))))))))))))))))</f>
        <v/>
      </c>
      <c r="Q77" s="101">
        <f>IF(O77="","",IF(O77&lt;1,"&lt;1 л",IF(O77&lt;2,"1-2 л",IF(O77&lt;3,"2-3 л",IF(O77&lt;5,"3-5 л",IF(O77&lt;10,"5-10 л",IF(O77&lt;20,"10-20 л",IF(O77&lt;50,"20-50 л",IF(O77&lt;100,"50-100 л","100+ л")))))))))</f>
        <v/>
      </c>
      <c r="R77" s="162">
        <f>IF(E77="","",--LEFT(E77,FIND("х",E77)-1))</f>
        <v/>
      </c>
      <c r="S77" s="162">
        <f>IF(E77="","",--MID(E77,FIND("х",E77)+1,FIND("х",E77,FIND("х",E77)+1)-FIND("х",E77)-1))</f>
        <v/>
      </c>
      <c r="T77" s="162">
        <f>IF(E77="","",--RIGHT(E77,LEN(E77)-FIND("х",E77,FIND("х",E77)+1)))</f>
        <v/>
      </c>
      <c r="U77" s="66">
        <f>(2*(R77+S77)+60)*(S77+T77+8)/1000000</f>
        <v/>
      </c>
      <c r="V77" s="66">
        <f>IF(OR(AND(R77&gt;=2*S77,R77&gt;=2*T77),AND(S77&gt;=2*R77,S77&gt;=2*T77),AND(T77&gt;=2*R77,T77&gt;=2*S77)),"Длинные","")</f>
        <v/>
      </c>
      <c r="W77" s="66">
        <f>IF(OR(AND(R77&lt;=S77/2,R77&lt;=T77/2),AND(S77&lt;=R77/2,S77&lt;=T77/2),AND(T77&lt;=R77/2,T77&lt;=S77/2)),"Плоские","")</f>
        <v/>
      </c>
      <c r="X77" s="160">
        <f>IF(LARGE($R77:$T77,1)="","",IF(LARGE($R77:$T77,1)&lt;=99,"10-99 мм",IF(LARGE($R77:$T77,1)&lt;=199,"100-199 мм",IF(LARGE($R77:$T77,1)&lt;=299,"200-299 мм",IF(LARGE($R77:$T77,1)&lt;=399,"300-399 мм",IF(LARGE($R77:$T77,1)&lt;=499,"400-499 мм",IF(LARGE($R77:$T77,1)&lt;=599,"500-599 мм",IF(LARGE($R77:$T77,1)&lt;=699,"600-699 мм",IF(LARGE($R77:$T77,1)&lt;=999,"700-999 мм","1000+ мм")))))))))</f>
        <v/>
      </c>
      <c r="Y77" s="160">
        <f>IF(LARGE($R77:$T77,2)="","",IF(LARGE($R77:$T77,2)&lt;=99,"10-99 мм",IF(LARGE($R77:$T77,2)&lt;=199,"100-199 мм",IF(LARGE($R77:$T77,2)&lt;=299,"200-299 мм",IF(LARGE($R77:$T77,2)&lt;=399,"300-399 мм",IF(LARGE($R77:$T77,2)&lt;=499,"400-499 мм",IF(LARGE($R77:$T77,2)&lt;=599,"500-599 мм",IF(LARGE($R77:$T77,2)&lt;=699,"600-699 мм",IF(LARGE($R77:$T77,2)&lt;=999,"700-999 мм","1000+ мм")))))))))</f>
        <v/>
      </c>
      <c r="Z77" s="160">
        <f>IF(SMALL($R77:$T77,1)="","",IF(SMALL($R77:$T77,1)&lt;=99,"10-99 мм",IF(SMALL($R77:$T77,1)&lt;=199,"100-199 мм",IF(SMALL($R77:$T77,1)&lt;=299,"200-299 мм",IF(SMALL($R77:$T77,1)&lt;=399,"300-399 мм",IF(SMALL($R77:$T77,1)&lt;=499,"400-499 мм",IF(SMALL($R77:$T77,1)&lt;=599,"500-599 мм",IF(SMALL($R77:$T77,1)&lt;=699,"600-699 мм",IF(SMALL($R77:$T77,1)&lt;=999,"700-999 мм","1000+ мм")))))))))</f>
        <v/>
      </c>
      <c r="AA77" s="101">
        <f>IF(G77="","",IF(G77="Л","Лист гофрокартона",IF(G77="КД","Крышка-дно",IF(G77="С","Самосборные",IF(G77="Ч","Четырехклапанные",IF(G77="А","Архивные","Неизвестно"))))))</f>
        <v/>
      </c>
      <c r="AB77" s="66" t="n">
        <v>1.73</v>
      </c>
      <c r="AC77" s="101">
        <f>IF(O77="","",IF(O77&lt;=1,"0-1 литров",IF(O77&lt;=3,"2-3 литра",IF(O77&lt;=5,"4-5 литра",IF(O77&lt;=7,"6-7 литра",IF(O77&lt;=9,"8-9 литров",IF(O77&lt;=14,"10-14 литров",IF(O77&lt;=19,"15-19 литров",IF(O77&lt;=29,"20-29 литров",IF(O77&lt;=49,"30-49 литров",IF(O77&lt;=59,"50-59 литров",IF(O77&lt;=70,"60-69 литров",IF(O77&lt;=79,"70-79 литров",IF(O77&lt;=89,"80-89 литров",IF(O77&lt;=99,"90-99 литров",IF(O77&lt;=200,"100-200 литров","200+ литров"))))))))))))))))</f>
        <v/>
      </c>
    </row>
    <row r="78">
      <c r="A78" s="64" t="n">
        <v>0.47</v>
      </c>
      <c r="B78" s="65">
        <f>A78*1.2</f>
        <v/>
      </c>
      <c r="C78" s="109" t="n">
        <v>78</v>
      </c>
      <c r="D78" s="116" t="inlineStr">
        <is>
          <t>У</t>
        </is>
      </c>
      <c r="E78" s="88" t="inlineStr">
        <is>
          <t>300х100х60</t>
        </is>
      </c>
      <c r="G78" s="83" t="inlineStr">
        <is>
          <t>С</t>
        </is>
      </c>
      <c r="H78" s="146" t="inlineStr">
        <is>
          <t>0427</t>
        </is>
      </c>
      <c r="I78" s="83" t="inlineStr">
        <is>
          <t>Е</t>
        </is>
      </c>
      <c r="J78" s="83" t="inlineStr">
        <is>
          <t>х</t>
        </is>
      </c>
      <c r="K78" s="116" t="inlineStr">
        <is>
          <t>K78</t>
        </is>
      </c>
      <c r="N78" s="239">
        <f>IF(D78="","",IF(LEFT(D78,1)="0",0,1))</f>
        <v/>
      </c>
      <c r="O78" s="80">
        <f>ROUND(R78*S78*T78/1000000,2)</f>
        <v/>
      </c>
      <c r="P78" s="160">
        <f>IF(O78="","",
IF(O78&lt;1,"0,1-0,9 литров",
IF(O78&lt;2,"1-1,9 литра",
IF(O78&lt;3,"2-2,9 литра",
IF(O78&lt;4,"3-3,9 литра",
IF(O78&lt;6,"4-5,9 литра",IF(O78&lt;8,"6-7,9 литра",IF(O78&lt;10,"8-9,9 литров",IF(O78&lt;15,"10-14,9 литров",IF(O78&lt;20,"15-19,9 литров",IF(O78&lt;30,"20-29 литров",IF(O78&lt;50,"30-49 литров",IF(O78&lt;60,"50-59 литров",IF(O78&lt;70,"60-69 литров",IF(O78&lt;80,"70-79 литров",IF(O78&lt;90,"80-89 литров",IF(O78&lt;100,"90-99 литров",IF(O78&lt;200,"100-200 литров","200+ литров"))))))))))))))))))</f>
        <v/>
      </c>
      <c r="Q78" s="101">
        <f>IF(O78="","",IF(O78&lt;1,"&lt;1 л",IF(O78&lt;2,"1-2 л",IF(O78&lt;3,"2-3 л",IF(O78&lt;5,"3-5 л",IF(O78&lt;10,"5-10 л",IF(O78&lt;20,"10-20 л",IF(O78&lt;50,"20-50 л",IF(O78&lt;100,"50-100 л","100+ л")))))))))</f>
        <v/>
      </c>
      <c r="R78" s="162">
        <f>IF(E78="","",--LEFT(E78,FIND("х",E78)-1))</f>
        <v/>
      </c>
      <c r="S78" s="162">
        <f>IF(E78="","",--MID(E78,FIND("х",E78)+1,FIND("х",E78,FIND("х",E78)+1)-FIND("х",E78)-1))</f>
        <v/>
      </c>
      <c r="T78" s="162">
        <f>IF(E78="","",--RIGHT(E78,LEN(E78)-FIND("х",E78,FIND("х",E78)+1)))</f>
        <v/>
      </c>
      <c r="U78" s="66">
        <f>(2*(R78+S78)+60)*(S78+T78+8)/1000000</f>
        <v/>
      </c>
      <c r="V78" s="66">
        <f>IF(OR(AND(R78&gt;=2*S78,R78&gt;=2*T78),AND(S78&gt;=2*R78,S78&gt;=2*T78),AND(T78&gt;=2*R78,T78&gt;=2*S78)),"Длинные","")</f>
        <v/>
      </c>
      <c r="W78" s="66">
        <f>IF(OR(AND(R78&lt;=S78/2,R78&lt;=T78/2),AND(S78&lt;=R78/2,S78&lt;=T78/2),AND(T78&lt;=R78/2,T78&lt;=S78/2)),"Плоские","")</f>
        <v/>
      </c>
      <c r="X78" s="160">
        <f>IF(LARGE($R78:$T78,1)="","",IF(LARGE($R78:$T78,1)&lt;=99,"10-99 мм",IF(LARGE($R78:$T78,1)&lt;=199,"100-199 мм",IF(LARGE($R78:$T78,1)&lt;=299,"200-299 мм",IF(LARGE($R78:$T78,1)&lt;=399,"300-399 мм",IF(LARGE($R78:$T78,1)&lt;=499,"400-499 мм",IF(LARGE($R78:$T78,1)&lt;=599,"500-599 мм",IF(LARGE($R78:$T78,1)&lt;=699,"600-699 мм",IF(LARGE($R78:$T78,1)&lt;=999,"700-999 мм","1000+ мм")))))))))</f>
        <v/>
      </c>
      <c r="Y78" s="160">
        <f>IF(LARGE($R78:$T78,2)="","",IF(LARGE($R78:$T78,2)&lt;=99,"10-99 мм",IF(LARGE($R78:$T78,2)&lt;=199,"100-199 мм",IF(LARGE($R78:$T78,2)&lt;=299,"200-299 мм",IF(LARGE($R78:$T78,2)&lt;=399,"300-399 мм",IF(LARGE($R78:$T78,2)&lt;=499,"400-499 мм",IF(LARGE($R78:$T78,2)&lt;=599,"500-599 мм",IF(LARGE($R78:$T78,2)&lt;=699,"600-699 мм",IF(LARGE($R78:$T78,2)&lt;=999,"700-999 мм","1000+ мм")))))))))</f>
        <v/>
      </c>
      <c r="Z78" s="160">
        <f>IF(SMALL($R78:$T78,1)="","",IF(SMALL($R78:$T78,1)&lt;=99,"10-99 мм",IF(SMALL($R78:$T78,1)&lt;=199,"100-199 мм",IF(SMALL($R78:$T78,1)&lt;=299,"200-299 мм",IF(SMALL($R78:$T78,1)&lt;=399,"300-399 мм",IF(SMALL($R78:$T78,1)&lt;=499,"400-499 мм",IF(SMALL($R78:$T78,1)&lt;=599,"500-599 мм",IF(SMALL($R78:$T78,1)&lt;=699,"600-699 мм",IF(SMALL($R78:$T78,1)&lt;=999,"700-999 мм","1000+ мм")))))))))</f>
        <v/>
      </c>
      <c r="AA78" s="101">
        <f>IF(G78="","",IF(G78="Л","Лист гофрокартона",IF(G78="КД","Крышка-дно",IF(G78="С","Самосборные",IF(G78="Ч","Четырехклапанные",IF(G78="А","Архивные","Неизвестно"))))))</f>
        <v/>
      </c>
      <c r="AB78" s="66" t="n">
        <v>1.73</v>
      </c>
      <c r="AC78" s="101">
        <f>IF(O78="","",IF(O78&lt;=1,"0-1 литров",IF(O78&lt;=3,"2-3 литра",IF(O78&lt;=5,"4-5 литра",IF(O78&lt;=7,"6-7 литра",IF(O78&lt;=9,"8-9 литров",IF(O78&lt;=14,"10-14 литров",IF(O78&lt;=19,"15-19 литров",IF(O78&lt;=29,"20-29 литров",IF(O78&lt;=49,"30-49 литров",IF(O78&lt;=59,"50-59 литров",IF(O78&lt;=70,"60-69 литров",IF(O78&lt;=79,"70-79 литров",IF(O78&lt;=89,"80-89 литров",IF(O78&lt;=99,"90-99 литров",IF(O78&lt;=200,"100-200 литров","200+ литров"))))))))))))))))</f>
        <v/>
      </c>
    </row>
    <row r="79">
      <c r="A79" s="64" t="n">
        <v>0.71</v>
      </c>
      <c r="B79" s="65">
        <f>A79*1.2</f>
        <v/>
      </c>
      <c r="C79" s="109" t="n">
        <v>79</v>
      </c>
      <c r="D79" s="116" t="inlineStr">
        <is>
          <t>У</t>
        </is>
      </c>
      <c r="E79" s="88" t="inlineStr">
        <is>
          <t>280х100х100</t>
        </is>
      </c>
      <c r="G79" s="83" t="inlineStr">
        <is>
          <t>С</t>
        </is>
      </c>
      <c r="H79" s="146" t="inlineStr">
        <is>
          <t>0427</t>
        </is>
      </c>
      <c r="I79" s="83" t="inlineStr">
        <is>
          <t>В</t>
        </is>
      </c>
      <c r="J79" s="83" t="inlineStr">
        <is>
          <t>х</t>
        </is>
      </c>
      <c r="K79" s="116" t="inlineStr">
        <is>
          <t>K79</t>
        </is>
      </c>
      <c r="N79" s="239">
        <f>IF(D79="","",IF(LEFT(D79,1)="0",0,1))</f>
        <v/>
      </c>
      <c r="O79" s="80">
        <f>ROUND(R79*S79*T79/1000000,2)</f>
        <v/>
      </c>
      <c r="P79" s="160">
        <f>IF(O79="","",
IF(O79&lt;1,"0,1-0,9 литров",
IF(O79&lt;2,"1-1,9 литра",
IF(O79&lt;3,"2-2,9 литра",
IF(O79&lt;4,"3-3,9 литра",
IF(O79&lt;6,"4-5,9 литра",IF(O79&lt;8,"6-7,9 литра",IF(O79&lt;10,"8-9,9 литров",IF(O79&lt;15,"10-14,9 литров",IF(O79&lt;20,"15-19,9 литров",IF(O79&lt;30,"20-29 литров",IF(O79&lt;50,"30-49 литров",IF(O79&lt;60,"50-59 литров",IF(O79&lt;70,"60-69 литров",IF(O79&lt;80,"70-79 литров",IF(O79&lt;90,"80-89 литров",IF(O79&lt;100,"90-99 литров",IF(O79&lt;200,"100-200 литров","200+ литров"))))))))))))))))))</f>
        <v/>
      </c>
      <c r="Q79" s="101">
        <f>IF(O79="","",IF(O79&lt;1,"&lt;1 л",IF(O79&lt;2,"1-2 л",IF(O79&lt;3,"2-3 л",IF(O79&lt;5,"3-5 л",IF(O79&lt;10,"5-10 л",IF(O79&lt;20,"10-20 л",IF(O79&lt;50,"20-50 л",IF(O79&lt;100,"50-100 л","100+ л")))))))))</f>
        <v/>
      </c>
      <c r="R79" s="162">
        <f>IF(E79="","",--LEFT(E79,FIND("х",E79)-1))</f>
        <v/>
      </c>
      <c r="S79" s="162">
        <f>IF(E79="","",--MID(E79,FIND("х",E79)+1,FIND("х",E79,FIND("х",E79)+1)-FIND("х",E79)-1))</f>
        <v/>
      </c>
      <c r="T79" s="162">
        <f>IF(E79="","",--RIGHT(E79,LEN(E79)-FIND("х",E79,FIND("х",E79)+1)))</f>
        <v/>
      </c>
      <c r="U79" s="66">
        <f>(2*(R79+S79)+60)*(S79+T79+8)/1000000</f>
        <v/>
      </c>
      <c r="V79" s="66">
        <f>IF(OR(AND(R79&gt;=2*S79,R79&gt;=2*T79),AND(S79&gt;=2*R79,S79&gt;=2*T79),AND(T79&gt;=2*R79,T79&gt;=2*S79)),"Длинные","")</f>
        <v/>
      </c>
      <c r="W79" s="66">
        <f>IF(OR(AND(R79&lt;=S79/2,R79&lt;=T79/2),AND(S79&lt;=R79/2,S79&lt;=T79/2),AND(T79&lt;=R79/2,T79&lt;=S79/2)),"Плоские","")</f>
        <v/>
      </c>
      <c r="X79" s="160">
        <f>IF(LARGE($R79:$T79,1)="","",IF(LARGE($R79:$T79,1)&lt;=99,"10-99 мм",IF(LARGE($R79:$T79,1)&lt;=199,"100-199 мм",IF(LARGE($R79:$T79,1)&lt;=299,"200-299 мм",IF(LARGE($R79:$T79,1)&lt;=399,"300-399 мм",IF(LARGE($R79:$T79,1)&lt;=499,"400-499 мм",IF(LARGE($R79:$T79,1)&lt;=599,"500-599 мм",IF(LARGE($R79:$T79,1)&lt;=699,"600-699 мм",IF(LARGE($R79:$T79,1)&lt;=999,"700-999 мм","1000+ мм")))))))))</f>
        <v/>
      </c>
      <c r="Y79" s="160">
        <f>IF(LARGE($R79:$T79,2)="","",IF(LARGE($R79:$T79,2)&lt;=99,"10-99 мм",IF(LARGE($R79:$T79,2)&lt;=199,"100-199 мм",IF(LARGE($R79:$T79,2)&lt;=299,"200-299 мм",IF(LARGE($R79:$T79,2)&lt;=399,"300-399 мм",IF(LARGE($R79:$T79,2)&lt;=499,"400-499 мм",IF(LARGE($R79:$T79,2)&lt;=599,"500-599 мм",IF(LARGE($R79:$T79,2)&lt;=699,"600-699 мм",IF(LARGE($R79:$T79,2)&lt;=999,"700-999 мм","1000+ мм")))))))))</f>
        <v/>
      </c>
      <c r="Z79" s="160">
        <f>IF(SMALL($R79:$T79,1)="","",IF(SMALL($R79:$T79,1)&lt;=99,"10-99 мм",IF(SMALL($R79:$T79,1)&lt;=199,"100-199 мм",IF(SMALL($R79:$T79,1)&lt;=299,"200-299 мм",IF(SMALL($R79:$T79,1)&lt;=399,"300-399 мм",IF(SMALL($R79:$T79,1)&lt;=499,"400-499 мм",IF(SMALL($R79:$T79,1)&lt;=599,"500-599 мм",IF(SMALL($R79:$T79,1)&lt;=699,"600-699 мм",IF(SMALL($R79:$T79,1)&lt;=999,"700-999 мм","1000+ мм")))))))))</f>
        <v/>
      </c>
      <c r="AA79" s="101">
        <f>IF(G79="","",IF(G79="Л","Лист гофрокартона",IF(G79="КД","Крышка-дно",IF(G79="С","Самосборные",IF(G79="Ч","Четырехклапанные",IF(G79="А","Архивные","Неизвестно"))))))</f>
        <v/>
      </c>
      <c r="AB79" s="66" t="n">
        <v>1.73</v>
      </c>
      <c r="AC79" s="101">
        <f>IF(O79="","",IF(O79&lt;=1,"0-1 литров",IF(O79&lt;=3,"2-3 литра",IF(O79&lt;=5,"4-5 литра",IF(O79&lt;=7,"6-7 литра",IF(O79&lt;=9,"8-9 литров",IF(O79&lt;=14,"10-14 литров",IF(O79&lt;=19,"15-19 литров",IF(O79&lt;=29,"20-29 литров",IF(O79&lt;=49,"30-49 литров",IF(O79&lt;=59,"50-59 литров",IF(O79&lt;=70,"60-69 литров",IF(O79&lt;=79,"70-79 литров",IF(O79&lt;=89,"80-89 литров",IF(O79&lt;=99,"90-99 литров",IF(O79&lt;=200,"100-200 литров","200+ литров"))))))))))))))))</f>
        <v/>
      </c>
    </row>
    <row r="80">
      <c r="A80" s="64" t="n">
        <v>0.57</v>
      </c>
      <c r="B80" s="65">
        <f>A80*1.2</f>
        <v/>
      </c>
      <c r="C80" s="109" t="n">
        <v>80</v>
      </c>
      <c r="D80" s="116" t="inlineStr">
        <is>
          <t>У</t>
        </is>
      </c>
      <c r="E80" s="88" t="inlineStr">
        <is>
          <t>320х210х45</t>
        </is>
      </c>
      <c r="G80" s="83" t="inlineStr">
        <is>
          <t>С</t>
        </is>
      </c>
      <c r="H80" s="146" t="inlineStr">
        <is>
          <t>0427</t>
        </is>
      </c>
      <c r="I80" s="83" t="inlineStr">
        <is>
          <t>Е</t>
        </is>
      </c>
      <c r="J80" s="83" t="inlineStr">
        <is>
          <t>х</t>
        </is>
      </c>
      <c r="K80" s="116" t="inlineStr">
        <is>
          <t>K80</t>
        </is>
      </c>
      <c r="N80" s="239">
        <f>IF(D80="","",IF(LEFT(D80,1)="0",0,1))</f>
        <v/>
      </c>
      <c r="O80" s="80">
        <f>ROUND(R80*S80*T80/1000000,2)</f>
        <v/>
      </c>
      <c r="P80" s="160">
        <f>IF(O80="","",
IF(O80&lt;1,"0,1-0,9 литров",
IF(O80&lt;2,"1-1,9 литра",
IF(O80&lt;3,"2-2,9 литра",
IF(O80&lt;4,"3-3,9 литра",
IF(O80&lt;6,"4-5,9 литра",IF(O80&lt;8,"6-7,9 литра",IF(O80&lt;10,"8-9,9 литров",IF(O80&lt;15,"10-14,9 литров",IF(O80&lt;20,"15-19,9 литров",IF(O80&lt;30,"20-29 литров",IF(O80&lt;50,"30-49 литров",IF(O80&lt;60,"50-59 литров",IF(O80&lt;70,"60-69 литров",IF(O80&lt;80,"70-79 литров",IF(O80&lt;90,"80-89 литров",IF(O80&lt;100,"90-99 литров",IF(O80&lt;200,"100-200 литров","200+ литров"))))))))))))))))))</f>
        <v/>
      </c>
      <c r="Q80" s="101">
        <f>IF(O80="","",IF(O80&lt;1,"&lt;1 л",IF(O80&lt;2,"1-2 л",IF(O80&lt;3,"2-3 л",IF(O80&lt;5,"3-5 л",IF(O80&lt;10,"5-10 л",IF(O80&lt;20,"10-20 л",IF(O80&lt;50,"20-50 л",IF(O80&lt;100,"50-100 л","100+ л")))))))))</f>
        <v/>
      </c>
      <c r="R80" s="162">
        <f>IF(E80="","",--LEFT(E80,FIND("х",E80)-1))</f>
        <v/>
      </c>
      <c r="S80" s="162">
        <f>IF(E80="","",--MID(E80,FIND("х",E80)+1,FIND("х",E80,FIND("х",E80)+1)-FIND("х",E80)-1))</f>
        <v/>
      </c>
      <c r="T80" s="162">
        <f>IF(E80="","",--RIGHT(E80,LEN(E80)-FIND("х",E80,FIND("х",E80)+1)))</f>
        <v/>
      </c>
      <c r="U80" s="66">
        <f>(2*(R80+S80)+60)*(S80+T80+8)/1000000</f>
        <v/>
      </c>
      <c r="V80" s="66">
        <f>IF(OR(AND(R80&gt;=2*S80,R80&gt;=2*T80),AND(S80&gt;=2*R80,S80&gt;=2*T80),AND(T80&gt;=2*R80,T80&gt;=2*S80)),"Длинные","")</f>
        <v/>
      </c>
      <c r="W80" s="66">
        <f>IF(OR(AND(R80&lt;=S80/2,R80&lt;=T80/2),AND(S80&lt;=R80/2,S80&lt;=T80/2),AND(T80&lt;=R80/2,T80&lt;=S80/2)),"Плоские","")</f>
        <v/>
      </c>
      <c r="X80" s="160">
        <f>IF(LARGE($R80:$T80,1)="","",IF(LARGE($R80:$T80,1)&lt;=99,"10-99 мм",IF(LARGE($R80:$T80,1)&lt;=199,"100-199 мм",IF(LARGE($R80:$T80,1)&lt;=299,"200-299 мм",IF(LARGE($R80:$T80,1)&lt;=399,"300-399 мм",IF(LARGE($R80:$T80,1)&lt;=499,"400-499 мм",IF(LARGE($R80:$T80,1)&lt;=599,"500-599 мм",IF(LARGE($R80:$T80,1)&lt;=699,"600-699 мм",IF(LARGE($R80:$T80,1)&lt;=999,"700-999 мм","1000+ мм")))))))))</f>
        <v/>
      </c>
      <c r="Y80" s="160">
        <f>IF(LARGE($R80:$T80,2)="","",IF(LARGE($R80:$T80,2)&lt;=99,"10-99 мм",IF(LARGE($R80:$T80,2)&lt;=199,"100-199 мм",IF(LARGE($R80:$T80,2)&lt;=299,"200-299 мм",IF(LARGE($R80:$T80,2)&lt;=399,"300-399 мм",IF(LARGE($R80:$T80,2)&lt;=499,"400-499 мм",IF(LARGE($R80:$T80,2)&lt;=599,"500-599 мм",IF(LARGE($R80:$T80,2)&lt;=699,"600-699 мм",IF(LARGE($R80:$T80,2)&lt;=999,"700-999 мм","1000+ мм")))))))))</f>
        <v/>
      </c>
      <c r="Z80" s="160">
        <f>IF(SMALL($R80:$T80,1)="","",IF(SMALL($R80:$T80,1)&lt;=99,"10-99 мм",IF(SMALL($R80:$T80,1)&lt;=199,"100-199 мм",IF(SMALL($R80:$T80,1)&lt;=299,"200-299 мм",IF(SMALL($R80:$T80,1)&lt;=399,"300-399 мм",IF(SMALL($R80:$T80,1)&lt;=499,"400-499 мм",IF(SMALL($R80:$T80,1)&lt;=599,"500-599 мм",IF(SMALL($R80:$T80,1)&lt;=699,"600-699 мм",IF(SMALL($R80:$T80,1)&lt;=999,"700-999 мм","1000+ мм")))))))))</f>
        <v/>
      </c>
      <c r="AA80" s="101">
        <f>IF(G80="","",IF(G80="Л","Лист гофрокартона",IF(G80="КД","Крышка-дно",IF(G80="С","Самосборные",IF(G80="Ч","Четырехклапанные",IF(G80="А","Архивные","Неизвестно"))))))</f>
        <v/>
      </c>
      <c r="AB80" s="66" t="n">
        <v>1.73</v>
      </c>
      <c r="AC80" s="101">
        <f>IF(O80="","",IF(O80&lt;=1,"0-1 литров",IF(O80&lt;=3,"2-3 литра",IF(O80&lt;=5,"4-5 литра",IF(O80&lt;=7,"6-7 литра",IF(O80&lt;=9,"8-9 литров",IF(O80&lt;=14,"10-14 литров",IF(O80&lt;=19,"15-19 литров",IF(O80&lt;=29,"20-29 литров",IF(O80&lt;=49,"30-49 литров",IF(O80&lt;=59,"50-59 литров",IF(O80&lt;=70,"60-69 литров",IF(O80&lt;=79,"70-79 литров",IF(O80&lt;=89,"80-89 литров",IF(O80&lt;=99,"90-99 литров",IF(O80&lt;=200,"100-200 литров","200+ литров"))))))))))))))))</f>
        <v/>
      </c>
    </row>
    <row r="81">
      <c r="A81" s="64" t="n">
        <v>0.8</v>
      </c>
      <c r="B81" s="65">
        <f>A81*1.2</f>
        <v/>
      </c>
      <c r="C81" s="109" t="n">
        <v>81</v>
      </c>
      <c r="D81" s="116" t="inlineStr">
        <is>
          <t>У</t>
        </is>
      </c>
      <c r="E81" s="88" t="inlineStr">
        <is>
          <t>325х170х115</t>
        </is>
      </c>
      <c r="G81" s="83" t="inlineStr">
        <is>
          <t>С</t>
        </is>
      </c>
      <c r="H81" s="146" t="inlineStr">
        <is>
          <t>0426</t>
        </is>
      </c>
      <c r="I81" s="83" t="inlineStr">
        <is>
          <t>В</t>
        </is>
      </c>
      <c r="J81" s="83" t="inlineStr">
        <is>
          <t>х</t>
        </is>
      </c>
      <c r="K81" s="116" t="inlineStr">
        <is>
          <t>K81</t>
        </is>
      </c>
      <c r="N81" s="239">
        <f>IF(D81="","",IF(LEFT(D81,1)="0",0,1))</f>
        <v/>
      </c>
      <c r="O81" s="80">
        <f>ROUND(R81*S81*T81/1000000,2)</f>
        <v/>
      </c>
      <c r="P81" s="160">
        <f>IF(O81="","",
IF(O81&lt;1,"0,1-0,9 литров",
IF(O81&lt;2,"1-1,9 литра",
IF(O81&lt;3,"2-2,9 литра",
IF(O81&lt;4,"3-3,9 литра",
IF(O81&lt;6,"4-5,9 литра",IF(O81&lt;8,"6-7,9 литра",IF(O81&lt;10,"8-9,9 литров",IF(O81&lt;15,"10-14,9 литров",IF(O81&lt;20,"15-19,9 литров",IF(O81&lt;30,"20-29 литров",IF(O81&lt;50,"30-49 литров",IF(O81&lt;60,"50-59 литров",IF(O81&lt;70,"60-69 литров",IF(O81&lt;80,"70-79 литров",IF(O81&lt;90,"80-89 литров",IF(O81&lt;100,"90-99 литров",IF(O81&lt;200,"100-200 литров","200+ литров"))))))))))))))))))</f>
        <v/>
      </c>
      <c r="Q81" s="101">
        <f>IF(O81="","",IF(O81&lt;1,"&lt;1 л",IF(O81&lt;2,"1-2 л",IF(O81&lt;3,"2-3 л",IF(O81&lt;5,"3-5 л",IF(O81&lt;10,"5-10 л",IF(O81&lt;20,"10-20 л",IF(O81&lt;50,"20-50 л",IF(O81&lt;100,"50-100 л","100+ л")))))))))</f>
        <v/>
      </c>
      <c r="R81" s="162">
        <f>IF(E81="","",--LEFT(E81,FIND("х",E81)-1))</f>
        <v/>
      </c>
      <c r="S81" s="162">
        <f>IF(E81="","",--MID(E81,FIND("х",E81)+1,FIND("х",E81,FIND("х",E81)+1)-FIND("х",E81)-1))</f>
        <v/>
      </c>
      <c r="T81" s="162">
        <f>IF(E81="","",--RIGHT(E81,LEN(E81)-FIND("х",E81,FIND("х",E81)+1)))</f>
        <v/>
      </c>
      <c r="U81" s="66">
        <f>(2*(R81+S81)+60)*(S81+T81+8)/1000000</f>
        <v/>
      </c>
      <c r="V81" s="66">
        <f>IF(OR(AND(R81&gt;=2*S81,R81&gt;=2*T81),AND(S81&gt;=2*R81,S81&gt;=2*T81),AND(T81&gt;=2*R81,T81&gt;=2*S81)),"Длинные","")</f>
        <v/>
      </c>
      <c r="W81" s="66">
        <f>IF(OR(AND(R81&lt;=S81/2,R81&lt;=T81/2),AND(S81&lt;=R81/2,S81&lt;=T81/2),AND(T81&lt;=R81/2,T81&lt;=S81/2)),"Плоские","")</f>
        <v/>
      </c>
      <c r="X81" s="160">
        <f>IF(LARGE($R81:$T81,1)="","",IF(LARGE($R81:$T81,1)&lt;=99,"10-99 мм",IF(LARGE($R81:$T81,1)&lt;=199,"100-199 мм",IF(LARGE($R81:$T81,1)&lt;=299,"200-299 мм",IF(LARGE($R81:$T81,1)&lt;=399,"300-399 мм",IF(LARGE($R81:$T81,1)&lt;=499,"400-499 мм",IF(LARGE($R81:$T81,1)&lt;=599,"500-599 мм",IF(LARGE($R81:$T81,1)&lt;=699,"600-699 мм",IF(LARGE($R81:$T81,1)&lt;=999,"700-999 мм","1000+ мм")))))))))</f>
        <v/>
      </c>
      <c r="Y81" s="160">
        <f>IF(LARGE($R81:$T81,2)="","",IF(LARGE($R81:$T81,2)&lt;=99,"10-99 мм",IF(LARGE($R81:$T81,2)&lt;=199,"100-199 мм",IF(LARGE($R81:$T81,2)&lt;=299,"200-299 мм",IF(LARGE($R81:$T81,2)&lt;=399,"300-399 мм",IF(LARGE($R81:$T81,2)&lt;=499,"400-499 мм",IF(LARGE($R81:$T81,2)&lt;=599,"500-599 мм",IF(LARGE($R81:$T81,2)&lt;=699,"600-699 мм",IF(LARGE($R81:$T81,2)&lt;=999,"700-999 мм","1000+ мм")))))))))</f>
        <v/>
      </c>
      <c r="Z81" s="160">
        <f>IF(SMALL($R81:$T81,1)="","",IF(SMALL($R81:$T81,1)&lt;=99,"10-99 мм",IF(SMALL($R81:$T81,1)&lt;=199,"100-199 мм",IF(SMALL($R81:$T81,1)&lt;=299,"200-299 мм",IF(SMALL($R81:$T81,1)&lt;=399,"300-399 мм",IF(SMALL($R81:$T81,1)&lt;=499,"400-499 мм",IF(SMALL($R81:$T81,1)&lt;=599,"500-599 мм",IF(SMALL($R81:$T81,1)&lt;=699,"600-699 мм",IF(SMALL($R81:$T81,1)&lt;=999,"700-999 мм","1000+ мм")))))))))</f>
        <v/>
      </c>
      <c r="AA81" s="101">
        <f>IF(G81="","",IF(G81="Л","Лист гофрокартона",IF(G81="КД","Крышка-дно",IF(G81="С","Самосборные",IF(G81="Ч","Четырехклапанные",IF(G81="А","Архивные","Неизвестно"))))))</f>
        <v/>
      </c>
      <c r="AB81" s="66" t="n">
        <v>1.73</v>
      </c>
      <c r="AC81" s="101">
        <f>IF(O81="","",IF(O81&lt;=1,"0-1 литров",IF(O81&lt;=3,"2-3 литра",IF(O81&lt;=5,"4-5 литра",IF(O81&lt;=7,"6-7 литра",IF(O81&lt;=9,"8-9 литров",IF(O81&lt;=14,"10-14 литров",IF(O81&lt;=19,"15-19 литров",IF(O81&lt;=29,"20-29 литров",IF(O81&lt;=49,"30-49 литров",IF(O81&lt;=59,"50-59 литров",IF(O81&lt;=70,"60-69 литров",IF(O81&lt;=79,"70-79 литров",IF(O81&lt;=89,"80-89 литров",IF(O81&lt;=99,"90-99 литров",IF(O81&lt;=200,"100-200 литров","200+ литров"))))))))))))))))</f>
        <v/>
      </c>
    </row>
    <row r="82">
      <c r="A82" s="64" t="n">
        <v>0.48</v>
      </c>
      <c r="B82" s="65">
        <f>A82*1.2</f>
        <v/>
      </c>
      <c r="C82" s="109" t="n">
        <v>82</v>
      </c>
      <c r="D82" s="116" t="inlineStr">
        <is>
          <t>У</t>
        </is>
      </c>
      <c r="E82" s="88" t="inlineStr">
        <is>
          <t>140х90х90</t>
        </is>
      </c>
      <c r="G82" s="83" t="inlineStr">
        <is>
          <t>С</t>
        </is>
      </c>
      <c r="H82" s="146" t="inlineStr">
        <is>
          <t>0427</t>
        </is>
      </c>
      <c r="I82" s="83" t="inlineStr">
        <is>
          <t>В</t>
        </is>
      </c>
      <c r="J82" s="83" t="inlineStr">
        <is>
          <t>х</t>
        </is>
      </c>
      <c r="K82" s="116" t="inlineStr">
        <is>
          <t>K82</t>
        </is>
      </c>
      <c r="N82" s="239">
        <f>IF(D82="","",IF(LEFT(D82,1)="0",0,1))</f>
        <v/>
      </c>
      <c r="O82" s="80">
        <f>ROUND(R82*S82*T82/1000000,2)</f>
        <v/>
      </c>
      <c r="P82" s="160">
        <f>IF(O82="","",
IF(O82&lt;1,"0,1-0,9 литров",
IF(O82&lt;2,"1-1,9 литра",
IF(O82&lt;3,"2-2,9 литра",
IF(O82&lt;4,"3-3,9 литра",
IF(O82&lt;6,"4-5,9 литра",IF(O82&lt;8,"6-7,9 литра",IF(O82&lt;10,"8-9,9 литров",IF(O82&lt;15,"10-14,9 литров",IF(O82&lt;20,"15-19,9 литров",IF(O82&lt;30,"20-29 литров",IF(O82&lt;50,"30-49 литров",IF(O82&lt;60,"50-59 литров",IF(O82&lt;70,"60-69 литров",IF(O82&lt;80,"70-79 литров",IF(O82&lt;90,"80-89 литров",IF(O82&lt;100,"90-99 литров",IF(O82&lt;200,"100-200 литров","200+ литров"))))))))))))))))))</f>
        <v/>
      </c>
      <c r="Q82" s="101">
        <f>IF(O82="","",IF(O82&lt;1,"&lt;1 л",IF(O82&lt;2,"1-2 л",IF(O82&lt;3,"2-3 л",IF(O82&lt;5,"3-5 л",IF(O82&lt;10,"5-10 л",IF(O82&lt;20,"10-20 л",IF(O82&lt;50,"20-50 л",IF(O82&lt;100,"50-100 л","100+ л")))))))))</f>
        <v/>
      </c>
      <c r="R82" s="162">
        <f>IF(E82="","",--LEFT(E82,FIND("х",E82)-1))</f>
        <v/>
      </c>
      <c r="S82" s="162">
        <f>IF(E82="","",--MID(E82,FIND("х",E82)+1,FIND("х",E82,FIND("х",E82)+1)-FIND("х",E82)-1))</f>
        <v/>
      </c>
      <c r="T82" s="162">
        <f>IF(E82="","",--RIGHT(E82,LEN(E82)-FIND("х",E82,FIND("х",E82)+1)))</f>
        <v/>
      </c>
      <c r="U82" s="66">
        <f>(2*(R82+S82)+60)*(S82+T82+8)/1000000</f>
        <v/>
      </c>
      <c r="V82" s="66">
        <f>IF(OR(AND(R82&gt;=2*S82,R82&gt;=2*T82),AND(S82&gt;=2*R82,S82&gt;=2*T82),AND(T82&gt;=2*R82,T82&gt;=2*S82)),"Длинные","")</f>
        <v/>
      </c>
      <c r="W82" s="66">
        <f>IF(OR(AND(R82&lt;=S82/2,R82&lt;=T82/2),AND(S82&lt;=R82/2,S82&lt;=T82/2),AND(T82&lt;=R82/2,T82&lt;=S82/2)),"Плоские","")</f>
        <v/>
      </c>
      <c r="X82" s="160">
        <f>IF(LARGE($R82:$T82,1)="","",IF(LARGE($R82:$T82,1)&lt;=99,"10-99 мм",IF(LARGE($R82:$T82,1)&lt;=199,"100-199 мм",IF(LARGE($R82:$T82,1)&lt;=299,"200-299 мм",IF(LARGE($R82:$T82,1)&lt;=399,"300-399 мм",IF(LARGE($R82:$T82,1)&lt;=499,"400-499 мм",IF(LARGE($R82:$T82,1)&lt;=599,"500-599 мм",IF(LARGE($R82:$T82,1)&lt;=699,"600-699 мм",IF(LARGE($R82:$T82,1)&lt;=999,"700-999 мм","1000+ мм")))))))))</f>
        <v/>
      </c>
      <c r="Y82" s="160">
        <f>IF(LARGE($R82:$T82,2)="","",IF(LARGE($R82:$T82,2)&lt;=99,"10-99 мм",IF(LARGE($R82:$T82,2)&lt;=199,"100-199 мм",IF(LARGE($R82:$T82,2)&lt;=299,"200-299 мм",IF(LARGE($R82:$T82,2)&lt;=399,"300-399 мм",IF(LARGE($R82:$T82,2)&lt;=499,"400-499 мм",IF(LARGE($R82:$T82,2)&lt;=599,"500-599 мм",IF(LARGE($R82:$T82,2)&lt;=699,"600-699 мм",IF(LARGE($R82:$T82,2)&lt;=999,"700-999 мм","1000+ мм")))))))))</f>
        <v/>
      </c>
      <c r="Z82" s="160">
        <f>IF(SMALL($R82:$T82,1)="","",IF(SMALL($R82:$T82,1)&lt;=99,"10-99 мм",IF(SMALL($R82:$T82,1)&lt;=199,"100-199 мм",IF(SMALL($R82:$T82,1)&lt;=299,"200-299 мм",IF(SMALL($R82:$T82,1)&lt;=399,"300-399 мм",IF(SMALL($R82:$T82,1)&lt;=499,"400-499 мм",IF(SMALL($R82:$T82,1)&lt;=599,"500-599 мм",IF(SMALL($R82:$T82,1)&lt;=699,"600-699 мм",IF(SMALL($R82:$T82,1)&lt;=999,"700-999 мм","1000+ мм")))))))))</f>
        <v/>
      </c>
      <c r="AA82" s="101">
        <f>IF(G82="","",IF(G82="Л","Лист гофрокартона",IF(G82="КД","Крышка-дно",IF(G82="С","Самосборные",IF(G82="Ч","Четырехклапанные",IF(G82="А","Архивные","Неизвестно"))))))</f>
        <v/>
      </c>
      <c r="AB82" s="66" t="n">
        <v>1.73</v>
      </c>
      <c r="AC82" s="101">
        <f>IF(O82="","",IF(O82&lt;=1,"0-1 литров",IF(O82&lt;=3,"2-3 литра",IF(O82&lt;=5,"4-5 литра",IF(O82&lt;=7,"6-7 литра",IF(O82&lt;=9,"8-9 литров",IF(O82&lt;=14,"10-14 литров",IF(O82&lt;=19,"15-19 литров",IF(O82&lt;=29,"20-29 литров",IF(O82&lt;=49,"30-49 литров",IF(O82&lt;=59,"50-59 литров",IF(O82&lt;=70,"60-69 литров",IF(O82&lt;=79,"70-79 литров",IF(O82&lt;=89,"80-89 литров",IF(O82&lt;=99,"90-99 литров",IF(O82&lt;=200,"100-200 литров","200+ литров"))))))))))))))))</f>
        <v/>
      </c>
    </row>
    <row r="83">
      <c r="A83" s="64" t="n">
        <v>0.48</v>
      </c>
      <c r="B83" s="65">
        <f>A83*1.2</f>
        <v/>
      </c>
      <c r="C83" s="109" t="n">
        <v>83</v>
      </c>
      <c r="D83" s="116" t="inlineStr">
        <is>
          <t>У</t>
        </is>
      </c>
      <c r="E83" s="88" t="inlineStr">
        <is>
          <t>305х155х55</t>
        </is>
      </c>
      <c r="G83" s="83" t="inlineStr">
        <is>
          <t>С</t>
        </is>
      </c>
      <c r="H83" s="146" t="inlineStr">
        <is>
          <t>0427</t>
        </is>
      </c>
      <c r="I83" s="83" t="inlineStr">
        <is>
          <t>В</t>
        </is>
      </c>
      <c r="J83" s="83" t="inlineStr">
        <is>
          <t>х</t>
        </is>
      </c>
      <c r="K83" s="116" t="inlineStr">
        <is>
          <t>K83</t>
        </is>
      </c>
      <c r="N83" s="239">
        <f>IF(D83="","",IF(LEFT(D83,1)="0",0,1))</f>
        <v/>
      </c>
      <c r="O83" s="80">
        <f>ROUND(R83*S83*T83/1000000,2)</f>
        <v/>
      </c>
      <c r="P83" s="160">
        <f>IF(O83="","",
IF(O83&lt;1,"0,1-0,9 литров",
IF(O83&lt;2,"1-1,9 литра",
IF(O83&lt;3,"2-2,9 литра",
IF(O83&lt;4,"3-3,9 литра",
IF(O83&lt;6,"4-5,9 литра",IF(O83&lt;8,"6-7,9 литра",IF(O83&lt;10,"8-9,9 литров",IF(O83&lt;15,"10-14,9 литров",IF(O83&lt;20,"15-19,9 литров",IF(O83&lt;30,"20-29 литров",IF(O83&lt;50,"30-49 литров",IF(O83&lt;60,"50-59 литров",IF(O83&lt;70,"60-69 литров",IF(O83&lt;80,"70-79 литров",IF(O83&lt;90,"80-89 литров",IF(O83&lt;100,"90-99 литров",IF(O83&lt;200,"100-200 литров","200+ литров"))))))))))))))))))</f>
        <v/>
      </c>
      <c r="Q83" s="101">
        <f>IF(O83="","",IF(O83&lt;1,"&lt;1 л",IF(O83&lt;2,"1-2 л",IF(O83&lt;3,"2-3 л",IF(O83&lt;5,"3-5 л",IF(O83&lt;10,"5-10 л",IF(O83&lt;20,"10-20 л",IF(O83&lt;50,"20-50 л",IF(O83&lt;100,"50-100 л","100+ л")))))))))</f>
        <v/>
      </c>
      <c r="R83" s="162">
        <f>IF(E83="","",--LEFT(E83,FIND("х",E83)-1))</f>
        <v/>
      </c>
      <c r="S83" s="162">
        <f>IF(E83="","",--MID(E83,FIND("х",E83)+1,FIND("х",E83,FIND("х",E83)+1)-FIND("х",E83)-1))</f>
        <v/>
      </c>
      <c r="T83" s="162">
        <f>IF(E83="","",--RIGHT(E83,LEN(E83)-FIND("х",E83,FIND("х",E83)+1)))</f>
        <v/>
      </c>
      <c r="U83" s="66">
        <f>(2*(R83+S83)+60)*(S83+T83+8)/1000000</f>
        <v/>
      </c>
      <c r="V83" s="66">
        <f>IF(OR(AND(R83&gt;=2*S83,R83&gt;=2*T83),AND(S83&gt;=2*R83,S83&gt;=2*T83),AND(T83&gt;=2*R83,T83&gt;=2*S83)),"Длинные","")</f>
        <v/>
      </c>
      <c r="W83" s="66">
        <f>IF(OR(AND(R83&lt;=S83/2,R83&lt;=T83/2),AND(S83&lt;=R83/2,S83&lt;=T83/2),AND(T83&lt;=R83/2,T83&lt;=S83/2)),"Плоские","")</f>
        <v/>
      </c>
      <c r="X83" s="160">
        <f>IF(LARGE($R83:$T83,1)="","",IF(LARGE($R83:$T83,1)&lt;=99,"10-99 мм",IF(LARGE($R83:$T83,1)&lt;=199,"100-199 мм",IF(LARGE($R83:$T83,1)&lt;=299,"200-299 мм",IF(LARGE($R83:$T83,1)&lt;=399,"300-399 мм",IF(LARGE($R83:$T83,1)&lt;=499,"400-499 мм",IF(LARGE($R83:$T83,1)&lt;=599,"500-599 мм",IF(LARGE($R83:$T83,1)&lt;=699,"600-699 мм",IF(LARGE($R83:$T83,1)&lt;=999,"700-999 мм","1000+ мм")))))))))</f>
        <v/>
      </c>
      <c r="Y83" s="160">
        <f>IF(LARGE($R83:$T83,2)="","",IF(LARGE($R83:$T83,2)&lt;=99,"10-99 мм",IF(LARGE($R83:$T83,2)&lt;=199,"100-199 мм",IF(LARGE($R83:$T83,2)&lt;=299,"200-299 мм",IF(LARGE($R83:$T83,2)&lt;=399,"300-399 мм",IF(LARGE($R83:$T83,2)&lt;=499,"400-499 мм",IF(LARGE($R83:$T83,2)&lt;=599,"500-599 мм",IF(LARGE($R83:$T83,2)&lt;=699,"600-699 мм",IF(LARGE($R83:$T83,2)&lt;=999,"700-999 мм","1000+ мм")))))))))</f>
        <v/>
      </c>
      <c r="Z83" s="160">
        <f>IF(SMALL($R83:$T83,1)="","",IF(SMALL($R83:$T83,1)&lt;=99,"10-99 мм",IF(SMALL($R83:$T83,1)&lt;=199,"100-199 мм",IF(SMALL($R83:$T83,1)&lt;=299,"200-299 мм",IF(SMALL($R83:$T83,1)&lt;=399,"300-399 мм",IF(SMALL($R83:$T83,1)&lt;=499,"400-499 мм",IF(SMALL($R83:$T83,1)&lt;=599,"500-599 мм",IF(SMALL($R83:$T83,1)&lt;=699,"600-699 мм",IF(SMALL($R83:$T83,1)&lt;=999,"700-999 мм","1000+ мм")))))))))</f>
        <v/>
      </c>
      <c r="AA83" s="101">
        <f>IF(G83="","",IF(G83="Л","Лист гофрокартона",IF(G83="КД","Крышка-дно",IF(G83="С","Самосборные",IF(G83="Ч","Четырехклапанные",IF(G83="А","Архивные","Неизвестно"))))))</f>
        <v/>
      </c>
      <c r="AB83" s="66" t="n">
        <v>1.73</v>
      </c>
      <c r="AC83" s="101">
        <f>IF(O83="","",IF(O83&lt;=1,"0-1 литров",IF(O83&lt;=3,"2-3 литра",IF(O83&lt;=5,"4-5 литра",IF(O83&lt;=7,"6-7 литра",IF(O83&lt;=9,"8-9 литров",IF(O83&lt;=14,"10-14 литров",IF(O83&lt;=19,"15-19 литров",IF(O83&lt;=29,"20-29 литров",IF(O83&lt;=49,"30-49 литров",IF(O83&lt;=59,"50-59 литров",IF(O83&lt;=70,"60-69 литров",IF(O83&lt;=79,"70-79 литров",IF(O83&lt;=89,"80-89 литров",IF(O83&lt;=99,"90-99 литров",IF(O83&lt;=200,"100-200 литров","200+ литров"))))))))))))))))</f>
        <v/>
      </c>
    </row>
    <row r="84">
      <c r="A84" s="64" t="n">
        <v>0.23</v>
      </c>
      <c r="B84" s="65">
        <f>A84*1.2</f>
        <v/>
      </c>
      <c r="C84" s="109" t="n">
        <v>84</v>
      </c>
      <c r="D84" s="116" t="inlineStr">
        <is>
          <t>У</t>
        </is>
      </c>
      <c r="E84" s="88" t="inlineStr">
        <is>
          <t>155х110х40</t>
        </is>
      </c>
      <c r="G84" s="83" t="inlineStr">
        <is>
          <t>С</t>
        </is>
      </c>
      <c r="H84" s="146" t="inlineStr">
        <is>
          <t>0427</t>
        </is>
      </c>
      <c r="I84" s="83" t="inlineStr">
        <is>
          <t>Е</t>
        </is>
      </c>
      <c r="J84" s="83" t="inlineStr">
        <is>
          <t>х</t>
        </is>
      </c>
      <c r="K84" s="116" t="inlineStr">
        <is>
          <t>K84</t>
        </is>
      </c>
      <c r="N84" s="239">
        <f>IF(D84="","",IF(LEFT(D84,1)="0",0,1))</f>
        <v/>
      </c>
      <c r="O84" s="80">
        <f>ROUND(R84*S84*T84/1000000,2)</f>
        <v/>
      </c>
      <c r="P84" s="160">
        <f>IF(O84="","",
IF(O84&lt;1,"0,1-0,9 литров",
IF(O84&lt;2,"1-1,9 литра",
IF(O84&lt;3,"2-2,9 литра",
IF(O84&lt;4,"3-3,9 литра",
IF(O84&lt;6,"4-5,9 литра",IF(O84&lt;8,"6-7,9 литра",IF(O84&lt;10,"8-9,9 литров",IF(O84&lt;15,"10-14,9 литров",IF(O84&lt;20,"15-19,9 литров",IF(O84&lt;30,"20-29 литров",IF(O84&lt;50,"30-49 литров",IF(O84&lt;60,"50-59 литров",IF(O84&lt;70,"60-69 литров",IF(O84&lt;80,"70-79 литров",IF(O84&lt;90,"80-89 литров",IF(O84&lt;100,"90-99 литров",IF(O84&lt;200,"100-200 литров","200+ литров"))))))))))))))))))</f>
        <v/>
      </c>
      <c r="Q84" s="101">
        <f>IF(O84="","",IF(O84&lt;1,"&lt;1 л",IF(O84&lt;2,"1-2 л",IF(O84&lt;3,"2-3 л",IF(O84&lt;5,"3-5 л",IF(O84&lt;10,"5-10 л",IF(O84&lt;20,"10-20 л",IF(O84&lt;50,"20-50 л",IF(O84&lt;100,"50-100 л","100+ л")))))))))</f>
        <v/>
      </c>
      <c r="R84" s="162">
        <f>IF(E84="","",--LEFT(E84,FIND("х",E84)-1))</f>
        <v/>
      </c>
      <c r="S84" s="162">
        <f>IF(E84="","",--MID(E84,FIND("х",E84)+1,FIND("х",E84,FIND("х",E84)+1)-FIND("х",E84)-1))</f>
        <v/>
      </c>
      <c r="T84" s="162">
        <f>IF(E84="","",--RIGHT(E84,LEN(E84)-FIND("х",E84,FIND("х",E84)+1)))</f>
        <v/>
      </c>
      <c r="U84" s="66">
        <f>(2*(R84+S84)+60)*(S84+T84+8)/1000000</f>
        <v/>
      </c>
      <c r="V84" s="66">
        <f>IF(OR(AND(R84&gt;=2*S84,R84&gt;=2*T84),AND(S84&gt;=2*R84,S84&gt;=2*T84),AND(T84&gt;=2*R84,T84&gt;=2*S84)),"Длинные","")</f>
        <v/>
      </c>
      <c r="W84" s="66">
        <f>IF(OR(AND(R84&lt;=S84/2,R84&lt;=T84/2),AND(S84&lt;=R84/2,S84&lt;=T84/2),AND(T84&lt;=R84/2,T84&lt;=S84/2)),"Плоские","")</f>
        <v/>
      </c>
      <c r="X84" s="160">
        <f>IF(LARGE($R84:$T84,1)="","",IF(LARGE($R84:$T84,1)&lt;=99,"10-99 мм",IF(LARGE($R84:$T84,1)&lt;=199,"100-199 мм",IF(LARGE($R84:$T84,1)&lt;=299,"200-299 мм",IF(LARGE($R84:$T84,1)&lt;=399,"300-399 мм",IF(LARGE($R84:$T84,1)&lt;=499,"400-499 мм",IF(LARGE($R84:$T84,1)&lt;=599,"500-599 мм",IF(LARGE($R84:$T84,1)&lt;=699,"600-699 мм",IF(LARGE($R84:$T84,1)&lt;=999,"700-999 мм","1000+ мм")))))))))</f>
        <v/>
      </c>
      <c r="Y84" s="160">
        <f>IF(LARGE($R84:$T84,2)="","",IF(LARGE($R84:$T84,2)&lt;=99,"10-99 мм",IF(LARGE($R84:$T84,2)&lt;=199,"100-199 мм",IF(LARGE($R84:$T84,2)&lt;=299,"200-299 мм",IF(LARGE($R84:$T84,2)&lt;=399,"300-399 мм",IF(LARGE($R84:$T84,2)&lt;=499,"400-499 мм",IF(LARGE($R84:$T84,2)&lt;=599,"500-599 мм",IF(LARGE($R84:$T84,2)&lt;=699,"600-699 мм",IF(LARGE($R84:$T84,2)&lt;=999,"700-999 мм","1000+ мм")))))))))</f>
        <v/>
      </c>
      <c r="Z84" s="160">
        <f>IF(SMALL($R84:$T84,1)="","",IF(SMALL($R84:$T84,1)&lt;=99,"10-99 мм",IF(SMALL($R84:$T84,1)&lt;=199,"100-199 мм",IF(SMALL($R84:$T84,1)&lt;=299,"200-299 мм",IF(SMALL($R84:$T84,1)&lt;=399,"300-399 мм",IF(SMALL($R84:$T84,1)&lt;=499,"400-499 мм",IF(SMALL($R84:$T84,1)&lt;=599,"500-599 мм",IF(SMALL($R84:$T84,1)&lt;=699,"600-699 мм",IF(SMALL($R84:$T84,1)&lt;=999,"700-999 мм","1000+ мм")))))))))</f>
        <v/>
      </c>
      <c r="AA84" s="101">
        <f>IF(G84="","",IF(G84="Л","Лист гофрокартона",IF(G84="КД","Крышка-дно",IF(G84="С","Самосборные",IF(G84="Ч","Четырехклапанные",IF(G84="А","Архивные","Неизвестно"))))))</f>
        <v/>
      </c>
      <c r="AB84" s="66" t="n">
        <v>1.73</v>
      </c>
      <c r="AC84" s="101">
        <f>IF(O84="","",IF(O84&lt;=1,"0-1 литров",IF(O84&lt;=3,"2-3 литра",IF(O84&lt;=5,"4-5 литра",IF(O84&lt;=7,"6-7 литра",IF(O84&lt;=9,"8-9 литров",IF(O84&lt;=14,"10-14 литров",IF(O84&lt;=19,"15-19 литров",IF(O84&lt;=29,"20-29 литров",IF(O84&lt;=49,"30-49 литров",IF(O84&lt;=59,"50-59 литров",IF(O84&lt;=70,"60-69 литров",IF(O84&lt;=79,"70-79 литров",IF(O84&lt;=89,"80-89 литров",IF(O84&lt;=99,"90-99 литров",IF(O84&lt;=200,"100-200 литров","200+ литров"))))))))))))))))</f>
        <v/>
      </c>
    </row>
    <row r="85">
      <c r="A85" s="64" t="n">
        <v>0.2</v>
      </c>
      <c r="B85" s="65">
        <f>A85*1.2</f>
        <v/>
      </c>
      <c r="C85" s="109" t="n">
        <v>85</v>
      </c>
      <c r="D85" s="116" t="inlineStr">
        <is>
          <t>У</t>
        </is>
      </c>
      <c r="E85" s="88" t="inlineStr">
        <is>
          <t>60х60х210</t>
        </is>
      </c>
      <c r="G85" s="83" t="inlineStr">
        <is>
          <t>С</t>
        </is>
      </c>
      <c r="H85" s="146" t="inlineStr">
        <is>
          <t>0215</t>
        </is>
      </c>
      <c r="I85" s="83" t="inlineStr">
        <is>
          <t>Е</t>
        </is>
      </c>
      <c r="J85" s="83" t="inlineStr">
        <is>
          <t>ОП</t>
        </is>
      </c>
      <c r="K85" s="116" t="inlineStr">
        <is>
          <t>K85</t>
        </is>
      </c>
      <c r="N85" s="239">
        <f>IF(D85="","",IF(LEFT(D85,1)="0",0,1))</f>
        <v/>
      </c>
      <c r="O85" s="80">
        <f>ROUND(R85*S85*T85/1000000,2)</f>
        <v/>
      </c>
      <c r="P85" s="160">
        <f>IF(O85="","",
IF(O85&lt;1,"0,1-0,9 литров",
IF(O85&lt;2,"1-1,9 литра",
IF(O85&lt;3,"2-2,9 литра",
IF(O85&lt;4,"3-3,9 литра",
IF(O85&lt;6,"4-5,9 литра",IF(O85&lt;8,"6-7,9 литра",IF(O85&lt;10,"8-9,9 литров",IF(O85&lt;15,"10-14,9 литров",IF(O85&lt;20,"15-19,9 литров",IF(O85&lt;30,"20-29 литров",IF(O85&lt;50,"30-49 литров",IF(O85&lt;60,"50-59 литров",IF(O85&lt;70,"60-69 литров",IF(O85&lt;80,"70-79 литров",IF(O85&lt;90,"80-89 литров",IF(O85&lt;100,"90-99 литров",IF(O85&lt;200,"100-200 литров","200+ литров"))))))))))))))))))</f>
        <v/>
      </c>
      <c r="Q85" s="101">
        <f>IF(O85="","",IF(O85&lt;1,"&lt;1 л",IF(O85&lt;2,"1-2 л",IF(O85&lt;3,"2-3 л",IF(O85&lt;5,"3-5 л",IF(O85&lt;10,"5-10 л",IF(O85&lt;20,"10-20 л",IF(O85&lt;50,"20-50 л",IF(O85&lt;100,"50-100 л","100+ л")))))))))</f>
        <v/>
      </c>
      <c r="R85" s="162">
        <f>IF(E85="","",--LEFT(E85,FIND("х",E85)-1))</f>
        <v/>
      </c>
      <c r="S85" s="162">
        <f>IF(E85="","",--MID(E85,FIND("х",E85)+1,FIND("х",E85,FIND("х",E85)+1)-FIND("х",E85)-1))</f>
        <v/>
      </c>
      <c r="T85" s="162">
        <f>IF(E85="","",--RIGHT(E85,LEN(E85)-FIND("х",E85,FIND("х",E85)+1)))</f>
        <v/>
      </c>
      <c r="U85" s="66">
        <f>(2*(R85+S85)+60)*(S85+T85+8)/1000000</f>
        <v/>
      </c>
      <c r="V85" s="66">
        <f>IF(OR(AND(R85&gt;=2*S85,R85&gt;=2*T85),AND(S85&gt;=2*R85,S85&gt;=2*T85),AND(T85&gt;=2*R85,T85&gt;=2*S85)),"Длинные","")</f>
        <v/>
      </c>
      <c r="W85" s="66">
        <f>IF(OR(AND(R85&lt;=S85/2,R85&lt;=T85/2),AND(S85&lt;=R85/2,S85&lt;=T85/2),AND(T85&lt;=R85/2,T85&lt;=S85/2)),"Плоские","")</f>
        <v/>
      </c>
      <c r="X85" s="160">
        <f>IF(LARGE($R85:$T85,1)="","",IF(LARGE($R85:$T85,1)&lt;=99,"10-99 мм",IF(LARGE($R85:$T85,1)&lt;=199,"100-199 мм",IF(LARGE($R85:$T85,1)&lt;=299,"200-299 мм",IF(LARGE($R85:$T85,1)&lt;=399,"300-399 мм",IF(LARGE($R85:$T85,1)&lt;=499,"400-499 мм",IF(LARGE($R85:$T85,1)&lt;=599,"500-599 мм",IF(LARGE($R85:$T85,1)&lt;=699,"600-699 мм",IF(LARGE($R85:$T85,1)&lt;=999,"700-999 мм","1000+ мм")))))))))</f>
        <v/>
      </c>
      <c r="Y85" s="160">
        <f>IF(LARGE($R85:$T85,2)="","",IF(LARGE($R85:$T85,2)&lt;=99,"10-99 мм",IF(LARGE($R85:$T85,2)&lt;=199,"100-199 мм",IF(LARGE($R85:$T85,2)&lt;=299,"200-299 мм",IF(LARGE($R85:$T85,2)&lt;=399,"300-399 мм",IF(LARGE($R85:$T85,2)&lt;=499,"400-499 мм",IF(LARGE($R85:$T85,2)&lt;=599,"500-599 мм",IF(LARGE($R85:$T85,2)&lt;=699,"600-699 мм",IF(LARGE($R85:$T85,2)&lt;=999,"700-999 мм","1000+ мм")))))))))</f>
        <v/>
      </c>
      <c r="Z85" s="160">
        <f>IF(SMALL($R85:$T85,1)="","",IF(SMALL($R85:$T85,1)&lt;=99,"10-99 мм",IF(SMALL($R85:$T85,1)&lt;=199,"100-199 мм",IF(SMALL($R85:$T85,1)&lt;=299,"200-299 мм",IF(SMALL($R85:$T85,1)&lt;=399,"300-399 мм",IF(SMALL($R85:$T85,1)&lt;=499,"400-499 мм",IF(SMALL($R85:$T85,1)&lt;=599,"500-599 мм",IF(SMALL($R85:$T85,1)&lt;=699,"600-699 мм",IF(SMALL($R85:$T85,1)&lt;=999,"700-999 мм","1000+ мм")))))))))</f>
        <v/>
      </c>
      <c r="AA85" s="101">
        <f>IF(G85="","",IF(G85="Л","Лист гофрокартона",IF(G85="КД","Крышка-дно",IF(G85="С","Самосборные",IF(G85="Ч","Четырехклапанные",IF(G85="А","Архивные","Неизвестно"))))))</f>
        <v/>
      </c>
      <c r="AB85" s="66" t="n">
        <v>1.73</v>
      </c>
      <c r="AC85" s="101">
        <f>IF(O85="","",IF(O85&lt;=1,"0-1 литров",IF(O85&lt;=3,"2-3 литра",IF(O85&lt;=5,"4-5 литра",IF(O85&lt;=7,"6-7 литра",IF(O85&lt;=9,"8-9 литров",IF(O85&lt;=14,"10-14 литров",IF(O85&lt;=19,"15-19 литров",IF(O85&lt;=29,"20-29 литров",IF(O85&lt;=49,"30-49 литров",IF(O85&lt;=59,"50-59 литров",IF(O85&lt;=70,"60-69 литров",IF(O85&lt;=79,"70-79 литров",IF(O85&lt;=89,"80-89 литров",IF(O85&lt;=99,"90-99 литров",IF(O85&lt;=200,"100-200 литров","200+ литров"))))))))))))))))</f>
        <v/>
      </c>
    </row>
    <row r="86">
      <c r="A86" s="64" t="n">
        <v>0.46</v>
      </c>
      <c r="B86" s="65">
        <f>A86*1.2</f>
        <v/>
      </c>
      <c r="C86" s="109" t="n">
        <v>86</v>
      </c>
      <c r="D86" s="116" t="inlineStr">
        <is>
          <t>У</t>
        </is>
      </c>
      <c r="E86" s="88" t="inlineStr">
        <is>
          <t>250х250х55</t>
        </is>
      </c>
      <c r="G86" s="83" t="inlineStr">
        <is>
          <t>С</t>
        </is>
      </c>
      <c r="H86" s="146" t="inlineStr">
        <is>
          <t>0426</t>
        </is>
      </c>
      <c r="I86" s="83" t="inlineStr">
        <is>
          <t>В</t>
        </is>
      </c>
      <c r="J86" s="83" t="inlineStr">
        <is>
          <t>х</t>
        </is>
      </c>
      <c r="K86" s="116" t="inlineStr">
        <is>
          <t>K86</t>
        </is>
      </c>
      <c r="N86" s="239">
        <f>IF(D86="","",IF(LEFT(D86,1)="0",0,1))</f>
        <v/>
      </c>
      <c r="O86" s="80">
        <f>ROUND(R86*S86*T86/1000000,2)</f>
        <v/>
      </c>
      <c r="P86" s="160">
        <f>IF(O86="","",
IF(O86&lt;1,"0,1-0,9 литров",
IF(O86&lt;2,"1-1,9 литра",
IF(O86&lt;3,"2-2,9 литра",
IF(O86&lt;4,"3-3,9 литра",
IF(O86&lt;6,"4-5,9 литра",IF(O86&lt;8,"6-7,9 литра",IF(O86&lt;10,"8-9,9 литров",IF(O86&lt;15,"10-14,9 литров",IF(O86&lt;20,"15-19,9 литров",IF(O86&lt;30,"20-29 литров",IF(O86&lt;50,"30-49 литров",IF(O86&lt;60,"50-59 литров",IF(O86&lt;70,"60-69 литров",IF(O86&lt;80,"70-79 литров",IF(O86&lt;90,"80-89 литров",IF(O86&lt;100,"90-99 литров",IF(O86&lt;200,"100-200 литров","200+ литров"))))))))))))))))))</f>
        <v/>
      </c>
      <c r="Q86" s="101">
        <f>IF(O86="","",IF(O86&lt;1,"&lt;1 л",IF(O86&lt;2,"1-2 л",IF(O86&lt;3,"2-3 л",IF(O86&lt;5,"3-5 л",IF(O86&lt;10,"5-10 л",IF(O86&lt;20,"10-20 л",IF(O86&lt;50,"20-50 л",IF(O86&lt;100,"50-100 л","100+ л")))))))))</f>
        <v/>
      </c>
      <c r="R86" s="162">
        <f>IF(E86="","",--LEFT(E86,FIND("х",E86)-1))</f>
        <v/>
      </c>
      <c r="S86" s="162">
        <f>IF(E86="","",--MID(E86,FIND("х",E86)+1,FIND("х",E86,FIND("х",E86)+1)-FIND("х",E86)-1))</f>
        <v/>
      </c>
      <c r="T86" s="162">
        <f>IF(E86="","",--RIGHT(E86,LEN(E86)-FIND("х",E86,FIND("х",E86)+1)))</f>
        <v/>
      </c>
      <c r="U86" s="66">
        <f>(2*(R86+S86)+60)*(S86+T86+8)/1000000</f>
        <v/>
      </c>
      <c r="V86" s="66">
        <f>IF(OR(AND(R86&gt;=2*S86,R86&gt;=2*T86),AND(S86&gt;=2*R86,S86&gt;=2*T86),AND(T86&gt;=2*R86,T86&gt;=2*S86)),"Длинные","")</f>
        <v/>
      </c>
      <c r="W86" s="66">
        <f>IF(OR(AND(R86&lt;=S86/2,R86&lt;=T86/2),AND(S86&lt;=R86/2,S86&lt;=T86/2),AND(T86&lt;=R86/2,T86&lt;=S86/2)),"Плоские","")</f>
        <v/>
      </c>
      <c r="X86" s="160">
        <f>IF(LARGE($R86:$T86,1)="","",IF(LARGE($R86:$T86,1)&lt;=99,"10-99 мм",IF(LARGE($R86:$T86,1)&lt;=199,"100-199 мм",IF(LARGE($R86:$T86,1)&lt;=299,"200-299 мм",IF(LARGE($R86:$T86,1)&lt;=399,"300-399 мм",IF(LARGE($R86:$T86,1)&lt;=499,"400-499 мм",IF(LARGE($R86:$T86,1)&lt;=599,"500-599 мм",IF(LARGE($R86:$T86,1)&lt;=699,"600-699 мм",IF(LARGE($R86:$T86,1)&lt;=999,"700-999 мм","1000+ мм")))))))))</f>
        <v/>
      </c>
      <c r="Y86" s="160">
        <f>IF(LARGE($R86:$T86,2)="","",IF(LARGE($R86:$T86,2)&lt;=99,"10-99 мм",IF(LARGE($R86:$T86,2)&lt;=199,"100-199 мм",IF(LARGE($R86:$T86,2)&lt;=299,"200-299 мм",IF(LARGE($R86:$T86,2)&lt;=399,"300-399 мм",IF(LARGE($R86:$T86,2)&lt;=499,"400-499 мм",IF(LARGE($R86:$T86,2)&lt;=599,"500-599 мм",IF(LARGE($R86:$T86,2)&lt;=699,"600-699 мм",IF(LARGE($R86:$T86,2)&lt;=999,"700-999 мм","1000+ мм")))))))))</f>
        <v/>
      </c>
      <c r="Z86" s="160">
        <f>IF(SMALL($R86:$T86,1)="","",IF(SMALL($R86:$T86,1)&lt;=99,"10-99 мм",IF(SMALL($R86:$T86,1)&lt;=199,"100-199 мм",IF(SMALL($R86:$T86,1)&lt;=299,"200-299 мм",IF(SMALL($R86:$T86,1)&lt;=399,"300-399 мм",IF(SMALL($R86:$T86,1)&lt;=499,"400-499 мм",IF(SMALL($R86:$T86,1)&lt;=599,"500-599 мм",IF(SMALL($R86:$T86,1)&lt;=699,"600-699 мм",IF(SMALL($R86:$T86,1)&lt;=999,"700-999 мм","1000+ мм")))))))))</f>
        <v/>
      </c>
      <c r="AA86" s="101">
        <f>IF(G86="","",IF(G86="Л","Лист гофрокартона",IF(G86="КД","Крышка-дно",IF(G86="С","Самосборные",IF(G86="Ч","Четырехклапанные",IF(G86="А","Архивные","Неизвестно"))))))</f>
        <v/>
      </c>
      <c r="AB86" s="66" t="n">
        <v>1.73</v>
      </c>
      <c r="AC86" s="101">
        <f>IF(O86="","",IF(O86&lt;=1,"0-1 литров",IF(O86&lt;=3,"2-3 литра",IF(O86&lt;=5,"4-5 литра",IF(O86&lt;=7,"6-7 литра",IF(O86&lt;=9,"8-9 литров",IF(O86&lt;=14,"10-14 литров",IF(O86&lt;=19,"15-19 литров",IF(O86&lt;=29,"20-29 литров",IF(O86&lt;=49,"30-49 литров",IF(O86&lt;=59,"50-59 литров",IF(O86&lt;=70,"60-69 литров",IF(O86&lt;=79,"70-79 литров",IF(O86&lt;=89,"80-89 литров",IF(O86&lt;=99,"90-99 литров",IF(O86&lt;=200,"100-200 литров","200+ литров"))))))))))))))))</f>
        <v/>
      </c>
    </row>
    <row r="87">
      <c r="A87" s="64" t="n">
        <v>0.6899999999999999</v>
      </c>
      <c r="B87" s="65">
        <f>A87*1.2</f>
        <v/>
      </c>
      <c r="C87" s="109" t="n">
        <v>87</v>
      </c>
      <c r="D87" s="116" t="inlineStr">
        <is>
          <t>У</t>
        </is>
      </c>
      <c r="E87" s="88" t="inlineStr">
        <is>
          <t>370х280х60</t>
        </is>
      </c>
      <c r="G87" s="83" t="inlineStr">
        <is>
          <t>С</t>
        </is>
      </c>
      <c r="H87" s="146" t="inlineStr">
        <is>
          <t>0426</t>
        </is>
      </c>
      <c r="I87" s="83" t="inlineStr">
        <is>
          <t>В</t>
        </is>
      </c>
      <c r="J87" s="83" t="inlineStr">
        <is>
          <t>х</t>
        </is>
      </c>
      <c r="K87" s="116" t="inlineStr">
        <is>
          <t>K87</t>
        </is>
      </c>
      <c r="N87" s="239">
        <f>IF(D87="","",IF(LEFT(D87,1)="0",0,1))</f>
        <v/>
      </c>
      <c r="O87" s="80">
        <f>ROUND(R87*S87*T87/1000000,2)</f>
        <v/>
      </c>
      <c r="P87" s="160">
        <f>IF(O87="","",
IF(O87&lt;1,"0,1-0,9 литров",
IF(O87&lt;2,"1-1,9 литра",
IF(O87&lt;3,"2-2,9 литра",
IF(O87&lt;4,"3-3,9 литра",
IF(O87&lt;6,"4-5,9 литра",IF(O87&lt;8,"6-7,9 литра",IF(O87&lt;10,"8-9,9 литров",IF(O87&lt;15,"10-14,9 литров",IF(O87&lt;20,"15-19,9 литров",IF(O87&lt;30,"20-29 литров",IF(O87&lt;50,"30-49 литров",IF(O87&lt;60,"50-59 литров",IF(O87&lt;70,"60-69 литров",IF(O87&lt;80,"70-79 литров",IF(O87&lt;90,"80-89 литров",IF(O87&lt;100,"90-99 литров",IF(O87&lt;200,"100-200 литров","200+ литров"))))))))))))))))))</f>
        <v/>
      </c>
      <c r="Q87" s="101">
        <f>IF(O87="","",IF(O87&lt;1,"&lt;1 л",IF(O87&lt;2,"1-2 л",IF(O87&lt;3,"2-3 л",IF(O87&lt;5,"3-5 л",IF(O87&lt;10,"5-10 л",IF(O87&lt;20,"10-20 л",IF(O87&lt;50,"20-50 л",IF(O87&lt;100,"50-100 л","100+ л")))))))))</f>
        <v/>
      </c>
      <c r="R87" s="162">
        <f>IF(E87="","",--LEFT(E87,FIND("х",E87)-1))</f>
        <v/>
      </c>
      <c r="S87" s="162">
        <f>IF(E87="","",--MID(E87,FIND("х",E87)+1,FIND("х",E87,FIND("х",E87)+1)-FIND("х",E87)-1))</f>
        <v/>
      </c>
      <c r="T87" s="162">
        <f>IF(E87="","",--RIGHT(E87,LEN(E87)-FIND("х",E87,FIND("х",E87)+1)))</f>
        <v/>
      </c>
      <c r="U87" s="66">
        <f>(2*(R87+S87)+60)*(S87+T87+8)/1000000</f>
        <v/>
      </c>
      <c r="V87" s="66">
        <f>IF(OR(AND(R87&gt;=2*S87,R87&gt;=2*T87),AND(S87&gt;=2*R87,S87&gt;=2*T87),AND(T87&gt;=2*R87,T87&gt;=2*S87)),"Длинные","")</f>
        <v/>
      </c>
      <c r="W87" s="66">
        <f>IF(OR(AND(R87&lt;=S87/2,R87&lt;=T87/2),AND(S87&lt;=R87/2,S87&lt;=T87/2),AND(T87&lt;=R87/2,T87&lt;=S87/2)),"Плоские","")</f>
        <v/>
      </c>
      <c r="X87" s="160">
        <f>IF(LARGE($R87:$T87,1)="","",IF(LARGE($R87:$T87,1)&lt;=99,"10-99 мм",IF(LARGE($R87:$T87,1)&lt;=199,"100-199 мм",IF(LARGE($R87:$T87,1)&lt;=299,"200-299 мм",IF(LARGE($R87:$T87,1)&lt;=399,"300-399 мм",IF(LARGE($R87:$T87,1)&lt;=499,"400-499 мм",IF(LARGE($R87:$T87,1)&lt;=599,"500-599 мм",IF(LARGE($R87:$T87,1)&lt;=699,"600-699 мм",IF(LARGE($R87:$T87,1)&lt;=999,"700-999 мм","1000+ мм")))))))))</f>
        <v/>
      </c>
      <c r="Y87" s="160">
        <f>IF(LARGE($R87:$T87,2)="","",IF(LARGE($R87:$T87,2)&lt;=99,"10-99 мм",IF(LARGE($R87:$T87,2)&lt;=199,"100-199 мм",IF(LARGE($R87:$T87,2)&lt;=299,"200-299 мм",IF(LARGE($R87:$T87,2)&lt;=399,"300-399 мм",IF(LARGE($R87:$T87,2)&lt;=499,"400-499 мм",IF(LARGE($R87:$T87,2)&lt;=599,"500-599 мм",IF(LARGE($R87:$T87,2)&lt;=699,"600-699 мм",IF(LARGE($R87:$T87,2)&lt;=999,"700-999 мм","1000+ мм")))))))))</f>
        <v/>
      </c>
      <c r="Z87" s="160">
        <f>IF(SMALL($R87:$T87,1)="","",IF(SMALL($R87:$T87,1)&lt;=99,"10-99 мм",IF(SMALL($R87:$T87,1)&lt;=199,"100-199 мм",IF(SMALL($R87:$T87,1)&lt;=299,"200-299 мм",IF(SMALL($R87:$T87,1)&lt;=399,"300-399 мм",IF(SMALL($R87:$T87,1)&lt;=499,"400-499 мм",IF(SMALL($R87:$T87,1)&lt;=599,"500-599 мм",IF(SMALL($R87:$T87,1)&lt;=699,"600-699 мм",IF(SMALL($R87:$T87,1)&lt;=999,"700-999 мм","1000+ мм")))))))))</f>
        <v/>
      </c>
      <c r="AA87" s="101">
        <f>IF(G87="","",IF(G87="Л","Лист гофрокартона",IF(G87="КД","Крышка-дно",IF(G87="С","Самосборные",IF(G87="Ч","Четырехклапанные",IF(G87="А","Архивные","Неизвестно"))))))</f>
        <v/>
      </c>
      <c r="AB87" s="66" t="n">
        <v>1.73</v>
      </c>
      <c r="AC87" s="101">
        <f>IF(O87="","",IF(O87&lt;=1,"0-1 литров",IF(O87&lt;=3,"2-3 литра",IF(O87&lt;=5,"4-5 литра",IF(O87&lt;=7,"6-7 литра",IF(O87&lt;=9,"8-9 литров",IF(O87&lt;=14,"10-14 литров",IF(O87&lt;=19,"15-19 литров",IF(O87&lt;=29,"20-29 литров",IF(O87&lt;=49,"30-49 литров",IF(O87&lt;=59,"50-59 литров",IF(O87&lt;=70,"60-69 литров",IF(O87&lt;=79,"70-79 литров",IF(O87&lt;=89,"80-89 литров",IF(O87&lt;=99,"90-99 литров",IF(O87&lt;=200,"100-200 литров","200+ литров"))))))))))))))))</f>
        <v/>
      </c>
    </row>
    <row r="88">
      <c r="A88" s="64" t="n">
        <v>0.35</v>
      </c>
      <c r="B88" s="65">
        <f>A88*1.2</f>
        <v/>
      </c>
      <c r="C88" s="109" t="n">
        <v>88</v>
      </c>
      <c r="D88" s="116" t="inlineStr">
        <is>
          <t>У</t>
        </is>
      </c>
      <c r="E88" s="88" t="inlineStr">
        <is>
          <t>125х125х90</t>
        </is>
      </c>
      <c r="G88" s="83" t="inlineStr">
        <is>
          <t>С</t>
        </is>
      </c>
      <c r="H88" s="146" t="inlineStr">
        <is>
          <t>х</t>
        </is>
      </c>
      <c r="I88" s="83" t="inlineStr">
        <is>
          <t>В</t>
        </is>
      </c>
      <c r="J88" s="83" t="inlineStr">
        <is>
          <t>х</t>
        </is>
      </c>
      <c r="K88" s="116" t="inlineStr">
        <is>
          <t>K88</t>
        </is>
      </c>
      <c r="N88" s="239">
        <f>IF(D88="","",IF(LEFT(D88,1)="0",0,1))</f>
        <v/>
      </c>
      <c r="O88" s="80">
        <f>ROUND(R88*S88*T88/1000000,2)</f>
        <v/>
      </c>
      <c r="P88" s="160">
        <f>IF(O88="","",
IF(O88&lt;1,"0,1-0,9 литров",
IF(O88&lt;2,"1-1,9 литра",
IF(O88&lt;3,"2-2,9 литра",
IF(O88&lt;4,"3-3,9 литра",
IF(O88&lt;6,"4-5,9 литра",IF(O88&lt;8,"6-7,9 литра",IF(O88&lt;10,"8-9,9 литров",IF(O88&lt;15,"10-14,9 литров",IF(O88&lt;20,"15-19,9 литров",IF(O88&lt;30,"20-29 литров",IF(O88&lt;50,"30-49 литров",IF(O88&lt;60,"50-59 литров",IF(O88&lt;70,"60-69 литров",IF(O88&lt;80,"70-79 литров",IF(O88&lt;90,"80-89 литров",IF(O88&lt;100,"90-99 литров",IF(O88&lt;200,"100-200 литров","200+ литров"))))))))))))))))))</f>
        <v/>
      </c>
      <c r="Q88" s="101">
        <f>IF(O88="","",IF(O88&lt;1,"&lt;1 л",IF(O88&lt;2,"1-2 л",IF(O88&lt;3,"2-3 л",IF(O88&lt;5,"3-5 л",IF(O88&lt;10,"5-10 л",IF(O88&lt;20,"10-20 л",IF(O88&lt;50,"20-50 л",IF(O88&lt;100,"50-100 л","100+ л")))))))))</f>
        <v/>
      </c>
      <c r="R88" s="162">
        <f>IF(E88="","",--LEFT(E88,FIND("х",E88)-1))</f>
        <v/>
      </c>
      <c r="S88" s="162">
        <f>IF(E88="","",--MID(E88,FIND("х",E88)+1,FIND("х",E88,FIND("х",E88)+1)-FIND("х",E88)-1))</f>
        <v/>
      </c>
      <c r="T88" s="162">
        <f>IF(E88="","",--RIGHT(E88,LEN(E88)-FIND("х",E88,FIND("х",E88)+1)))</f>
        <v/>
      </c>
      <c r="U88" s="66">
        <f>(2*(R88+S88)+60)*(S88+T88+8)/1000000</f>
        <v/>
      </c>
      <c r="V88" s="66">
        <f>IF(OR(AND(R88&gt;=2*S88,R88&gt;=2*T88),AND(S88&gt;=2*R88,S88&gt;=2*T88),AND(T88&gt;=2*R88,T88&gt;=2*S88)),"Длинные","")</f>
        <v/>
      </c>
      <c r="W88" s="66">
        <f>IF(OR(AND(R88&lt;=S88/2,R88&lt;=T88/2),AND(S88&lt;=R88/2,S88&lt;=T88/2),AND(T88&lt;=R88/2,T88&lt;=S88/2)),"Плоские","")</f>
        <v/>
      </c>
      <c r="X88" s="160">
        <f>IF(LARGE($R88:$T88,1)="","",IF(LARGE($R88:$T88,1)&lt;=99,"10-99 мм",IF(LARGE($R88:$T88,1)&lt;=199,"100-199 мм",IF(LARGE($R88:$T88,1)&lt;=299,"200-299 мм",IF(LARGE($R88:$T88,1)&lt;=399,"300-399 мм",IF(LARGE($R88:$T88,1)&lt;=499,"400-499 мм",IF(LARGE($R88:$T88,1)&lt;=599,"500-599 мм",IF(LARGE($R88:$T88,1)&lt;=699,"600-699 мм",IF(LARGE($R88:$T88,1)&lt;=999,"700-999 мм","1000+ мм")))))))))</f>
        <v/>
      </c>
      <c r="Y88" s="160">
        <f>IF(LARGE($R88:$T88,2)="","",IF(LARGE($R88:$T88,2)&lt;=99,"10-99 мм",IF(LARGE($R88:$T88,2)&lt;=199,"100-199 мм",IF(LARGE($R88:$T88,2)&lt;=299,"200-299 мм",IF(LARGE($R88:$T88,2)&lt;=399,"300-399 мм",IF(LARGE($R88:$T88,2)&lt;=499,"400-499 мм",IF(LARGE($R88:$T88,2)&lt;=599,"500-599 мм",IF(LARGE($R88:$T88,2)&lt;=699,"600-699 мм",IF(LARGE($R88:$T88,2)&lt;=999,"700-999 мм","1000+ мм")))))))))</f>
        <v/>
      </c>
      <c r="Z88" s="160">
        <f>IF(SMALL($R88:$T88,1)="","",IF(SMALL($R88:$T88,1)&lt;=99,"10-99 мм",IF(SMALL($R88:$T88,1)&lt;=199,"100-199 мм",IF(SMALL($R88:$T88,1)&lt;=299,"200-299 мм",IF(SMALL($R88:$T88,1)&lt;=399,"300-399 мм",IF(SMALL($R88:$T88,1)&lt;=499,"400-499 мм",IF(SMALL($R88:$T88,1)&lt;=599,"500-599 мм",IF(SMALL($R88:$T88,1)&lt;=699,"600-699 мм",IF(SMALL($R88:$T88,1)&lt;=999,"700-999 мм","1000+ мм")))))))))</f>
        <v/>
      </c>
      <c r="AA88" s="101">
        <f>IF(G88="","",IF(G88="Л","Лист гофрокартона",IF(G88="КД","Крышка-дно",IF(G88="С","Самосборные",IF(G88="Ч","Четырехклапанные",IF(G88="А","Архивные","Неизвестно"))))))</f>
        <v/>
      </c>
      <c r="AB88" s="66" t="n">
        <v>1.73</v>
      </c>
      <c r="AC88" s="101">
        <f>IF(O88="","",IF(O88&lt;=1,"0-1 литров",IF(O88&lt;=3,"2-3 литра",IF(O88&lt;=5,"4-5 литра",IF(O88&lt;=7,"6-7 литра",IF(O88&lt;=9,"8-9 литров",IF(O88&lt;=14,"10-14 литров",IF(O88&lt;=19,"15-19 литров",IF(O88&lt;=29,"20-29 литров",IF(O88&lt;=49,"30-49 литров",IF(O88&lt;=59,"50-59 литров",IF(O88&lt;=70,"60-69 литров",IF(O88&lt;=79,"70-79 литров",IF(O88&lt;=89,"80-89 литров",IF(O88&lt;=99,"90-99 литров",IF(O88&lt;=200,"100-200 литров","200+ литров"))))))))))))))))</f>
        <v/>
      </c>
    </row>
    <row r="89">
      <c r="A89" s="64" t="n">
        <v>0.82</v>
      </c>
      <c r="B89" s="65">
        <f>A89*1.2</f>
        <v/>
      </c>
      <c r="C89" s="109" t="n">
        <v>89</v>
      </c>
      <c r="D89" s="116" t="inlineStr">
        <is>
          <t>У</t>
        </is>
      </c>
      <c r="E89" s="88" t="inlineStr">
        <is>
          <t>495х90х300</t>
        </is>
      </c>
      <c r="G89" s="83" t="inlineStr">
        <is>
          <t>Ч</t>
        </is>
      </c>
      <c r="H89" s="146" t="inlineStr">
        <is>
          <t>х</t>
        </is>
      </c>
      <c r="I89" s="83" t="inlineStr">
        <is>
          <t>В</t>
        </is>
      </c>
      <c r="J89" s="83" t="inlineStr">
        <is>
          <t>х</t>
        </is>
      </c>
      <c r="K89" s="116" t="inlineStr">
        <is>
          <t>K89</t>
        </is>
      </c>
      <c r="N89" s="239">
        <f>IF(D89="","",IF(LEFT(D89,1)="0",0,1))</f>
        <v/>
      </c>
      <c r="O89" s="80">
        <f>ROUND(R89*S89*T89/1000000,2)</f>
        <v/>
      </c>
      <c r="P89" s="160">
        <f>IF(O89="","",
IF(O89&lt;1,"0,1-0,9 литров",
IF(O89&lt;2,"1-1,9 литра",
IF(O89&lt;3,"2-2,9 литра",
IF(O89&lt;4,"3-3,9 литра",
IF(O89&lt;6,"4-5,9 литра",IF(O89&lt;8,"6-7,9 литра",IF(O89&lt;10,"8-9,9 литров",IF(O89&lt;15,"10-14,9 литров",IF(O89&lt;20,"15-19,9 литров",IF(O89&lt;30,"20-29 литров",IF(O89&lt;50,"30-49 литров",IF(O89&lt;60,"50-59 литров",IF(O89&lt;70,"60-69 литров",IF(O89&lt;80,"70-79 литров",IF(O89&lt;90,"80-89 литров",IF(O89&lt;100,"90-99 литров",IF(O89&lt;200,"100-200 литров","200+ литров"))))))))))))))))))</f>
        <v/>
      </c>
      <c r="Q89" s="101">
        <f>IF(O89="","",IF(O89&lt;1,"&lt;1 л",IF(O89&lt;2,"1-2 л",IF(O89&lt;3,"2-3 л",IF(O89&lt;5,"3-5 л",IF(O89&lt;10,"5-10 л",IF(O89&lt;20,"10-20 л",IF(O89&lt;50,"20-50 л",IF(O89&lt;100,"50-100 л","100+ л")))))))))</f>
        <v/>
      </c>
      <c r="R89" s="162">
        <f>IF(E89="","",--LEFT(E89,FIND("х",E89)-1))</f>
        <v/>
      </c>
      <c r="S89" s="162">
        <f>IF(E89="","",--MID(E89,FIND("х",E89)+1,FIND("х",E89,FIND("х",E89)+1)-FIND("х",E89)-1))</f>
        <v/>
      </c>
      <c r="T89" s="162">
        <f>IF(E89="","",--RIGHT(E89,LEN(E89)-FIND("х",E89,FIND("х",E89)+1)))</f>
        <v/>
      </c>
      <c r="U89" s="66">
        <f>(2*(R89+S89)+60)*(S89+T89+8)/1000000</f>
        <v/>
      </c>
      <c r="V89" s="66">
        <f>IF(OR(AND(R89&gt;=2*S89,R89&gt;=2*T89),AND(S89&gt;=2*R89,S89&gt;=2*T89),AND(T89&gt;=2*R89,T89&gt;=2*S89)),"Длинные","")</f>
        <v/>
      </c>
      <c r="W89" s="66">
        <f>IF(OR(AND(R89&lt;=S89/2,R89&lt;=T89/2),AND(S89&lt;=R89/2,S89&lt;=T89/2),AND(T89&lt;=R89/2,T89&lt;=S89/2)),"Плоские","")</f>
        <v/>
      </c>
      <c r="X89" s="160">
        <f>IF(LARGE($R89:$T89,1)="","",IF(LARGE($R89:$T89,1)&lt;=99,"10-99 мм",IF(LARGE($R89:$T89,1)&lt;=199,"100-199 мм",IF(LARGE($R89:$T89,1)&lt;=299,"200-299 мм",IF(LARGE($R89:$T89,1)&lt;=399,"300-399 мм",IF(LARGE($R89:$T89,1)&lt;=499,"400-499 мм",IF(LARGE($R89:$T89,1)&lt;=599,"500-599 мм",IF(LARGE($R89:$T89,1)&lt;=699,"600-699 мм",IF(LARGE($R89:$T89,1)&lt;=999,"700-999 мм","1000+ мм")))))))))</f>
        <v/>
      </c>
      <c r="Y89" s="160">
        <f>IF(LARGE($R89:$T89,2)="","",IF(LARGE($R89:$T89,2)&lt;=99,"10-99 мм",IF(LARGE($R89:$T89,2)&lt;=199,"100-199 мм",IF(LARGE($R89:$T89,2)&lt;=299,"200-299 мм",IF(LARGE($R89:$T89,2)&lt;=399,"300-399 мм",IF(LARGE($R89:$T89,2)&lt;=499,"400-499 мм",IF(LARGE($R89:$T89,2)&lt;=599,"500-599 мм",IF(LARGE($R89:$T89,2)&lt;=699,"600-699 мм",IF(LARGE($R89:$T89,2)&lt;=999,"700-999 мм","1000+ мм")))))))))</f>
        <v/>
      </c>
      <c r="Z89" s="160">
        <f>IF(SMALL($R89:$T89,1)="","",IF(SMALL($R89:$T89,1)&lt;=99,"10-99 мм",IF(SMALL($R89:$T89,1)&lt;=199,"100-199 мм",IF(SMALL($R89:$T89,1)&lt;=299,"200-299 мм",IF(SMALL($R89:$T89,1)&lt;=399,"300-399 мм",IF(SMALL($R89:$T89,1)&lt;=499,"400-499 мм",IF(SMALL($R89:$T89,1)&lt;=599,"500-599 мм",IF(SMALL($R89:$T89,1)&lt;=699,"600-699 мм",IF(SMALL($R89:$T89,1)&lt;=999,"700-999 мм","1000+ мм")))))))))</f>
        <v/>
      </c>
      <c r="AA89" s="101">
        <f>IF(G89="","",IF(G89="Л","Лист гофрокартона",IF(G89="КД","Крышка-дно",IF(G89="С","Самосборные",IF(G89="Ч","Четырехклапанные",IF(G89="А","Архивные","Неизвестно"))))))</f>
        <v/>
      </c>
      <c r="AB89" s="66" t="n">
        <v>1.73</v>
      </c>
      <c r="AC89" s="101">
        <f>IF(O89="","",IF(O89&lt;=1,"0-1 литров",IF(O89&lt;=3,"2-3 литра",IF(O89&lt;=5,"4-5 литра",IF(O89&lt;=7,"6-7 литра",IF(O89&lt;=9,"8-9 литров",IF(O89&lt;=14,"10-14 литров",IF(O89&lt;=19,"15-19 литров",IF(O89&lt;=29,"20-29 литров",IF(O89&lt;=49,"30-49 литров",IF(O89&lt;=59,"50-59 литров",IF(O89&lt;=70,"60-69 литров",IF(O89&lt;=79,"70-79 литров",IF(O89&lt;=89,"80-89 литров",IF(O89&lt;=99,"90-99 литров",IF(O89&lt;=200,"100-200 литров","200+ литров"))))))))))))))))</f>
        <v/>
      </c>
    </row>
    <row r="90">
      <c r="A90" s="64" t="n">
        <v>0.47</v>
      </c>
      <c r="B90" s="65">
        <f>A90*1.2</f>
        <v/>
      </c>
      <c r="C90" s="109" t="n">
        <v>90</v>
      </c>
      <c r="D90" s="116" t="inlineStr">
        <is>
          <t>У</t>
        </is>
      </c>
      <c r="E90" s="88" t="inlineStr">
        <is>
          <t>175х175х90</t>
        </is>
      </c>
      <c r="G90" s="83" t="inlineStr">
        <is>
          <t>С</t>
        </is>
      </c>
      <c r="H90" s="146" t="inlineStr">
        <is>
          <t>х</t>
        </is>
      </c>
      <c r="I90" s="83" t="inlineStr">
        <is>
          <t>В</t>
        </is>
      </c>
      <c r="J90" s="83" t="inlineStr">
        <is>
          <t>х</t>
        </is>
      </c>
      <c r="K90" s="116" t="inlineStr">
        <is>
          <t>K90</t>
        </is>
      </c>
      <c r="N90" s="239">
        <f>IF(D90="","",IF(LEFT(D90,1)="0",0,1))</f>
        <v/>
      </c>
      <c r="O90" s="80">
        <f>ROUND(R90*S90*T90/1000000,2)</f>
        <v/>
      </c>
      <c r="P90" s="160">
        <f>IF(O90="","",
IF(O90&lt;1,"0,1-0,9 литров",
IF(O90&lt;2,"1-1,9 литра",
IF(O90&lt;3,"2-2,9 литра",
IF(O90&lt;4,"3-3,9 литра",
IF(O90&lt;6,"4-5,9 литра",IF(O90&lt;8,"6-7,9 литра",IF(O90&lt;10,"8-9,9 литров",IF(O90&lt;15,"10-14,9 литров",IF(O90&lt;20,"15-19,9 литров",IF(O90&lt;30,"20-29 литров",IF(O90&lt;50,"30-49 литров",IF(O90&lt;60,"50-59 литров",IF(O90&lt;70,"60-69 литров",IF(O90&lt;80,"70-79 литров",IF(O90&lt;90,"80-89 литров",IF(O90&lt;100,"90-99 литров",IF(O90&lt;200,"100-200 литров","200+ литров"))))))))))))))))))</f>
        <v/>
      </c>
      <c r="Q90" s="101">
        <f>IF(O90="","",IF(O90&lt;1,"&lt;1 л",IF(O90&lt;2,"1-2 л",IF(O90&lt;3,"2-3 л",IF(O90&lt;5,"3-5 л",IF(O90&lt;10,"5-10 л",IF(O90&lt;20,"10-20 л",IF(O90&lt;50,"20-50 л",IF(O90&lt;100,"50-100 л","100+ л")))))))))</f>
        <v/>
      </c>
      <c r="R90" s="162">
        <f>IF(E90="","",--LEFT(E90,FIND("х",E90)-1))</f>
        <v/>
      </c>
      <c r="S90" s="162">
        <f>IF(E90="","",--MID(E90,FIND("х",E90)+1,FIND("х",E90,FIND("х",E90)+1)-FIND("х",E90)-1))</f>
        <v/>
      </c>
      <c r="T90" s="162">
        <f>IF(E90="","",--RIGHT(E90,LEN(E90)-FIND("х",E90,FIND("х",E90)+1)))</f>
        <v/>
      </c>
      <c r="U90" s="66">
        <f>(2*(R90+S90)+60)*(S90+T90+8)/1000000</f>
        <v/>
      </c>
      <c r="V90" s="66">
        <f>IF(OR(AND(R90&gt;=2*S90,R90&gt;=2*T90),AND(S90&gt;=2*R90,S90&gt;=2*T90),AND(T90&gt;=2*R90,T90&gt;=2*S90)),"Длинные","")</f>
        <v/>
      </c>
      <c r="W90" s="66">
        <f>IF(OR(AND(R90&lt;=S90/2,R90&lt;=T90/2),AND(S90&lt;=R90/2,S90&lt;=T90/2),AND(T90&lt;=R90/2,T90&lt;=S90/2)),"Плоские","")</f>
        <v/>
      </c>
      <c r="X90" s="160">
        <f>IF(LARGE($R90:$T90,1)="","",IF(LARGE($R90:$T90,1)&lt;=99,"10-99 мм",IF(LARGE($R90:$T90,1)&lt;=199,"100-199 мм",IF(LARGE($R90:$T90,1)&lt;=299,"200-299 мм",IF(LARGE($R90:$T90,1)&lt;=399,"300-399 мм",IF(LARGE($R90:$T90,1)&lt;=499,"400-499 мм",IF(LARGE($R90:$T90,1)&lt;=599,"500-599 мм",IF(LARGE($R90:$T90,1)&lt;=699,"600-699 мм",IF(LARGE($R90:$T90,1)&lt;=999,"700-999 мм","1000+ мм")))))))))</f>
        <v/>
      </c>
      <c r="Y90" s="160">
        <f>IF(LARGE($R90:$T90,2)="","",IF(LARGE($R90:$T90,2)&lt;=99,"10-99 мм",IF(LARGE($R90:$T90,2)&lt;=199,"100-199 мм",IF(LARGE($R90:$T90,2)&lt;=299,"200-299 мм",IF(LARGE($R90:$T90,2)&lt;=399,"300-399 мм",IF(LARGE($R90:$T90,2)&lt;=499,"400-499 мм",IF(LARGE($R90:$T90,2)&lt;=599,"500-599 мм",IF(LARGE($R90:$T90,2)&lt;=699,"600-699 мм",IF(LARGE($R90:$T90,2)&lt;=999,"700-999 мм","1000+ мм")))))))))</f>
        <v/>
      </c>
      <c r="Z90" s="160">
        <f>IF(SMALL($R90:$T90,1)="","",IF(SMALL($R90:$T90,1)&lt;=99,"10-99 мм",IF(SMALL($R90:$T90,1)&lt;=199,"100-199 мм",IF(SMALL($R90:$T90,1)&lt;=299,"200-299 мм",IF(SMALL($R90:$T90,1)&lt;=399,"300-399 мм",IF(SMALL($R90:$T90,1)&lt;=499,"400-499 мм",IF(SMALL($R90:$T90,1)&lt;=599,"500-599 мм",IF(SMALL($R90:$T90,1)&lt;=699,"600-699 мм",IF(SMALL($R90:$T90,1)&lt;=999,"700-999 мм","1000+ мм")))))))))</f>
        <v/>
      </c>
      <c r="AA90" s="101">
        <f>IF(G90="","",IF(G90="Л","Лист гофрокартона",IF(G90="КД","Крышка-дно",IF(G90="С","Самосборные",IF(G90="Ч","Четырехклапанные",IF(G90="А","Архивные","Неизвестно"))))))</f>
        <v/>
      </c>
      <c r="AB90" s="66" t="n">
        <v>1.73</v>
      </c>
      <c r="AC90" s="101">
        <f>IF(O90="","",IF(O90&lt;=1,"0-1 литров",IF(O90&lt;=3,"2-3 литра",IF(O90&lt;=5,"4-5 литра",IF(O90&lt;=7,"6-7 литра",IF(O90&lt;=9,"8-9 литров",IF(O90&lt;=14,"10-14 литров",IF(O90&lt;=19,"15-19 литров",IF(O90&lt;=29,"20-29 литров",IF(O90&lt;=49,"30-49 литров",IF(O90&lt;=59,"50-59 литров",IF(O90&lt;=70,"60-69 литров",IF(O90&lt;=79,"70-79 литров",IF(O90&lt;=89,"80-89 литров",IF(O90&lt;=99,"90-99 литров",IF(O90&lt;=200,"100-200 литров","200+ литров"))))))))))))))))</f>
        <v/>
      </c>
    </row>
    <row r="91">
      <c r="A91" s="64" t="n">
        <v>0.47</v>
      </c>
      <c r="B91" s="65">
        <f>A91*1.2</f>
        <v/>
      </c>
      <c r="C91" s="109" t="n">
        <v>91</v>
      </c>
      <c r="D91" s="116" t="inlineStr">
        <is>
          <t>У</t>
        </is>
      </c>
      <c r="E91" s="88" t="inlineStr">
        <is>
          <t>220х120х155</t>
        </is>
      </c>
      <c r="G91" s="83" t="inlineStr">
        <is>
          <t>С</t>
        </is>
      </c>
      <c r="H91" s="146" t="inlineStr">
        <is>
          <t>0215</t>
        </is>
      </c>
      <c r="I91" s="83" t="inlineStr">
        <is>
          <t>в</t>
        </is>
      </c>
      <c r="J91" s="83" t="inlineStr">
        <is>
          <t>х</t>
        </is>
      </c>
      <c r="K91" s="116" t="inlineStr">
        <is>
          <t>K91</t>
        </is>
      </c>
      <c r="N91" s="239">
        <f>IF(D91="","",IF(LEFT(D91,1)="0",0,1))</f>
        <v/>
      </c>
      <c r="O91" s="80">
        <f>ROUND(R91*S91*T91/1000000,2)</f>
        <v/>
      </c>
      <c r="P91" s="160">
        <f>IF(O91="","",
IF(O91&lt;1,"0,1-0,9 литров",
IF(O91&lt;2,"1-1,9 литра",
IF(O91&lt;3,"2-2,9 литра",
IF(O91&lt;4,"3-3,9 литра",
IF(O91&lt;6,"4-5,9 литра",IF(O91&lt;8,"6-7,9 литра",IF(O91&lt;10,"8-9,9 литров",IF(O91&lt;15,"10-14,9 литров",IF(O91&lt;20,"15-19,9 литров",IF(O91&lt;30,"20-29 литров",IF(O91&lt;50,"30-49 литров",IF(O91&lt;60,"50-59 литров",IF(O91&lt;70,"60-69 литров",IF(O91&lt;80,"70-79 литров",IF(O91&lt;90,"80-89 литров",IF(O91&lt;100,"90-99 литров",IF(O91&lt;200,"100-200 литров","200+ литров"))))))))))))))))))</f>
        <v/>
      </c>
      <c r="Q91" s="101">
        <f>IF(O91="","",IF(O91&lt;1,"&lt;1 л",IF(O91&lt;2,"1-2 л",IF(O91&lt;3,"2-3 л",IF(O91&lt;5,"3-5 л",IF(O91&lt;10,"5-10 л",IF(O91&lt;20,"10-20 л",IF(O91&lt;50,"20-50 л",IF(O91&lt;100,"50-100 л","100+ л")))))))))</f>
        <v/>
      </c>
      <c r="R91" s="162">
        <f>IF(E91="","",--LEFT(E91,FIND("х",E91)-1))</f>
        <v/>
      </c>
      <c r="S91" s="162">
        <f>IF(E91="","",--MID(E91,FIND("х",E91)+1,FIND("х",E91,FIND("х",E91)+1)-FIND("х",E91)-1))</f>
        <v/>
      </c>
      <c r="T91" s="162">
        <f>IF(E91="","",--RIGHT(E91,LEN(E91)-FIND("х",E91,FIND("х",E91)+1)))</f>
        <v/>
      </c>
      <c r="U91" s="66">
        <f>(2*(R91+S91)+60)*(S91+T91+8)/1000000</f>
        <v/>
      </c>
      <c r="V91" s="66">
        <f>IF(OR(AND(R91&gt;=2*S91,R91&gt;=2*T91),AND(S91&gt;=2*R91,S91&gt;=2*T91),AND(T91&gt;=2*R91,T91&gt;=2*S91)),"Длинные","")</f>
        <v/>
      </c>
      <c r="W91" s="66">
        <f>IF(OR(AND(R91&lt;=S91/2,R91&lt;=T91/2),AND(S91&lt;=R91/2,S91&lt;=T91/2),AND(T91&lt;=R91/2,T91&lt;=S91/2)),"Плоские","")</f>
        <v/>
      </c>
      <c r="X91" s="160">
        <f>IF(LARGE($R91:$T91,1)="","",IF(LARGE($R91:$T91,1)&lt;=99,"10-99 мм",IF(LARGE($R91:$T91,1)&lt;=199,"100-199 мм",IF(LARGE($R91:$T91,1)&lt;=299,"200-299 мм",IF(LARGE($R91:$T91,1)&lt;=399,"300-399 мм",IF(LARGE($R91:$T91,1)&lt;=499,"400-499 мм",IF(LARGE($R91:$T91,1)&lt;=599,"500-599 мм",IF(LARGE($R91:$T91,1)&lt;=699,"600-699 мм",IF(LARGE($R91:$T91,1)&lt;=999,"700-999 мм","1000+ мм")))))))))</f>
        <v/>
      </c>
      <c r="Y91" s="160">
        <f>IF(LARGE($R91:$T91,2)="","",IF(LARGE($R91:$T91,2)&lt;=99,"10-99 мм",IF(LARGE($R91:$T91,2)&lt;=199,"100-199 мм",IF(LARGE($R91:$T91,2)&lt;=299,"200-299 мм",IF(LARGE($R91:$T91,2)&lt;=399,"300-399 мм",IF(LARGE($R91:$T91,2)&lt;=499,"400-499 мм",IF(LARGE($R91:$T91,2)&lt;=599,"500-599 мм",IF(LARGE($R91:$T91,2)&lt;=699,"600-699 мм",IF(LARGE($R91:$T91,2)&lt;=999,"700-999 мм","1000+ мм")))))))))</f>
        <v/>
      </c>
      <c r="Z91" s="160">
        <f>IF(SMALL($R91:$T91,1)="","",IF(SMALL($R91:$T91,1)&lt;=99,"10-99 мм",IF(SMALL($R91:$T91,1)&lt;=199,"100-199 мм",IF(SMALL($R91:$T91,1)&lt;=299,"200-299 мм",IF(SMALL($R91:$T91,1)&lt;=399,"300-399 мм",IF(SMALL($R91:$T91,1)&lt;=499,"400-499 мм",IF(SMALL($R91:$T91,1)&lt;=599,"500-599 мм",IF(SMALL($R91:$T91,1)&lt;=699,"600-699 мм",IF(SMALL($R91:$T91,1)&lt;=999,"700-999 мм","1000+ мм")))))))))</f>
        <v/>
      </c>
      <c r="AA91" s="101">
        <f>IF(G91="","",IF(G91="Л","Лист гофрокартона",IF(G91="КД","Крышка-дно",IF(G91="С","Самосборные",IF(G91="Ч","Четырехклапанные",IF(G91="А","Архивные","Неизвестно"))))))</f>
        <v/>
      </c>
      <c r="AB91" s="66" t="n">
        <v>1.73</v>
      </c>
      <c r="AC91" s="101">
        <f>IF(O91="","",IF(O91&lt;=1,"0-1 литров",IF(O91&lt;=3,"2-3 литра",IF(O91&lt;=5,"4-5 литра",IF(O91&lt;=7,"6-7 литра",IF(O91&lt;=9,"8-9 литров",IF(O91&lt;=14,"10-14 литров",IF(O91&lt;=19,"15-19 литров",IF(O91&lt;=29,"20-29 литров",IF(O91&lt;=49,"30-49 литров",IF(O91&lt;=59,"50-59 литров",IF(O91&lt;=70,"60-69 литров",IF(O91&lt;=79,"70-79 литров",IF(O91&lt;=89,"80-89 литров",IF(O91&lt;=99,"90-99 литров",IF(O91&lt;=200,"100-200 литров","200+ литров"))))))))))))))))</f>
        <v/>
      </c>
    </row>
    <row r="92">
      <c r="A92" s="64" t="n">
        <v>1.78</v>
      </c>
      <c r="B92" s="65">
        <f>A92*1.2</f>
        <v/>
      </c>
      <c r="C92" s="109" t="n">
        <v>92</v>
      </c>
      <c r="D92" s="116" t="inlineStr">
        <is>
          <t>У</t>
        </is>
      </c>
      <c r="E92" s="88" t="inlineStr">
        <is>
          <t>390х325х370</t>
        </is>
      </c>
      <c r="G92" s="83" t="inlineStr">
        <is>
          <t>Ч</t>
        </is>
      </c>
      <c r="H92" s="146" t="inlineStr">
        <is>
          <t>0201</t>
        </is>
      </c>
      <c r="I92" s="83" t="inlineStr">
        <is>
          <t>В</t>
        </is>
      </c>
      <c r="J92" s="83" t="inlineStr">
        <is>
          <t>х</t>
        </is>
      </c>
      <c r="K92" s="116" t="inlineStr">
        <is>
          <t>K92</t>
        </is>
      </c>
      <c r="N92" s="239">
        <f>IF(D92="","",IF(LEFT(D92,1)="0",0,1))</f>
        <v/>
      </c>
      <c r="O92" s="80">
        <f>ROUND(R92*S92*T92/1000000,2)</f>
        <v/>
      </c>
      <c r="P92" s="160">
        <f>IF(O92="","",
IF(O92&lt;1,"0,1-0,9 литров",
IF(O92&lt;2,"1-1,9 литра",
IF(O92&lt;3,"2-2,9 литра",
IF(O92&lt;4,"3-3,9 литра",
IF(O92&lt;6,"4-5,9 литра",IF(O92&lt;8,"6-7,9 литра",IF(O92&lt;10,"8-9,9 литров",IF(O92&lt;15,"10-14,9 литров",IF(O92&lt;20,"15-19,9 литров",IF(O92&lt;30,"20-29 литров",IF(O92&lt;50,"30-49 литров",IF(O92&lt;60,"50-59 литров",IF(O92&lt;70,"60-69 литров",IF(O92&lt;80,"70-79 литров",IF(O92&lt;90,"80-89 литров",IF(O92&lt;100,"90-99 литров",IF(O92&lt;200,"100-200 литров","200+ литров"))))))))))))))))))</f>
        <v/>
      </c>
      <c r="Q92" s="101">
        <f>IF(O92="","",IF(O92&lt;1,"&lt;1 л",IF(O92&lt;2,"1-2 л",IF(O92&lt;3,"2-3 л",IF(O92&lt;5,"3-5 л",IF(O92&lt;10,"5-10 л",IF(O92&lt;20,"10-20 л",IF(O92&lt;50,"20-50 л",IF(O92&lt;100,"50-100 л","100+ л")))))))))</f>
        <v/>
      </c>
      <c r="R92" s="162">
        <f>IF(E92="","",--LEFT(E92,FIND("х",E92)-1))</f>
        <v/>
      </c>
      <c r="S92" s="162">
        <f>IF(E92="","",--MID(E92,FIND("х",E92)+1,FIND("х",E92,FIND("х",E92)+1)-FIND("х",E92)-1))</f>
        <v/>
      </c>
      <c r="T92" s="162">
        <f>IF(E92="","",--RIGHT(E92,LEN(E92)-FIND("х",E92,FIND("х",E92)+1)))</f>
        <v/>
      </c>
      <c r="U92" s="66">
        <f>(2*(R92+S92)+60)*(S92+T92+8)/1000000</f>
        <v/>
      </c>
      <c r="V92" s="66">
        <f>IF(OR(AND(R92&gt;=2*S92,R92&gt;=2*T92),AND(S92&gt;=2*R92,S92&gt;=2*T92),AND(T92&gt;=2*R92,T92&gt;=2*S92)),"Длинные","")</f>
        <v/>
      </c>
      <c r="W92" s="66">
        <f>IF(OR(AND(R92&lt;=S92/2,R92&lt;=T92/2),AND(S92&lt;=R92/2,S92&lt;=T92/2),AND(T92&lt;=R92/2,T92&lt;=S92/2)),"Плоские","")</f>
        <v/>
      </c>
      <c r="X92" s="160">
        <f>IF(LARGE($R92:$T92,1)="","",IF(LARGE($R92:$T92,1)&lt;=99,"10-99 мм",IF(LARGE($R92:$T92,1)&lt;=199,"100-199 мм",IF(LARGE($R92:$T92,1)&lt;=299,"200-299 мм",IF(LARGE($R92:$T92,1)&lt;=399,"300-399 мм",IF(LARGE($R92:$T92,1)&lt;=499,"400-499 мм",IF(LARGE($R92:$T92,1)&lt;=599,"500-599 мм",IF(LARGE($R92:$T92,1)&lt;=699,"600-699 мм",IF(LARGE($R92:$T92,1)&lt;=999,"700-999 мм","1000+ мм")))))))))</f>
        <v/>
      </c>
      <c r="Y92" s="160">
        <f>IF(LARGE($R92:$T92,2)="","",IF(LARGE($R92:$T92,2)&lt;=99,"10-99 мм",IF(LARGE($R92:$T92,2)&lt;=199,"100-199 мм",IF(LARGE($R92:$T92,2)&lt;=299,"200-299 мм",IF(LARGE($R92:$T92,2)&lt;=399,"300-399 мм",IF(LARGE($R92:$T92,2)&lt;=499,"400-499 мм",IF(LARGE($R92:$T92,2)&lt;=599,"500-599 мм",IF(LARGE($R92:$T92,2)&lt;=699,"600-699 мм",IF(LARGE($R92:$T92,2)&lt;=999,"700-999 мм","1000+ мм")))))))))</f>
        <v/>
      </c>
      <c r="Z92" s="160">
        <f>IF(SMALL($R92:$T92,1)="","",IF(SMALL($R92:$T92,1)&lt;=99,"10-99 мм",IF(SMALL($R92:$T92,1)&lt;=199,"100-199 мм",IF(SMALL($R92:$T92,1)&lt;=299,"200-299 мм",IF(SMALL($R92:$T92,1)&lt;=399,"300-399 мм",IF(SMALL($R92:$T92,1)&lt;=499,"400-499 мм",IF(SMALL($R92:$T92,1)&lt;=599,"500-599 мм",IF(SMALL($R92:$T92,1)&lt;=699,"600-699 мм",IF(SMALL($R92:$T92,1)&lt;=999,"700-999 мм","1000+ мм")))))))))</f>
        <v/>
      </c>
      <c r="AA92" s="101">
        <f>IF(G92="","",IF(G92="Л","Лист гофрокартона",IF(G92="КД","Крышка-дно",IF(G92="С","Самосборные",IF(G92="Ч","Четырехклапанные",IF(G92="А","Архивные","Неизвестно"))))))</f>
        <v/>
      </c>
      <c r="AB92" s="66" t="n">
        <v>1.73</v>
      </c>
      <c r="AC92" s="101">
        <f>IF(O92="","",IF(O92&lt;=1,"0-1 литров",IF(O92&lt;=3,"2-3 литра",IF(O92&lt;=5,"4-5 литра",IF(O92&lt;=7,"6-7 литра",IF(O92&lt;=9,"8-9 литров",IF(O92&lt;=14,"10-14 литров",IF(O92&lt;=19,"15-19 литров",IF(O92&lt;=29,"20-29 литров",IF(O92&lt;=49,"30-49 литров",IF(O92&lt;=59,"50-59 литров",IF(O92&lt;=70,"60-69 литров",IF(O92&lt;=79,"70-79 литров",IF(O92&lt;=89,"80-89 литров",IF(O92&lt;=99,"90-99 литров",IF(O92&lt;=200,"100-200 литров","200+ литров"))))))))))))))))</f>
        <v/>
      </c>
    </row>
    <row r="93">
      <c r="A93" s="64" t="n">
        <v>1.77</v>
      </c>
      <c r="B93" s="65">
        <f>A93*1.2</f>
        <v/>
      </c>
      <c r="C93" s="109" t="n">
        <v>93</v>
      </c>
      <c r="D93" s="116" t="inlineStr">
        <is>
          <t>У</t>
        </is>
      </c>
      <c r="E93" s="88" t="inlineStr">
        <is>
          <t>570х350х190</t>
        </is>
      </c>
      <c r="G93" s="83" t="inlineStr">
        <is>
          <t>Ч</t>
        </is>
      </c>
      <c r="H93" s="146" t="inlineStr">
        <is>
          <t>0201</t>
        </is>
      </c>
      <c r="I93" s="83" t="inlineStr">
        <is>
          <t>В</t>
        </is>
      </c>
      <c r="J93" s="83" t="inlineStr">
        <is>
          <t>х</t>
        </is>
      </c>
      <c r="K93" s="116" t="inlineStr">
        <is>
          <t>K93</t>
        </is>
      </c>
      <c r="N93" s="239">
        <f>IF(D93="","",IF(LEFT(D93,1)="0",0,1))</f>
        <v/>
      </c>
      <c r="O93" s="80">
        <f>ROUND(R93*S93*T93/1000000,2)</f>
        <v/>
      </c>
      <c r="P93" s="160">
        <f>IF(O93="","",
IF(O93&lt;1,"0,1-0,9 литров",
IF(O93&lt;2,"1-1,9 литра",
IF(O93&lt;3,"2-2,9 литра",
IF(O93&lt;4,"3-3,9 литра",
IF(O93&lt;6,"4-5,9 литра",IF(O93&lt;8,"6-7,9 литра",IF(O93&lt;10,"8-9,9 литров",IF(O93&lt;15,"10-14,9 литров",IF(O93&lt;20,"15-19,9 литров",IF(O93&lt;30,"20-29 литров",IF(O93&lt;50,"30-49 литров",IF(O93&lt;60,"50-59 литров",IF(O93&lt;70,"60-69 литров",IF(O93&lt;80,"70-79 литров",IF(O93&lt;90,"80-89 литров",IF(O93&lt;100,"90-99 литров",IF(O93&lt;200,"100-200 литров","200+ литров"))))))))))))))))))</f>
        <v/>
      </c>
      <c r="Q93" s="101">
        <f>IF(O93="","",IF(O93&lt;1,"&lt;1 л",IF(O93&lt;2,"1-2 л",IF(O93&lt;3,"2-3 л",IF(O93&lt;5,"3-5 л",IF(O93&lt;10,"5-10 л",IF(O93&lt;20,"10-20 л",IF(O93&lt;50,"20-50 л",IF(O93&lt;100,"50-100 л","100+ л")))))))))</f>
        <v/>
      </c>
      <c r="R93" s="162">
        <f>IF(E93="","",--LEFT(E93,FIND("х",E93)-1))</f>
        <v/>
      </c>
      <c r="S93" s="162">
        <f>IF(E93="","",--MID(E93,FIND("х",E93)+1,FIND("х",E93,FIND("х",E93)+1)-FIND("х",E93)-1))</f>
        <v/>
      </c>
      <c r="T93" s="162">
        <f>IF(E93="","",--RIGHT(E93,LEN(E93)-FIND("х",E93,FIND("х",E93)+1)))</f>
        <v/>
      </c>
      <c r="U93" s="66">
        <f>(2*(R93+S93)+60)*(S93+T93+8)/1000000</f>
        <v/>
      </c>
      <c r="V93" s="66">
        <f>IF(OR(AND(R93&gt;=2*S93,R93&gt;=2*T93),AND(S93&gt;=2*R93,S93&gt;=2*T93),AND(T93&gt;=2*R93,T93&gt;=2*S93)),"Длинные","")</f>
        <v/>
      </c>
      <c r="W93" s="66">
        <f>IF(OR(AND(R93&lt;=S93/2,R93&lt;=T93/2),AND(S93&lt;=R93/2,S93&lt;=T93/2),AND(T93&lt;=R93/2,T93&lt;=S93/2)),"Плоские","")</f>
        <v/>
      </c>
      <c r="X93" s="160">
        <f>IF(LARGE($R93:$T93,1)="","",IF(LARGE($R93:$T93,1)&lt;=99,"10-99 мм",IF(LARGE($R93:$T93,1)&lt;=199,"100-199 мм",IF(LARGE($R93:$T93,1)&lt;=299,"200-299 мм",IF(LARGE($R93:$T93,1)&lt;=399,"300-399 мм",IF(LARGE($R93:$T93,1)&lt;=499,"400-499 мм",IF(LARGE($R93:$T93,1)&lt;=599,"500-599 мм",IF(LARGE($R93:$T93,1)&lt;=699,"600-699 мм",IF(LARGE($R93:$T93,1)&lt;=999,"700-999 мм","1000+ мм")))))))))</f>
        <v/>
      </c>
      <c r="Y93" s="160">
        <f>IF(LARGE($R93:$T93,2)="","",IF(LARGE($R93:$T93,2)&lt;=99,"10-99 мм",IF(LARGE($R93:$T93,2)&lt;=199,"100-199 мм",IF(LARGE($R93:$T93,2)&lt;=299,"200-299 мм",IF(LARGE($R93:$T93,2)&lt;=399,"300-399 мм",IF(LARGE($R93:$T93,2)&lt;=499,"400-499 мм",IF(LARGE($R93:$T93,2)&lt;=599,"500-599 мм",IF(LARGE($R93:$T93,2)&lt;=699,"600-699 мм",IF(LARGE($R93:$T93,2)&lt;=999,"700-999 мм","1000+ мм")))))))))</f>
        <v/>
      </c>
      <c r="Z93" s="160">
        <f>IF(SMALL($R93:$T93,1)="","",IF(SMALL($R93:$T93,1)&lt;=99,"10-99 мм",IF(SMALL($R93:$T93,1)&lt;=199,"100-199 мм",IF(SMALL($R93:$T93,1)&lt;=299,"200-299 мм",IF(SMALL($R93:$T93,1)&lt;=399,"300-399 мм",IF(SMALL($R93:$T93,1)&lt;=499,"400-499 мм",IF(SMALL($R93:$T93,1)&lt;=599,"500-599 мм",IF(SMALL($R93:$T93,1)&lt;=699,"600-699 мм",IF(SMALL($R93:$T93,1)&lt;=999,"700-999 мм","1000+ мм")))))))))</f>
        <v/>
      </c>
      <c r="AA93" s="101">
        <f>IF(G93="","",IF(G93="Л","Лист гофрокартона",IF(G93="КД","Крышка-дно",IF(G93="С","Самосборные",IF(G93="Ч","Четырехклапанные",IF(G93="А","Архивные","Неизвестно"))))))</f>
        <v/>
      </c>
      <c r="AB93" s="66" t="n">
        <v>1.73</v>
      </c>
      <c r="AC93" s="101">
        <f>IF(O93="","",IF(O93&lt;=1,"0-1 литров",IF(O93&lt;=3,"2-3 литра",IF(O93&lt;=5,"4-5 литра",IF(O93&lt;=7,"6-7 литра",IF(O93&lt;=9,"8-9 литров",IF(O93&lt;=14,"10-14 литров",IF(O93&lt;=19,"15-19 литров",IF(O93&lt;=29,"20-29 литров",IF(O93&lt;=49,"30-49 литров",IF(O93&lt;=59,"50-59 литров",IF(O93&lt;=70,"60-69 литров",IF(O93&lt;=79,"70-79 литров",IF(O93&lt;=89,"80-89 литров",IF(O93&lt;=99,"90-99 литров",IF(O93&lt;=200,"100-200 литров","200+ литров"))))))))))))))))</f>
        <v/>
      </c>
    </row>
    <row r="94">
      <c r="A94" s="64" t="n">
        <v>0.26</v>
      </c>
      <c r="B94" s="65">
        <f>A94*1.2</f>
        <v/>
      </c>
      <c r="C94" s="109" t="n">
        <v>94</v>
      </c>
      <c r="D94" s="116" t="inlineStr">
        <is>
          <t>У</t>
        </is>
      </c>
      <c r="E94" s="88" t="inlineStr">
        <is>
          <t>200х90х40</t>
        </is>
      </c>
      <c r="G94" s="83" t="inlineStr">
        <is>
          <t>С</t>
        </is>
      </c>
      <c r="H94" s="146" t="inlineStr">
        <is>
          <t>0427</t>
        </is>
      </c>
      <c r="I94" s="83" t="inlineStr">
        <is>
          <t>в</t>
        </is>
      </c>
      <c r="J94" s="83" t="inlineStr">
        <is>
          <t>х</t>
        </is>
      </c>
      <c r="K94" s="116" t="inlineStr">
        <is>
          <t>K94</t>
        </is>
      </c>
      <c r="N94" s="239">
        <f>IF(D94="","",IF(LEFT(D94,1)="0",0,1))</f>
        <v/>
      </c>
      <c r="O94" s="80">
        <f>ROUND(R94*S94*T94/1000000,2)</f>
        <v/>
      </c>
      <c r="P94" s="160">
        <f>IF(O94="","",
IF(O94&lt;1,"0,1-0,9 литров",
IF(O94&lt;2,"1-1,9 литра",
IF(O94&lt;3,"2-2,9 литра",
IF(O94&lt;4,"3-3,9 литра",
IF(O94&lt;6,"4-5,9 литра",IF(O94&lt;8,"6-7,9 литра",IF(O94&lt;10,"8-9,9 литров",IF(O94&lt;15,"10-14,9 литров",IF(O94&lt;20,"15-19,9 литров",IF(O94&lt;30,"20-29 литров",IF(O94&lt;50,"30-49 литров",IF(O94&lt;60,"50-59 литров",IF(O94&lt;70,"60-69 литров",IF(O94&lt;80,"70-79 литров",IF(O94&lt;90,"80-89 литров",IF(O94&lt;100,"90-99 литров",IF(O94&lt;200,"100-200 литров","200+ литров"))))))))))))))))))</f>
        <v/>
      </c>
      <c r="Q94" s="101">
        <f>IF(O94="","",IF(O94&lt;1,"&lt;1 л",IF(O94&lt;2,"1-2 л",IF(O94&lt;3,"2-3 л",IF(O94&lt;5,"3-5 л",IF(O94&lt;10,"5-10 л",IF(O94&lt;20,"10-20 л",IF(O94&lt;50,"20-50 л",IF(O94&lt;100,"50-100 л","100+ л")))))))))</f>
        <v/>
      </c>
      <c r="R94" s="162">
        <f>IF(E94="","",--LEFT(E94,FIND("х",E94)-1))</f>
        <v/>
      </c>
      <c r="S94" s="162">
        <f>IF(E94="","",--MID(E94,FIND("х",E94)+1,FIND("х",E94,FIND("х",E94)+1)-FIND("х",E94)-1))</f>
        <v/>
      </c>
      <c r="T94" s="162">
        <f>IF(E94="","",--RIGHT(E94,LEN(E94)-FIND("х",E94,FIND("х",E94)+1)))</f>
        <v/>
      </c>
      <c r="U94" s="66">
        <f>(2*(R94+S94)+60)*(S94+T94+8)/1000000</f>
        <v/>
      </c>
      <c r="V94" s="66">
        <f>IF(OR(AND(R94&gt;=2*S94,R94&gt;=2*T94),AND(S94&gt;=2*R94,S94&gt;=2*T94),AND(T94&gt;=2*R94,T94&gt;=2*S94)),"Длинные","")</f>
        <v/>
      </c>
      <c r="W94" s="66">
        <f>IF(OR(AND(R94&lt;=S94/2,R94&lt;=T94/2),AND(S94&lt;=R94/2,S94&lt;=T94/2),AND(T94&lt;=R94/2,T94&lt;=S94/2)),"Плоские","")</f>
        <v/>
      </c>
      <c r="X94" s="160">
        <f>IF(LARGE($R94:$T94,1)="","",IF(LARGE($R94:$T94,1)&lt;=99,"10-99 мм",IF(LARGE($R94:$T94,1)&lt;=199,"100-199 мм",IF(LARGE($R94:$T94,1)&lt;=299,"200-299 мм",IF(LARGE($R94:$T94,1)&lt;=399,"300-399 мм",IF(LARGE($R94:$T94,1)&lt;=499,"400-499 мм",IF(LARGE($R94:$T94,1)&lt;=599,"500-599 мм",IF(LARGE($R94:$T94,1)&lt;=699,"600-699 мм",IF(LARGE($R94:$T94,1)&lt;=999,"700-999 мм","1000+ мм")))))))))</f>
        <v/>
      </c>
      <c r="Y94" s="160">
        <f>IF(LARGE($R94:$T94,2)="","",IF(LARGE($R94:$T94,2)&lt;=99,"10-99 мм",IF(LARGE($R94:$T94,2)&lt;=199,"100-199 мм",IF(LARGE($R94:$T94,2)&lt;=299,"200-299 мм",IF(LARGE($R94:$T94,2)&lt;=399,"300-399 мм",IF(LARGE($R94:$T94,2)&lt;=499,"400-499 мм",IF(LARGE($R94:$T94,2)&lt;=599,"500-599 мм",IF(LARGE($R94:$T94,2)&lt;=699,"600-699 мм",IF(LARGE($R94:$T94,2)&lt;=999,"700-999 мм","1000+ мм")))))))))</f>
        <v/>
      </c>
      <c r="Z94" s="160">
        <f>IF(SMALL($R94:$T94,1)="","",IF(SMALL($R94:$T94,1)&lt;=99,"10-99 мм",IF(SMALL($R94:$T94,1)&lt;=199,"100-199 мм",IF(SMALL($R94:$T94,1)&lt;=299,"200-299 мм",IF(SMALL($R94:$T94,1)&lt;=399,"300-399 мм",IF(SMALL($R94:$T94,1)&lt;=499,"400-499 мм",IF(SMALL($R94:$T94,1)&lt;=599,"500-599 мм",IF(SMALL($R94:$T94,1)&lt;=699,"600-699 мм",IF(SMALL($R94:$T94,1)&lt;=999,"700-999 мм","1000+ мм")))))))))</f>
        <v/>
      </c>
      <c r="AA94" s="101">
        <f>IF(G94="","",IF(G94="Л","Лист гофрокартона",IF(G94="КД","Крышка-дно",IF(G94="С","Самосборные",IF(G94="Ч","Четырехклапанные",IF(G94="А","Архивные","Неизвестно"))))))</f>
        <v/>
      </c>
      <c r="AB94" s="66" t="n">
        <v>1.73</v>
      </c>
      <c r="AC94" s="101">
        <f>IF(O94="","",IF(O94&lt;=1,"0-1 литров",IF(O94&lt;=3,"2-3 литра",IF(O94&lt;=5,"4-5 литра",IF(O94&lt;=7,"6-7 литра",IF(O94&lt;=9,"8-9 литров",IF(O94&lt;=14,"10-14 литров",IF(O94&lt;=19,"15-19 литров",IF(O94&lt;=29,"20-29 литров",IF(O94&lt;=49,"30-49 литров",IF(O94&lt;=59,"50-59 литров",IF(O94&lt;=70,"60-69 литров",IF(O94&lt;=79,"70-79 литров",IF(O94&lt;=89,"80-89 литров",IF(O94&lt;=99,"90-99 литров",IF(O94&lt;=200,"100-200 литров","200+ литров"))))))))))))))))</f>
        <v/>
      </c>
    </row>
    <row r="95">
      <c r="A95" s="64" t="n">
        <v>0.26</v>
      </c>
      <c r="B95" s="65">
        <f>A95*1.2</f>
        <v/>
      </c>
      <c r="C95" s="109" t="n">
        <v>95</v>
      </c>
      <c r="D95" s="116" t="inlineStr">
        <is>
          <t>У</t>
        </is>
      </c>
      <c r="E95" s="88" t="inlineStr">
        <is>
          <t>74х71х247</t>
        </is>
      </c>
      <c r="G95" s="83" t="inlineStr">
        <is>
          <t>С</t>
        </is>
      </c>
      <c r="H95" s="146" t="inlineStr">
        <is>
          <t>0215</t>
        </is>
      </c>
      <c r="I95" s="83" t="inlineStr">
        <is>
          <t>В</t>
        </is>
      </c>
      <c r="J95" s="83" t="inlineStr">
        <is>
          <t>х</t>
        </is>
      </c>
      <c r="K95" s="116" t="inlineStr">
        <is>
          <t>K95</t>
        </is>
      </c>
      <c r="N95" s="239">
        <f>IF(D95="","",IF(LEFT(D95,1)="0",0,1))</f>
        <v/>
      </c>
      <c r="O95" s="80">
        <f>ROUND(R95*S95*T95/1000000,2)</f>
        <v/>
      </c>
      <c r="P95" s="160">
        <f>IF(O95="","",
IF(O95&lt;1,"0,1-0,9 литров",
IF(O95&lt;2,"1-1,9 литра",
IF(O95&lt;3,"2-2,9 литра",
IF(O95&lt;4,"3-3,9 литра",
IF(O95&lt;6,"4-5,9 литра",IF(O95&lt;8,"6-7,9 литра",IF(O95&lt;10,"8-9,9 литров",IF(O95&lt;15,"10-14,9 литров",IF(O95&lt;20,"15-19,9 литров",IF(O95&lt;30,"20-29 литров",IF(O95&lt;50,"30-49 литров",IF(O95&lt;60,"50-59 литров",IF(O95&lt;70,"60-69 литров",IF(O95&lt;80,"70-79 литров",IF(O95&lt;90,"80-89 литров",IF(O95&lt;100,"90-99 литров",IF(O95&lt;200,"100-200 литров","200+ литров"))))))))))))))))))</f>
        <v/>
      </c>
      <c r="Q95" s="101">
        <f>IF(O95="","",IF(O95&lt;1,"&lt;1 л",IF(O95&lt;2,"1-2 л",IF(O95&lt;3,"2-3 л",IF(O95&lt;5,"3-5 л",IF(O95&lt;10,"5-10 л",IF(O95&lt;20,"10-20 л",IF(O95&lt;50,"20-50 л",IF(O95&lt;100,"50-100 л","100+ л")))))))))</f>
        <v/>
      </c>
      <c r="R95" s="162">
        <f>IF(E95="","",--LEFT(E95,FIND("х",E95)-1))</f>
        <v/>
      </c>
      <c r="S95" s="162">
        <f>IF(E95="","",--MID(E95,FIND("х",E95)+1,FIND("х",E95,FIND("х",E95)+1)-FIND("х",E95)-1))</f>
        <v/>
      </c>
      <c r="T95" s="162">
        <f>IF(E95="","",--RIGHT(E95,LEN(E95)-FIND("х",E95,FIND("х",E95)+1)))</f>
        <v/>
      </c>
      <c r="U95" s="66">
        <f>(2*(R95+S95)+60)*(S95+T95+8)/1000000</f>
        <v/>
      </c>
      <c r="V95" s="66">
        <f>IF(OR(AND(R95&gt;=2*S95,R95&gt;=2*T95),AND(S95&gt;=2*R95,S95&gt;=2*T95),AND(T95&gt;=2*R95,T95&gt;=2*S95)),"Длинные","")</f>
        <v/>
      </c>
      <c r="W95" s="66">
        <f>IF(OR(AND(R95&lt;=S95/2,R95&lt;=T95/2),AND(S95&lt;=R95/2,S95&lt;=T95/2),AND(T95&lt;=R95/2,T95&lt;=S95/2)),"Плоские","")</f>
        <v/>
      </c>
      <c r="X95" s="160">
        <f>IF(LARGE($R95:$T95,1)="","",IF(LARGE($R95:$T95,1)&lt;=99,"10-99 мм",IF(LARGE($R95:$T95,1)&lt;=199,"100-199 мм",IF(LARGE($R95:$T95,1)&lt;=299,"200-299 мм",IF(LARGE($R95:$T95,1)&lt;=399,"300-399 мм",IF(LARGE($R95:$T95,1)&lt;=499,"400-499 мм",IF(LARGE($R95:$T95,1)&lt;=599,"500-599 мм",IF(LARGE($R95:$T95,1)&lt;=699,"600-699 мм",IF(LARGE($R95:$T95,1)&lt;=999,"700-999 мм","1000+ мм")))))))))</f>
        <v/>
      </c>
      <c r="Y95" s="160">
        <f>IF(LARGE($R95:$T95,2)="","",IF(LARGE($R95:$T95,2)&lt;=99,"10-99 мм",IF(LARGE($R95:$T95,2)&lt;=199,"100-199 мм",IF(LARGE($R95:$T95,2)&lt;=299,"200-299 мм",IF(LARGE($R95:$T95,2)&lt;=399,"300-399 мм",IF(LARGE($R95:$T95,2)&lt;=499,"400-499 мм",IF(LARGE($R95:$T95,2)&lt;=599,"500-599 мм",IF(LARGE($R95:$T95,2)&lt;=699,"600-699 мм",IF(LARGE($R95:$T95,2)&lt;=999,"700-999 мм","1000+ мм")))))))))</f>
        <v/>
      </c>
      <c r="Z95" s="160">
        <f>IF(SMALL($R95:$T95,1)="","",IF(SMALL($R95:$T95,1)&lt;=99,"10-99 мм",IF(SMALL($R95:$T95,1)&lt;=199,"100-199 мм",IF(SMALL($R95:$T95,1)&lt;=299,"200-299 мм",IF(SMALL($R95:$T95,1)&lt;=399,"300-399 мм",IF(SMALL($R95:$T95,1)&lt;=499,"400-499 мм",IF(SMALL($R95:$T95,1)&lt;=599,"500-599 мм",IF(SMALL($R95:$T95,1)&lt;=699,"600-699 мм",IF(SMALL($R95:$T95,1)&lt;=999,"700-999 мм","1000+ мм")))))))))</f>
        <v/>
      </c>
      <c r="AA95" s="101">
        <f>IF(G95="","",IF(G95="Л","Лист гофрокартона",IF(G95="КД","Крышка-дно",IF(G95="С","Самосборные",IF(G95="Ч","Четырехклапанные",IF(G95="А","Архивные","Неизвестно"))))))</f>
        <v/>
      </c>
      <c r="AB95" s="66" t="n">
        <v>1.73</v>
      </c>
      <c r="AC95" s="101">
        <f>IF(O95="","",IF(O95&lt;=1,"0-1 литров",IF(O95&lt;=3,"2-3 литра",IF(O95&lt;=5,"4-5 литра",IF(O95&lt;=7,"6-7 литра",IF(O95&lt;=9,"8-9 литров",IF(O95&lt;=14,"10-14 литров",IF(O95&lt;=19,"15-19 литров",IF(O95&lt;=29,"20-29 литров",IF(O95&lt;=49,"30-49 литров",IF(O95&lt;=59,"50-59 литров",IF(O95&lt;=70,"60-69 литров",IF(O95&lt;=79,"70-79 литров",IF(O95&lt;=89,"80-89 литров",IF(O95&lt;=99,"90-99 литров",IF(O95&lt;=200,"100-200 литров","200+ литров"))))))))))))))))</f>
        <v/>
      </c>
    </row>
    <row r="96">
      <c r="A96" s="64" t="n">
        <v>0.12</v>
      </c>
      <c r="B96" s="65">
        <f>A96*1.2</f>
        <v/>
      </c>
      <c r="C96" s="109" t="n">
        <v>96</v>
      </c>
      <c r="D96" s="116" t="inlineStr">
        <is>
          <t>У</t>
        </is>
      </c>
      <c r="E96" s="88" t="inlineStr">
        <is>
          <t>235х35х35</t>
        </is>
      </c>
      <c r="G96" s="83" t="inlineStr">
        <is>
          <t>С</t>
        </is>
      </c>
      <c r="H96" s="146" t="inlineStr">
        <is>
          <t>0470</t>
        </is>
      </c>
      <c r="I96" s="83" t="inlineStr">
        <is>
          <t>В</t>
        </is>
      </c>
      <c r="J96" s="83" t="inlineStr">
        <is>
          <t>х</t>
        </is>
      </c>
      <c r="K96" s="116" t="inlineStr">
        <is>
          <t>K96</t>
        </is>
      </c>
      <c r="N96" s="239">
        <f>IF(D96="","",IF(LEFT(D96,1)="0",0,1))</f>
        <v/>
      </c>
      <c r="O96" s="80">
        <f>ROUND(R96*S96*T96/1000000,2)</f>
        <v/>
      </c>
      <c r="P96" s="160">
        <f>IF(O96="","",
IF(O96&lt;1,"0,1-0,9 литров",
IF(O96&lt;2,"1-1,9 литра",
IF(O96&lt;3,"2-2,9 литра",
IF(O96&lt;4,"3-3,9 литра",
IF(O96&lt;6,"4-5,9 литра",IF(O96&lt;8,"6-7,9 литра",IF(O96&lt;10,"8-9,9 литров",IF(O96&lt;15,"10-14,9 литров",IF(O96&lt;20,"15-19,9 литров",IF(O96&lt;30,"20-29 литров",IF(O96&lt;50,"30-49 литров",IF(O96&lt;60,"50-59 литров",IF(O96&lt;70,"60-69 литров",IF(O96&lt;80,"70-79 литров",IF(O96&lt;90,"80-89 литров",IF(O96&lt;100,"90-99 литров",IF(O96&lt;200,"100-200 литров","200+ литров"))))))))))))))))))</f>
        <v/>
      </c>
      <c r="Q96" s="101">
        <f>IF(O96="","",IF(O96&lt;1,"&lt;1 л",IF(O96&lt;2,"1-2 л",IF(O96&lt;3,"2-3 л",IF(O96&lt;5,"3-5 л",IF(O96&lt;10,"5-10 л",IF(O96&lt;20,"10-20 л",IF(O96&lt;50,"20-50 л",IF(O96&lt;100,"50-100 л","100+ л")))))))))</f>
        <v/>
      </c>
      <c r="R96" s="162">
        <f>IF(E96="","",--LEFT(E96,FIND("х",E96)-1))</f>
        <v/>
      </c>
      <c r="S96" s="162">
        <f>IF(E96="","",--MID(E96,FIND("х",E96)+1,FIND("х",E96,FIND("х",E96)+1)-FIND("х",E96)-1))</f>
        <v/>
      </c>
      <c r="T96" s="162">
        <f>IF(E96="","",--RIGHT(E96,LEN(E96)-FIND("х",E96,FIND("х",E96)+1)))</f>
        <v/>
      </c>
      <c r="U96" s="66">
        <f>(2*(R96+S96)+60)*(S96+T96+8)/1000000</f>
        <v/>
      </c>
      <c r="V96" s="66">
        <f>IF(OR(AND(R96&gt;=2*S96,R96&gt;=2*T96),AND(S96&gt;=2*R96,S96&gt;=2*T96),AND(T96&gt;=2*R96,T96&gt;=2*S96)),"Длинные","")</f>
        <v/>
      </c>
      <c r="W96" s="66">
        <f>IF(OR(AND(R96&lt;=S96/2,R96&lt;=T96/2),AND(S96&lt;=R96/2,S96&lt;=T96/2),AND(T96&lt;=R96/2,T96&lt;=S96/2)),"Плоские","")</f>
        <v/>
      </c>
      <c r="X96" s="160">
        <f>IF(LARGE($R96:$T96,1)="","",IF(LARGE($R96:$T96,1)&lt;=99,"10-99 мм",IF(LARGE($R96:$T96,1)&lt;=199,"100-199 мм",IF(LARGE($R96:$T96,1)&lt;=299,"200-299 мм",IF(LARGE($R96:$T96,1)&lt;=399,"300-399 мм",IF(LARGE($R96:$T96,1)&lt;=499,"400-499 мм",IF(LARGE($R96:$T96,1)&lt;=599,"500-599 мм",IF(LARGE($R96:$T96,1)&lt;=699,"600-699 мм",IF(LARGE($R96:$T96,1)&lt;=999,"700-999 мм","1000+ мм")))))))))</f>
        <v/>
      </c>
      <c r="Y96" s="160">
        <f>IF(LARGE($R96:$T96,2)="","",IF(LARGE($R96:$T96,2)&lt;=99,"10-99 мм",IF(LARGE($R96:$T96,2)&lt;=199,"100-199 мм",IF(LARGE($R96:$T96,2)&lt;=299,"200-299 мм",IF(LARGE($R96:$T96,2)&lt;=399,"300-399 мм",IF(LARGE($R96:$T96,2)&lt;=499,"400-499 мм",IF(LARGE($R96:$T96,2)&lt;=599,"500-599 мм",IF(LARGE($R96:$T96,2)&lt;=699,"600-699 мм",IF(LARGE($R96:$T96,2)&lt;=999,"700-999 мм","1000+ мм")))))))))</f>
        <v/>
      </c>
      <c r="Z96" s="160">
        <f>IF(SMALL($R96:$T96,1)="","",IF(SMALL($R96:$T96,1)&lt;=99,"10-99 мм",IF(SMALL($R96:$T96,1)&lt;=199,"100-199 мм",IF(SMALL($R96:$T96,1)&lt;=299,"200-299 мм",IF(SMALL($R96:$T96,1)&lt;=399,"300-399 мм",IF(SMALL($R96:$T96,1)&lt;=499,"400-499 мм",IF(SMALL($R96:$T96,1)&lt;=599,"500-599 мм",IF(SMALL($R96:$T96,1)&lt;=699,"600-699 мм",IF(SMALL($R96:$T96,1)&lt;=999,"700-999 мм","1000+ мм")))))))))</f>
        <v/>
      </c>
      <c r="AA96" s="101">
        <f>IF(G96="","",IF(G96="Л","Лист гофрокартона",IF(G96="КД","Крышка-дно",IF(G96="С","Самосборные",IF(G96="Ч","Четырехклапанные",IF(G96="А","Архивные","Неизвестно"))))))</f>
        <v/>
      </c>
      <c r="AB96" s="66" t="n">
        <v>1.73</v>
      </c>
      <c r="AC96" s="101">
        <f>IF(O96="","",IF(O96&lt;=1,"0-1 литров",IF(O96&lt;=3,"2-3 литра",IF(O96&lt;=5,"4-5 литра",IF(O96&lt;=7,"6-7 литра",IF(O96&lt;=9,"8-9 литров",IF(O96&lt;=14,"10-14 литров",IF(O96&lt;=19,"15-19 литров",IF(O96&lt;=29,"20-29 литров",IF(O96&lt;=49,"30-49 литров",IF(O96&lt;=59,"50-59 литров",IF(O96&lt;=70,"60-69 литров",IF(O96&lt;=79,"70-79 литров",IF(O96&lt;=89,"80-89 литров",IF(O96&lt;=99,"90-99 литров",IF(O96&lt;=200,"100-200 литров","200+ литров"))))))))))))))))</f>
        <v/>
      </c>
    </row>
    <row r="97">
      <c r="A97" s="64" t="n">
        <v>0.73</v>
      </c>
      <c r="B97" s="65">
        <f>A97*1.2</f>
        <v/>
      </c>
      <c r="C97" s="109" t="n">
        <v>97</v>
      </c>
      <c r="D97" s="116" t="inlineStr">
        <is>
          <t>У</t>
        </is>
      </c>
      <c r="E97" s="88" t="inlineStr">
        <is>
          <t>290х230х155</t>
        </is>
      </c>
      <c r="G97" s="83" t="inlineStr">
        <is>
          <t>Ч</t>
        </is>
      </c>
      <c r="H97" s="146" t="inlineStr">
        <is>
          <t>0201</t>
        </is>
      </c>
      <c r="I97" s="83" t="inlineStr">
        <is>
          <t>В</t>
        </is>
      </c>
      <c r="J97" s="83" t="inlineStr">
        <is>
          <t>х</t>
        </is>
      </c>
      <c r="K97" s="116" t="inlineStr">
        <is>
          <t>K97</t>
        </is>
      </c>
      <c r="N97" s="239">
        <f>IF(D97="","",IF(LEFT(D97,1)="0",0,1))</f>
        <v/>
      </c>
      <c r="O97" s="80">
        <f>ROUND(R97*S97*T97/1000000,2)</f>
        <v/>
      </c>
      <c r="P97" s="160">
        <f>IF(O97="","",
IF(O97&lt;1,"0,1-0,9 литров",
IF(O97&lt;2,"1-1,9 литра",
IF(O97&lt;3,"2-2,9 литра",
IF(O97&lt;4,"3-3,9 литра",
IF(O97&lt;6,"4-5,9 литра",IF(O97&lt;8,"6-7,9 литра",IF(O97&lt;10,"8-9,9 литров",IF(O97&lt;15,"10-14,9 литров",IF(O97&lt;20,"15-19,9 литров",IF(O97&lt;30,"20-29 литров",IF(O97&lt;50,"30-49 литров",IF(O97&lt;60,"50-59 литров",IF(O97&lt;70,"60-69 литров",IF(O97&lt;80,"70-79 литров",IF(O97&lt;90,"80-89 литров",IF(O97&lt;100,"90-99 литров",IF(O97&lt;200,"100-200 литров","200+ литров"))))))))))))))))))</f>
        <v/>
      </c>
      <c r="Q97" s="101">
        <f>IF(O97="","",IF(O97&lt;1,"&lt;1 л",IF(O97&lt;2,"1-2 л",IF(O97&lt;3,"2-3 л",IF(O97&lt;5,"3-5 л",IF(O97&lt;10,"5-10 л",IF(O97&lt;20,"10-20 л",IF(O97&lt;50,"20-50 л",IF(O97&lt;100,"50-100 л","100+ л")))))))))</f>
        <v/>
      </c>
      <c r="R97" s="162">
        <f>IF(E97="","",--LEFT(E97,FIND("х",E97)-1))</f>
        <v/>
      </c>
      <c r="S97" s="162">
        <f>IF(E97="","",--MID(E97,FIND("х",E97)+1,FIND("х",E97,FIND("х",E97)+1)-FIND("х",E97)-1))</f>
        <v/>
      </c>
      <c r="T97" s="162">
        <f>IF(E97="","",--RIGHT(E97,LEN(E97)-FIND("х",E97,FIND("х",E97)+1)))</f>
        <v/>
      </c>
      <c r="U97" s="66">
        <f>(2*(R97+S97)+60)*(S97+T97+8)/1000000</f>
        <v/>
      </c>
      <c r="V97" s="66">
        <f>IF(OR(AND(R97&gt;=2*S97,R97&gt;=2*T97),AND(S97&gt;=2*R97,S97&gt;=2*T97),AND(T97&gt;=2*R97,T97&gt;=2*S97)),"Длинные","")</f>
        <v/>
      </c>
      <c r="W97" s="66">
        <f>IF(OR(AND(R97&lt;=S97/2,R97&lt;=T97/2),AND(S97&lt;=R97/2,S97&lt;=T97/2),AND(T97&lt;=R97/2,T97&lt;=S97/2)),"Плоские","")</f>
        <v/>
      </c>
      <c r="X97" s="160">
        <f>IF(LARGE($R97:$T97,1)="","",IF(LARGE($R97:$T97,1)&lt;=99,"10-99 мм",IF(LARGE($R97:$T97,1)&lt;=199,"100-199 мм",IF(LARGE($R97:$T97,1)&lt;=299,"200-299 мм",IF(LARGE($R97:$T97,1)&lt;=399,"300-399 мм",IF(LARGE($R97:$T97,1)&lt;=499,"400-499 мм",IF(LARGE($R97:$T97,1)&lt;=599,"500-599 мм",IF(LARGE($R97:$T97,1)&lt;=699,"600-699 мм",IF(LARGE($R97:$T97,1)&lt;=999,"700-999 мм","1000+ мм")))))))))</f>
        <v/>
      </c>
      <c r="Y97" s="160">
        <f>IF(LARGE($R97:$T97,2)="","",IF(LARGE($R97:$T97,2)&lt;=99,"10-99 мм",IF(LARGE($R97:$T97,2)&lt;=199,"100-199 мм",IF(LARGE($R97:$T97,2)&lt;=299,"200-299 мм",IF(LARGE($R97:$T97,2)&lt;=399,"300-399 мм",IF(LARGE($R97:$T97,2)&lt;=499,"400-499 мм",IF(LARGE($R97:$T97,2)&lt;=599,"500-599 мм",IF(LARGE($R97:$T97,2)&lt;=699,"600-699 мм",IF(LARGE($R97:$T97,2)&lt;=999,"700-999 мм","1000+ мм")))))))))</f>
        <v/>
      </c>
      <c r="Z97" s="160">
        <f>IF(SMALL($R97:$T97,1)="","",IF(SMALL($R97:$T97,1)&lt;=99,"10-99 мм",IF(SMALL($R97:$T97,1)&lt;=199,"100-199 мм",IF(SMALL($R97:$T97,1)&lt;=299,"200-299 мм",IF(SMALL($R97:$T97,1)&lt;=399,"300-399 мм",IF(SMALL($R97:$T97,1)&lt;=499,"400-499 мм",IF(SMALL($R97:$T97,1)&lt;=599,"500-599 мм",IF(SMALL($R97:$T97,1)&lt;=699,"600-699 мм",IF(SMALL($R97:$T97,1)&lt;=999,"700-999 мм","1000+ мм")))))))))</f>
        <v/>
      </c>
      <c r="AA97" s="101">
        <f>IF(G97="","",IF(G97="Л","Лист гофрокартона",IF(G97="КД","Крышка-дно",IF(G97="С","Самосборные",IF(G97="Ч","Четырехклапанные",IF(G97="А","Архивные","Неизвестно"))))))</f>
        <v/>
      </c>
      <c r="AB97" s="66" t="n">
        <v>1.73</v>
      </c>
      <c r="AC97" s="101">
        <f>IF(O97="","",IF(O97&lt;=1,"0-1 литров",IF(O97&lt;=3,"2-3 литра",IF(O97&lt;=5,"4-5 литра",IF(O97&lt;=7,"6-7 литра",IF(O97&lt;=9,"8-9 литров",IF(O97&lt;=14,"10-14 литров",IF(O97&lt;=19,"15-19 литров",IF(O97&lt;=29,"20-29 литров",IF(O97&lt;=49,"30-49 литров",IF(O97&lt;=59,"50-59 литров",IF(O97&lt;=70,"60-69 литров",IF(O97&lt;=79,"70-79 литров",IF(O97&lt;=89,"80-89 литров",IF(O97&lt;=99,"90-99 литров",IF(O97&lt;=200,"100-200 литров","200+ литров"))))))))))))))))</f>
        <v/>
      </c>
    </row>
    <row r="98">
      <c r="A98" s="64" t="n">
        <v>1.71</v>
      </c>
      <c r="B98" s="65">
        <f>A98*1.2</f>
        <v/>
      </c>
      <c r="C98" s="109" t="n">
        <v>98</v>
      </c>
      <c r="D98" s="116" t="inlineStr">
        <is>
          <t>У</t>
        </is>
      </c>
      <c r="E98" s="88" t="inlineStr">
        <is>
          <t>600х270х280</t>
        </is>
      </c>
      <c r="G98" s="83" t="inlineStr">
        <is>
          <t>Ч</t>
        </is>
      </c>
      <c r="H98" s="146" t="inlineStr">
        <is>
          <t>0201</t>
        </is>
      </c>
      <c r="I98" s="83" t="inlineStr">
        <is>
          <t>В</t>
        </is>
      </c>
      <c r="J98" s="83" t="inlineStr">
        <is>
          <t>х</t>
        </is>
      </c>
      <c r="K98" s="116" t="inlineStr">
        <is>
          <t>K98</t>
        </is>
      </c>
      <c r="N98" s="239">
        <f>IF(D98="","",IF(LEFT(D98,1)="0",0,1))</f>
        <v/>
      </c>
      <c r="O98" s="80">
        <f>ROUND(R98*S98*T98/1000000,2)</f>
        <v/>
      </c>
      <c r="P98" s="160">
        <f>IF(O98="","",
IF(O98&lt;1,"0,1-0,9 литров",
IF(O98&lt;2,"1-1,9 литра",
IF(O98&lt;3,"2-2,9 литра",
IF(O98&lt;4,"3-3,9 литра",
IF(O98&lt;6,"4-5,9 литра",IF(O98&lt;8,"6-7,9 литра",IF(O98&lt;10,"8-9,9 литров",IF(O98&lt;15,"10-14,9 литров",IF(O98&lt;20,"15-19,9 литров",IF(O98&lt;30,"20-29 литров",IF(O98&lt;50,"30-49 литров",IF(O98&lt;60,"50-59 литров",IF(O98&lt;70,"60-69 литров",IF(O98&lt;80,"70-79 литров",IF(O98&lt;90,"80-89 литров",IF(O98&lt;100,"90-99 литров",IF(O98&lt;200,"100-200 литров","200+ литров"))))))))))))))))))</f>
        <v/>
      </c>
      <c r="Q98" s="101">
        <f>IF(O98="","",IF(O98&lt;1,"&lt;1 л",IF(O98&lt;2,"1-2 л",IF(O98&lt;3,"2-3 л",IF(O98&lt;5,"3-5 л",IF(O98&lt;10,"5-10 л",IF(O98&lt;20,"10-20 л",IF(O98&lt;50,"20-50 л",IF(O98&lt;100,"50-100 л","100+ л")))))))))</f>
        <v/>
      </c>
      <c r="R98" s="162">
        <f>IF(E98="","",--LEFT(E98,FIND("х",E98)-1))</f>
        <v/>
      </c>
      <c r="S98" s="162">
        <f>IF(E98="","",--MID(E98,FIND("х",E98)+1,FIND("х",E98,FIND("х",E98)+1)-FIND("х",E98)-1))</f>
        <v/>
      </c>
      <c r="T98" s="162">
        <f>IF(E98="","",--RIGHT(E98,LEN(E98)-FIND("х",E98,FIND("х",E98)+1)))</f>
        <v/>
      </c>
      <c r="U98" s="66">
        <f>(2*(R98+S98)+60)*(S98+T98+8)/1000000</f>
        <v/>
      </c>
      <c r="V98" s="66">
        <f>IF(OR(AND(R98&gt;=2*S98,R98&gt;=2*T98),AND(S98&gt;=2*R98,S98&gt;=2*T98),AND(T98&gt;=2*R98,T98&gt;=2*S98)),"Длинные","")</f>
        <v/>
      </c>
      <c r="W98" s="66">
        <f>IF(OR(AND(R98&lt;=S98/2,R98&lt;=T98/2),AND(S98&lt;=R98/2,S98&lt;=T98/2),AND(T98&lt;=R98/2,T98&lt;=S98/2)),"Плоские","")</f>
        <v/>
      </c>
      <c r="X98" s="160">
        <f>IF(LARGE($R98:$T98,1)="","",IF(LARGE($R98:$T98,1)&lt;=99,"10-99 мм",IF(LARGE($R98:$T98,1)&lt;=199,"100-199 мм",IF(LARGE($R98:$T98,1)&lt;=299,"200-299 мм",IF(LARGE($R98:$T98,1)&lt;=399,"300-399 мм",IF(LARGE($R98:$T98,1)&lt;=499,"400-499 мм",IF(LARGE($R98:$T98,1)&lt;=599,"500-599 мм",IF(LARGE($R98:$T98,1)&lt;=699,"600-699 мм",IF(LARGE($R98:$T98,1)&lt;=999,"700-999 мм","1000+ мм")))))))))</f>
        <v/>
      </c>
      <c r="Y98" s="160">
        <f>IF(LARGE($R98:$T98,2)="","",IF(LARGE($R98:$T98,2)&lt;=99,"10-99 мм",IF(LARGE($R98:$T98,2)&lt;=199,"100-199 мм",IF(LARGE($R98:$T98,2)&lt;=299,"200-299 мм",IF(LARGE($R98:$T98,2)&lt;=399,"300-399 мм",IF(LARGE($R98:$T98,2)&lt;=499,"400-499 мм",IF(LARGE($R98:$T98,2)&lt;=599,"500-599 мм",IF(LARGE($R98:$T98,2)&lt;=699,"600-699 мм",IF(LARGE($R98:$T98,2)&lt;=999,"700-999 мм","1000+ мм")))))))))</f>
        <v/>
      </c>
      <c r="Z98" s="160">
        <f>IF(SMALL($R98:$T98,1)="","",IF(SMALL($R98:$T98,1)&lt;=99,"10-99 мм",IF(SMALL($R98:$T98,1)&lt;=199,"100-199 мм",IF(SMALL($R98:$T98,1)&lt;=299,"200-299 мм",IF(SMALL($R98:$T98,1)&lt;=399,"300-399 мм",IF(SMALL($R98:$T98,1)&lt;=499,"400-499 мм",IF(SMALL($R98:$T98,1)&lt;=599,"500-599 мм",IF(SMALL($R98:$T98,1)&lt;=699,"600-699 мм",IF(SMALL($R98:$T98,1)&lt;=999,"700-999 мм","1000+ мм")))))))))</f>
        <v/>
      </c>
      <c r="AA98" s="101">
        <f>IF(G98="","",IF(G98="Л","Лист гофрокартона",IF(G98="КД","Крышка-дно",IF(G98="С","Самосборные",IF(G98="Ч","Четырехклапанные",IF(G98="А","Архивные","Неизвестно"))))))</f>
        <v/>
      </c>
      <c r="AB98" s="66" t="n">
        <v>1.73</v>
      </c>
      <c r="AC98" s="101">
        <f>IF(O98="","",IF(O98&lt;=1,"0-1 литров",IF(O98&lt;=3,"2-3 литра",IF(O98&lt;=5,"4-5 литра",IF(O98&lt;=7,"6-7 литра",IF(O98&lt;=9,"8-9 литров",IF(O98&lt;=14,"10-14 литров",IF(O98&lt;=19,"15-19 литров",IF(O98&lt;=29,"20-29 литров",IF(O98&lt;=49,"30-49 литров",IF(O98&lt;=59,"50-59 литров",IF(O98&lt;=70,"60-69 литров",IF(O98&lt;=79,"70-79 литров",IF(O98&lt;=89,"80-89 литров",IF(O98&lt;=99,"90-99 литров",IF(O98&lt;=200,"100-200 литров","200+ литров"))))))))))))))))</f>
        <v/>
      </c>
    </row>
    <row r="99">
      <c r="A99" s="64" t="n">
        <v>0.49</v>
      </c>
      <c r="B99" s="65">
        <f>A99*1.2</f>
        <v/>
      </c>
      <c r="C99" s="109" t="n">
        <v>99</v>
      </c>
      <c r="D99" s="116" t="inlineStr">
        <is>
          <t>У</t>
        </is>
      </c>
      <c r="E99" s="88" t="inlineStr">
        <is>
          <t>175х175х200</t>
        </is>
      </c>
      <c r="G99" s="83" t="inlineStr">
        <is>
          <t>Ч</t>
        </is>
      </c>
      <c r="H99" s="146" t="inlineStr">
        <is>
          <t>0201</t>
        </is>
      </c>
      <c r="I99" s="83" t="inlineStr">
        <is>
          <t>В</t>
        </is>
      </c>
      <c r="J99" s="83" t="inlineStr">
        <is>
          <t>х</t>
        </is>
      </c>
      <c r="K99" s="116" t="inlineStr">
        <is>
          <t>K99</t>
        </is>
      </c>
      <c r="N99" s="239">
        <f>IF(D99="","",IF(LEFT(D99,1)="0",0,1))</f>
        <v/>
      </c>
      <c r="O99" s="80">
        <f>ROUND(R99*S99*T99/1000000,2)</f>
        <v/>
      </c>
      <c r="P99" s="160">
        <f>IF(O99="","",
IF(O99&lt;1,"0,1-0,9 литров",
IF(O99&lt;2,"1-1,9 литра",
IF(O99&lt;3,"2-2,9 литра",
IF(O99&lt;4,"3-3,9 литра",
IF(O99&lt;6,"4-5,9 литра",IF(O99&lt;8,"6-7,9 литра",IF(O99&lt;10,"8-9,9 литров",IF(O99&lt;15,"10-14,9 литров",IF(O99&lt;20,"15-19,9 литров",IF(O99&lt;30,"20-29 литров",IF(O99&lt;50,"30-49 литров",IF(O99&lt;60,"50-59 литров",IF(O99&lt;70,"60-69 литров",IF(O99&lt;80,"70-79 литров",IF(O99&lt;90,"80-89 литров",IF(O99&lt;100,"90-99 литров",IF(O99&lt;200,"100-200 литров","200+ литров"))))))))))))))))))</f>
        <v/>
      </c>
      <c r="Q99" s="101">
        <f>IF(O99="","",IF(O99&lt;1,"&lt;1 л",IF(O99&lt;2,"1-2 л",IF(O99&lt;3,"2-3 л",IF(O99&lt;5,"3-5 л",IF(O99&lt;10,"5-10 л",IF(O99&lt;20,"10-20 л",IF(O99&lt;50,"20-50 л",IF(O99&lt;100,"50-100 л","100+ л")))))))))</f>
        <v/>
      </c>
      <c r="R99" s="162">
        <f>IF(E99="","",--LEFT(E99,FIND("х",E99)-1))</f>
        <v/>
      </c>
      <c r="S99" s="162">
        <f>IF(E99="","",--MID(E99,FIND("х",E99)+1,FIND("х",E99,FIND("х",E99)+1)-FIND("х",E99)-1))</f>
        <v/>
      </c>
      <c r="T99" s="162">
        <f>IF(E99="","",--RIGHT(E99,LEN(E99)-FIND("х",E99,FIND("х",E99)+1)))</f>
        <v/>
      </c>
      <c r="U99" s="66">
        <f>(2*(R99+S99)+60)*(S99+T99+8)/1000000</f>
        <v/>
      </c>
      <c r="V99" s="66">
        <f>IF(OR(AND(R99&gt;=2*S99,R99&gt;=2*T99),AND(S99&gt;=2*R99,S99&gt;=2*T99),AND(T99&gt;=2*R99,T99&gt;=2*S99)),"Длинные","")</f>
        <v/>
      </c>
      <c r="W99" s="66">
        <f>IF(OR(AND(R99&lt;=S99/2,R99&lt;=T99/2),AND(S99&lt;=R99/2,S99&lt;=T99/2),AND(T99&lt;=R99/2,T99&lt;=S99/2)),"Плоские","")</f>
        <v/>
      </c>
      <c r="X99" s="160">
        <f>IF(LARGE($R99:$T99,1)="","",IF(LARGE($R99:$T99,1)&lt;=99,"10-99 мм",IF(LARGE($R99:$T99,1)&lt;=199,"100-199 мм",IF(LARGE($R99:$T99,1)&lt;=299,"200-299 мм",IF(LARGE($R99:$T99,1)&lt;=399,"300-399 мм",IF(LARGE($R99:$T99,1)&lt;=499,"400-499 мм",IF(LARGE($R99:$T99,1)&lt;=599,"500-599 мм",IF(LARGE($R99:$T99,1)&lt;=699,"600-699 мм",IF(LARGE($R99:$T99,1)&lt;=999,"700-999 мм","1000+ мм")))))))))</f>
        <v/>
      </c>
      <c r="Y99" s="160">
        <f>IF(LARGE($R99:$T99,2)="","",IF(LARGE($R99:$T99,2)&lt;=99,"10-99 мм",IF(LARGE($R99:$T99,2)&lt;=199,"100-199 мм",IF(LARGE($R99:$T99,2)&lt;=299,"200-299 мм",IF(LARGE($R99:$T99,2)&lt;=399,"300-399 мм",IF(LARGE($R99:$T99,2)&lt;=499,"400-499 мм",IF(LARGE($R99:$T99,2)&lt;=599,"500-599 мм",IF(LARGE($R99:$T99,2)&lt;=699,"600-699 мм",IF(LARGE($R99:$T99,2)&lt;=999,"700-999 мм","1000+ мм")))))))))</f>
        <v/>
      </c>
      <c r="Z99" s="160">
        <f>IF(SMALL($R99:$T99,1)="","",IF(SMALL($R99:$T99,1)&lt;=99,"10-99 мм",IF(SMALL($R99:$T99,1)&lt;=199,"100-199 мм",IF(SMALL($R99:$T99,1)&lt;=299,"200-299 мм",IF(SMALL($R99:$T99,1)&lt;=399,"300-399 мм",IF(SMALL($R99:$T99,1)&lt;=499,"400-499 мм",IF(SMALL($R99:$T99,1)&lt;=599,"500-599 мм",IF(SMALL($R99:$T99,1)&lt;=699,"600-699 мм",IF(SMALL($R99:$T99,1)&lt;=999,"700-999 мм","1000+ мм")))))))))</f>
        <v/>
      </c>
      <c r="AA99" s="101">
        <f>IF(G99="","",IF(G99="Л","Лист гофрокартона",IF(G99="КД","Крышка-дно",IF(G99="С","Самосборные",IF(G99="Ч","Четырехклапанные",IF(G99="А","Архивные","Неизвестно"))))))</f>
        <v/>
      </c>
      <c r="AB99" s="66" t="n">
        <v>1.73</v>
      </c>
      <c r="AC99" s="101">
        <f>IF(O99="","",IF(O99&lt;=1,"0-1 литров",IF(O99&lt;=3,"2-3 литра",IF(O99&lt;=5,"4-5 литра",IF(O99&lt;=7,"6-7 литра",IF(O99&lt;=9,"8-9 литров",IF(O99&lt;=14,"10-14 литров",IF(O99&lt;=19,"15-19 литров",IF(O99&lt;=29,"20-29 литров",IF(O99&lt;=49,"30-49 литров",IF(O99&lt;=59,"50-59 литров",IF(O99&lt;=70,"60-69 литров",IF(O99&lt;=79,"70-79 литров",IF(O99&lt;=89,"80-89 литров",IF(O99&lt;=99,"90-99 литров",IF(O99&lt;=200,"100-200 литров","200+ литров"))))))))))))))))</f>
        <v/>
      </c>
    </row>
    <row r="100">
      <c r="A100" s="64" t="n">
        <v>1.41</v>
      </c>
      <c r="B100" s="65">
        <f>A100*1.2</f>
        <v/>
      </c>
      <c r="C100" s="109" t="n">
        <v>100</v>
      </c>
      <c r="D100" s="116" t="inlineStr">
        <is>
          <t>У</t>
        </is>
      </c>
      <c r="E100" s="88" t="inlineStr">
        <is>
          <t>390х290х290</t>
        </is>
      </c>
      <c r="G100" s="83" t="inlineStr">
        <is>
          <t>Ч</t>
        </is>
      </c>
      <c r="H100" s="146" t="inlineStr">
        <is>
          <t>0201</t>
        </is>
      </c>
      <c r="I100" s="83" t="inlineStr">
        <is>
          <t>В</t>
        </is>
      </c>
      <c r="J100" s="83" t="inlineStr">
        <is>
          <t>х</t>
        </is>
      </c>
      <c r="K100" s="116" t="inlineStr">
        <is>
          <t>K100</t>
        </is>
      </c>
      <c r="N100" s="239">
        <f>IF(D100="","",IF(LEFT(D100,1)="0",0,1))</f>
        <v/>
      </c>
      <c r="O100" s="80">
        <f>ROUND(R100*S100*T100/1000000,2)</f>
        <v/>
      </c>
      <c r="P100" s="160">
        <f>IF(O100="","",
IF(O100&lt;1,"0,1-0,9 литров",
IF(O100&lt;2,"1-1,9 литра",
IF(O100&lt;3,"2-2,9 литра",
IF(O100&lt;4,"3-3,9 литра",
IF(O100&lt;6,"4-5,9 литра",IF(O100&lt;8,"6-7,9 литра",IF(O100&lt;10,"8-9,9 литров",IF(O100&lt;15,"10-14,9 литров",IF(O100&lt;20,"15-19,9 литров",IF(O100&lt;30,"20-29 литров",IF(O100&lt;50,"30-49 литров",IF(O100&lt;60,"50-59 литров",IF(O100&lt;70,"60-69 литров",IF(O100&lt;80,"70-79 литров",IF(O100&lt;90,"80-89 литров",IF(O100&lt;100,"90-99 литров",IF(O100&lt;200,"100-200 литров","200+ литров"))))))))))))))))))</f>
        <v/>
      </c>
      <c r="Q100" s="101">
        <f>IF(O100="","",IF(O100&lt;1,"&lt;1 л",IF(O100&lt;2,"1-2 л",IF(O100&lt;3,"2-3 л",IF(O100&lt;5,"3-5 л",IF(O100&lt;10,"5-10 л",IF(O100&lt;20,"10-20 л",IF(O100&lt;50,"20-50 л",IF(O100&lt;100,"50-100 л","100+ л")))))))))</f>
        <v/>
      </c>
      <c r="R100" s="162">
        <f>IF(E100="","",--LEFT(E100,FIND("х",E100)-1))</f>
        <v/>
      </c>
      <c r="S100" s="162">
        <f>IF(E100="","",--MID(E100,FIND("х",E100)+1,FIND("х",E100,FIND("х",E100)+1)-FIND("х",E100)-1))</f>
        <v/>
      </c>
      <c r="T100" s="162">
        <f>IF(E100="","",--RIGHT(E100,LEN(E100)-FIND("х",E100,FIND("х",E100)+1)))</f>
        <v/>
      </c>
      <c r="U100" s="66">
        <f>(2*(R100+S100)+60)*(S100+T100+8)/1000000</f>
        <v/>
      </c>
      <c r="V100" s="66">
        <f>IF(OR(AND(R100&gt;=2*S100,R100&gt;=2*T100),AND(S100&gt;=2*R100,S100&gt;=2*T100),AND(T100&gt;=2*R100,T100&gt;=2*S100)),"Длинные","")</f>
        <v/>
      </c>
      <c r="W100" s="66">
        <f>IF(OR(AND(R100&lt;=S100/2,R100&lt;=T100/2),AND(S100&lt;=R100/2,S100&lt;=T100/2),AND(T100&lt;=R100/2,T100&lt;=S100/2)),"Плоские","")</f>
        <v/>
      </c>
      <c r="X100" s="160">
        <f>IF(LARGE($R100:$T100,1)="","",IF(LARGE($R100:$T100,1)&lt;=99,"10-99 мм",IF(LARGE($R100:$T100,1)&lt;=199,"100-199 мм",IF(LARGE($R100:$T100,1)&lt;=299,"200-299 мм",IF(LARGE($R100:$T100,1)&lt;=399,"300-399 мм",IF(LARGE($R100:$T100,1)&lt;=499,"400-499 мм",IF(LARGE($R100:$T100,1)&lt;=599,"500-599 мм",IF(LARGE($R100:$T100,1)&lt;=699,"600-699 мм",IF(LARGE($R100:$T100,1)&lt;=999,"700-999 мм","1000+ мм")))))))))</f>
        <v/>
      </c>
      <c r="Y100" s="160">
        <f>IF(LARGE($R100:$T100,2)="","",IF(LARGE($R100:$T100,2)&lt;=99,"10-99 мм",IF(LARGE($R100:$T100,2)&lt;=199,"100-199 мм",IF(LARGE($R100:$T100,2)&lt;=299,"200-299 мм",IF(LARGE($R100:$T100,2)&lt;=399,"300-399 мм",IF(LARGE($R100:$T100,2)&lt;=499,"400-499 мм",IF(LARGE($R100:$T100,2)&lt;=599,"500-599 мм",IF(LARGE($R100:$T100,2)&lt;=699,"600-699 мм",IF(LARGE($R100:$T100,2)&lt;=999,"700-999 мм","1000+ мм")))))))))</f>
        <v/>
      </c>
      <c r="Z100" s="160">
        <f>IF(SMALL($R100:$T100,1)="","",IF(SMALL($R100:$T100,1)&lt;=99,"10-99 мм",IF(SMALL($R100:$T100,1)&lt;=199,"100-199 мм",IF(SMALL($R100:$T100,1)&lt;=299,"200-299 мм",IF(SMALL($R100:$T100,1)&lt;=399,"300-399 мм",IF(SMALL($R100:$T100,1)&lt;=499,"400-499 мм",IF(SMALL($R100:$T100,1)&lt;=599,"500-599 мм",IF(SMALL($R100:$T100,1)&lt;=699,"600-699 мм",IF(SMALL($R100:$T100,1)&lt;=999,"700-999 мм","1000+ мм")))))))))</f>
        <v/>
      </c>
      <c r="AA100" s="101">
        <f>IF(G100="","",IF(G100="Л","Лист гофрокартона",IF(G100="КД","Крышка-дно",IF(G100="С","Самосборные",IF(G100="Ч","Четырехклапанные",IF(G100="А","Архивные","Неизвестно"))))))</f>
        <v/>
      </c>
      <c r="AB100" s="66" t="n">
        <v>1.73</v>
      </c>
      <c r="AC100" s="101">
        <f>IF(O100="","",IF(O100&lt;=1,"0-1 литров",IF(O100&lt;=3,"2-3 литра",IF(O100&lt;=5,"4-5 литра",IF(O100&lt;=7,"6-7 литра",IF(O100&lt;=9,"8-9 литров",IF(O100&lt;=14,"10-14 литров",IF(O100&lt;=19,"15-19 литров",IF(O100&lt;=29,"20-29 литров",IF(O100&lt;=49,"30-49 литров",IF(O100&lt;=59,"50-59 литров",IF(O100&lt;=70,"60-69 литров",IF(O100&lt;=79,"70-79 литров",IF(O100&lt;=89,"80-89 литров",IF(O100&lt;=99,"90-99 литров",IF(O100&lt;=200,"100-200 литров","200+ литров"))))))))))))))))</f>
        <v/>
      </c>
    </row>
    <row r="101">
      <c r="A101" s="64" t="n">
        <v>0.85</v>
      </c>
      <c r="B101" s="65">
        <f>A101*1.2</f>
        <v/>
      </c>
      <c r="C101" s="109" t="n">
        <v>101</v>
      </c>
      <c r="D101" s="116" t="inlineStr">
        <is>
          <t>У</t>
        </is>
      </c>
      <c r="E101" s="88" t="inlineStr">
        <is>
          <t>290х225х230</t>
        </is>
      </c>
      <c r="G101" s="83" t="inlineStr">
        <is>
          <t>Ч</t>
        </is>
      </c>
      <c r="H101" s="146" t="inlineStr">
        <is>
          <t>0201</t>
        </is>
      </c>
      <c r="I101" s="83" t="inlineStr">
        <is>
          <t>В</t>
        </is>
      </c>
      <c r="J101" s="83" t="inlineStr">
        <is>
          <t>х</t>
        </is>
      </c>
      <c r="K101" s="116" t="inlineStr">
        <is>
          <t>K101</t>
        </is>
      </c>
      <c r="N101" s="239">
        <f>IF(D101="","",IF(LEFT(D101,1)="0",0,1))</f>
        <v/>
      </c>
      <c r="O101" s="80">
        <f>ROUND(R101*S101*T101/1000000,2)</f>
        <v/>
      </c>
      <c r="P101" s="160">
        <f>IF(O101="","",
IF(O101&lt;1,"0,1-0,9 литров",
IF(O101&lt;2,"1-1,9 литра",
IF(O101&lt;3,"2-2,9 литра",
IF(O101&lt;4,"3-3,9 литра",
IF(O101&lt;6,"4-5,9 литра",IF(O101&lt;8,"6-7,9 литра",IF(O101&lt;10,"8-9,9 литров",IF(O101&lt;15,"10-14,9 литров",IF(O101&lt;20,"15-19,9 литров",IF(O101&lt;30,"20-29 литров",IF(O101&lt;50,"30-49 литров",IF(O101&lt;60,"50-59 литров",IF(O101&lt;70,"60-69 литров",IF(O101&lt;80,"70-79 литров",IF(O101&lt;90,"80-89 литров",IF(O101&lt;100,"90-99 литров",IF(O101&lt;200,"100-200 литров","200+ литров"))))))))))))))))))</f>
        <v/>
      </c>
      <c r="Q101" s="101">
        <f>IF(O101="","",IF(O101&lt;1,"&lt;1 л",IF(O101&lt;2,"1-2 л",IF(O101&lt;3,"2-3 л",IF(O101&lt;5,"3-5 л",IF(O101&lt;10,"5-10 л",IF(O101&lt;20,"10-20 л",IF(O101&lt;50,"20-50 л",IF(O101&lt;100,"50-100 л","100+ л")))))))))</f>
        <v/>
      </c>
      <c r="R101" s="162">
        <f>IF(E101="","",--LEFT(E101,FIND("х",E101)-1))</f>
        <v/>
      </c>
      <c r="S101" s="162">
        <f>IF(E101="","",--MID(E101,FIND("х",E101)+1,FIND("х",E101,FIND("х",E101)+1)-FIND("х",E101)-1))</f>
        <v/>
      </c>
      <c r="T101" s="162">
        <f>IF(E101="","",--RIGHT(E101,LEN(E101)-FIND("х",E101,FIND("х",E101)+1)))</f>
        <v/>
      </c>
      <c r="U101" s="66">
        <f>(2*(R101+S101)+60)*(S101+T101+8)/1000000</f>
        <v/>
      </c>
      <c r="V101" s="66">
        <f>IF(OR(AND(R101&gt;=2*S101,R101&gt;=2*T101),AND(S101&gt;=2*R101,S101&gt;=2*T101),AND(T101&gt;=2*R101,T101&gt;=2*S101)),"Длинные","")</f>
        <v/>
      </c>
      <c r="W101" s="66">
        <f>IF(OR(AND(R101&lt;=S101/2,R101&lt;=T101/2),AND(S101&lt;=R101/2,S101&lt;=T101/2),AND(T101&lt;=R101/2,T101&lt;=S101/2)),"Плоские","")</f>
        <v/>
      </c>
      <c r="X101" s="160">
        <f>IF(LARGE($R101:$T101,1)="","",IF(LARGE($R101:$T101,1)&lt;=99,"10-99 мм",IF(LARGE($R101:$T101,1)&lt;=199,"100-199 мм",IF(LARGE($R101:$T101,1)&lt;=299,"200-299 мм",IF(LARGE($R101:$T101,1)&lt;=399,"300-399 мм",IF(LARGE($R101:$T101,1)&lt;=499,"400-499 мм",IF(LARGE($R101:$T101,1)&lt;=599,"500-599 мм",IF(LARGE($R101:$T101,1)&lt;=699,"600-699 мм",IF(LARGE($R101:$T101,1)&lt;=999,"700-999 мм","1000+ мм")))))))))</f>
        <v/>
      </c>
      <c r="Y101" s="160">
        <f>IF(LARGE($R101:$T101,2)="","",IF(LARGE($R101:$T101,2)&lt;=99,"10-99 мм",IF(LARGE($R101:$T101,2)&lt;=199,"100-199 мм",IF(LARGE($R101:$T101,2)&lt;=299,"200-299 мм",IF(LARGE($R101:$T101,2)&lt;=399,"300-399 мм",IF(LARGE($R101:$T101,2)&lt;=499,"400-499 мм",IF(LARGE($R101:$T101,2)&lt;=599,"500-599 мм",IF(LARGE($R101:$T101,2)&lt;=699,"600-699 мм",IF(LARGE($R101:$T101,2)&lt;=999,"700-999 мм","1000+ мм")))))))))</f>
        <v/>
      </c>
      <c r="Z101" s="160">
        <f>IF(SMALL($R101:$T101,1)="","",IF(SMALL($R101:$T101,1)&lt;=99,"10-99 мм",IF(SMALL($R101:$T101,1)&lt;=199,"100-199 мм",IF(SMALL($R101:$T101,1)&lt;=299,"200-299 мм",IF(SMALL($R101:$T101,1)&lt;=399,"300-399 мм",IF(SMALL($R101:$T101,1)&lt;=499,"400-499 мм",IF(SMALL($R101:$T101,1)&lt;=599,"500-599 мм",IF(SMALL($R101:$T101,1)&lt;=699,"600-699 мм",IF(SMALL($R101:$T101,1)&lt;=999,"700-999 мм","1000+ мм")))))))))</f>
        <v/>
      </c>
      <c r="AA101" s="101">
        <f>IF(G101="","",IF(G101="Л","Лист гофрокартона",IF(G101="КД","Крышка-дно",IF(G101="С","Самосборные",IF(G101="Ч","Четырехклапанные",IF(G101="А","Архивные","Неизвестно"))))))</f>
        <v/>
      </c>
      <c r="AB101" s="66" t="n">
        <v>1.73</v>
      </c>
      <c r="AC101" s="101">
        <f>IF(O101="","",IF(O101&lt;=1,"0-1 литров",IF(O101&lt;=3,"2-3 литра",IF(O101&lt;=5,"4-5 литра",IF(O101&lt;=7,"6-7 литра",IF(O101&lt;=9,"8-9 литров",IF(O101&lt;=14,"10-14 литров",IF(O101&lt;=19,"15-19 литров",IF(O101&lt;=29,"20-29 литров",IF(O101&lt;=49,"30-49 литров",IF(O101&lt;=59,"50-59 литров",IF(O101&lt;=70,"60-69 литров",IF(O101&lt;=79,"70-79 литров",IF(O101&lt;=89,"80-89 литров",IF(O101&lt;=99,"90-99 литров",IF(O101&lt;=200,"100-200 литров","200+ литров"))))))))))))))))</f>
        <v/>
      </c>
    </row>
    <row r="102">
      <c r="A102" s="64" t="n">
        <v>0.25</v>
      </c>
      <c r="B102" s="65">
        <f>A102*1.2</f>
        <v/>
      </c>
      <c r="C102" s="109" t="n">
        <v>102</v>
      </c>
      <c r="D102" s="116" t="inlineStr">
        <is>
          <t>У</t>
        </is>
      </c>
      <c r="E102" s="88" t="inlineStr">
        <is>
          <t>100х100х100</t>
        </is>
      </c>
      <c r="G102" s="83" t="inlineStr">
        <is>
          <t>С</t>
        </is>
      </c>
      <c r="H102" s="146" t="inlineStr">
        <is>
          <t>0215</t>
        </is>
      </c>
      <c r="I102" s="83" t="inlineStr">
        <is>
          <t>В</t>
        </is>
      </c>
      <c r="J102" s="83" t="inlineStr">
        <is>
          <t>х</t>
        </is>
      </c>
      <c r="K102" s="116" t="inlineStr">
        <is>
          <t>K102</t>
        </is>
      </c>
      <c r="N102" s="239">
        <f>IF(D102="","",IF(LEFT(D102,1)="0",0,1))</f>
        <v/>
      </c>
      <c r="O102" s="80">
        <f>ROUND(R102*S102*T102/1000000,2)</f>
        <v/>
      </c>
      <c r="P102" s="160">
        <f>IF(O102="","",
IF(O102&lt;1,"0,1-0,9 литров",
IF(O102&lt;2,"1-1,9 литра",
IF(O102&lt;3,"2-2,9 литра",
IF(O102&lt;4,"3-3,9 литра",
IF(O102&lt;6,"4-5,9 литра",IF(O102&lt;8,"6-7,9 литра",IF(O102&lt;10,"8-9,9 литров",IF(O102&lt;15,"10-14,9 литров",IF(O102&lt;20,"15-19,9 литров",IF(O102&lt;30,"20-29 литров",IF(O102&lt;50,"30-49 литров",IF(O102&lt;60,"50-59 литров",IF(O102&lt;70,"60-69 литров",IF(O102&lt;80,"70-79 литров",IF(O102&lt;90,"80-89 литров",IF(O102&lt;100,"90-99 литров",IF(O102&lt;200,"100-200 литров","200+ литров"))))))))))))))))))</f>
        <v/>
      </c>
      <c r="Q102" s="101">
        <f>IF(O102="","",IF(O102&lt;1,"&lt;1 л",IF(O102&lt;2,"1-2 л",IF(O102&lt;3,"2-3 л",IF(O102&lt;5,"3-5 л",IF(O102&lt;10,"5-10 л",IF(O102&lt;20,"10-20 л",IF(O102&lt;50,"20-50 л",IF(O102&lt;100,"50-100 л","100+ л")))))))))</f>
        <v/>
      </c>
      <c r="R102" s="162">
        <f>IF(E102="","",--LEFT(E102,FIND("х",E102)-1))</f>
        <v/>
      </c>
      <c r="S102" s="162">
        <f>IF(E102="","",--MID(E102,FIND("х",E102)+1,FIND("х",E102,FIND("х",E102)+1)-FIND("х",E102)-1))</f>
        <v/>
      </c>
      <c r="T102" s="162">
        <f>IF(E102="","",--RIGHT(E102,LEN(E102)-FIND("х",E102,FIND("х",E102)+1)))</f>
        <v/>
      </c>
      <c r="U102" s="66">
        <f>(2*(R102+S102)+60)*(S102+T102+8)/1000000</f>
        <v/>
      </c>
      <c r="V102" s="66">
        <f>IF(OR(AND(R102&gt;=2*S102,R102&gt;=2*T102),AND(S102&gt;=2*R102,S102&gt;=2*T102),AND(T102&gt;=2*R102,T102&gt;=2*S102)),"Длинные","")</f>
        <v/>
      </c>
      <c r="W102" s="66">
        <f>IF(OR(AND(R102&lt;=S102/2,R102&lt;=T102/2),AND(S102&lt;=R102/2,S102&lt;=T102/2),AND(T102&lt;=R102/2,T102&lt;=S102/2)),"Плоские","")</f>
        <v/>
      </c>
      <c r="X102" s="160">
        <f>IF(LARGE($R102:$T102,1)="","",IF(LARGE($R102:$T102,1)&lt;=99,"10-99 мм",IF(LARGE($R102:$T102,1)&lt;=199,"100-199 мм",IF(LARGE($R102:$T102,1)&lt;=299,"200-299 мм",IF(LARGE($R102:$T102,1)&lt;=399,"300-399 мм",IF(LARGE($R102:$T102,1)&lt;=499,"400-499 мм",IF(LARGE($R102:$T102,1)&lt;=599,"500-599 мм",IF(LARGE($R102:$T102,1)&lt;=699,"600-699 мм",IF(LARGE($R102:$T102,1)&lt;=999,"700-999 мм","1000+ мм")))))))))</f>
        <v/>
      </c>
      <c r="Y102" s="160">
        <f>IF(LARGE($R102:$T102,2)="","",IF(LARGE($R102:$T102,2)&lt;=99,"10-99 мм",IF(LARGE($R102:$T102,2)&lt;=199,"100-199 мм",IF(LARGE($R102:$T102,2)&lt;=299,"200-299 мм",IF(LARGE($R102:$T102,2)&lt;=399,"300-399 мм",IF(LARGE($R102:$T102,2)&lt;=499,"400-499 мм",IF(LARGE($R102:$T102,2)&lt;=599,"500-599 мм",IF(LARGE($R102:$T102,2)&lt;=699,"600-699 мм",IF(LARGE($R102:$T102,2)&lt;=999,"700-999 мм","1000+ мм")))))))))</f>
        <v/>
      </c>
      <c r="Z102" s="160">
        <f>IF(SMALL($R102:$T102,1)="","",IF(SMALL($R102:$T102,1)&lt;=99,"10-99 мм",IF(SMALL($R102:$T102,1)&lt;=199,"100-199 мм",IF(SMALL($R102:$T102,1)&lt;=299,"200-299 мм",IF(SMALL($R102:$T102,1)&lt;=399,"300-399 мм",IF(SMALL($R102:$T102,1)&lt;=499,"400-499 мм",IF(SMALL($R102:$T102,1)&lt;=599,"500-599 мм",IF(SMALL($R102:$T102,1)&lt;=699,"600-699 мм",IF(SMALL($R102:$T102,1)&lt;=999,"700-999 мм","1000+ мм")))))))))</f>
        <v/>
      </c>
      <c r="AA102" s="101">
        <f>IF(G102="","",IF(G102="Л","Лист гофрокартона",IF(G102="КД","Крышка-дно",IF(G102="С","Самосборные",IF(G102="Ч","Четырехклапанные",IF(G102="А","Архивные","Неизвестно"))))))</f>
        <v/>
      </c>
      <c r="AB102" s="66" t="n">
        <v>1.73</v>
      </c>
      <c r="AC102" s="101">
        <f>IF(O102="","",IF(O102&lt;=1,"0-1 литров",IF(O102&lt;=3,"2-3 литра",IF(O102&lt;=5,"4-5 литра",IF(O102&lt;=7,"6-7 литра",IF(O102&lt;=9,"8-9 литров",IF(O102&lt;=14,"10-14 литров",IF(O102&lt;=19,"15-19 литров",IF(O102&lt;=29,"20-29 литров",IF(O102&lt;=49,"30-49 литров",IF(O102&lt;=59,"50-59 литров",IF(O102&lt;=70,"60-69 литров",IF(O102&lt;=79,"70-79 литров",IF(O102&lt;=89,"80-89 литров",IF(O102&lt;=99,"90-99 литров",IF(O102&lt;=200,"100-200 литров","200+ литров"))))))))))))))))</f>
        <v/>
      </c>
    </row>
    <row r="103">
      <c r="A103" s="64" t="n">
        <v>0.25</v>
      </c>
      <c r="B103" s="65">
        <f>A103*1.2</f>
        <v/>
      </c>
      <c r="C103" s="109" t="n">
        <v>103</v>
      </c>
      <c r="D103" s="116" t="inlineStr">
        <is>
          <t>У</t>
        </is>
      </c>
      <c r="E103" s="88" t="inlineStr">
        <is>
          <t>150х115х135</t>
        </is>
      </c>
      <c r="G103" s="83" t="inlineStr">
        <is>
          <t>Ч</t>
        </is>
      </c>
      <c r="H103" s="146" t="inlineStr">
        <is>
          <t>0201</t>
        </is>
      </c>
      <c r="I103" s="83" t="inlineStr">
        <is>
          <t>В</t>
        </is>
      </c>
      <c r="J103" s="83" t="inlineStr">
        <is>
          <t>х</t>
        </is>
      </c>
      <c r="K103" s="116" t="inlineStr">
        <is>
          <t>K103</t>
        </is>
      </c>
      <c r="N103" s="239">
        <f>IF(D103="","",IF(LEFT(D103,1)="0",0,1))</f>
        <v/>
      </c>
      <c r="O103" s="80">
        <f>ROUND(R103*S103*T103/1000000,2)</f>
        <v/>
      </c>
      <c r="P103" s="160">
        <f>IF(O103="","",
IF(O103&lt;1,"0,1-0,9 литров",
IF(O103&lt;2,"1-1,9 литра",
IF(O103&lt;3,"2-2,9 литра",
IF(O103&lt;4,"3-3,9 литра",
IF(O103&lt;6,"4-5,9 литра",IF(O103&lt;8,"6-7,9 литра",IF(O103&lt;10,"8-9,9 литров",IF(O103&lt;15,"10-14,9 литров",IF(O103&lt;20,"15-19,9 литров",IF(O103&lt;30,"20-29 литров",IF(O103&lt;50,"30-49 литров",IF(O103&lt;60,"50-59 литров",IF(O103&lt;70,"60-69 литров",IF(O103&lt;80,"70-79 литров",IF(O103&lt;90,"80-89 литров",IF(O103&lt;100,"90-99 литров",IF(O103&lt;200,"100-200 литров","200+ литров"))))))))))))))))))</f>
        <v/>
      </c>
      <c r="Q103" s="101">
        <f>IF(O103="","",IF(O103&lt;1,"&lt;1 л",IF(O103&lt;2,"1-2 л",IF(O103&lt;3,"2-3 л",IF(O103&lt;5,"3-5 л",IF(O103&lt;10,"5-10 л",IF(O103&lt;20,"10-20 л",IF(O103&lt;50,"20-50 л",IF(O103&lt;100,"50-100 л","100+ л")))))))))</f>
        <v/>
      </c>
      <c r="R103" s="162">
        <f>IF(E103="","",--LEFT(E103,FIND("х",E103)-1))</f>
        <v/>
      </c>
      <c r="S103" s="162">
        <f>IF(E103="","",--MID(E103,FIND("х",E103)+1,FIND("х",E103,FIND("х",E103)+1)-FIND("х",E103)-1))</f>
        <v/>
      </c>
      <c r="T103" s="162">
        <f>IF(E103="","",--RIGHT(E103,LEN(E103)-FIND("х",E103,FIND("х",E103)+1)))</f>
        <v/>
      </c>
      <c r="U103" s="66">
        <f>(2*(R103+S103)+60)*(S103+T103+8)/1000000</f>
        <v/>
      </c>
      <c r="V103" s="66">
        <f>IF(OR(AND(R103&gt;=2*S103,R103&gt;=2*T103),AND(S103&gt;=2*R103,S103&gt;=2*T103),AND(T103&gt;=2*R103,T103&gt;=2*S103)),"Длинные","")</f>
        <v/>
      </c>
      <c r="W103" s="66">
        <f>IF(OR(AND(R103&lt;=S103/2,R103&lt;=T103/2),AND(S103&lt;=R103/2,S103&lt;=T103/2),AND(T103&lt;=R103/2,T103&lt;=S103/2)),"Плоские","")</f>
        <v/>
      </c>
      <c r="X103" s="160">
        <f>IF(LARGE($R103:$T103,1)="","",IF(LARGE($R103:$T103,1)&lt;=99,"10-99 мм",IF(LARGE($R103:$T103,1)&lt;=199,"100-199 мм",IF(LARGE($R103:$T103,1)&lt;=299,"200-299 мм",IF(LARGE($R103:$T103,1)&lt;=399,"300-399 мм",IF(LARGE($R103:$T103,1)&lt;=499,"400-499 мм",IF(LARGE($R103:$T103,1)&lt;=599,"500-599 мм",IF(LARGE($R103:$T103,1)&lt;=699,"600-699 мм",IF(LARGE($R103:$T103,1)&lt;=999,"700-999 мм","1000+ мм")))))))))</f>
        <v/>
      </c>
      <c r="Y103" s="160">
        <f>IF(LARGE($R103:$T103,2)="","",IF(LARGE($R103:$T103,2)&lt;=99,"10-99 мм",IF(LARGE($R103:$T103,2)&lt;=199,"100-199 мм",IF(LARGE($R103:$T103,2)&lt;=299,"200-299 мм",IF(LARGE($R103:$T103,2)&lt;=399,"300-399 мм",IF(LARGE($R103:$T103,2)&lt;=499,"400-499 мм",IF(LARGE($R103:$T103,2)&lt;=599,"500-599 мм",IF(LARGE($R103:$T103,2)&lt;=699,"600-699 мм",IF(LARGE($R103:$T103,2)&lt;=999,"700-999 мм","1000+ мм")))))))))</f>
        <v/>
      </c>
      <c r="Z103" s="160">
        <f>IF(SMALL($R103:$T103,1)="","",IF(SMALL($R103:$T103,1)&lt;=99,"10-99 мм",IF(SMALL($R103:$T103,1)&lt;=199,"100-199 мм",IF(SMALL($R103:$T103,1)&lt;=299,"200-299 мм",IF(SMALL($R103:$T103,1)&lt;=399,"300-399 мм",IF(SMALL($R103:$T103,1)&lt;=499,"400-499 мм",IF(SMALL($R103:$T103,1)&lt;=599,"500-599 мм",IF(SMALL($R103:$T103,1)&lt;=699,"600-699 мм",IF(SMALL($R103:$T103,1)&lt;=999,"700-999 мм","1000+ мм")))))))))</f>
        <v/>
      </c>
      <c r="AA103" s="101">
        <f>IF(G103="","",IF(G103="Л","Лист гофрокартона",IF(G103="КД","Крышка-дно",IF(G103="С","Самосборные",IF(G103="Ч","Четырехклапанные",IF(G103="А","Архивные","Неизвестно"))))))</f>
        <v/>
      </c>
      <c r="AB103" s="66" t="n">
        <v>1.73</v>
      </c>
      <c r="AC103" s="101">
        <f>IF(O103="","",IF(O103&lt;=1,"0-1 литров",IF(O103&lt;=3,"2-3 литра",IF(O103&lt;=5,"4-5 литра",IF(O103&lt;=7,"6-7 литра",IF(O103&lt;=9,"8-9 литров",IF(O103&lt;=14,"10-14 литров",IF(O103&lt;=19,"15-19 литров",IF(O103&lt;=29,"20-29 литров",IF(O103&lt;=49,"30-49 литров",IF(O103&lt;=59,"50-59 литров",IF(O103&lt;=70,"60-69 литров",IF(O103&lt;=79,"70-79 литров",IF(O103&lt;=89,"80-89 литров",IF(O103&lt;=99,"90-99 литров",IF(O103&lt;=200,"100-200 литров","200+ литров"))))))))))))))))</f>
        <v/>
      </c>
    </row>
    <row r="104">
      <c r="A104" s="64" t="n">
        <v>0.63</v>
      </c>
      <c r="B104" s="65">
        <f>A104*1.2</f>
        <v/>
      </c>
      <c r="C104" s="109" t="n">
        <v>104</v>
      </c>
      <c r="D104" s="116" t="inlineStr">
        <is>
          <t>У</t>
        </is>
      </c>
      <c r="E104" s="88" t="inlineStr">
        <is>
          <t>290х225х110</t>
        </is>
      </c>
      <c r="G104" s="83" t="inlineStr">
        <is>
          <t>Ч</t>
        </is>
      </c>
      <c r="H104" s="146" t="inlineStr">
        <is>
          <t>0201</t>
        </is>
      </c>
      <c r="I104" s="83" t="inlineStr">
        <is>
          <t>В</t>
        </is>
      </c>
      <c r="J104" s="83" t="inlineStr">
        <is>
          <t>х</t>
        </is>
      </c>
      <c r="K104" s="116" t="inlineStr">
        <is>
          <t>K104</t>
        </is>
      </c>
      <c r="N104" s="239">
        <f>IF(D104="","",IF(LEFT(D104,1)="0",0,1))</f>
        <v/>
      </c>
      <c r="O104" s="80">
        <f>ROUND(R104*S104*T104/1000000,2)</f>
        <v/>
      </c>
      <c r="P104" s="160">
        <f>IF(O104="","",
IF(O104&lt;1,"0,1-0,9 литров",
IF(O104&lt;2,"1-1,9 литра",
IF(O104&lt;3,"2-2,9 литра",
IF(O104&lt;4,"3-3,9 литра",
IF(O104&lt;6,"4-5,9 литра",IF(O104&lt;8,"6-7,9 литра",IF(O104&lt;10,"8-9,9 литров",IF(O104&lt;15,"10-14,9 литров",IF(O104&lt;20,"15-19,9 литров",IF(O104&lt;30,"20-29 литров",IF(O104&lt;50,"30-49 литров",IF(O104&lt;60,"50-59 литров",IF(O104&lt;70,"60-69 литров",IF(O104&lt;80,"70-79 литров",IF(O104&lt;90,"80-89 литров",IF(O104&lt;100,"90-99 литров",IF(O104&lt;200,"100-200 литров","200+ литров"))))))))))))))))))</f>
        <v/>
      </c>
      <c r="Q104" s="101">
        <f>IF(O104="","",IF(O104&lt;1,"&lt;1 л",IF(O104&lt;2,"1-2 л",IF(O104&lt;3,"2-3 л",IF(O104&lt;5,"3-5 л",IF(O104&lt;10,"5-10 л",IF(O104&lt;20,"10-20 л",IF(O104&lt;50,"20-50 л",IF(O104&lt;100,"50-100 л","100+ л")))))))))</f>
        <v/>
      </c>
      <c r="R104" s="162">
        <f>IF(E104="","",--LEFT(E104,FIND("х",E104)-1))</f>
        <v/>
      </c>
      <c r="S104" s="162">
        <f>IF(E104="","",--MID(E104,FIND("х",E104)+1,FIND("х",E104,FIND("х",E104)+1)-FIND("х",E104)-1))</f>
        <v/>
      </c>
      <c r="T104" s="162">
        <f>IF(E104="","",--RIGHT(E104,LEN(E104)-FIND("х",E104,FIND("х",E104)+1)))</f>
        <v/>
      </c>
      <c r="U104" s="66">
        <f>(2*(R104+S104)+60)*(S104+T104+8)/1000000</f>
        <v/>
      </c>
      <c r="V104" s="66">
        <f>IF(OR(AND(R104&gt;=2*S104,R104&gt;=2*T104),AND(S104&gt;=2*R104,S104&gt;=2*T104),AND(T104&gt;=2*R104,T104&gt;=2*S104)),"Длинные","")</f>
        <v/>
      </c>
      <c r="W104" s="66">
        <f>IF(OR(AND(R104&lt;=S104/2,R104&lt;=T104/2),AND(S104&lt;=R104/2,S104&lt;=T104/2),AND(T104&lt;=R104/2,T104&lt;=S104/2)),"Плоские","")</f>
        <v/>
      </c>
      <c r="X104" s="160">
        <f>IF(LARGE($R104:$T104,1)="","",IF(LARGE($R104:$T104,1)&lt;=99,"10-99 мм",IF(LARGE($R104:$T104,1)&lt;=199,"100-199 мм",IF(LARGE($R104:$T104,1)&lt;=299,"200-299 мм",IF(LARGE($R104:$T104,1)&lt;=399,"300-399 мм",IF(LARGE($R104:$T104,1)&lt;=499,"400-499 мм",IF(LARGE($R104:$T104,1)&lt;=599,"500-599 мм",IF(LARGE($R104:$T104,1)&lt;=699,"600-699 мм",IF(LARGE($R104:$T104,1)&lt;=999,"700-999 мм","1000+ мм")))))))))</f>
        <v/>
      </c>
      <c r="Y104" s="160">
        <f>IF(LARGE($R104:$T104,2)="","",IF(LARGE($R104:$T104,2)&lt;=99,"10-99 мм",IF(LARGE($R104:$T104,2)&lt;=199,"100-199 мм",IF(LARGE($R104:$T104,2)&lt;=299,"200-299 мм",IF(LARGE($R104:$T104,2)&lt;=399,"300-399 мм",IF(LARGE($R104:$T104,2)&lt;=499,"400-499 мм",IF(LARGE($R104:$T104,2)&lt;=599,"500-599 мм",IF(LARGE($R104:$T104,2)&lt;=699,"600-699 мм",IF(LARGE($R104:$T104,2)&lt;=999,"700-999 мм","1000+ мм")))))))))</f>
        <v/>
      </c>
      <c r="Z104" s="160">
        <f>IF(SMALL($R104:$T104,1)="","",IF(SMALL($R104:$T104,1)&lt;=99,"10-99 мм",IF(SMALL($R104:$T104,1)&lt;=199,"100-199 мм",IF(SMALL($R104:$T104,1)&lt;=299,"200-299 мм",IF(SMALL($R104:$T104,1)&lt;=399,"300-399 мм",IF(SMALL($R104:$T104,1)&lt;=499,"400-499 мм",IF(SMALL($R104:$T104,1)&lt;=599,"500-599 мм",IF(SMALL($R104:$T104,1)&lt;=699,"600-699 мм",IF(SMALL($R104:$T104,1)&lt;=999,"700-999 мм","1000+ мм")))))))))</f>
        <v/>
      </c>
      <c r="AA104" s="101">
        <f>IF(G104="","",IF(G104="Л","Лист гофрокартона",IF(G104="КД","Крышка-дно",IF(G104="С","Самосборные",IF(G104="Ч","Четырехклапанные",IF(G104="А","Архивные","Неизвестно"))))))</f>
        <v/>
      </c>
      <c r="AB104" s="66" t="n">
        <v>1.73</v>
      </c>
      <c r="AC104" s="101">
        <f>IF(O104="","",IF(O104&lt;=1,"0-1 литров",IF(O104&lt;=3,"2-3 литра",IF(O104&lt;=5,"4-5 литра",IF(O104&lt;=7,"6-7 литра",IF(O104&lt;=9,"8-9 литров",IF(O104&lt;=14,"10-14 литров",IF(O104&lt;=19,"15-19 литров",IF(O104&lt;=29,"20-29 литров",IF(O104&lt;=49,"30-49 литров",IF(O104&lt;=59,"50-59 литров",IF(O104&lt;=70,"60-69 литров",IF(O104&lt;=79,"70-79 литров",IF(O104&lt;=89,"80-89 литров",IF(O104&lt;=99,"90-99 литров",IF(O104&lt;=200,"100-200 литров","200+ литров"))))))))))))))))</f>
        <v/>
      </c>
    </row>
    <row r="105">
      <c r="A105" s="64" t="n">
        <v>0.51</v>
      </c>
      <c r="B105" s="65">
        <f>A105*1.2</f>
        <v/>
      </c>
      <c r="C105" s="109" t="n">
        <v>105</v>
      </c>
      <c r="D105" s="116" t="inlineStr">
        <is>
          <t>У</t>
        </is>
      </c>
      <c r="E105" s="88" t="inlineStr">
        <is>
          <t>330х180х95</t>
        </is>
      </c>
      <c r="G105" s="83" t="inlineStr">
        <is>
          <t>Ч</t>
        </is>
      </c>
      <c r="H105" s="146" t="inlineStr">
        <is>
          <t>0201</t>
        </is>
      </c>
      <c r="I105" s="83" t="inlineStr">
        <is>
          <t>В</t>
        </is>
      </c>
      <c r="J105" s="83" t="inlineStr">
        <is>
          <t>х</t>
        </is>
      </c>
      <c r="K105" s="116" t="inlineStr">
        <is>
          <t>K105</t>
        </is>
      </c>
      <c r="N105" s="239">
        <f>IF(D105="","",IF(LEFT(D105,1)="0",0,1))</f>
        <v/>
      </c>
      <c r="O105" s="80">
        <f>ROUND(R105*S105*T105/1000000,2)</f>
        <v/>
      </c>
      <c r="P105" s="160">
        <f>IF(O105="","",
IF(O105&lt;1,"0,1-0,9 литров",
IF(O105&lt;2,"1-1,9 литра",
IF(O105&lt;3,"2-2,9 литра",
IF(O105&lt;4,"3-3,9 литра",
IF(O105&lt;6,"4-5,9 литра",IF(O105&lt;8,"6-7,9 литра",IF(O105&lt;10,"8-9,9 литров",IF(O105&lt;15,"10-14,9 литров",IF(O105&lt;20,"15-19,9 литров",IF(O105&lt;30,"20-29 литров",IF(O105&lt;50,"30-49 литров",IF(O105&lt;60,"50-59 литров",IF(O105&lt;70,"60-69 литров",IF(O105&lt;80,"70-79 литров",IF(O105&lt;90,"80-89 литров",IF(O105&lt;100,"90-99 литров",IF(O105&lt;200,"100-200 литров","200+ литров"))))))))))))))))))</f>
        <v/>
      </c>
      <c r="Q105" s="101">
        <f>IF(O105="","",IF(O105&lt;1,"&lt;1 л",IF(O105&lt;2,"1-2 л",IF(O105&lt;3,"2-3 л",IF(O105&lt;5,"3-5 л",IF(O105&lt;10,"5-10 л",IF(O105&lt;20,"10-20 л",IF(O105&lt;50,"20-50 л",IF(O105&lt;100,"50-100 л","100+ л")))))))))</f>
        <v/>
      </c>
      <c r="R105" s="162">
        <f>IF(E105="","",--LEFT(E105,FIND("х",E105)-1))</f>
        <v/>
      </c>
      <c r="S105" s="162">
        <f>IF(E105="","",--MID(E105,FIND("х",E105)+1,FIND("х",E105,FIND("х",E105)+1)-FIND("х",E105)-1))</f>
        <v/>
      </c>
      <c r="T105" s="162">
        <f>IF(E105="","",--RIGHT(E105,LEN(E105)-FIND("х",E105,FIND("х",E105)+1)))</f>
        <v/>
      </c>
      <c r="U105" s="66">
        <f>(2*(R105+S105)+60)*(S105+T105+8)/1000000</f>
        <v/>
      </c>
      <c r="V105" s="66">
        <f>IF(OR(AND(R105&gt;=2*S105,R105&gt;=2*T105),AND(S105&gt;=2*R105,S105&gt;=2*T105),AND(T105&gt;=2*R105,T105&gt;=2*S105)),"Длинные","")</f>
        <v/>
      </c>
      <c r="W105" s="66">
        <f>IF(OR(AND(R105&lt;=S105/2,R105&lt;=T105/2),AND(S105&lt;=R105/2,S105&lt;=T105/2),AND(T105&lt;=R105/2,T105&lt;=S105/2)),"Плоские","")</f>
        <v/>
      </c>
      <c r="X105" s="160">
        <f>IF(LARGE($R105:$T105,1)="","",IF(LARGE($R105:$T105,1)&lt;=99,"10-99 мм",IF(LARGE($R105:$T105,1)&lt;=199,"100-199 мм",IF(LARGE($R105:$T105,1)&lt;=299,"200-299 мм",IF(LARGE($R105:$T105,1)&lt;=399,"300-399 мм",IF(LARGE($R105:$T105,1)&lt;=499,"400-499 мм",IF(LARGE($R105:$T105,1)&lt;=599,"500-599 мм",IF(LARGE($R105:$T105,1)&lt;=699,"600-699 мм",IF(LARGE($R105:$T105,1)&lt;=999,"700-999 мм","1000+ мм")))))))))</f>
        <v/>
      </c>
      <c r="Y105" s="160">
        <f>IF(LARGE($R105:$T105,2)="","",IF(LARGE($R105:$T105,2)&lt;=99,"10-99 мм",IF(LARGE($R105:$T105,2)&lt;=199,"100-199 мм",IF(LARGE($R105:$T105,2)&lt;=299,"200-299 мм",IF(LARGE($R105:$T105,2)&lt;=399,"300-399 мм",IF(LARGE($R105:$T105,2)&lt;=499,"400-499 мм",IF(LARGE($R105:$T105,2)&lt;=599,"500-599 мм",IF(LARGE($R105:$T105,2)&lt;=699,"600-699 мм",IF(LARGE($R105:$T105,2)&lt;=999,"700-999 мм","1000+ мм")))))))))</f>
        <v/>
      </c>
      <c r="Z105" s="160">
        <f>IF(SMALL($R105:$T105,1)="","",IF(SMALL($R105:$T105,1)&lt;=99,"10-99 мм",IF(SMALL($R105:$T105,1)&lt;=199,"100-199 мм",IF(SMALL($R105:$T105,1)&lt;=299,"200-299 мм",IF(SMALL($R105:$T105,1)&lt;=399,"300-399 мм",IF(SMALL($R105:$T105,1)&lt;=499,"400-499 мм",IF(SMALL($R105:$T105,1)&lt;=599,"500-599 мм",IF(SMALL($R105:$T105,1)&lt;=699,"600-699 мм",IF(SMALL($R105:$T105,1)&lt;=999,"700-999 мм","1000+ мм")))))))))</f>
        <v/>
      </c>
      <c r="AA105" s="101">
        <f>IF(G105="","",IF(G105="Л","Лист гофрокартона",IF(G105="КД","Крышка-дно",IF(G105="С","Самосборные",IF(G105="Ч","Четырехклапанные",IF(G105="А","Архивные","Неизвестно"))))))</f>
        <v/>
      </c>
      <c r="AB105" s="66" t="n">
        <v>1.73</v>
      </c>
      <c r="AC105" s="101">
        <f>IF(O105="","",IF(O105&lt;=1,"0-1 литров",IF(O105&lt;=3,"2-3 литра",IF(O105&lt;=5,"4-5 литра",IF(O105&lt;=7,"6-7 литра",IF(O105&lt;=9,"8-9 литров",IF(O105&lt;=14,"10-14 литров",IF(O105&lt;=19,"15-19 литров",IF(O105&lt;=29,"20-29 литров",IF(O105&lt;=49,"30-49 литров",IF(O105&lt;=59,"50-59 литров",IF(O105&lt;=70,"60-69 литров",IF(O105&lt;=79,"70-79 литров",IF(O105&lt;=89,"80-89 литров",IF(O105&lt;=99,"90-99 литров",IF(O105&lt;=200,"100-200 литров","200+ литров"))))))))))))))))</f>
        <v/>
      </c>
    </row>
    <row r="106">
      <c r="A106" s="64" t="n">
        <v>1.03</v>
      </c>
      <c r="B106" s="65">
        <f>A106*1.2</f>
        <v/>
      </c>
      <c r="C106" s="109" t="n">
        <v>106</v>
      </c>
      <c r="D106" s="116" t="inlineStr">
        <is>
          <t>У</t>
        </is>
      </c>
      <c r="E106" s="88" t="inlineStr">
        <is>
          <t>515х200х200</t>
        </is>
      </c>
      <c r="G106" s="83" t="inlineStr">
        <is>
          <t>Ч</t>
        </is>
      </c>
      <c r="H106" s="146" t="inlineStr">
        <is>
          <t>0201</t>
        </is>
      </c>
      <c r="I106" s="83" t="inlineStr">
        <is>
          <t>В</t>
        </is>
      </c>
      <c r="J106" s="83" t="inlineStr">
        <is>
          <t>х</t>
        </is>
      </c>
      <c r="K106" s="116" t="inlineStr">
        <is>
          <t>K106</t>
        </is>
      </c>
      <c r="N106" s="239">
        <f>IF(D106="","",IF(LEFT(D106,1)="0",0,1))</f>
        <v/>
      </c>
      <c r="O106" s="80">
        <f>ROUND(R106*S106*T106/1000000,2)</f>
        <v/>
      </c>
      <c r="P106" s="160">
        <f>IF(O106="","",
IF(O106&lt;1,"0,1-0,9 литров",
IF(O106&lt;2,"1-1,9 литра",
IF(O106&lt;3,"2-2,9 литра",
IF(O106&lt;4,"3-3,9 литра",
IF(O106&lt;6,"4-5,9 литра",IF(O106&lt;8,"6-7,9 литра",IF(O106&lt;10,"8-9,9 литров",IF(O106&lt;15,"10-14,9 литров",IF(O106&lt;20,"15-19,9 литров",IF(O106&lt;30,"20-29 литров",IF(O106&lt;50,"30-49 литров",IF(O106&lt;60,"50-59 литров",IF(O106&lt;70,"60-69 литров",IF(O106&lt;80,"70-79 литров",IF(O106&lt;90,"80-89 литров",IF(O106&lt;100,"90-99 литров",IF(O106&lt;200,"100-200 литров","200+ литров"))))))))))))))))))</f>
        <v/>
      </c>
      <c r="Q106" s="101">
        <f>IF(O106="","",IF(O106&lt;1,"&lt;1 л",IF(O106&lt;2,"1-2 л",IF(O106&lt;3,"2-3 л",IF(O106&lt;5,"3-5 л",IF(O106&lt;10,"5-10 л",IF(O106&lt;20,"10-20 л",IF(O106&lt;50,"20-50 л",IF(O106&lt;100,"50-100 л","100+ л")))))))))</f>
        <v/>
      </c>
      <c r="R106" s="162">
        <f>IF(E106="","",--LEFT(E106,FIND("х",E106)-1))</f>
        <v/>
      </c>
      <c r="S106" s="162">
        <f>IF(E106="","",--MID(E106,FIND("х",E106)+1,FIND("х",E106,FIND("х",E106)+1)-FIND("х",E106)-1))</f>
        <v/>
      </c>
      <c r="T106" s="162">
        <f>IF(E106="","",--RIGHT(E106,LEN(E106)-FIND("х",E106,FIND("х",E106)+1)))</f>
        <v/>
      </c>
      <c r="U106" s="66">
        <f>(2*(R106+S106)+60)*(S106+T106+8)/1000000</f>
        <v/>
      </c>
      <c r="V106" s="66">
        <f>IF(OR(AND(R106&gt;=2*S106,R106&gt;=2*T106),AND(S106&gt;=2*R106,S106&gt;=2*T106),AND(T106&gt;=2*R106,T106&gt;=2*S106)),"Длинные","")</f>
        <v/>
      </c>
      <c r="W106" s="66">
        <f>IF(OR(AND(R106&lt;=S106/2,R106&lt;=T106/2),AND(S106&lt;=R106/2,S106&lt;=T106/2),AND(T106&lt;=R106/2,T106&lt;=S106/2)),"Плоские","")</f>
        <v/>
      </c>
      <c r="X106" s="160">
        <f>IF(LARGE($R106:$T106,1)="","",IF(LARGE($R106:$T106,1)&lt;=99,"10-99 мм",IF(LARGE($R106:$T106,1)&lt;=199,"100-199 мм",IF(LARGE($R106:$T106,1)&lt;=299,"200-299 мм",IF(LARGE($R106:$T106,1)&lt;=399,"300-399 мм",IF(LARGE($R106:$T106,1)&lt;=499,"400-499 мм",IF(LARGE($R106:$T106,1)&lt;=599,"500-599 мм",IF(LARGE($R106:$T106,1)&lt;=699,"600-699 мм",IF(LARGE($R106:$T106,1)&lt;=999,"700-999 мм","1000+ мм")))))))))</f>
        <v/>
      </c>
      <c r="Y106" s="160">
        <f>IF(LARGE($R106:$T106,2)="","",IF(LARGE($R106:$T106,2)&lt;=99,"10-99 мм",IF(LARGE($R106:$T106,2)&lt;=199,"100-199 мм",IF(LARGE($R106:$T106,2)&lt;=299,"200-299 мм",IF(LARGE($R106:$T106,2)&lt;=399,"300-399 мм",IF(LARGE($R106:$T106,2)&lt;=499,"400-499 мм",IF(LARGE($R106:$T106,2)&lt;=599,"500-599 мм",IF(LARGE($R106:$T106,2)&lt;=699,"600-699 мм",IF(LARGE($R106:$T106,2)&lt;=999,"700-999 мм","1000+ мм")))))))))</f>
        <v/>
      </c>
      <c r="Z106" s="160">
        <f>IF(SMALL($R106:$T106,1)="","",IF(SMALL($R106:$T106,1)&lt;=99,"10-99 мм",IF(SMALL($R106:$T106,1)&lt;=199,"100-199 мм",IF(SMALL($R106:$T106,1)&lt;=299,"200-299 мм",IF(SMALL($R106:$T106,1)&lt;=399,"300-399 мм",IF(SMALL($R106:$T106,1)&lt;=499,"400-499 мм",IF(SMALL($R106:$T106,1)&lt;=599,"500-599 мм",IF(SMALL($R106:$T106,1)&lt;=699,"600-699 мм",IF(SMALL($R106:$T106,1)&lt;=999,"700-999 мм","1000+ мм")))))))))</f>
        <v/>
      </c>
      <c r="AA106" s="101">
        <f>IF(G106="","",IF(G106="Л","Лист гофрокартона",IF(G106="КД","Крышка-дно",IF(G106="С","Самосборные",IF(G106="Ч","Четырехклапанные",IF(G106="А","Архивные","Неизвестно"))))))</f>
        <v/>
      </c>
      <c r="AB106" s="66" t="n">
        <v>1.73</v>
      </c>
      <c r="AC106" s="101">
        <f>IF(O106="","",IF(O106&lt;=1,"0-1 литров",IF(O106&lt;=3,"2-3 литра",IF(O106&lt;=5,"4-5 литра",IF(O106&lt;=7,"6-7 литра",IF(O106&lt;=9,"8-9 литров",IF(O106&lt;=14,"10-14 литров",IF(O106&lt;=19,"15-19 литров",IF(O106&lt;=29,"20-29 литров",IF(O106&lt;=49,"30-49 литров",IF(O106&lt;=59,"50-59 литров",IF(O106&lt;=70,"60-69 литров",IF(O106&lt;=79,"70-79 литров",IF(O106&lt;=89,"80-89 литров",IF(O106&lt;=99,"90-99 литров",IF(O106&lt;=200,"100-200 литров","200+ литров"))))))))))))))))</f>
        <v/>
      </c>
    </row>
    <row r="107">
      <c r="A107" s="64" t="n">
        <v>1.29</v>
      </c>
      <c r="B107" s="65">
        <f>A107*1.2</f>
        <v/>
      </c>
      <c r="C107" s="109" t="n">
        <v>107</v>
      </c>
      <c r="D107" s="116" t="inlineStr">
        <is>
          <t>У</t>
        </is>
      </c>
      <c r="E107" s="88" t="inlineStr">
        <is>
          <t>350х265х320</t>
        </is>
      </c>
      <c r="G107" s="83" t="inlineStr">
        <is>
          <t>Ч</t>
        </is>
      </c>
      <c r="H107" s="146" t="inlineStr">
        <is>
          <t>0201</t>
        </is>
      </c>
      <c r="I107" s="83" t="inlineStr">
        <is>
          <t>В</t>
        </is>
      </c>
      <c r="J107" s="83" t="inlineStr">
        <is>
          <t>х</t>
        </is>
      </c>
      <c r="K107" s="116" t="inlineStr">
        <is>
          <t>K107</t>
        </is>
      </c>
      <c r="N107" s="239">
        <f>IF(D107="","",IF(LEFT(D107,1)="0",0,1))</f>
        <v/>
      </c>
      <c r="O107" s="80">
        <f>ROUND(R107*S107*T107/1000000,2)</f>
        <v/>
      </c>
      <c r="P107" s="160">
        <f>IF(O107="","",
IF(O107&lt;1,"0,1-0,9 литров",
IF(O107&lt;2,"1-1,9 литра",
IF(O107&lt;3,"2-2,9 литра",
IF(O107&lt;4,"3-3,9 литра",
IF(O107&lt;6,"4-5,9 литра",IF(O107&lt;8,"6-7,9 литра",IF(O107&lt;10,"8-9,9 литров",IF(O107&lt;15,"10-14,9 литров",IF(O107&lt;20,"15-19,9 литров",IF(O107&lt;30,"20-29 литров",IF(O107&lt;50,"30-49 литров",IF(O107&lt;60,"50-59 литров",IF(O107&lt;70,"60-69 литров",IF(O107&lt;80,"70-79 литров",IF(O107&lt;90,"80-89 литров",IF(O107&lt;100,"90-99 литров",IF(O107&lt;200,"100-200 литров","200+ литров"))))))))))))))))))</f>
        <v/>
      </c>
      <c r="Q107" s="101">
        <f>IF(O107="","",IF(O107&lt;1,"&lt;1 л",IF(O107&lt;2,"1-2 л",IF(O107&lt;3,"2-3 л",IF(O107&lt;5,"3-5 л",IF(O107&lt;10,"5-10 л",IF(O107&lt;20,"10-20 л",IF(O107&lt;50,"20-50 л",IF(O107&lt;100,"50-100 л","100+ л")))))))))</f>
        <v/>
      </c>
      <c r="R107" s="162">
        <f>IF(E107="","",--LEFT(E107,FIND("х",E107)-1))</f>
        <v/>
      </c>
      <c r="S107" s="162">
        <f>IF(E107="","",--MID(E107,FIND("х",E107)+1,FIND("х",E107,FIND("х",E107)+1)-FIND("х",E107)-1))</f>
        <v/>
      </c>
      <c r="T107" s="162">
        <f>IF(E107="","",--RIGHT(E107,LEN(E107)-FIND("х",E107,FIND("х",E107)+1)))</f>
        <v/>
      </c>
      <c r="U107" s="66">
        <f>(2*(R107+S107)+60)*(S107+T107+8)/1000000</f>
        <v/>
      </c>
      <c r="V107" s="66">
        <f>IF(OR(AND(R107&gt;=2*S107,R107&gt;=2*T107),AND(S107&gt;=2*R107,S107&gt;=2*T107),AND(T107&gt;=2*R107,T107&gt;=2*S107)),"Длинные","")</f>
        <v/>
      </c>
      <c r="W107" s="66">
        <f>IF(OR(AND(R107&lt;=S107/2,R107&lt;=T107/2),AND(S107&lt;=R107/2,S107&lt;=T107/2),AND(T107&lt;=R107/2,T107&lt;=S107/2)),"Плоские","")</f>
        <v/>
      </c>
      <c r="X107" s="160">
        <f>IF(LARGE($R107:$T107,1)="","",IF(LARGE($R107:$T107,1)&lt;=99,"10-99 мм",IF(LARGE($R107:$T107,1)&lt;=199,"100-199 мм",IF(LARGE($R107:$T107,1)&lt;=299,"200-299 мм",IF(LARGE($R107:$T107,1)&lt;=399,"300-399 мм",IF(LARGE($R107:$T107,1)&lt;=499,"400-499 мм",IF(LARGE($R107:$T107,1)&lt;=599,"500-599 мм",IF(LARGE($R107:$T107,1)&lt;=699,"600-699 мм",IF(LARGE($R107:$T107,1)&lt;=999,"700-999 мм","1000+ мм")))))))))</f>
        <v/>
      </c>
      <c r="Y107" s="160">
        <f>IF(LARGE($R107:$T107,2)="","",IF(LARGE($R107:$T107,2)&lt;=99,"10-99 мм",IF(LARGE($R107:$T107,2)&lt;=199,"100-199 мм",IF(LARGE($R107:$T107,2)&lt;=299,"200-299 мм",IF(LARGE($R107:$T107,2)&lt;=399,"300-399 мм",IF(LARGE($R107:$T107,2)&lt;=499,"400-499 мм",IF(LARGE($R107:$T107,2)&lt;=599,"500-599 мм",IF(LARGE($R107:$T107,2)&lt;=699,"600-699 мм",IF(LARGE($R107:$T107,2)&lt;=999,"700-999 мм","1000+ мм")))))))))</f>
        <v/>
      </c>
      <c r="Z107" s="160">
        <f>IF(SMALL($R107:$T107,1)="","",IF(SMALL($R107:$T107,1)&lt;=99,"10-99 мм",IF(SMALL($R107:$T107,1)&lt;=199,"100-199 мм",IF(SMALL($R107:$T107,1)&lt;=299,"200-299 мм",IF(SMALL($R107:$T107,1)&lt;=399,"300-399 мм",IF(SMALL($R107:$T107,1)&lt;=499,"400-499 мм",IF(SMALL($R107:$T107,1)&lt;=599,"500-599 мм",IF(SMALL($R107:$T107,1)&lt;=699,"600-699 мм",IF(SMALL($R107:$T107,1)&lt;=999,"700-999 мм","1000+ мм")))))))))</f>
        <v/>
      </c>
      <c r="AA107" s="101">
        <f>IF(G107="","",IF(G107="Л","Лист гофрокартона",IF(G107="КД","Крышка-дно",IF(G107="С","Самосборные",IF(G107="Ч","Четырехклапанные",IF(G107="А","Архивные","Неизвестно"))))))</f>
        <v/>
      </c>
      <c r="AB107" s="66" t="n">
        <v>1.73</v>
      </c>
      <c r="AC107" s="101">
        <f>IF(O107="","",IF(O107&lt;=1,"0-1 литров",IF(O107&lt;=3,"2-3 литра",IF(O107&lt;=5,"4-5 литра",IF(O107&lt;=7,"6-7 литра",IF(O107&lt;=9,"8-9 литров",IF(O107&lt;=14,"10-14 литров",IF(O107&lt;=19,"15-19 литров",IF(O107&lt;=29,"20-29 литров",IF(O107&lt;=49,"30-49 литров",IF(O107&lt;=59,"50-59 литров",IF(O107&lt;=70,"60-69 литров",IF(O107&lt;=79,"70-79 литров",IF(O107&lt;=89,"80-89 литров",IF(O107&lt;=99,"90-99 литров",IF(O107&lt;=200,"100-200 литров","200+ литров"))))))))))))))))</f>
        <v/>
      </c>
    </row>
    <row r="108">
      <c r="A108" s="64" t="n">
        <v>1.55</v>
      </c>
      <c r="B108" s="65">
        <f>A108*1.2</f>
        <v/>
      </c>
      <c r="C108" s="109" t="n">
        <v>108</v>
      </c>
      <c r="D108" s="116" t="inlineStr">
        <is>
          <t>У</t>
        </is>
      </c>
      <c r="E108" s="88" t="inlineStr">
        <is>
          <t>500х335х185</t>
        </is>
      </c>
      <c r="G108" s="83" t="inlineStr">
        <is>
          <t>Ч</t>
        </is>
      </c>
      <c r="H108" s="146" t="inlineStr">
        <is>
          <t>0201</t>
        </is>
      </c>
      <c r="I108" s="83" t="inlineStr">
        <is>
          <t>В</t>
        </is>
      </c>
      <c r="J108" s="83" t="inlineStr">
        <is>
          <t>х</t>
        </is>
      </c>
      <c r="K108" s="116" t="inlineStr">
        <is>
          <t>K108</t>
        </is>
      </c>
      <c r="N108" s="239">
        <f>IF(D108="","",IF(LEFT(D108,1)="0",0,1))</f>
        <v/>
      </c>
      <c r="O108" s="80">
        <f>ROUND(R108*S108*T108/1000000,2)</f>
        <v/>
      </c>
      <c r="P108" s="160">
        <f>IF(O108="","",
IF(O108&lt;1,"0,1-0,9 литров",
IF(O108&lt;2,"1-1,9 литра",
IF(O108&lt;3,"2-2,9 литра",
IF(O108&lt;4,"3-3,9 литра",
IF(O108&lt;6,"4-5,9 литра",IF(O108&lt;8,"6-7,9 литра",IF(O108&lt;10,"8-9,9 литров",IF(O108&lt;15,"10-14,9 литров",IF(O108&lt;20,"15-19,9 литров",IF(O108&lt;30,"20-29 литров",IF(O108&lt;50,"30-49 литров",IF(O108&lt;60,"50-59 литров",IF(O108&lt;70,"60-69 литров",IF(O108&lt;80,"70-79 литров",IF(O108&lt;90,"80-89 литров",IF(O108&lt;100,"90-99 литров",IF(O108&lt;200,"100-200 литров","200+ литров"))))))))))))))))))</f>
        <v/>
      </c>
      <c r="Q108" s="101">
        <f>IF(O108="","",IF(O108&lt;1,"&lt;1 л",IF(O108&lt;2,"1-2 л",IF(O108&lt;3,"2-3 л",IF(O108&lt;5,"3-5 л",IF(O108&lt;10,"5-10 л",IF(O108&lt;20,"10-20 л",IF(O108&lt;50,"20-50 л",IF(O108&lt;100,"50-100 л","100+ л")))))))))</f>
        <v/>
      </c>
      <c r="R108" s="162">
        <f>IF(E108="","",--LEFT(E108,FIND("х",E108)-1))</f>
        <v/>
      </c>
      <c r="S108" s="162">
        <f>IF(E108="","",--MID(E108,FIND("х",E108)+1,FIND("х",E108,FIND("х",E108)+1)-FIND("х",E108)-1))</f>
        <v/>
      </c>
      <c r="T108" s="162">
        <f>IF(E108="","",--RIGHT(E108,LEN(E108)-FIND("х",E108,FIND("х",E108)+1)))</f>
        <v/>
      </c>
      <c r="U108" s="66">
        <f>(2*(R108+S108)+60)*(S108+T108+8)/1000000</f>
        <v/>
      </c>
      <c r="V108" s="66">
        <f>IF(OR(AND(R108&gt;=2*S108,R108&gt;=2*T108),AND(S108&gt;=2*R108,S108&gt;=2*T108),AND(T108&gt;=2*R108,T108&gt;=2*S108)),"Длинные","")</f>
        <v/>
      </c>
      <c r="W108" s="66">
        <f>IF(OR(AND(R108&lt;=S108/2,R108&lt;=T108/2),AND(S108&lt;=R108/2,S108&lt;=T108/2),AND(T108&lt;=R108/2,T108&lt;=S108/2)),"Плоские","")</f>
        <v/>
      </c>
      <c r="X108" s="160">
        <f>IF(LARGE($R108:$T108,1)="","",IF(LARGE($R108:$T108,1)&lt;=99,"10-99 мм",IF(LARGE($R108:$T108,1)&lt;=199,"100-199 мм",IF(LARGE($R108:$T108,1)&lt;=299,"200-299 мм",IF(LARGE($R108:$T108,1)&lt;=399,"300-399 мм",IF(LARGE($R108:$T108,1)&lt;=499,"400-499 мм",IF(LARGE($R108:$T108,1)&lt;=599,"500-599 мм",IF(LARGE($R108:$T108,1)&lt;=699,"600-699 мм",IF(LARGE($R108:$T108,1)&lt;=999,"700-999 мм","1000+ мм")))))))))</f>
        <v/>
      </c>
      <c r="Y108" s="160">
        <f>IF(LARGE($R108:$T108,2)="","",IF(LARGE($R108:$T108,2)&lt;=99,"10-99 мм",IF(LARGE($R108:$T108,2)&lt;=199,"100-199 мм",IF(LARGE($R108:$T108,2)&lt;=299,"200-299 мм",IF(LARGE($R108:$T108,2)&lt;=399,"300-399 мм",IF(LARGE($R108:$T108,2)&lt;=499,"400-499 мм",IF(LARGE($R108:$T108,2)&lt;=599,"500-599 мм",IF(LARGE($R108:$T108,2)&lt;=699,"600-699 мм",IF(LARGE($R108:$T108,2)&lt;=999,"700-999 мм","1000+ мм")))))))))</f>
        <v/>
      </c>
      <c r="Z108" s="160">
        <f>IF(SMALL($R108:$T108,1)="","",IF(SMALL($R108:$T108,1)&lt;=99,"10-99 мм",IF(SMALL($R108:$T108,1)&lt;=199,"100-199 мм",IF(SMALL($R108:$T108,1)&lt;=299,"200-299 мм",IF(SMALL($R108:$T108,1)&lt;=399,"300-399 мм",IF(SMALL($R108:$T108,1)&lt;=499,"400-499 мм",IF(SMALL($R108:$T108,1)&lt;=599,"500-599 мм",IF(SMALL($R108:$T108,1)&lt;=699,"600-699 мм",IF(SMALL($R108:$T108,1)&lt;=999,"700-999 мм","1000+ мм")))))))))</f>
        <v/>
      </c>
      <c r="AA108" s="101">
        <f>IF(G108="","",IF(G108="Л","Лист гофрокартона",IF(G108="КД","Крышка-дно",IF(G108="С","Самосборные",IF(G108="Ч","Четырехклапанные",IF(G108="А","Архивные","Неизвестно"))))))</f>
        <v/>
      </c>
      <c r="AB108" s="66" t="n">
        <v>1.73</v>
      </c>
      <c r="AC108" s="101">
        <f>IF(O108="","",IF(O108&lt;=1,"0-1 литров",IF(O108&lt;=3,"2-3 литра",IF(O108&lt;=5,"4-5 литра",IF(O108&lt;=7,"6-7 литра",IF(O108&lt;=9,"8-9 литров",IF(O108&lt;=14,"10-14 литров",IF(O108&lt;=19,"15-19 литров",IF(O108&lt;=29,"20-29 литров",IF(O108&lt;=49,"30-49 литров",IF(O108&lt;=59,"50-59 литров",IF(O108&lt;=70,"60-69 литров",IF(O108&lt;=79,"70-79 литров",IF(O108&lt;=89,"80-89 литров",IF(O108&lt;=99,"90-99 литров",IF(O108&lt;=200,"100-200 литров","200+ литров"))))))))))))))))</f>
        <v/>
      </c>
    </row>
    <row r="109">
      <c r="A109" s="64" t="n">
        <v>5.72</v>
      </c>
      <c r="B109" s="65">
        <f>A109*1.2</f>
        <v/>
      </c>
      <c r="C109" s="109" t="n">
        <v>109</v>
      </c>
      <c r="D109" s="116" t="inlineStr">
        <is>
          <t>У</t>
        </is>
      </c>
      <c r="E109" s="88" t="inlineStr">
        <is>
          <t>985х585х450</t>
        </is>
      </c>
      <c r="G109" s="83" t="inlineStr">
        <is>
          <t>Ч</t>
        </is>
      </c>
      <c r="H109" s="146" t="inlineStr">
        <is>
          <t>0201</t>
        </is>
      </c>
      <c r="I109" s="83" t="inlineStr">
        <is>
          <t>В</t>
        </is>
      </c>
      <c r="J109" s="83" t="inlineStr">
        <is>
          <t>х</t>
        </is>
      </c>
      <c r="K109" s="116" t="inlineStr">
        <is>
          <t>K110</t>
        </is>
      </c>
      <c r="N109" s="239">
        <f>IF(D109="","",IF(LEFT(D109,1)="0",0,1))</f>
        <v/>
      </c>
      <c r="O109" s="80">
        <f>ROUND(R109*S109*T109/1000000,2)</f>
        <v/>
      </c>
      <c r="P109" s="160">
        <f>IF(O109="","",
IF(O109&lt;1,"0,1-0,9 литров",
IF(O109&lt;2,"1-1,9 литра",
IF(O109&lt;3,"2-2,9 литра",
IF(O109&lt;4,"3-3,9 литра",
IF(O109&lt;6,"4-5,9 литра",IF(O109&lt;8,"6-7,9 литра",IF(O109&lt;10,"8-9,9 литров",IF(O109&lt;15,"10-14,9 литров",IF(O109&lt;20,"15-19,9 литров",IF(O109&lt;30,"20-29 литров",IF(O109&lt;50,"30-49 литров",IF(O109&lt;60,"50-59 литров",IF(O109&lt;70,"60-69 литров",IF(O109&lt;80,"70-79 литров",IF(O109&lt;90,"80-89 литров",IF(O109&lt;100,"90-99 литров",IF(O109&lt;200,"100-200 литров","200+ литров"))))))))))))))))))</f>
        <v/>
      </c>
      <c r="Q109" s="101">
        <f>IF(O109="","",IF(O109&lt;1,"&lt;1 л",IF(O109&lt;2,"1-2 л",IF(O109&lt;3,"2-3 л",IF(O109&lt;5,"3-5 л",IF(O109&lt;10,"5-10 л",IF(O109&lt;20,"10-20 л",IF(O109&lt;50,"20-50 л",IF(O109&lt;100,"50-100 л","100+ л")))))))))</f>
        <v/>
      </c>
      <c r="R109" s="162">
        <f>IF(E109="","",--LEFT(E109,FIND("х",E109)-1))</f>
        <v/>
      </c>
      <c r="S109" s="162">
        <f>IF(E109="","",--MID(E109,FIND("х",E109)+1,FIND("х",E109,FIND("х",E109)+1)-FIND("х",E109)-1))</f>
        <v/>
      </c>
      <c r="T109" s="162">
        <f>IF(E109="","",--RIGHT(E109,LEN(E109)-FIND("х",E109,FIND("х",E109)+1)))</f>
        <v/>
      </c>
      <c r="U109" s="66">
        <f>(2*(R109+S109)+60)*(S109+T109+8)/1000000</f>
        <v/>
      </c>
      <c r="V109" s="66">
        <f>IF(OR(AND(R109&gt;=2*S109,R109&gt;=2*T109),AND(S109&gt;=2*R109,S109&gt;=2*T109),AND(T109&gt;=2*R109,T109&gt;=2*S109)),"Длинные","")</f>
        <v/>
      </c>
      <c r="W109" s="66">
        <f>IF(OR(AND(R109&lt;=S109/2,R109&lt;=T109/2),AND(S109&lt;=R109/2,S109&lt;=T109/2),AND(T109&lt;=R109/2,T109&lt;=S109/2)),"Плоские","")</f>
        <v/>
      </c>
      <c r="X109" s="160">
        <f>IF(LARGE($R109:$T109,1)="","",IF(LARGE($R109:$T109,1)&lt;=99,"10-99 мм",IF(LARGE($R109:$T109,1)&lt;=199,"100-199 мм",IF(LARGE($R109:$T109,1)&lt;=299,"200-299 мм",IF(LARGE($R109:$T109,1)&lt;=399,"300-399 мм",IF(LARGE($R109:$T109,1)&lt;=499,"400-499 мм",IF(LARGE($R109:$T109,1)&lt;=599,"500-599 мм",IF(LARGE($R109:$T109,1)&lt;=699,"600-699 мм",IF(LARGE($R109:$T109,1)&lt;=999,"700-999 мм","1000+ мм")))))))))</f>
        <v/>
      </c>
      <c r="Y109" s="160">
        <f>IF(LARGE($R109:$T109,2)="","",IF(LARGE($R109:$T109,2)&lt;=99,"10-99 мм",IF(LARGE($R109:$T109,2)&lt;=199,"100-199 мм",IF(LARGE($R109:$T109,2)&lt;=299,"200-299 мм",IF(LARGE($R109:$T109,2)&lt;=399,"300-399 мм",IF(LARGE($R109:$T109,2)&lt;=499,"400-499 мм",IF(LARGE($R109:$T109,2)&lt;=599,"500-599 мм",IF(LARGE($R109:$T109,2)&lt;=699,"600-699 мм",IF(LARGE($R109:$T109,2)&lt;=999,"700-999 мм","1000+ мм")))))))))</f>
        <v/>
      </c>
      <c r="Z109" s="160">
        <f>IF(SMALL($R109:$T109,1)="","",IF(SMALL($R109:$T109,1)&lt;=99,"10-99 мм",IF(SMALL($R109:$T109,1)&lt;=199,"100-199 мм",IF(SMALL($R109:$T109,1)&lt;=299,"200-299 мм",IF(SMALL($R109:$T109,1)&lt;=399,"300-399 мм",IF(SMALL($R109:$T109,1)&lt;=499,"400-499 мм",IF(SMALL($R109:$T109,1)&lt;=599,"500-599 мм",IF(SMALL($R109:$T109,1)&lt;=699,"600-699 мм",IF(SMALL($R109:$T109,1)&lt;=999,"700-999 мм","1000+ мм")))))))))</f>
        <v/>
      </c>
      <c r="AA109" s="101">
        <f>IF(G109="","",IF(G109="Л","Лист гофрокартона",IF(G109="КД","Крышка-дно",IF(G109="С","Самосборные",IF(G109="Ч","Четырехклапанные",IF(G109="А","Архивные","Неизвестно"))))))</f>
        <v/>
      </c>
      <c r="AB109" s="66" t="n">
        <v>1.73</v>
      </c>
      <c r="AC109" s="101">
        <f>IF(O109="","",IF(O109&lt;=1,"0-1 литров",IF(O109&lt;=3,"2-3 литра",IF(O109&lt;=5,"4-5 литра",IF(O109&lt;=7,"6-7 литра",IF(O109&lt;=9,"8-9 литров",IF(O109&lt;=14,"10-14 литров",IF(O109&lt;=19,"15-19 литров",IF(O109&lt;=29,"20-29 литров",IF(O109&lt;=49,"30-49 литров",IF(O109&lt;=59,"50-59 литров",IF(O109&lt;=70,"60-69 литров",IF(O109&lt;=79,"70-79 литров",IF(O109&lt;=89,"80-89 литров",IF(O109&lt;=99,"90-99 литров",IF(O109&lt;=200,"100-200 литров","200+ литров"))))))))))))))))</f>
        <v/>
      </c>
    </row>
    <row r="110">
      <c r="A110" s="64" t="n">
        <v>1.43</v>
      </c>
      <c r="B110" s="65">
        <f>A110*1.2</f>
        <v/>
      </c>
      <c r="C110" s="109" t="n">
        <v>110</v>
      </c>
      <c r="D110" s="116" t="inlineStr">
        <is>
          <t>У</t>
        </is>
      </c>
      <c r="E110" s="88" t="inlineStr">
        <is>
          <t>400х400х100</t>
        </is>
      </c>
      <c r="G110" s="83" t="inlineStr">
        <is>
          <t>Ч</t>
        </is>
      </c>
      <c r="H110" s="146" t="inlineStr">
        <is>
          <t>0201</t>
        </is>
      </c>
      <c r="I110" s="83" t="inlineStr">
        <is>
          <t>В</t>
        </is>
      </c>
      <c r="J110" s="83" t="inlineStr">
        <is>
          <t>х</t>
        </is>
      </c>
      <c r="K110" s="116" t="inlineStr">
        <is>
          <t>K111</t>
        </is>
      </c>
      <c r="N110" s="239">
        <f>IF(D110="","",IF(LEFT(D110,1)="0",0,1))</f>
        <v/>
      </c>
      <c r="O110" s="80">
        <f>ROUND(R110*S110*T110/1000000,2)</f>
        <v/>
      </c>
      <c r="P110" s="160">
        <f>IF(O110="","",
IF(O110&lt;1,"0,1-0,9 литров",
IF(O110&lt;2,"1-1,9 литра",
IF(O110&lt;3,"2-2,9 литра",
IF(O110&lt;4,"3-3,9 литра",
IF(O110&lt;6,"4-5,9 литра",IF(O110&lt;8,"6-7,9 литра",IF(O110&lt;10,"8-9,9 литров",IF(O110&lt;15,"10-14,9 литров",IF(O110&lt;20,"15-19,9 литров",IF(O110&lt;30,"20-29 литров",IF(O110&lt;50,"30-49 литров",IF(O110&lt;60,"50-59 литров",IF(O110&lt;70,"60-69 литров",IF(O110&lt;80,"70-79 литров",IF(O110&lt;90,"80-89 литров",IF(O110&lt;100,"90-99 литров",IF(O110&lt;200,"100-200 литров","200+ литров"))))))))))))))))))</f>
        <v/>
      </c>
      <c r="Q110" s="101">
        <f>IF(O110="","",IF(O110&lt;1,"&lt;1 л",IF(O110&lt;2,"1-2 л",IF(O110&lt;3,"2-3 л",IF(O110&lt;5,"3-5 л",IF(O110&lt;10,"5-10 л",IF(O110&lt;20,"10-20 л",IF(O110&lt;50,"20-50 л",IF(O110&lt;100,"50-100 л","100+ л")))))))))</f>
        <v/>
      </c>
      <c r="R110" s="162">
        <f>IF(E110="","",--LEFT(E110,FIND("х",E110)-1))</f>
        <v/>
      </c>
      <c r="S110" s="162">
        <f>IF(E110="","",--MID(E110,FIND("х",E110)+1,FIND("х",E110,FIND("х",E110)+1)-FIND("х",E110)-1))</f>
        <v/>
      </c>
      <c r="T110" s="162">
        <f>IF(E110="","",--RIGHT(E110,LEN(E110)-FIND("х",E110,FIND("х",E110)+1)))</f>
        <v/>
      </c>
      <c r="U110" s="66">
        <f>(2*(R110+S110)+60)*(S110+T110+8)/1000000</f>
        <v/>
      </c>
      <c r="V110" s="66">
        <f>IF(OR(AND(R110&gt;=2*S110,R110&gt;=2*T110),AND(S110&gt;=2*R110,S110&gt;=2*T110),AND(T110&gt;=2*R110,T110&gt;=2*S110)),"Длинные","")</f>
        <v/>
      </c>
      <c r="W110" s="66">
        <f>IF(OR(AND(R110&lt;=S110/2,R110&lt;=T110/2),AND(S110&lt;=R110/2,S110&lt;=T110/2),AND(T110&lt;=R110/2,T110&lt;=S110/2)),"Плоские","")</f>
        <v/>
      </c>
      <c r="X110" s="160">
        <f>IF(LARGE($R110:$T110,1)="","",IF(LARGE($R110:$T110,1)&lt;=99,"10-99 мм",IF(LARGE($R110:$T110,1)&lt;=199,"100-199 мм",IF(LARGE($R110:$T110,1)&lt;=299,"200-299 мм",IF(LARGE($R110:$T110,1)&lt;=399,"300-399 мм",IF(LARGE($R110:$T110,1)&lt;=499,"400-499 мм",IF(LARGE($R110:$T110,1)&lt;=599,"500-599 мм",IF(LARGE($R110:$T110,1)&lt;=699,"600-699 мм",IF(LARGE($R110:$T110,1)&lt;=999,"700-999 мм","1000+ мм")))))))))</f>
        <v/>
      </c>
      <c r="Y110" s="160">
        <f>IF(LARGE($R110:$T110,2)="","",IF(LARGE($R110:$T110,2)&lt;=99,"10-99 мм",IF(LARGE($R110:$T110,2)&lt;=199,"100-199 мм",IF(LARGE($R110:$T110,2)&lt;=299,"200-299 мм",IF(LARGE($R110:$T110,2)&lt;=399,"300-399 мм",IF(LARGE($R110:$T110,2)&lt;=499,"400-499 мм",IF(LARGE($R110:$T110,2)&lt;=599,"500-599 мм",IF(LARGE($R110:$T110,2)&lt;=699,"600-699 мм",IF(LARGE($R110:$T110,2)&lt;=999,"700-999 мм","1000+ мм")))))))))</f>
        <v/>
      </c>
      <c r="Z110" s="160">
        <f>IF(SMALL($R110:$T110,1)="","",IF(SMALL($R110:$T110,1)&lt;=99,"10-99 мм",IF(SMALL($R110:$T110,1)&lt;=199,"100-199 мм",IF(SMALL($R110:$T110,1)&lt;=299,"200-299 мм",IF(SMALL($R110:$T110,1)&lt;=399,"300-399 мм",IF(SMALL($R110:$T110,1)&lt;=499,"400-499 мм",IF(SMALL($R110:$T110,1)&lt;=599,"500-599 мм",IF(SMALL($R110:$T110,1)&lt;=699,"600-699 мм",IF(SMALL($R110:$T110,1)&lt;=999,"700-999 мм","1000+ мм")))))))))</f>
        <v/>
      </c>
      <c r="AA110" s="101">
        <f>IF(G110="","",IF(G110="Л","Лист гофрокартона",IF(G110="КД","Крышка-дно",IF(G110="С","Самосборные",IF(G110="Ч","Четырехклапанные",IF(G110="А","Архивные","Неизвестно"))))))</f>
        <v/>
      </c>
      <c r="AB110" s="66" t="n">
        <v>1.73</v>
      </c>
      <c r="AC110" s="101">
        <f>IF(O110="","",IF(O110&lt;=1,"0-1 литров",IF(O110&lt;=3,"2-3 литра",IF(O110&lt;=5,"4-5 литра",IF(O110&lt;=7,"6-7 литра",IF(O110&lt;=9,"8-9 литров",IF(O110&lt;=14,"10-14 литров",IF(O110&lt;=19,"15-19 литров",IF(O110&lt;=29,"20-29 литров",IF(O110&lt;=49,"30-49 литров",IF(O110&lt;=59,"50-59 литров",IF(O110&lt;=70,"60-69 литров",IF(O110&lt;=79,"70-79 литров",IF(O110&lt;=89,"80-89 литров",IF(O110&lt;=99,"90-99 литров",IF(O110&lt;=200,"100-200 литров","200+ литров"))))))))))))))))</f>
        <v/>
      </c>
    </row>
    <row r="111">
      <c r="A111" s="64" t="n">
        <v>0.27</v>
      </c>
      <c r="B111" s="65">
        <f>A111*1.2</f>
        <v/>
      </c>
      <c r="C111" s="109" t="n">
        <v>111</v>
      </c>
      <c r="D111" s="116" t="inlineStr">
        <is>
          <t>У</t>
        </is>
      </c>
      <c r="E111" s="88" t="inlineStr">
        <is>
          <t>125х110х95</t>
        </is>
      </c>
      <c r="G111" s="83" t="inlineStr">
        <is>
          <t>С</t>
        </is>
      </c>
      <c r="H111" s="146" t="inlineStr">
        <is>
          <t>х</t>
        </is>
      </c>
      <c r="I111" s="83" t="inlineStr">
        <is>
          <t>В</t>
        </is>
      </c>
      <c r="J111" s="83" t="inlineStr">
        <is>
          <t>х</t>
        </is>
      </c>
      <c r="K111" s="116" t="inlineStr">
        <is>
          <t>K112</t>
        </is>
      </c>
      <c r="N111" s="239">
        <f>IF(D111="","",IF(LEFT(D111,1)="0",0,1))</f>
        <v/>
      </c>
      <c r="O111" s="80">
        <f>ROUND(R111*S111*T111/1000000,2)</f>
        <v/>
      </c>
      <c r="P111" s="160">
        <f>IF(O111="","",
IF(O111&lt;1,"0,1-0,9 литров",
IF(O111&lt;2,"1-1,9 литра",
IF(O111&lt;3,"2-2,9 литра",
IF(O111&lt;4,"3-3,9 литра",
IF(O111&lt;6,"4-5,9 литра",IF(O111&lt;8,"6-7,9 литра",IF(O111&lt;10,"8-9,9 литров",IF(O111&lt;15,"10-14,9 литров",IF(O111&lt;20,"15-19,9 литров",IF(O111&lt;30,"20-29 литров",IF(O111&lt;50,"30-49 литров",IF(O111&lt;60,"50-59 литров",IF(O111&lt;70,"60-69 литров",IF(O111&lt;80,"70-79 литров",IF(O111&lt;90,"80-89 литров",IF(O111&lt;100,"90-99 литров",IF(O111&lt;200,"100-200 литров","200+ литров"))))))))))))))))))</f>
        <v/>
      </c>
      <c r="Q111" s="101">
        <f>IF(O111="","",IF(O111&lt;1,"&lt;1 л",IF(O111&lt;2,"1-2 л",IF(O111&lt;3,"2-3 л",IF(O111&lt;5,"3-5 л",IF(O111&lt;10,"5-10 л",IF(O111&lt;20,"10-20 л",IF(O111&lt;50,"20-50 л",IF(O111&lt;100,"50-100 л","100+ л")))))))))</f>
        <v/>
      </c>
      <c r="R111" s="162">
        <f>IF(E111="","",--LEFT(E111,FIND("х",E111)-1))</f>
        <v/>
      </c>
      <c r="S111" s="162">
        <f>IF(E111="","",--MID(E111,FIND("х",E111)+1,FIND("х",E111,FIND("х",E111)+1)-FIND("х",E111)-1))</f>
        <v/>
      </c>
      <c r="T111" s="162">
        <f>IF(E111="","",--RIGHT(E111,LEN(E111)-FIND("х",E111,FIND("х",E111)+1)))</f>
        <v/>
      </c>
      <c r="U111" s="66">
        <f>(2*(R111+S111)+60)*(S111+T111+8)/1000000</f>
        <v/>
      </c>
      <c r="V111" s="66">
        <f>IF(OR(AND(R111&gt;=2*S111,R111&gt;=2*T111),AND(S111&gt;=2*R111,S111&gt;=2*T111),AND(T111&gt;=2*R111,T111&gt;=2*S111)),"Длинные","")</f>
        <v/>
      </c>
      <c r="W111" s="66">
        <f>IF(OR(AND(R111&lt;=S111/2,R111&lt;=T111/2),AND(S111&lt;=R111/2,S111&lt;=T111/2),AND(T111&lt;=R111/2,T111&lt;=S111/2)),"Плоские","")</f>
        <v/>
      </c>
      <c r="X111" s="160">
        <f>IF(LARGE($R111:$T111,1)="","",IF(LARGE($R111:$T111,1)&lt;=99,"10-99 мм",IF(LARGE($R111:$T111,1)&lt;=199,"100-199 мм",IF(LARGE($R111:$T111,1)&lt;=299,"200-299 мм",IF(LARGE($R111:$T111,1)&lt;=399,"300-399 мм",IF(LARGE($R111:$T111,1)&lt;=499,"400-499 мм",IF(LARGE($R111:$T111,1)&lt;=599,"500-599 мм",IF(LARGE($R111:$T111,1)&lt;=699,"600-699 мм",IF(LARGE($R111:$T111,1)&lt;=999,"700-999 мм","1000+ мм")))))))))</f>
        <v/>
      </c>
      <c r="Y111" s="160">
        <f>IF(LARGE($R111:$T111,2)="","",IF(LARGE($R111:$T111,2)&lt;=99,"10-99 мм",IF(LARGE($R111:$T111,2)&lt;=199,"100-199 мм",IF(LARGE($R111:$T111,2)&lt;=299,"200-299 мм",IF(LARGE($R111:$T111,2)&lt;=399,"300-399 мм",IF(LARGE($R111:$T111,2)&lt;=499,"400-499 мм",IF(LARGE($R111:$T111,2)&lt;=599,"500-599 мм",IF(LARGE($R111:$T111,2)&lt;=699,"600-699 мм",IF(LARGE($R111:$T111,2)&lt;=999,"700-999 мм","1000+ мм")))))))))</f>
        <v/>
      </c>
      <c r="Z111" s="160">
        <f>IF(SMALL($R111:$T111,1)="","",IF(SMALL($R111:$T111,1)&lt;=99,"10-99 мм",IF(SMALL($R111:$T111,1)&lt;=199,"100-199 мм",IF(SMALL($R111:$T111,1)&lt;=299,"200-299 мм",IF(SMALL($R111:$T111,1)&lt;=399,"300-399 мм",IF(SMALL($R111:$T111,1)&lt;=499,"400-499 мм",IF(SMALL($R111:$T111,1)&lt;=599,"500-599 мм",IF(SMALL($R111:$T111,1)&lt;=699,"600-699 мм",IF(SMALL($R111:$T111,1)&lt;=999,"700-999 мм","1000+ мм")))))))))</f>
        <v/>
      </c>
      <c r="AA111" s="101">
        <f>IF(G111="","",IF(G111="Л","Лист гофрокартона",IF(G111="КД","Крышка-дно",IF(G111="С","Самосборные",IF(G111="Ч","Четырехклапанные",IF(G111="А","Архивные","Неизвестно"))))))</f>
        <v/>
      </c>
      <c r="AB111" s="66" t="n">
        <v>1.73</v>
      </c>
      <c r="AC111" s="101">
        <f>IF(O111="","",IF(O111&lt;=1,"0-1 литров",IF(O111&lt;=3,"2-3 литра",IF(O111&lt;=5,"4-5 литра",IF(O111&lt;=7,"6-7 литра",IF(O111&lt;=9,"8-9 литров",IF(O111&lt;=14,"10-14 литров",IF(O111&lt;=19,"15-19 литров",IF(O111&lt;=29,"20-29 литров",IF(O111&lt;=49,"30-49 литров",IF(O111&lt;=59,"50-59 литров",IF(O111&lt;=70,"60-69 литров",IF(O111&lt;=79,"70-79 литров",IF(O111&lt;=89,"80-89 литров",IF(O111&lt;=99,"90-99 литров",IF(O111&lt;=200,"100-200 литров","200+ литров"))))))))))))))))</f>
        <v/>
      </c>
    </row>
    <row r="112">
      <c r="A112" s="64" t="n">
        <v>1.08</v>
      </c>
      <c r="B112" s="65">
        <f>A112*1.2</f>
        <v/>
      </c>
      <c r="C112" s="109" t="n">
        <v>112</v>
      </c>
      <c r="D112" s="116" t="inlineStr">
        <is>
          <t>У</t>
        </is>
      </c>
      <c r="E112" s="88" t="inlineStr">
        <is>
          <t>375х250х230</t>
        </is>
      </c>
      <c r="G112" s="83" t="inlineStr">
        <is>
          <t>Ч</t>
        </is>
      </c>
      <c r="H112" s="146" t="inlineStr">
        <is>
          <t>х</t>
        </is>
      </c>
      <c r="I112" s="83" t="inlineStr">
        <is>
          <t>В</t>
        </is>
      </c>
      <c r="J112" s="83" t="inlineStr">
        <is>
          <t>х</t>
        </is>
      </c>
      <c r="K112" s="116" t="inlineStr">
        <is>
          <t>K113</t>
        </is>
      </c>
      <c r="N112" s="239">
        <f>IF(D112="","",IF(LEFT(D112,1)="0",0,1))</f>
        <v/>
      </c>
      <c r="O112" s="80">
        <f>ROUND(R112*S112*T112/1000000,2)</f>
        <v/>
      </c>
      <c r="P112" s="160">
        <f>IF(O112="","",
IF(O112&lt;1,"0,1-0,9 литров",
IF(O112&lt;2,"1-1,9 литра",
IF(O112&lt;3,"2-2,9 литра",
IF(O112&lt;4,"3-3,9 литра",
IF(O112&lt;6,"4-5,9 литра",IF(O112&lt;8,"6-7,9 литра",IF(O112&lt;10,"8-9,9 литров",IF(O112&lt;15,"10-14,9 литров",IF(O112&lt;20,"15-19,9 литров",IF(O112&lt;30,"20-29 литров",IF(O112&lt;50,"30-49 литров",IF(O112&lt;60,"50-59 литров",IF(O112&lt;70,"60-69 литров",IF(O112&lt;80,"70-79 литров",IF(O112&lt;90,"80-89 литров",IF(O112&lt;100,"90-99 литров",IF(O112&lt;200,"100-200 литров","200+ литров"))))))))))))))))))</f>
        <v/>
      </c>
      <c r="Q112" s="101">
        <f>IF(O112="","",IF(O112&lt;1,"&lt;1 л",IF(O112&lt;2,"1-2 л",IF(O112&lt;3,"2-3 л",IF(O112&lt;5,"3-5 л",IF(O112&lt;10,"5-10 л",IF(O112&lt;20,"10-20 л",IF(O112&lt;50,"20-50 л",IF(O112&lt;100,"50-100 л","100+ л")))))))))</f>
        <v/>
      </c>
      <c r="R112" s="162">
        <f>IF(E112="","",--LEFT(E112,FIND("х",E112)-1))</f>
        <v/>
      </c>
      <c r="S112" s="162">
        <f>IF(E112="","",--MID(E112,FIND("х",E112)+1,FIND("х",E112,FIND("х",E112)+1)-FIND("х",E112)-1))</f>
        <v/>
      </c>
      <c r="T112" s="162">
        <f>IF(E112="","",--RIGHT(E112,LEN(E112)-FIND("х",E112,FIND("х",E112)+1)))</f>
        <v/>
      </c>
      <c r="U112" s="66">
        <f>(2*(R112+S112)+60)*(S112+T112+8)/1000000</f>
        <v/>
      </c>
      <c r="V112" s="66">
        <f>IF(OR(AND(R112&gt;=2*S112,R112&gt;=2*T112),AND(S112&gt;=2*R112,S112&gt;=2*T112),AND(T112&gt;=2*R112,T112&gt;=2*S112)),"Длинные","")</f>
        <v/>
      </c>
      <c r="W112" s="66">
        <f>IF(OR(AND(R112&lt;=S112/2,R112&lt;=T112/2),AND(S112&lt;=R112/2,S112&lt;=T112/2),AND(T112&lt;=R112/2,T112&lt;=S112/2)),"Плоские","")</f>
        <v/>
      </c>
      <c r="X112" s="160">
        <f>IF(LARGE($R112:$T112,1)="","",IF(LARGE($R112:$T112,1)&lt;=99,"10-99 мм",IF(LARGE($R112:$T112,1)&lt;=199,"100-199 мм",IF(LARGE($R112:$T112,1)&lt;=299,"200-299 мм",IF(LARGE($R112:$T112,1)&lt;=399,"300-399 мм",IF(LARGE($R112:$T112,1)&lt;=499,"400-499 мм",IF(LARGE($R112:$T112,1)&lt;=599,"500-599 мм",IF(LARGE($R112:$T112,1)&lt;=699,"600-699 мм",IF(LARGE($R112:$T112,1)&lt;=999,"700-999 мм","1000+ мм")))))))))</f>
        <v/>
      </c>
      <c r="Y112" s="160">
        <f>IF(LARGE($R112:$T112,2)="","",IF(LARGE($R112:$T112,2)&lt;=99,"10-99 мм",IF(LARGE($R112:$T112,2)&lt;=199,"100-199 мм",IF(LARGE($R112:$T112,2)&lt;=299,"200-299 мм",IF(LARGE($R112:$T112,2)&lt;=399,"300-399 мм",IF(LARGE($R112:$T112,2)&lt;=499,"400-499 мм",IF(LARGE($R112:$T112,2)&lt;=599,"500-599 мм",IF(LARGE($R112:$T112,2)&lt;=699,"600-699 мм",IF(LARGE($R112:$T112,2)&lt;=999,"700-999 мм","1000+ мм")))))))))</f>
        <v/>
      </c>
      <c r="Z112" s="160">
        <f>IF(SMALL($R112:$T112,1)="","",IF(SMALL($R112:$T112,1)&lt;=99,"10-99 мм",IF(SMALL($R112:$T112,1)&lt;=199,"100-199 мм",IF(SMALL($R112:$T112,1)&lt;=299,"200-299 мм",IF(SMALL($R112:$T112,1)&lt;=399,"300-399 мм",IF(SMALL($R112:$T112,1)&lt;=499,"400-499 мм",IF(SMALL($R112:$T112,1)&lt;=599,"500-599 мм",IF(SMALL($R112:$T112,1)&lt;=699,"600-699 мм",IF(SMALL($R112:$T112,1)&lt;=999,"700-999 мм","1000+ мм")))))))))</f>
        <v/>
      </c>
      <c r="AA112" s="101">
        <f>IF(G112="","",IF(G112="Л","Лист гофрокартона",IF(G112="КД","Крышка-дно",IF(G112="С","Самосборные",IF(G112="Ч","Четырехклапанные",IF(G112="А","Архивные","Неизвестно"))))))</f>
        <v/>
      </c>
      <c r="AB112" s="66" t="n">
        <v>1.73</v>
      </c>
      <c r="AC112" s="101">
        <f>IF(O112="","",IF(O112&lt;=1,"0-1 литров",IF(O112&lt;=3,"2-3 литра",IF(O112&lt;=5,"4-5 литра",IF(O112&lt;=7,"6-7 литра",IF(O112&lt;=9,"8-9 литров",IF(O112&lt;=14,"10-14 литров",IF(O112&lt;=19,"15-19 литров",IF(O112&lt;=29,"20-29 литров",IF(O112&lt;=49,"30-49 литров",IF(O112&lt;=59,"50-59 литров",IF(O112&lt;=70,"60-69 литров",IF(O112&lt;=79,"70-79 литров",IF(O112&lt;=89,"80-89 литров",IF(O112&lt;=99,"90-99 литров",IF(O112&lt;=200,"100-200 литров","200+ литров"))))))))))))))))</f>
        <v/>
      </c>
    </row>
    <row r="113">
      <c r="A113" s="64" t="n">
        <v>4.88</v>
      </c>
      <c r="B113" s="65">
        <f>A113*1.2</f>
        <v/>
      </c>
      <c r="C113" s="109" t="n">
        <v>113</v>
      </c>
      <c r="D113" s="116" t="inlineStr">
        <is>
          <t>У</t>
        </is>
      </c>
      <c r="E113" s="88" t="inlineStr">
        <is>
          <t>720х650х360</t>
        </is>
      </c>
      <c r="G113" s="83" t="inlineStr">
        <is>
          <t>Ч</t>
        </is>
      </c>
      <c r="H113" s="146" t="inlineStr">
        <is>
          <t>х</t>
        </is>
      </c>
      <c r="I113" s="83" t="inlineStr">
        <is>
          <t>В</t>
        </is>
      </c>
      <c r="J113" s="83" t="inlineStr">
        <is>
          <t>х</t>
        </is>
      </c>
      <c r="K113" s="116" t="inlineStr">
        <is>
          <t>K114</t>
        </is>
      </c>
      <c r="N113" s="239">
        <f>IF(D113="","",IF(LEFT(D113,1)="0",0,1))</f>
        <v/>
      </c>
      <c r="O113" s="80">
        <f>ROUND(R113*S113*T113/1000000,2)</f>
        <v/>
      </c>
      <c r="P113" s="160">
        <f>IF(O113="","",
IF(O113&lt;1,"0,1-0,9 литров",
IF(O113&lt;2,"1-1,9 литра",
IF(O113&lt;3,"2-2,9 литра",
IF(O113&lt;4,"3-3,9 литра",
IF(O113&lt;6,"4-5,9 литра",IF(O113&lt;8,"6-7,9 литра",IF(O113&lt;10,"8-9,9 литров",IF(O113&lt;15,"10-14,9 литров",IF(O113&lt;20,"15-19,9 литров",IF(O113&lt;30,"20-29 литров",IF(O113&lt;50,"30-49 литров",IF(O113&lt;60,"50-59 литров",IF(O113&lt;70,"60-69 литров",IF(O113&lt;80,"70-79 литров",IF(O113&lt;90,"80-89 литров",IF(O113&lt;100,"90-99 литров",IF(O113&lt;200,"100-200 литров","200+ литров"))))))))))))))))))</f>
        <v/>
      </c>
      <c r="Q113" s="101">
        <f>IF(O113="","",IF(O113&lt;1,"&lt;1 л",IF(O113&lt;2,"1-2 л",IF(O113&lt;3,"2-3 л",IF(O113&lt;5,"3-5 л",IF(O113&lt;10,"5-10 л",IF(O113&lt;20,"10-20 л",IF(O113&lt;50,"20-50 л",IF(O113&lt;100,"50-100 л","100+ л")))))))))</f>
        <v/>
      </c>
      <c r="R113" s="162">
        <f>IF(E113="","",--LEFT(E113,FIND("х",E113)-1))</f>
        <v/>
      </c>
      <c r="S113" s="162">
        <f>IF(E113="","",--MID(E113,FIND("х",E113)+1,FIND("х",E113,FIND("х",E113)+1)-FIND("х",E113)-1))</f>
        <v/>
      </c>
      <c r="T113" s="162">
        <f>IF(E113="","",--RIGHT(E113,LEN(E113)-FIND("х",E113,FIND("х",E113)+1)))</f>
        <v/>
      </c>
      <c r="U113" s="66">
        <f>(2*(R113+S113)+60)*(S113+T113+8)/1000000</f>
        <v/>
      </c>
      <c r="V113" s="66">
        <f>IF(OR(AND(R113&gt;=2*S113,R113&gt;=2*T113),AND(S113&gt;=2*R113,S113&gt;=2*T113),AND(T113&gt;=2*R113,T113&gt;=2*S113)),"Длинные","")</f>
        <v/>
      </c>
      <c r="W113" s="66">
        <f>IF(OR(AND(R113&lt;=S113/2,R113&lt;=T113/2),AND(S113&lt;=R113/2,S113&lt;=T113/2),AND(T113&lt;=R113/2,T113&lt;=S113/2)),"Плоские","")</f>
        <v/>
      </c>
      <c r="X113" s="160">
        <f>IF(LARGE($R113:$T113,1)="","",IF(LARGE($R113:$T113,1)&lt;=99,"10-99 мм",IF(LARGE($R113:$T113,1)&lt;=199,"100-199 мм",IF(LARGE($R113:$T113,1)&lt;=299,"200-299 мм",IF(LARGE($R113:$T113,1)&lt;=399,"300-399 мм",IF(LARGE($R113:$T113,1)&lt;=499,"400-499 мм",IF(LARGE($R113:$T113,1)&lt;=599,"500-599 мм",IF(LARGE($R113:$T113,1)&lt;=699,"600-699 мм",IF(LARGE($R113:$T113,1)&lt;=999,"700-999 мм","1000+ мм")))))))))</f>
        <v/>
      </c>
      <c r="Y113" s="160">
        <f>IF(LARGE($R113:$T113,2)="","",IF(LARGE($R113:$T113,2)&lt;=99,"10-99 мм",IF(LARGE($R113:$T113,2)&lt;=199,"100-199 мм",IF(LARGE($R113:$T113,2)&lt;=299,"200-299 мм",IF(LARGE($R113:$T113,2)&lt;=399,"300-399 мм",IF(LARGE($R113:$T113,2)&lt;=499,"400-499 мм",IF(LARGE($R113:$T113,2)&lt;=599,"500-599 мм",IF(LARGE($R113:$T113,2)&lt;=699,"600-699 мм",IF(LARGE($R113:$T113,2)&lt;=999,"700-999 мм","1000+ мм")))))))))</f>
        <v/>
      </c>
      <c r="Z113" s="160">
        <f>IF(SMALL($R113:$T113,1)="","",IF(SMALL($R113:$T113,1)&lt;=99,"10-99 мм",IF(SMALL($R113:$T113,1)&lt;=199,"100-199 мм",IF(SMALL($R113:$T113,1)&lt;=299,"200-299 мм",IF(SMALL($R113:$T113,1)&lt;=399,"300-399 мм",IF(SMALL($R113:$T113,1)&lt;=499,"400-499 мм",IF(SMALL($R113:$T113,1)&lt;=599,"500-599 мм",IF(SMALL($R113:$T113,1)&lt;=699,"600-699 мм",IF(SMALL($R113:$T113,1)&lt;=999,"700-999 мм","1000+ мм")))))))))</f>
        <v/>
      </c>
      <c r="AA113" s="101">
        <f>IF(G113="","",IF(G113="Л","Лист гофрокартона",IF(G113="КД","Крышка-дно",IF(G113="С","Самосборные",IF(G113="Ч","Четырехклапанные",IF(G113="А","Архивные","Неизвестно"))))))</f>
        <v/>
      </c>
      <c r="AB113" s="66" t="n">
        <v>1.73</v>
      </c>
      <c r="AC113" s="101">
        <f>IF(O113="","",IF(O113&lt;=1,"0-1 литров",IF(O113&lt;=3,"2-3 литра",IF(O113&lt;=5,"4-5 литра",IF(O113&lt;=7,"6-7 литра",IF(O113&lt;=9,"8-9 литров",IF(O113&lt;=14,"10-14 литров",IF(O113&lt;=19,"15-19 литров",IF(O113&lt;=29,"20-29 литров",IF(O113&lt;=49,"30-49 литров",IF(O113&lt;=59,"50-59 литров",IF(O113&lt;=70,"60-69 литров",IF(O113&lt;=79,"70-79 литров",IF(O113&lt;=89,"80-89 литров",IF(O113&lt;=99,"90-99 литров",IF(O113&lt;=200,"100-200 литров","200+ литров"))))))))))))))))</f>
        <v/>
      </c>
    </row>
    <row r="114">
      <c r="A114" s="64" t="n">
        <v>9.17</v>
      </c>
      <c r="B114" s="65">
        <f>A114*1.2</f>
        <v/>
      </c>
      <c r="C114" s="109" t="n">
        <v>114</v>
      </c>
      <c r="D114" s="116" t="inlineStr">
        <is>
          <t>У</t>
        </is>
      </c>
      <c r="E114" s="88" t="inlineStr">
        <is>
          <t>1200х550х775</t>
        </is>
      </c>
      <c r="G114" s="83" t="inlineStr">
        <is>
          <t>Ч</t>
        </is>
      </c>
      <c r="H114" s="146" t="inlineStr">
        <is>
          <t>х</t>
        </is>
      </c>
      <c r="I114" s="83" t="inlineStr">
        <is>
          <t>В</t>
        </is>
      </c>
      <c r="J114" s="83" t="inlineStr">
        <is>
          <t>х</t>
        </is>
      </c>
      <c r="K114" s="116" t="inlineStr">
        <is>
          <t>K115</t>
        </is>
      </c>
      <c r="N114" s="239">
        <f>IF(D114="","",IF(LEFT(D114,1)="0",0,1))</f>
        <v/>
      </c>
      <c r="O114" s="80">
        <f>ROUND(R114*S114*T114/1000000,2)</f>
        <v/>
      </c>
      <c r="P114" s="160">
        <f>IF(O114="","",
IF(O114&lt;1,"0,1-0,9 литров",
IF(O114&lt;2,"1-1,9 литра",
IF(O114&lt;3,"2-2,9 литра",
IF(O114&lt;4,"3-3,9 литра",
IF(O114&lt;6,"4-5,9 литра",IF(O114&lt;8,"6-7,9 литра",IF(O114&lt;10,"8-9,9 литров",IF(O114&lt;15,"10-14,9 литров",IF(O114&lt;20,"15-19,9 литров",IF(O114&lt;30,"20-29 литров",IF(O114&lt;50,"30-49 литров",IF(O114&lt;60,"50-59 литров",IF(O114&lt;70,"60-69 литров",IF(O114&lt;80,"70-79 литров",IF(O114&lt;90,"80-89 литров",IF(O114&lt;100,"90-99 литров",IF(O114&lt;200,"100-200 литров","200+ литров"))))))))))))))))))</f>
        <v/>
      </c>
      <c r="Q114" s="101">
        <f>IF(O114="","",IF(O114&lt;1,"&lt;1 л",IF(O114&lt;2,"1-2 л",IF(O114&lt;3,"2-3 л",IF(O114&lt;5,"3-5 л",IF(O114&lt;10,"5-10 л",IF(O114&lt;20,"10-20 л",IF(O114&lt;50,"20-50 л",IF(O114&lt;100,"50-100 л","100+ л")))))))))</f>
        <v/>
      </c>
      <c r="R114" s="162">
        <f>IF(E114="","",--LEFT(E114,FIND("х",E114)-1))</f>
        <v/>
      </c>
      <c r="S114" s="162">
        <f>IF(E114="","",--MID(E114,FIND("х",E114)+1,FIND("х",E114,FIND("х",E114)+1)-FIND("х",E114)-1))</f>
        <v/>
      </c>
      <c r="T114" s="162">
        <f>IF(E114="","",--RIGHT(E114,LEN(E114)-FIND("х",E114,FIND("х",E114)+1)))</f>
        <v/>
      </c>
      <c r="U114" s="66">
        <f>(2*(R114+S114)+60)*(S114+T114+8)/1000000</f>
        <v/>
      </c>
      <c r="V114" s="66">
        <f>IF(OR(AND(R114&gt;=2*S114,R114&gt;=2*T114),AND(S114&gt;=2*R114,S114&gt;=2*T114),AND(T114&gt;=2*R114,T114&gt;=2*S114)),"Длинные","")</f>
        <v/>
      </c>
      <c r="W114" s="66">
        <f>IF(OR(AND(R114&lt;=S114/2,R114&lt;=T114/2),AND(S114&lt;=R114/2,S114&lt;=T114/2),AND(T114&lt;=R114/2,T114&lt;=S114/2)),"Плоские","")</f>
        <v/>
      </c>
      <c r="X114" s="160">
        <f>IF(LARGE($R114:$T114,1)="","",IF(LARGE($R114:$T114,1)&lt;=99,"10-99 мм",IF(LARGE($R114:$T114,1)&lt;=199,"100-199 мм",IF(LARGE($R114:$T114,1)&lt;=299,"200-299 мм",IF(LARGE($R114:$T114,1)&lt;=399,"300-399 мм",IF(LARGE($R114:$T114,1)&lt;=499,"400-499 мм",IF(LARGE($R114:$T114,1)&lt;=599,"500-599 мм",IF(LARGE($R114:$T114,1)&lt;=699,"600-699 мм",IF(LARGE($R114:$T114,1)&lt;=999,"700-999 мм","1000+ мм")))))))))</f>
        <v/>
      </c>
      <c r="Y114" s="160">
        <f>IF(LARGE($R114:$T114,2)="","",IF(LARGE($R114:$T114,2)&lt;=99,"10-99 мм",IF(LARGE($R114:$T114,2)&lt;=199,"100-199 мм",IF(LARGE($R114:$T114,2)&lt;=299,"200-299 мм",IF(LARGE($R114:$T114,2)&lt;=399,"300-399 мм",IF(LARGE($R114:$T114,2)&lt;=499,"400-499 мм",IF(LARGE($R114:$T114,2)&lt;=599,"500-599 мм",IF(LARGE($R114:$T114,2)&lt;=699,"600-699 мм",IF(LARGE($R114:$T114,2)&lt;=999,"700-999 мм","1000+ мм")))))))))</f>
        <v/>
      </c>
      <c r="Z114" s="160">
        <f>IF(SMALL($R114:$T114,1)="","",IF(SMALL($R114:$T114,1)&lt;=99,"10-99 мм",IF(SMALL($R114:$T114,1)&lt;=199,"100-199 мм",IF(SMALL($R114:$T114,1)&lt;=299,"200-299 мм",IF(SMALL($R114:$T114,1)&lt;=399,"300-399 мм",IF(SMALL($R114:$T114,1)&lt;=499,"400-499 мм",IF(SMALL($R114:$T114,1)&lt;=599,"500-599 мм",IF(SMALL($R114:$T114,1)&lt;=699,"600-699 мм",IF(SMALL($R114:$T114,1)&lt;=999,"700-999 мм","1000+ мм")))))))))</f>
        <v/>
      </c>
      <c r="AA114" s="101">
        <f>IF(G114="","",IF(G114="Л","Лист гофрокартона",IF(G114="КД","Крышка-дно",IF(G114="С","Самосборные",IF(G114="Ч","Четырехклапанные",IF(G114="А","Архивные","Неизвестно"))))))</f>
        <v/>
      </c>
      <c r="AB114" s="66" t="n">
        <v>1.73</v>
      </c>
      <c r="AC114" s="101">
        <f>IF(O114="","",IF(O114&lt;=1,"0-1 литров",IF(O114&lt;=3,"2-3 литра",IF(O114&lt;=5,"4-5 литра",IF(O114&lt;=7,"6-7 литра",IF(O114&lt;=9,"8-9 литров",IF(O114&lt;=14,"10-14 литров",IF(O114&lt;=19,"15-19 литров",IF(O114&lt;=29,"20-29 литров",IF(O114&lt;=49,"30-49 литров",IF(O114&lt;=59,"50-59 литров",IF(O114&lt;=70,"60-69 литров",IF(O114&lt;=79,"70-79 литров",IF(O114&lt;=89,"80-89 литров",IF(O114&lt;=99,"90-99 литров",IF(O114&lt;=200,"100-200 литров","200+ литров"))))))))))))))))</f>
        <v/>
      </c>
    </row>
    <row r="115">
      <c r="A115" s="64" t="n">
        <v>1.3</v>
      </c>
      <c r="B115" s="65">
        <f>A115*1.2</f>
        <v/>
      </c>
      <c r="C115" s="109" t="n">
        <v>115</v>
      </c>
      <c r="D115" s="116" t="inlineStr">
        <is>
          <t>У</t>
        </is>
      </c>
      <c r="E115" s="88" t="inlineStr">
        <is>
          <t>300х300х300</t>
        </is>
      </c>
      <c r="G115" s="83" t="inlineStr">
        <is>
          <t>Ч</t>
        </is>
      </c>
      <c r="H115" s="146" t="inlineStr">
        <is>
          <t>х</t>
        </is>
      </c>
      <c r="I115" s="83" t="inlineStr">
        <is>
          <t>В</t>
        </is>
      </c>
      <c r="J115" s="83" t="inlineStr">
        <is>
          <t>х</t>
        </is>
      </c>
      <c r="K115" s="116" t="inlineStr">
        <is>
          <t>K116</t>
        </is>
      </c>
      <c r="N115" s="239">
        <f>IF(D115="","",IF(LEFT(D115,1)="0",0,1))</f>
        <v/>
      </c>
      <c r="O115" s="80">
        <f>ROUND(R115*S115*T115/1000000,2)</f>
        <v/>
      </c>
      <c r="P115" s="160">
        <f>IF(O115="","",
IF(O115&lt;1,"0,1-0,9 литров",
IF(O115&lt;2,"1-1,9 литра",
IF(O115&lt;3,"2-2,9 литра",
IF(O115&lt;4,"3-3,9 литра",
IF(O115&lt;6,"4-5,9 литра",IF(O115&lt;8,"6-7,9 литра",IF(O115&lt;10,"8-9,9 литров",IF(O115&lt;15,"10-14,9 литров",IF(O115&lt;20,"15-19,9 литров",IF(O115&lt;30,"20-29 литров",IF(O115&lt;50,"30-49 литров",IF(O115&lt;60,"50-59 литров",IF(O115&lt;70,"60-69 литров",IF(O115&lt;80,"70-79 литров",IF(O115&lt;90,"80-89 литров",IF(O115&lt;100,"90-99 литров",IF(O115&lt;200,"100-200 литров","200+ литров"))))))))))))))))))</f>
        <v/>
      </c>
      <c r="Q115" s="101">
        <f>IF(O115="","",IF(O115&lt;1,"&lt;1 л",IF(O115&lt;2,"1-2 л",IF(O115&lt;3,"2-3 л",IF(O115&lt;5,"3-5 л",IF(O115&lt;10,"5-10 л",IF(O115&lt;20,"10-20 л",IF(O115&lt;50,"20-50 л",IF(O115&lt;100,"50-100 л","100+ л")))))))))</f>
        <v/>
      </c>
      <c r="R115" s="162">
        <f>IF(E115="","",--LEFT(E115,FIND("х",E115)-1))</f>
        <v/>
      </c>
      <c r="S115" s="162">
        <f>IF(E115="","",--MID(E115,FIND("х",E115)+1,FIND("х",E115,FIND("х",E115)+1)-FIND("х",E115)-1))</f>
        <v/>
      </c>
      <c r="T115" s="162">
        <f>IF(E115="","",--RIGHT(E115,LEN(E115)-FIND("х",E115,FIND("х",E115)+1)))</f>
        <v/>
      </c>
      <c r="U115" s="66">
        <f>(2*(R115+S115)+60)*(S115+T115+8)/1000000</f>
        <v/>
      </c>
      <c r="V115" s="66">
        <f>IF(OR(AND(R115&gt;=2*S115,R115&gt;=2*T115),AND(S115&gt;=2*R115,S115&gt;=2*T115),AND(T115&gt;=2*R115,T115&gt;=2*S115)),"Длинные","")</f>
        <v/>
      </c>
      <c r="W115" s="66">
        <f>IF(OR(AND(R115&lt;=S115/2,R115&lt;=T115/2),AND(S115&lt;=R115/2,S115&lt;=T115/2),AND(T115&lt;=R115/2,T115&lt;=S115/2)),"Плоские","")</f>
        <v/>
      </c>
      <c r="X115" s="160">
        <f>IF(LARGE($R115:$T115,1)="","",IF(LARGE($R115:$T115,1)&lt;=99,"10-99 мм",IF(LARGE($R115:$T115,1)&lt;=199,"100-199 мм",IF(LARGE($R115:$T115,1)&lt;=299,"200-299 мм",IF(LARGE($R115:$T115,1)&lt;=399,"300-399 мм",IF(LARGE($R115:$T115,1)&lt;=499,"400-499 мм",IF(LARGE($R115:$T115,1)&lt;=599,"500-599 мм",IF(LARGE($R115:$T115,1)&lt;=699,"600-699 мм",IF(LARGE($R115:$T115,1)&lt;=999,"700-999 мм","1000+ мм")))))))))</f>
        <v/>
      </c>
      <c r="Y115" s="160">
        <f>IF(LARGE($R115:$T115,2)="","",IF(LARGE($R115:$T115,2)&lt;=99,"10-99 мм",IF(LARGE($R115:$T115,2)&lt;=199,"100-199 мм",IF(LARGE($R115:$T115,2)&lt;=299,"200-299 мм",IF(LARGE($R115:$T115,2)&lt;=399,"300-399 мм",IF(LARGE($R115:$T115,2)&lt;=499,"400-499 мм",IF(LARGE($R115:$T115,2)&lt;=599,"500-599 мм",IF(LARGE($R115:$T115,2)&lt;=699,"600-699 мм",IF(LARGE($R115:$T115,2)&lt;=999,"700-999 мм","1000+ мм")))))))))</f>
        <v/>
      </c>
      <c r="Z115" s="160">
        <f>IF(SMALL($R115:$T115,1)="","",IF(SMALL($R115:$T115,1)&lt;=99,"10-99 мм",IF(SMALL($R115:$T115,1)&lt;=199,"100-199 мм",IF(SMALL($R115:$T115,1)&lt;=299,"200-299 мм",IF(SMALL($R115:$T115,1)&lt;=399,"300-399 мм",IF(SMALL($R115:$T115,1)&lt;=499,"400-499 мм",IF(SMALL($R115:$T115,1)&lt;=599,"500-599 мм",IF(SMALL($R115:$T115,1)&lt;=699,"600-699 мм",IF(SMALL($R115:$T115,1)&lt;=999,"700-999 мм","1000+ мм")))))))))</f>
        <v/>
      </c>
      <c r="AA115" s="101">
        <f>IF(G115="","",IF(G115="Л","Лист гофрокартона",IF(G115="КД","Крышка-дно",IF(G115="С","Самосборные",IF(G115="Ч","Четырехклапанные",IF(G115="А","Архивные","Неизвестно"))))))</f>
        <v/>
      </c>
      <c r="AB115" s="66" t="n">
        <v>1.73</v>
      </c>
      <c r="AC115" s="101">
        <f>IF(O115="","",IF(O115&lt;=1,"0-1 литров",IF(O115&lt;=3,"2-3 литра",IF(O115&lt;=5,"4-5 литра",IF(O115&lt;=7,"6-7 литра",IF(O115&lt;=9,"8-9 литров",IF(O115&lt;=14,"10-14 литров",IF(O115&lt;=19,"15-19 литров",IF(O115&lt;=29,"20-29 литров",IF(O115&lt;=49,"30-49 литров",IF(O115&lt;=59,"50-59 литров",IF(O115&lt;=70,"60-69 литров",IF(O115&lt;=79,"70-79 литров",IF(O115&lt;=89,"80-89 литров",IF(O115&lt;=99,"90-99 литров",IF(O115&lt;=200,"100-200 литров","200+ литров"))))))))))))))))</f>
        <v/>
      </c>
    </row>
    <row r="116">
      <c r="A116" s="64" t="n">
        <v>6.7</v>
      </c>
      <c r="B116" s="65">
        <f>A116*1.2</f>
        <v/>
      </c>
      <c r="C116" s="109" t="n">
        <v>116</v>
      </c>
      <c r="D116" s="116" t="inlineStr">
        <is>
          <t>У</t>
        </is>
      </c>
      <c r="E116" s="88" t="inlineStr">
        <is>
          <t>1022х518х720</t>
        </is>
      </c>
      <c r="G116" s="83" t="inlineStr">
        <is>
          <t>Ч</t>
        </is>
      </c>
      <c r="H116" s="146" t="inlineStr">
        <is>
          <t>0201</t>
        </is>
      </c>
      <c r="I116" s="83" t="inlineStr">
        <is>
          <t>В</t>
        </is>
      </c>
      <c r="J116" s="83" t="inlineStr">
        <is>
          <t>х</t>
        </is>
      </c>
      <c r="K116" s="116" t="inlineStr">
        <is>
          <t>K117</t>
        </is>
      </c>
      <c r="N116" s="239">
        <f>IF(D116="","",IF(LEFT(D116,1)="0",0,1))</f>
        <v/>
      </c>
      <c r="O116" s="80">
        <f>ROUND(R116*S116*T116/1000000,2)</f>
        <v/>
      </c>
      <c r="P116" s="160">
        <f>IF(O116="","",
IF(O116&lt;1,"0,1-0,9 литров",
IF(O116&lt;2,"1-1,9 литра",
IF(O116&lt;3,"2-2,9 литра",
IF(O116&lt;4,"3-3,9 литра",
IF(O116&lt;6,"4-5,9 литра",IF(O116&lt;8,"6-7,9 литра",IF(O116&lt;10,"8-9,9 литров",IF(O116&lt;15,"10-14,9 литров",IF(O116&lt;20,"15-19,9 литров",IF(O116&lt;30,"20-29 литров",IF(O116&lt;50,"30-49 литров",IF(O116&lt;60,"50-59 литров",IF(O116&lt;70,"60-69 литров",IF(O116&lt;80,"70-79 литров",IF(O116&lt;90,"80-89 литров",IF(O116&lt;100,"90-99 литров",IF(O116&lt;200,"100-200 литров","200+ литров"))))))))))))))))))</f>
        <v/>
      </c>
      <c r="Q116" s="101">
        <f>IF(O116="","",IF(O116&lt;1,"&lt;1 л",IF(O116&lt;2,"1-2 л",IF(O116&lt;3,"2-3 л",IF(O116&lt;5,"3-5 л",IF(O116&lt;10,"5-10 л",IF(O116&lt;20,"10-20 л",IF(O116&lt;50,"20-50 л",IF(O116&lt;100,"50-100 л","100+ л")))))))))</f>
        <v/>
      </c>
      <c r="R116" s="162">
        <f>IF(E116="","",--LEFT(E116,FIND("х",E116)-1))</f>
        <v/>
      </c>
      <c r="S116" s="162">
        <f>IF(E116="","",--MID(E116,FIND("х",E116)+1,FIND("х",E116,FIND("х",E116)+1)-FIND("х",E116)-1))</f>
        <v/>
      </c>
      <c r="T116" s="162">
        <f>IF(E116="","",--RIGHT(E116,LEN(E116)-FIND("х",E116,FIND("х",E116)+1)))</f>
        <v/>
      </c>
      <c r="U116" s="66">
        <f>(2*(R116+S116)+60)*(S116+T116+8)/1000000</f>
        <v/>
      </c>
      <c r="V116" s="66">
        <f>IF(OR(AND(R116&gt;=2*S116,R116&gt;=2*T116),AND(S116&gt;=2*R116,S116&gt;=2*T116),AND(T116&gt;=2*R116,T116&gt;=2*S116)),"Длинные","")</f>
        <v/>
      </c>
      <c r="W116" s="66">
        <f>IF(OR(AND(R116&lt;=S116/2,R116&lt;=T116/2),AND(S116&lt;=R116/2,S116&lt;=T116/2),AND(T116&lt;=R116/2,T116&lt;=S116/2)),"Плоские","")</f>
        <v/>
      </c>
      <c r="X116" s="160">
        <f>IF(LARGE($R116:$T116,1)="","",IF(LARGE($R116:$T116,1)&lt;=99,"10-99 мм",IF(LARGE($R116:$T116,1)&lt;=199,"100-199 мм",IF(LARGE($R116:$T116,1)&lt;=299,"200-299 мм",IF(LARGE($R116:$T116,1)&lt;=399,"300-399 мм",IF(LARGE($R116:$T116,1)&lt;=499,"400-499 мм",IF(LARGE($R116:$T116,1)&lt;=599,"500-599 мм",IF(LARGE($R116:$T116,1)&lt;=699,"600-699 мм",IF(LARGE($R116:$T116,1)&lt;=999,"700-999 мм","1000+ мм")))))))))</f>
        <v/>
      </c>
      <c r="Y116" s="160">
        <f>IF(LARGE($R116:$T116,2)="","",IF(LARGE($R116:$T116,2)&lt;=99,"10-99 мм",IF(LARGE($R116:$T116,2)&lt;=199,"100-199 мм",IF(LARGE($R116:$T116,2)&lt;=299,"200-299 мм",IF(LARGE($R116:$T116,2)&lt;=399,"300-399 мм",IF(LARGE($R116:$T116,2)&lt;=499,"400-499 мм",IF(LARGE($R116:$T116,2)&lt;=599,"500-599 мм",IF(LARGE($R116:$T116,2)&lt;=699,"600-699 мм",IF(LARGE($R116:$T116,2)&lt;=999,"700-999 мм","1000+ мм")))))))))</f>
        <v/>
      </c>
      <c r="Z116" s="160">
        <f>IF(SMALL($R116:$T116,1)="","",IF(SMALL($R116:$T116,1)&lt;=99,"10-99 мм",IF(SMALL($R116:$T116,1)&lt;=199,"100-199 мм",IF(SMALL($R116:$T116,1)&lt;=299,"200-299 мм",IF(SMALL($R116:$T116,1)&lt;=399,"300-399 мм",IF(SMALL($R116:$T116,1)&lt;=499,"400-499 мм",IF(SMALL($R116:$T116,1)&lt;=599,"500-599 мм",IF(SMALL($R116:$T116,1)&lt;=699,"600-699 мм",IF(SMALL($R116:$T116,1)&lt;=999,"700-999 мм","1000+ мм")))))))))</f>
        <v/>
      </c>
      <c r="AA116" s="101">
        <f>IF(G116="","",IF(G116="Л","Лист гофрокартона",IF(G116="КД","Крышка-дно",IF(G116="С","Самосборные",IF(G116="Ч","Четырехклапанные",IF(G116="А","Архивные","Неизвестно"))))))</f>
        <v/>
      </c>
      <c r="AB116" s="66" t="n">
        <v>1.73</v>
      </c>
      <c r="AC116" s="101">
        <f>IF(O116="","",IF(O116&lt;=1,"0-1 литров",IF(O116&lt;=3,"2-3 литра",IF(O116&lt;=5,"4-5 литра",IF(O116&lt;=7,"6-7 литра",IF(O116&lt;=9,"8-9 литров",IF(O116&lt;=14,"10-14 литров",IF(O116&lt;=19,"15-19 литров",IF(O116&lt;=29,"20-29 литров",IF(O116&lt;=49,"30-49 литров",IF(O116&lt;=59,"50-59 литров",IF(O116&lt;=70,"60-69 литров",IF(O116&lt;=79,"70-79 литров",IF(O116&lt;=89,"80-89 литров",IF(O116&lt;=99,"90-99 литров",IF(O116&lt;=200,"100-200 литров","200+ литров"))))))))))))))))</f>
        <v/>
      </c>
    </row>
    <row r="117">
      <c r="A117" s="64" t="n">
        <v>2</v>
      </c>
      <c r="B117" s="65">
        <f>A117*1.2</f>
        <v/>
      </c>
      <c r="C117" s="109" t="n">
        <v>117</v>
      </c>
      <c r="D117" s="116" t="inlineStr">
        <is>
          <t>У</t>
        </is>
      </c>
      <c r="E117" s="88" t="inlineStr">
        <is>
          <t>400х400х300</t>
        </is>
      </c>
      <c r="G117" s="83" t="inlineStr">
        <is>
          <t>Ч</t>
        </is>
      </c>
      <c r="H117" s="146" t="inlineStr">
        <is>
          <t>х</t>
        </is>
      </c>
      <c r="I117" s="83" t="inlineStr">
        <is>
          <t>В</t>
        </is>
      </c>
      <c r="J117" s="83" t="inlineStr">
        <is>
          <t>х</t>
        </is>
      </c>
      <c r="K117" s="116" t="inlineStr">
        <is>
          <t>K118</t>
        </is>
      </c>
      <c r="N117" s="239">
        <f>IF(D117="","",IF(LEFT(D117,1)="0",0,1))</f>
        <v/>
      </c>
      <c r="O117" s="80">
        <f>ROUND(R117*S117*T117/1000000,2)</f>
        <v/>
      </c>
      <c r="P117" s="160">
        <f>IF(O117="","",
IF(O117&lt;1,"0,1-0,9 литров",
IF(O117&lt;2,"1-1,9 литра",
IF(O117&lt;3,"2-2,9 литра",
IF(O117&lt;4,"3-3,9 литра",
IF(O117&lt;6,"4-5,9 литра",IF(O117&lt;8,"6-7,9 литра",IF(O117&lt;10,"8-9,9 литров",IF(O117&lt;15,"10-14,9 литров",IF(O117&lt;20,"15-19,9 литров",IF(O117&lt;30,"20-29 литров",IF(O117&lt;50,"30-49 литров",IF(O117&lt;60,"50-59 литров",IF(O117&lt;70,"60-69 литров",IF(O117&lt;80,"70-79 литров",IF(O117&lt;90,"80-89 литров",IF(O117&lt;100,"90-99 литров",IF(O117&lt;200,"100-200 литров","200+ литров"))))))))))))))))))</f>
        <v/>
      </c>
      <c r="Q117" s="101">
        <f>IF(O117="","",IF(O117&lt;1,"&lt;1 л",IF(O117&lt;2,"1-2 л",IF(O117&lt;3,"2-3 л",IF(O117&lt;5,"3-5 л",IF(O117&lt;10,"5-10 л",IF(O117&lt;20,"10-20 л",IF(O117&lt;50,"20-50 л",IF(O117&lt;100,"50-100 л","100+ л")))))))))</f>
        <v/>
      </c>
      <c r="R117" s="162">
        <f>IF(E117="","",--LEFT(E117,FIND("х",E117)-1))</f>
        <v/>
      </c>
      <c r="S117" s="162">
        <f>IF(E117="","",--MID(E117,FIND("х",E117)+1,FIND("х",E117,FIND("х",E117)+1)-FIND("х",E117)-1))</f>
        <v/>
      </c>
      <c r="T117" s="162">
        <f>IF(E117="","",--RIGHT(E117,LEN(E117)-FIND("х",E117,FIND("х",E117)+1)))</f>
        <v/>
      </c>
      <c r="U117" s="66">
        <f>(2*(R117+S117)+60)*(S117+T117+8)/1000000</f>
        <v/>
      </c>
      <c r="V117" s="66">
        <f>IF(OR(AND(R117&gt;=2*S117,R117&gt;=2*T117),AND(S117&gt;=2*R117,S117&gt;=2*T117),AND(T117&gt;=2*R117,T117&gt;=2*S117)),"Длинные","")</f>
        <v/>
      </c>
      <c r="W117" s="66">
        <f>IF(OR(AND(R117&lt;=S117/2,R117&lt;=T117/2),AND(S117&lt;=R117/2,S117&lt;=T117/2),AND(T117&lt;=R117/2,T117&lt;=S117/2)),"Плоские","")</f>
        <v/>
      </c>
      <c r="X117" s="160">
        <f>IF(LARGE($R117:$T117,1)="","",IF(LARGE($R117:$T117,1)&lt;=99,"10-99 мм",IF(LARGE($R117:$T117,1)&lt;=199,"100-199 мм",IF(LARGE($R117:$T117,1)&lt;=299,"200-299 мм",IF(LARGE($R117:$T117,1)&lt;=399,"300-399 мм",IF(LARGE($R117:$T117,1)&lt;=499,"400-499 мм",IF(LARGE($R117:$T117,1)&lt;=599,"500-599 мм",IF(LARGE($R117:$T117,1)&lt;=699,"600-699 мм",IF(LARGE($R117:$T117,1)&lt;=999,"700-999 мм","1000+ мм")))))))))</f>
        <v/>
      </c>
      <c r="Y117" s="160">
        <f>IF(LARGE($R117:$T117,2)="","",IF(LARGE($R117:$T117,2)&lt;=99,"10-99 мм",IF(LARGE($R117:$T117,2)&lt;=199,"100-199 мм",IF(LARGE($R117:$T117,2)&lt;=299,"200-299 мм",IF(LARGE($R117:$T117,2)&lt;=399,"300-399 мм",IF(LARGE($R117:$T117,2)&lt;=499,"400-499 мм",IF(LARGE($R117:$T117,2)&lt;=599,"500-599 мм",IF(LARGE($R117:$T117,2)&lt;=699,"600-699 мм",IF(LARGE($R117:$T117,2)&lt;=999,"700-999 мм","1000+ мм")))))))))</f>
        <v/>
      </c>
      <c r="Z117" s="160">
        <f>IF(SMALL($R117:$T117,1)="","",IF(SMALL($R117:$T117,1)&lt;=99,"10-99 мм",IF(SMALL($R117:$T117,1)&lt;=199,"100-199 мм",IF(SMALL($R117:$T117,1)&lt;=299,"200-299 мм",IF(SMALL($R117:$T117,1)&lt;=399,"300-399 мм",IF(SMALL($R117:$T117,1)&lt;=499,"400-499 мм",IF(SMALL($R117:$T117,1)&lt;=599,"500-599 мм",IF(SMALL($R117:$T117,1)&lt;=699,"600-699 мм",IF(SMALL($R117:$T117,1)&lt;=999,"700-999 мм","1000+ мм")))))))))</f>
        <v/>
      </c>
      <c r="AA117" s="101">
        <f>IF(G117="","",IF(G117="Л","Лист гофрокартона",IF(G117="КД","Крышка-дно",IF(G117="С","Самосборные",IF(G117="Ч","Четырехклапанные",IF(G117="А","Архивные","Неизвестно"))))))</f>
        <v/>
      </c>
      <c r="AB117" s="66" t="n">
        <v>1.73</v>
      </c>
      <c r="AC117" s="101">
        <f>IF(O117="","",IF(O117&lt;=1,"0-1 литров",IF(O117&lt;=3,"2-3 литра",IF(O117&lt;=5,"4-5 литра",IF(O117&lt;=7,"6-7 литра",IF(O117&lt;=9,"8-9 литров",IF(O117&lt;=14,"10-14 литров",IF(O117&lt;=19,"15-19 литров",IF(O117&lt;=29,"20-29 литров",IF(O117&lt;=49,"30-49 литров",IF(O117&lt;=59,"50-59 литров",IF(O117&lt;=70,"60-69 литров",IF(O117&lt;=79,"70-79 литров",IF(O117&lt;=89,"80-89 литров",IF(O117&lt;=99,"90-99 литров",IF(O117&lt;=200,"100-200 литров","200+ литров"))))))))))))))))</f>
        <v/>
      </c>
    </row>
    <row r="118">
      <c r="A118" s="64" t="n">
        <v>0.14</v>
      </c>
      <c r="B118" s="65">
        <f>A118*1.2</f>
        <v/>
      </c>
      <c r="C118" s="109" t="n">
        <v>118</v>
      </c>
      <c r="D118" s="116" t="inlineStr">
        <is>
          <t>У</t>
        </is>
      </c>
      <c r="E118" s="88" t="inlineStr">
        <is>
          <t>35х35х235</t>
        </is>
      </c>
      <c r="G118" s="83" t="inlineStr">
        <is>
          <t>С</t>
        </is>
      </c>
      <c r="H118" s="146" t="inlineStr">
        <is>
          <t>х</t>
        </is>
      </c>
      <c r="I118" s="83" t="inlineStr">
        <is>
          <t>х</t>
        </is>
      </c>
      <c r="J118" s="83" t="inlineStr">
        <is>
          <t>х</t>
        </is>
      </c>
      <c r="K118" s="116" t="inlineStr">
        <is>
          <t>K119</t>
        </is>
      </c>
      <c r="N118" s="239">
        <f>IF(D118="","",IF(LEFT(D118,1)="0",0,1))</f>
        <v/>
      </c>
      <c r="O118" s="80">
        <f>ROUND(R118*S118*T118/1000000,2)</f>
        <v/>
      </c>
      <c r="P118" s="160">
        <f>IF(O118="","",
IF(O118&lt;1,"0,1-0,9 литров",
IF(O118&lt;2,"1-1,9 литра",
IF(O118&lt;3,"2-2,9 литра",
IF(O118&lt;4,"3-3,9 литра",
IF(O118&lt;6,"4-5,9 литра",IF(O118&lt;8,"6-7,9 литра",IF(O118&lt;10,"8-9,9 литров",IF(O118&lt;15,"10-14,9 литров",IF(O118&lt;20,"15-19,9 литров",IF(O118&lt;30,"20-29 литров",IF(O118&lt;50,"30-49 литров",IF(O118&lt;60,"50-59 литров",IF(O118&lt;70,"60-69 литров",IF(O118&lt;80,"70-79 литров",IF(O118&lt;90,"80-89 литров",IF(O118&lt;100,"90-99 литров",IF(O118&lt;200,"100-200 литров","200+ литров"))))))))))))))))))</f>
        <v/>
      </c>
      <c r="Q118" s="101">
        <f>IF(O118="","",IF(O118&lt;1,"&lt;1 л",IF(O118&lt;2,"1-2 л",IF(O118&lt;3,"2-3 л",IF(O118&lt;5,"3-5 л",IF(O118&lt;10,"5-10 л",IF(O118&lt;20,"10-20 л",IF(O118&lt;50,"20-50 л",IF(O118&lt;100,"50-100 л","100+ л")))))))))</f>
        <v/>
      </c>
      <c r="R118" s="162">
        <f>IF(E118="","",--LEFT(E118,FIND("х",E118)-1))</f>
        <v/>
      </c>
      <c r="S118" s="162">
        <f>IF(E118="","",--MID(E118,FIND("х",E118)+1,FIND("х",E118,FIND("х",E118)+1)-FIND("х",E118)-1))</f>
        <v/>
      </c>
      <c r="T118" s="162">
        <f>IF(E118="","",--RIGHT(E118,LEN(E118)-FIND("х",E118,FIND("х",E118)+1)))</f>
        <v/>
      </c>
      <c r="U118" s="66">
        <f>(2*(R118+S118)+60)*(S118+T118+8)/1000000</f>
        <v/>
      </c>
      <c r="V118" s="66">
        <f>IF(OR(AND(R118&gt;=2*S118,R118&gt;=2*T118),AND(S118&gt;=2*R118,S118&gt;=2*T118),AND(T118&gt;=2*R118,T118&gt;=2*S118)),"Длинные","")</f>
        <v/>
      </c>
      <c r="W118" s="66">
        <f>IF(OR(AND(R118&lt;=S118/2,R118&lt;=T118/2),AND(S118&lt;=R118/2,S118&lt;=T118/2),AND(T118&lt;=R118/2,T118&lt;=S118/2)),"Плоские","")</f>
        <v/>
      </c>
      <c r="X118" s="160">
        <f>IF(LARGE($R118:$T118,1)="","",IF(LARGE($R118:$T118,1)&lt;=99,"10-99 мм",IF(LARGE($R118:$T118,1)&lt;=199,"100-199 мм",IF(LARGE($R118:$T118,1)&lt;=299,"200-299 мм",IF(LARGE($R118:$T118,1)&lt;=399,"300-399 мм",IF(LARGE($R118:$T118,1)&lt;=499,"400-499 мм",IF(LARGE($R118:$T118,1)&lt;=599,"500-599 мм",IF(LARGE($R118:$T118,1)&lt;=699,"600-699 мм",IF(LARGE($R118:$T118,1)&lt;=999,"700-999 мм","1000+ мм")))))))))</f>
        <v/>
      </c>
      <c r="Y118" s="160">
        <f>IF(LARGE($R118:$T118,2)="","",IF(LARGE($R118:$T118,2)&lt;=99,"10-99 мм",IF(LARGE($R118:$T118,2)&lt;=199,"100-199 мм",IF(LARGE($R118:$T118,2)&lt;=299,"200-299 мм",IF(LARGE($R118:$T118,2)&lt;=399,"300-399 мм",IF(LARGE($R118:$T118,2)&lt;=499,"400-499 мм",IF(LARGE($R118:$T118,2)&lt;=599,"500-599 мм",IF(LARGE($R118:$T118,2)&lt;=699,"600-699 мм",IF(LARGE($R118:$T118,2)&lt;=999,"700-999 мм","1000+ мм")))))))))</f>
        <v/>
      </c>
      <c r="Z118" s="160">
        <f>IF(SMALL($R118:$T118,1)="","",IF(SMALL($R118:$T118,1)&lt;=99,"10-99 мм",IF(SMALL($R118:$T118,1)&lt;=199,"100-199 мм",IF(SMALL($R118:$T118,1)&lt;=299,"200-299 мм",IF(SMALL($R118:$T118,1)&lt;=399,"300-399 мм",IF(SMALL($R118:$T118,1)&lt;=499,"400-499 мм",IF(SMALL($R118:$T118,1)&lt;=599,"500-599 мм",IF(SMALL($R118:$T118,1)&lt;=699,"600-699 мм",IF(SMALL($R118:$T118,1)&lt;=999,"700-999 мм","1000+ мм")))))))))</f>
        <v/>
      </c>
      <c r="AA118" s="101">
        <f>IF(G118="","",IF(G118="Л","Лист гофрокартона",IF(G118="КД","Крышка-дно",IF(G118="С","Самосборные",IF(G118="Ч","Четырехклапанные",IF(G118="А","Архивные","Неизвестно"))))))</f>
        <v/>
      </c>
      <c r="AB118" s="66" t="n">
        <v>1.73</v>
      </c>
      <c r="AC118" s="101">
        <f>IF(O118="","",IF(O118&lt;=1,"0-1 литров",IF(O118&lt;=3,"2-3 литра",IF(O118&lt;=5,"4-5 литра",IF(O118&lt;=7,"6-7 литра",IF(O118&lt;=9,"8-9 литров",IF(O118&lt;=14,"10-14 литров",IF(O118&lt;=19,"15-19 литров",IF(O118&lt;=29,"20-29 литров",IF(O118&lt;=49,"30-49 литров",IF(O118&lt;=59,"50-59 литров",IF(O118&lt;=70,"60-69 литров",IF(O118&lt;=79,"70-79 литров",IF(O118&lt;=89,"80-89 литров",IF(O118&lt;=99,"90-99 литров",IF(O118&lt;=200,"100-200 литров","200+ литров"))))))))))))))))</f>
        <v/>
      </c>
    </row>
    <row r="119">
      <c r="A119" s="64" t="n">
        <v>0.5600000000000001</v>
      </c>
      <c r="B119" s="65">
        <f>A119*1.2</f>
        <v/>
      </c>
      <c r="C119" s="109" t="n">
        <v>119</v>
      </c>
      <c r="D119" s="116" t="inlineStr">
        <is>
          <t>У</t>
        </is>
      </c>
      <c r="E119" s="88" t="inlineStr">
        <is>
          <t>255х204х131</t>
        </is>
      </c>
      <c r="G119" s="83" t="inlineStr">
        <is>
          <t>Ч</t>
        </is>
      </c>
      <c r="H119" s="146" t="inlineStr">
        <is>
          <t>х</t>
        </is>
      </c>
      <c r="I119" s="83" t="inlineStr">
        <is>
          <t>В</t>
        </is>
      </c>
      <c r="J119" s="83" t="inlineStr">
        <is>
          <t>х</t>
        </is>
      </c>
      <c r="K119" s="116" t="inlineStr">
        <is>
          <t>K120</t>
        </is>
      </c>
      <c r="N119" s="239">
        <f>IF(D119="","",IF(LEFT(D119,1)="0",0,1))</f>
        <v/>
      </c>
      <c r="O119" s="80">
        <f>ROUND(R119*S119*T119/1000000,2)</f>
        <v/>
      </c>
      <c r="P119" s="160">
        <f>IF(O119="","",
IF(O119&lt;1,"0,1-0,9 литров",
IF(O119&lt;2,"1-1,9 литра",
IF(O119&lt;3,"2-2,9 литра",
IF(O119&lt;4,"3-3,9 литра",
IF(O119&lt;6,"4-5,9 литра",IF(O119&lt;8,"6-7,9 литра",IF(O119&lt;10,"8-9,9 литров",IF(O119&lt;15,"10-14,9 литров",IF(O119&lt;20,"15-19,9 литров",IF(O119&lt;30,"20-29 литров",IF(O119&lt;50,"30-49 литров",IF(O119&lt;60,"50-59 литров",IF(O119&lt;70,"60-69 литров",IF(O119&lt;80,"70-79 литров",IF(O119&lt;90,"80-89 литров",IF(O119&lt;100,"90-99 литров",IF(O119&lt;200,"100-200 литров","200+ литров"))))))))))))))))))</f>
        <v/>
      </c>
      <c r="Q119" s="101">
        <f>IF(O119="","",IF(O119&lt;1,"&lt;1 л",IF(O119&lt;2,"1-2 л",IF(O119&lt;3,"2-3 л",IF(O119&lt;5,"3-5 л",IF(O119&lt;10,"5-10 л",IF(O119&lt;20,"10-20 л",IF(O119&lt;50,"20-50 л",IF(O119&lt;100,"50-100 л","100+ л")))))))))</f>
        <v/>
      </c>
      <c r="R119" s="162">
        <f>IF(E119="","",--LEFT(E119,FIND("х",E119)-1))</f>
        <v/>
      </c>
      <c r="S119" s="162">
        <f>IF(E119="","",--MID(E119,FIND("х",E119)+1,FIND("х",E119,FIND("х",E119)+1)-FIND("х",E119)-1))</f>
        <v/>
      </c>
      <c r="T119" s="162">
        <f>IF(E119="","",--RIGHT(E119,LEN(E119)-FIND("х",E119,FIND("х",E119)+1)))</f>
        <v/>
      </c>
      <c r="U119" s="66">
        <f>(2*(R119+S119)+60)*(S119+T119+8)/1000000</f>
        <v/>
      </c>
      <c r="V119" s="66">
        <f>IF(OR(AND(R119&gt;=2*S119,R119&gt;=2*T119),AND(S119&gt;=2*R119,S119&gt;=2*T119),AND(T119&gt;=2*R119,T119&gt;=2*S119)),"Длинные","")</f>
        <v/>
      </c>
      <c r="W119" s="66">
        <f>IF(OR(AND(R119&lt;=S119/2,R119&lt;=T119/2),AND(S119&lt;=R119/2,S119&lt;=T119/2),AND(T119&lt;=R119/2,T119&lt;=S119/2)),"Плоские","")</f>
        <v/>
      </c>
      <c r="X119" s="160">
        <f>IF(LARGE($R119:$T119,1)="","",IF(LARGE($R119:$T119,1)&lt;=99,"10-99 мм",IF(LARGE($R119:$T119,1)&lt;=199,"100-199 мм",IF(LARGE($R119:$T119,1)&lt;=299,"200-299 мм",IF(LARGE($R119:$T119,1)&lt;=399,"300-399 мм",IF(LARGE($R119:$T119,1)&lt;=499,"400-499 мм",IF(LARGE($R119:$T119,1)&lt;=599,"500-599 мм",IF(LARGE($R119:$T119,1)&lt;=699,"600-699 мм",IF(LARGE($R119:$T119,1)&lt;=999,"700-999 мм","1000+ мм")))))))))</f>
        <v/>
      </c>
      <c r="Y119" s="160">
        <f>IF(LARGE($R119:$T119,2)="","",IF(LARGE($R119:$T119,2)&lt;=99,"10-99 мм",IF(LARGE($R119:$T119,2)&lt;=199,"100-199 мм",IF(LARGE($R119:$T119,2)&lt;=299,"200-299 мм",IF(LARGE($R119:$T119,2)&lt;=399,"300-399 мм",IF(LARGE($R119:$T119,2)&lt;=499,"400-499 мм",IF(LARGE($R119:$T119,2)&lt;=599,"500-599 мм",IF(LARGE($R119:$T119,2)&lt;=699,"600-699 мм",IF(LARGE($R119:$T119,2)&lt;=999,"700-999 мм","1000+ мм")))))))))</f>
        <v/>
      </c>
      <c r="Z119" s="160">
        <f>IF(SMALL($R119:$T119,1)="","",IF(SMALL($R119:$T119,1)&lt;=99,"10-99 мм",IF(SMALL($R119:$T119,1)&lt;=199,"100-199 мм",IF(SMALL($R119:$T119,1)&lt;=299,"200-299 мм",IF(SMALL($R119:$T119,1)&lt;=399,"300-399 мм",IF(SMALL($R119:$T119,1)&lt;=499,"400-499 мм",IF(SMALL($R119:$T119,1)&lt;=599,"500-599 мм",IF(SMALL($R119:$T119,1)&lt;=699,"600-699 мм",IF(SMALL($R119:$T119,1)&lt;=999,"700-999 мм","1000+ мм")))))))))</f>
        <v/>
      </c>
      <c r="AA119" s="101">
        <f>IF(G119="","",IF(G119="Л","Лист гофрокартона",IF(G119="КД","Крышка-дно",IF(G119="С","Самосборные",IF(G119="Ч","Четырехклапанные",IF(G119="А","Архивные","Неизвестно"))))))</f>
        <v/>
      </c>
      <c r="AB119" s="66" t="n">
        <v>1.73</v>
      </c>
      <c r="AC119" s="101">
        <f>IF(O119="","",IF(O119&lt;=1,"0-1 литров",IF(O119&lt;=3,"2-3 литра",IF(O119&lt;=5,"4-5 литра",IF(O119&lt;=7,"6-7 литра",IF(O119&lt;=9,"8-9 литров",IF(O119&lt;=14,"10-14 литров",IF(O119&lt;=19,"15-19 литров",IF(O119&lt;=29,"20-29 литров",IF(O119&lt;=49,"30-49 литров",IF(O119&lt;=59,"50-59 литров",IF(O119&lt;=70,"60-69 литров",IF(O119&lt;=79,"70-79 литров",IF(O119&lt;=89,"80-89 литров",IF(O119&lt;=99,"90-99 литров",IF(O119&lt;=200,"100-200 литров","200+ литров"))))))))))))))))</f>
        <v/>
      </c>
    </row>
    <row r="120">
      <c r="A120" s="64" t="n">
        <v>1.41</v>
      </c>
      <c r="B120" s="65">
        <f>A120*1.2</f>
        <v/>
      </c>
      <c r="C120" s="109" t="n">
        <v>120</v>
      </c>
      <c r="D120" s="116" t="inlineStr">
        <is>
          <t>У</t>
        </is>
      </c>
      <c r="E120" s="88" t="inlineStr">
        <is>
          <t>540х325х130</t>
        </is>
      </c>
      <c r="G120" s="83" t="inlineStr">
        <is>
          <t>Ч</t>
        </is>
      </c>
      <c r="H120" s="146" t="inlineStr">
        <is>
          <t>х</t>
        </is>
      </c>
      <c r="I120" s="83" t="inlineStr">
        <is>
          <t>В</t>
        </is>
      </c>
      <c r="J120" s="83" t="inlineStr">
        <is>
          <t>х</t>
        </is>
      </c>
      <c r="K120" s="116" t="inlineStr">
        <is>
          <t>K121</t>
        </is>
      </c>
      <c r="N120" s="239">
        <f>IF(D120="","",IF(LEFT(D120,1)="0",0,1))</f>
        <v/>
      </c>
      <c r="O120" s="80">
        <f>ROUND(R120*S120*T120/1000000,2)</f>
        <v/>
      </c>
      <c r="P120" s="160">
        <f>IF(O120="","",
IF(O120&lt;1,"0,1-0,9 литров",
IF(O120&lt;2,"1-1,9 литра",
IF(O120&lt;3,"2-2,9 литра",
IF(O120&lt;4,"3-3,9 литра",
IF(O120&lt;6,"4-5,9 литра",IF(O120&lt;8,"6-7,9 литра",IF(O120&lt;10,"8-9,9 литров",IF(O120&lt;15,"10-14,9 литров",IF(O120&lt;20,"15-19,9 литров",IF(O120&lt;30,"20-29 литров",IF(O120&lt;50,"30-49 литров",IF(O120&lt;60,"50-59 литров",IF(O120&lt;70,"60-69 литров",IF(O120&lt;80,"70-79 литров",IF(O120&lt;90,"80-89 литров",IF(O120&lt;100,"90-99 литров",IF(O120&lt;200,"100-200 литров","200+ литров"))))))))))))))))))</f>
        <v/>
      </c>
      <c r="Q120" s="101">
        <f>IF(O120="","",IF(O120&lt;1,"&lt;1 л",IF(O120&lt;2,"1-2 л",IF(O120&lt;3,"2-3 л",IF(O120&lt;5,"3-5 л",IF(O120&lt;10,"5-10 л",IF(O120&lt;20,"10-20 л",IF(O120&lt;50,"20-50 л",IF(O120&lt;100,"50-100 л","100+ л")))))))))</f>
        <v/>
      </c>
      <c r="R120" s="162">
        <f>IF(E120="","",--LEFT(E120,FIND("х",E120)-1))</f>
        <v/>
      </c>
      <c r="S120" s="162">
        <f>IF(E120="","",--MID(E120,FIND("х",E120)+1,FIND("х",E120,FIND("х",E120)+1)-FIND("х",E120)-1))</f>
        <v/>
      </c>
      <c r="T120" s="162">
        <f>IF(E120="","",--RIGHT(E120,LEN(E120)-FIND("х",E120,FIND("х",E120)+1)))</f>
        <v/>
      </c>
      <c r="U120" s="66">
        <f>(2*(R120+S120)+60)*(S120+T120+8)/1000000</f>
        <v/>
      </c>
      <c r="V120" s="66">
        <f>IF(OR(AND(R120&gt;=2*S120,R120&gt;=2*T120),AND(S120&gt;=2*R120,S120&gt;=2*T120),AND(T120&gt;=2*R120,T120&gt;=2*S120)),"Длинные","")</f>
        <v/>
      </c>
      <c r="W120" s="66">
        <f>IF(OR(AND(R120&lt;=S120/2,R120&lt;=T120/2),AND(S120&lt;=R120/2,S120&lt;=T120/2),AND(T120&lt;=R120/2,T120&lt;=S120/2)),"Плоские","")</f>
        <v/>
      </c>
      <c r="X120" s="160">
        <f>IF(LARGE($R120:$T120,1)="","",IF(LARGE($R120:$T120,1)&lt;=99,"10-99 мм",IF(LARGE($R120:$T120,1)&lt;=199,"100-199 мм",IF(LARGE($R120:$T120,1)&lt;=299,"200-299 мм",IF(LARGE($R120:$T120,1)&lt;=399,"300-399 мм",IF(LARGE($R120:$T120,1)&lt;=499,"400-499 мм",IF(LARGE($R120:$T120,1)&lt;=599,"500-599 мм",IF(LARGE($R120:$T120,1)&lt;=699,"600-699 мм",IF(LARGE($R120:$T120,1)&lt;=999,"700-999 мм","1000+ мм")))))))))</f>
        <v/>
      </c>
      <c r="Y120" s="160">
        <f>IF(LARGE($R120:$T120,2)="","",IF(LARGE($R120:$T120,2)&lt;=99,"10-99 мм",IF(LARGE($R120:$T120,2)&lt;=199,"100-199 мм",IF(LARGE($R120:$T120,2)&lt;=299,"200-299 мм",IF(LARGE($R120:$T120,2)&lt;=399,"300-399 мм",IF(LARGE($R120:$T120,2)&lt;=499,"400-499 мм",IF(LARGE($R120:$T120,2)&lt;=599,"500-599 мм",IF(LARGE($R120:$T120,2)&lt;=699,"600-699 мм",IF(LARGE($R120:$T120,2)&lt;=999,"700-999 мм","1000+ мм")))))))))</f>
        <v/>
      </c>
      <c r="Z120" s="160">
        <f>IF(SMALL($R120:$T120,1)="","",IF(SMALL($R120:$T120,1)&lt;=99,"10-99 мм",IF(SMALL($R120:$T120,1)&lt;=199,"100-199 мм",IF(SMALL($R120:$T120,1)&lt;=299,"200-299 мм",IF(SMALL($R120:$T120,1)&lt;=399,"300-399 мм",IF(SMALL($R120:$T120,1)&lt;=499,"400-499 мм",IF(SMALL($R120:$T120,1)&lt;=599,"500-599 мм",IF(SMALL($R120:$T120,1)&lt;=699,"600-699 мм",IF(SMALL($R120:$T120,1)&lt;=999,"700-999 мм","1000+ мм")))))))))</f>
        <v/>
      </c>
      <c r="AA120" s="101">
        <f>IF(G120="","",IF(G120="Л","Лист гофрокартона",IF(G120="КД","Крышка-дно",IF(G120="С","Самосборные",IF(G120="Ч","Четырехклапанные",IF(G120="А","Архивные","Неизвестно"))))))</f>
        <v/>
      </c>
      <c r="AB120" s="66" t="n">
        <v>1.73</v>
      </c>
      <c r="AC120" s="101">
        <f>IF(O120="","",IF(O120&lt;=1,"0-1 литров",IF(O120&lt;=3,"2-3 литра",IF(O120&lt;=5,"4-5 литра",IF(O120&lt;=7,"6-7 литра",IF(O120&lt;=9,"8-9 литров",IF(O120&lt;=14,"10-14 литров",IF(O120&lt;=19,"15-19 литров",IF(O120&lt;=29,"20-29 литров",IF(O120&lt;=49,"30-49 литров",IF(O120&lt;=59,"50-59 литров",IF(O120&lt;=70,"60-69 литров",IF(O120&lt;=79,"70-79 литров",IF(O120&lt;=89,"80-89 литров",IF(O120&lt;=99,"90-99 литров",IF(O120&lt;=200,"100-200 литров","200+ литров"))))))))))))))))</f>
        <v/>
      </c>
    </row>
    <row r="121">
      <c r="A121" s="64" t="n">
        <v>0.73</v>
      </c>
      <c r="B121" s="65">
        <f>A121*1.2</f>
        <v/>
      </c>
      <c r="C121" s="109" t="n">
        <v>121</v>
      </c>
      <c r="D121" s="116" t="inlineStr">
        <is>
          <t>У</t>
        </is>
      </c>
      <c r="E121" s="88" t="inlineStr">
        <is>
          <t>190х180х360</t>
        </is>
      </c>
      <c r="G121" s="83" t="inlineStr">
        <is>
          <t>Ч</t>
        </is>
      </c>
      <c r="H121" s="146" t="inlineStr">
        <is>
          <t>х</t>
        </is>
      </c>
      <c r="I121" s="83" t="inlineStr">
        <is>
          <t>В</t>
        </is>
      </c>
      <c r="J121" s="83" t="inlineStr">
        <is>
          <t>х</t>
        </is>
      </c>
      <c r="K121" s="116" t="inlineStr">
        <is>
          <t>K122</t>
        </is>
      </c>
      <c r="N121" s="239">
        <f>IF(D121="","",IF(LEFT(D121,1)="0",0,1))</f>
        <v/>
      </c>
      <c r="O121" s="80">
        <f>ROUND(R121*S121*T121/1000000,2)</f>
        <v/>
      </c>
      <c r="P121" s="160">
        <f>IF(O121="","",
IF(O121&lt;1,"0,1-0,9 литров",
IF(O121&lt;2,"1-1,9 литра",
IF(O121&lt;3,"2-2,9 литра",
IF(O121&lt;4,"3-3,9 литра",
IF(O121&lt;6,"4-5,9 литра",IF(O121&lt;8,"6-7,9 литра",IF(O121&lt;10,"8-9,9 литров",IF(O121&lt;15,"10-14,9 литров",IF(O121&lt;20,"15-19,9 литров",IF(O121&lt;30,"20-29 литров",IF(O121&lt;50,"30-49 литров",IF(O121&lt;60,"50-59 литров",IF(O121&lt;70,"60-69 литров",IF(O121&lt;80,"70-79 литров",IF(O121&lt;90,"80-89 литров",IF(O121&lt;100,"90-99 литров",IF(O121&lt;200,"100-200 литров","200+ литров"))))))))))))))))))</f>
        <v/>
      </c>
      <c r="Q121" s="101">
        <f>IF(O121="","",IF(O121&lt;1,"&lt;1 л",IF(O121&lt;2,"1-2 л",IF(O121&lt;3,"2-3 л",IF(O121&lt;5,"3-5 л",IF(O121&lt;10,"5-10 л",IF(O121&lt;20,"10-20 л",IF(O121&lt;50,"20-50 л",IF(O121&lt;100,"50-100 л","100+ л")))))))))</f>
        <v/>
      </c>
      <c r="R121" s="162">
        <f>IF(E121="","",--LEFT(E121,FIND("х",E121)-1))</f>
        <v/>
      </c>
      <c r="S121" s="162">
        <f>IF(E121="","",--MID(E121,FIND("х",E121)+1,FIND("х",E121,FIND("х",E121)+1)-FIND("х",E121)-1))</f>
        <v/>
      </c>
      <c r="T121" s="162">
        <f>IF(E121="","",--RIGHT(E121,LEN(E121)-FIND("х",E121,FIND("х",E121)+1)))</f>
        <v/>
      </c>
      <c r="U121" s="66">
        <f>(2*(R121+S121)+60)*(S121+T121+8)/1000000</f>
        <v/>
      </c>
      <c r="V121" s="66">
        <f>IF(OR(AND(R121&gt;=2*S121,R121&gt;=2*T121),AND(S121&gt;=2*R121,S121&gt;=2*T121),AND(T121&gt;=2*R121,T121&gt;=2*S121)),"Длинные","")</f>
        <v/>
      </c>
      <c r="W121" s="66">
        <f>IF(OR(AND(R121&lt;=S121/2,R121&lt;=T121/2),AND(S121&lt;=R121/2,S121&lt;=T121/2),AND(T121&lt;=R121/2,T121&lt;=S121/2)),"Плоские","")</f>
        <v/>
      </c>
      <c r="X121" s="160">
        <f>IF(LARGE($R121:$T121,1)="","",IF(LARGE($R121:$T121,1)&lt;=99,"10-99 мм",IF(LARGE($R121:$T121,1)&lt;=199,"100-199 мм",IF(LARGE($R121:$T121,1)&lt;=299,"200-299 мм",IF(LARGE($R121:$T121,1)&lt;=399,"300-399 мм",IF(LARGE($R121:$T121,1)&lt;=499,"400-499 мм",IF(LARGE($R121:$T121,1)&lt;=599,"500-599 мм",IF(LARGE($R121:$T121,1)&lt;=699,"600-699 мм",IF(LARGE($R121:$T121,1)&lt;=999,"700-999 мм","1000+ мм")))))))))</f>
        <v/>
      </c>
      <c r="Y121" s="160">
        <f>IF(LARGE($R121:$T121,2)="","",IF(LARGE($R121:$T121,2)&lt;=99,"10-99 мм",IF(LARGE($R121:$T121,2)&lt;=199,"100-199 мм",IF(LARGE($R121:$T121,2)&lt;=299,"200-299 мм",IF(LARGE($R121:$T121,2)&lt;=399,"300-399 мм",IF(LARGE($R121:$T121,2)&lt;=499,"400-499 мм",IF(LARGE($R121:$T121,2)&lt;=599,"500-599 мм",IF(LARGE($R121:$T121,2)&lt;=699,"600-699 мм",IF(LARGE($R121:$T121,2)&lt;=999,"700-999 мм","1000+ мм")))))))))</f>
        <v/>
      </c>
      <c r="Z121" s="160">
        <f>IF(SMALL($R121:$T121,1)="","",IF(SMALL($R121:$T121,1)&lt;=99,"10-99 мм",IF(SMALL($R121:$T121,1)&lt;=199,"100-199 мм",IF(SMALL($R121:$T121,1)&lt;=299,"200-299 мм",IF(SMALL($R121:$T121,1)&lt;=399,"300-399 мм",IF(SMALL($R121:$T121,1)&lt;=499,"400-499 мм",IF(SMALL($R121:$T121,1)&lt;=599,"500-599 мм",IF(SMALL($R121:$T121,1)&lt;=699,"600-699 мм",IF(SMALL($R121:$T121,1)&lt;=999,"700-999 мм","1000+ мм")))))))))</f>
        <v/>
      </c>
      <c r="AA121" s="101">
        <f>IF(G121="","",IF(G121="Л","Лист гофрокартона",IF(G121="КД","Крышка-дно",IF(G121="С","Самосборные",IF(G121="Ч","Четырехклапанные",IF(G121="А","Архивные","Неизвестно"))))))</f>
        <v/>
      </c>
      <c r="AB121" s="66" t="n">
        <v>1.73</v>
      </c>
      <c r="AC121" s="101">
        <f>IF(O121="","",IF(O121&lt;=1,"0-1 литров",IF(O121&lt;=3,"2-3 литра",IF(O121&lt;=5,"4-5 литра",IF(O121&lt;=7,"6-7 литра",IF(O121&lt;=9,"8-9 литров",IF(O121&lt;=14,"10-14 литров",IF(O121&lt;=19,"15-19 литров",IF(O121&lt;=29,"20-29 литров",IF(O121&lt;=49,"30-49 литров",IF(O121&lt;=59,"50-59 литров",IF(O121&lt;=70,"60-69 литров",IF(O121&lt;=79,"70-79 литров",IF(O121&lt;=89,"80-89 литров",IF(O121&lt;=99,"90-99 литров",IF(O121&lt;=200,"100-200 литров","200+ литров"))))))))))))))))</f>
        <v/>
      </c>
    </row>
    <row r="122">
      <c r="A122" s="64" t="n">
        <v>0.44</v>
      </c>
      <c r="B122" s="65">
        <f>A122*1.2</f>
        <v/>
      </c>
      <c r="C122" s="109" t="n">
        <v>122</v>
      </c>
      <c r="D122" s="116" t="inlineStr">
        <is>
          <t>У</t>
        </is>
      </c>
      <c r="E122" s="88" t="inlineStr">
        <is>
          <t>230х140х180</t>
        </is>
      </c>
      <c r="G122" s="83" t="inlineStr">
        <is>
          <t>Ч</t>
        </is>
      </c>
      <c r="H122" s="146" t="inlineStr">
        <is>
          <t>х</t>
        </is>
      </c>
      <c r="I122" s="83" t="inlineStr">
        <is>
          <t>В</t>
        </is>
      </c>
      <c r="J122" s="83" t="inlineStr">
        <is>
          <t>х</t>
        </is>
      </c>
      <c r="K122" s="116" t="inlineStr">
        <is>
          <t>K123</t>
        </is>
      </c>
      <c r="N122" s="239">
        <f>IF(D122="","",IF(LEFT(D122,1)="0",0,1))</f>
        <v/>
      </c>
      <c r="O122" s="80">
        <f>ROUND(R122*S122*T122/1000000,2)</f>
        <v/>
      </c>
      <c r="P122" s="160">
        <f>IF(O122="","",
IF(O122&lt;1,"0,1-0,9 литров",
IF(O122&lt;2,"1-1,9 литра",
IF(O122&lt;3,"2-2,9 литра",
IF(O122&lt;4,"3-3,9 литра",
IF(O122&lt;6,"4-5,9 литра",IF(O122&lt;8,"6-7,9 литра",IF(O122&lt;10,"8-9,9 литров",IF(O122&lt;15,"10-14,9 литров",IF(O122&lt;20,"15-19,9 литров",IF(O122&lt;30,"20-29 литров",IF(O122&lt;50,"30-49 литров",IF(O122&lt;60,"50-59 литров",IF(O122&lt;70,"60-69 литров",IF(O122&lt;80,"70-79 литров",IF(O122&lt;90,"80-89 литров",IF(O122&lt;100,"90-99 литров",IF(O122&lt;200,"100-200 литров","200+ литров"))))))))))))))))))</f>
        <v/>
      </c>
      <c r="Q122" s="101">
        <f>IF(O122="","",IF(O122&lt;1,"&lt;1 л",IF(O122&lt;2,"1-2 л",IF(O122&lt;3,"2-3 л",IF(O122&lt;5,"3-5 л",IF(O122&lt;10,"5-10 л",IF(O122&lt;20,"10-20 л",IF(O122&lt;50,"20-50 л",IF(O122&lt;100,"50-100 л","100+ л")))))))))</f>
        <v/>
      </c>
      <c r="R122" s="162">
        <f>IF(E122="","",--LEFT(E122,FIND("х",E122)-1))</f>
        <v/>
      </c>
      <c r="S122" s="162">
        <f>IF(E122="","",--MID(E122,FIND("х",E122)+1,FIND("х",E122,FIND("х",E122)+1)-FIND("х",E122)-1))</f>
        <v/>
      </c>
      <c r="T122" s="162">
        <f>IF(E122="","",--RIGHT(E122,LEN(E122)-FIND("х",E122,FIND("х",E122)+1)))</f>
        <v/>
      </c>
      <c r="U122" s="66">
        <f>(2*(R122+S122)+60)*(S122+T122+8)/1000000</f>
        <v/>
      </c>
      <c r="V122" s="66">
        <f>IF(OR(AND(R122&gt;=2*S122,R122&gt;=2*T122),AND(S122&gt;=2*R122,S122&gt;=2*T122),AND(T122&gt;=2*R122,T122&gt;=2*S122)),"Длинные","")</f>
        <v/>
      </c>
      <c r="W122" s="66">
        <f>IF(OR(AND(R122&lt;=S122/2,R122&lt;=T122/2),AND(S122&lt;=R122/2,S122&lt;=T122/2),AND(T122&lt;=R122/2,T122&lt;=S122/2)),"Плоские","")</f>
        <v/>
      </c>
      <c r="X122" s="160">
        <f>IF(LARGE($R122:$T122,1)="","",IF(LARGE($R122:$T122,1)&lt;=99,"10-99 мм",IF(LARGE($R122:$T122,1)&lt;=199,"100-199 мм",IF(LARGE($R122:$T122,1)&lt;=299,"200-299 мм",IF(LARGE($R122:$T122,1)&lt;=399,"300-399 мм",IF(LARGE($R122:$T122,1)&lt;=499,"400-499 мм",IF(LARGE($R122:$T122,1)&lt;=599,"500-599 мм",IF(LARGE($R122:$T122,1)&lt;=699,"600-699 мм",IF(LARGE($R122:$T122,1)&lt;=999,"700-999 мм","1000+ мм")))))))))</f>
        <v/>
      </c>
      <c r="Y122" s="160">
        <f>IF(LARGE($R122:$T122,2)="","",IF(LARGE($R122:$T122,2)&lt;=99,"10-99 мм",IF(LARGE($R122:$T122,2)&lt;=199,"100-199 мм",IF(LARGE($R122:$T122,2)&lt;=299,"200-299 мм",IF(LARGE($R122:$T122,2)&lt;=399,"300-399 мм",IF(LARGE($R122:$T122,2)&lt;=499,"400-499 мм",IF(LARGE($R122:$T122,2)&lt;=599,"500-599 мм",IF(LARGE($R122:$T122,2)&lt;=699,"600-699 мм",IF(LARGE($R122:$T122,2)&lt;=999,"700-999 мм","1000+ мм")))))))))</f>
        <v/>
      </c>
      <c r="Z122" s="160">
        <f>IF(SMALL($R122:$T122,1)="","",IF(SMALL($R122:$T122,1)&lt;=99,"10-99 мм",IF(SMALL($R122:$T122,1)&lt;=199,"100-199 мм",IF(SMALL($R122:$T122,1)&lt;=299,"200-299 мм",IF(SMALL($R122:$T122,1)&lt;=399,"300-399 мм",IF(SMALL($R122:$T122,1)&lt;=499,"400-499 мм",IF(SMALL($R122:$T122,1)&lt;=599,"500-599 мм",IF(SMALL($R122:$T122,1)&lt;=699,"600-699 мм",IF(SMALL($R122:$T122,1)&lt;=999,"700-999 мм","1000+ мм")))))))))</f>
        <v/>
      </c>
      <c r="AA122" s="101">
        <f>IF(G122="","",IF(G122="Л","Лист гофрокартона",IF(G122="КД","Крышка-дно",IF(G122="С","Самосборные",IF(G122="Ч","Четырехклапанные",IF(G122="А","Архивные","Неизвестно"))))))</f>
        <v/>
      </c>
      <c r="AB122" s="66" t="n">
        <v>1.73</v>
      </c>
      <c r="AC122" s="101">
        <f>IF(O122="","",IF(O122&lt;=1,"0-1 литров",IF(O122&lt;=3,"2-3 литра",IF(O122&lt;=5,"4-5 литра",IF(O122&lt;=7,"6-7 литра",IF(O122&lt;=9,"8-9 литров",IF(O122&lt;=14,"10-14 литров",IF(O122&lt;=19,"15-19 литров",IF(O122&lt;=29,"20-29 литров",IF(O122&lt;=49,"30-49 литров",IF(O122&lt;=59,"50-59 литров",IF(O122&lt;=70,"60-69 литров",IF(O122&lt;=79,"70-79 литров",IF(O122&lt;=89,"80-89 литров",IF(O122&lt;=99,"90-99 литров",IF(O122&lt;=200,"100-200 литров","200+ литров"))))))))))))))))</f>
        <v/>
      </c>
    </row>
    <row r="123">
      <c r="A123" s="64" t="n">
        <v>0.45</v>
      </c>
      <c r="B123" s="65">
        <f>A123*1.2</f>
        <v/>
      </c>
      <c r="C123" s="109" t="n">
        <v>123</v>
      </c>
      <c r="D123" s="116" t="inlineStr">
        <is>
          <t>У</t>
        </is>
      </c>
      <c r="E123" s="88" t="inlineStr">
        <is>
          <t>170х160х210</t>
        </is>
      </c>
      <c r="G123" s="83" t="inlineStr">
        <is>
          <t>Ч</t>
        </is>
      </c>
      <c r="H123" s="146" t="inlineStr">
        <is>
          <t>х</t>
        </is>
      </c>
      <c r="I123" s="83" t="inlineStr">
        <is>
          <t>В</t>
        </is>
      </c>
      <c r="J123" s="83" t="inlineStr">
        <is>
          <t>х</t>
        </is>
      </c>
      <c r="K123" s="116" t="inlineStr">
        <is>
          <t>K124</t>
        </is>
      </c>
      <c r="N123" s="239">
        <f>IF(D123="","",IF(LEFT(D123,1)="0",0,1))</f>
        <v/>
      </c>
      <c r="O123" s="80">
        <f>ROUND(R123*S123*T123/1000000,2)</f>
        <v/>
      </c>
      <c r="P123" s="160">
        <f>IF(O123="","",
IF(O123&lt;1,"0,1-0,9 литров",
IF(O123&lt;2,"1-1,9 литра",
IF(O123&lt;3,"2-2,9 литра",
IF(O123&lt;4,"3-3,9 литра",
IF(O123&lt;6,"4-5,9 литра",IF(O123&lt;8,"6-7,9 литра",IF(O123&lt;10,"8-9,9 литров",IF(O123&lt;15,"10-14,9 литров",IF(O123&lt;20,"15-19,9 литров",IF(O123&lt;30,"20-29 литров",IF(O123&lt;50,"30-49 литров",IF(O123&lt;60,"50-59 литров",IF(O123&lt;70,"60-69 литров",IF(O123&lt;80,"70-79 литров",IF(O123&lt;90,"80-89 литров",IF(O123&lt;100,"90-99 литров",IF(O123&lt;200,"100-200 литров","200+ литров"))))))))))))))))))</f>
        <v/>
      </c>
      <c r="Q123" s="101">
        <f>IF(O123="","",IF(O123&lt;1,"&lt;1 л",IF(O123&lt;2,"1-2 л",IF(O123&lt;3,"2-3 л",IF(O123&lt;5,"3-5 л",IF(O123&lt;10,"5-10 л",IF(O123&lt;20,"10-20 л",IF(O123&lt;50,"20-50 л",IF(O123&lt;100,"50-100 л","100+ л")))))))))</f>
        <v/>
      </c>
      <c r="R123" s="162">
        <f>IF(E123="","",--LEFT(E123,FIND("х",E123)-1))</f>
        <v/>
      </c>
      <c r="S123" s="162">
        <f>IF(E123="","",--MID(E123,FIND("х",E123)+1,FIND("х",E123,FIND("х",E123)+1)-FIND("х",E123)-1))</f>
        <v/>
      </c>
      <c r="T123" s="162">
        <f>IF(E123="","",--RIGHT(E123,LEN(E123)-FIND("х",E123,FIND("х",E123)+1)))</f>
        <v/>
      </c>
      <c r="U123" s="66">
        <f>(2*(R123+S123)+60)*(S123+T123+8)/1000000</f>
        <v/>
      </c>
      <c r="V123" s="66">
        <f>IF(OR(AND(R123&gt;=2*S123,R123&gt;=2*T123),AND(S123&gt;=2*R123,S123&gt;=2*T123),AND(T123&gt;=2*R123,T123&gt;=2*S123)),"Длинные","")</f>
        <v/>
      </c>
      <c r="W123" s="66">
        <f>IF(OR(AND(R123&lt;=S123/2,R123&lt;=T123/2),AND(S123&lt;=R123/2,S123&lt;=T123/2),AND(T123&lt;=R123/2,T123&lt;=S123/2)),"Плоские","")</f>
        <v/>
      </c>
      <c r="X123" s="160">
        <f>IF(LARGE($R123:$T123,1)="","",IF(LARGE($R123:$T123,1)&lt;=99,"10-99 мм",IF(LARGE($R123:$T123,1)&lt;=199,"100-199 мм",IF(LARGE($R123:$T123,1)&lt;=299,"200-299 мм",IF(LARGE($R123:$T123,1)&lt;=399,"300-399 мм",IF(LARGE($R123:$T123,1)&lt;=499,"400-499 мм",IF(LARGE($R123:$T123,1)&lt;=599,"500-599 мм",IF(LARGE($R123:$T123,1)&lt;=699,"600-699 мм",IF(LARGE($R123:$T123,1)&lt;=999,"700-999 мм","1000+ мм")))))))))</f>
        <v/>
      </c>
      <c r="Y123" s="160">
        <f>IF(LARGE($R123:$T123,2)="","",IF(LARGE($R123:$T123,2)&lt;=99,"10-99 мм",IF(LARGE($R123:$T123,2)&lt;=199,"100-199 мм",IF(LARGE($R123:$T123,2)&lt;=299,"200-299 мм",IF(LARGE($R123:$T123,2)&lt;=399,"300-399 мм",IF(LARGE($R123:$T123,2)&lt;=499,"400-499 мм",IF(LARGE($R123:$T123,2)&lt;=599,"500-599 мм",IF(LARGE($R123:$T123,2)&lt;=699,"600-699 мм",IF(LARGE($R123:$T123,2)&lt;=999,"700-999 мм","1000+ мм")))))))))</f>
        <v/>
      </c>
      <c r="Z123" s="160">
        <f>IF(SMALL($R123:$T123,1)="","",IF(SMALL($R123:$T123,1)&lt;=99,"10-99 мм",IF(SMALL($R123:$T123,1)&lt;=199,"100-199 мм",IF(SMALL($R123:$T123,1)&lt;=299,"200-299 мм",IF(SMALL($R123:$T123,1)&lt;=399,"300-399 мм",IF(SMALL($R123:$T123,1)&lt;=499,"400-499 мм",IF(SMALL($R123:$T123,1)&lt;=599,"500-599 мм",IF(SMALL($R123:$T123,1)&lt;=699,"600-699 мм",IF(SMALL($R123:$T123,1)&lt;=999,"700-999 мм","1000+ мм")))))))))</f>
        <v/>
      </c>
      <c r="AA123" s="101">
        <f>IF(G123="","",IF(G123="Л","Лист гофрокартона",IF(G123="КД","Крышка-дно",IF(G123="С","Самосборные",IF(G123="Ч","Четырехклапанные",IF(G123="А","Архивные","Неизвестно"))))))</f>
        <v/>
      </c>
      <c r="AB123" s="66" t="n">
        <v>1.73</v>
      </c>
      <c r="AC123" s="101">
        <f>IF(O123="","",IF(O123&lt;=1,"0-1 литров",IF(O123&lt;=3,"2-3 литра",IF(O123&lt;=5,"4-5 литра",IF(O123&lt;=7,"6-7 литра",IF(O123&lt;=9,"8-9 литров",IF(O123&lt;=14,"10-14 литров",IF(O123&lt;=19,"15-19 литров",IF(O123&lt;=29,"20-29 литров",IF(O123&lt;=49,"30-49 литров",IF(O123&lt;=59,"50-59 литров",IF(O123&lt;=70,"60-69 литров",IF(O123&lt;=79,"70-79 литров",IF(O123&lt;=89,"80-89 литров",IF(O123&lt;=99,"90-99 литров",IF(O123&lt;=200,"100-200 литров","200+ литров"))))))))))))))))</f>
        <v/>
      </c>
    </row>
    <row r="124">
      <c r="A124" s="64" t="n">
        <v>0.15</v>
      </c>
      <c r="B124" s="65">
        <f>A124*1.2</f>
        <v/>
      </c>
      <c r="C124" s="109" t="n">
        <v>124</v>
      </c>
      <c r="D124" s="116" t="inlineStr">
        <is>
          <t>У</t>
        </is>
      </c>
      <c r="E124" s="88" t="inlineStr">
        <is>
          <t>70х70х70</t>
        </is>
      </c>
      <c r="G124" s="83" t="inlineStr">
        <is>
          <t>С</t>
        </is>
      </c>
      <c r="H124" s="146" t="inlineStr">
        <is>
          <t>х</t>
        </is>
      </c>
      <c r="I124" s="83" t="inlineStr">
        <is>
          <t>В</t>
        </is>
      </c>
      <c r="J124" s="83" t="inlineStr">
        <is>
          <t>х</t>
        </is>
      </c>
      <c r="K124" s="116" t="inlineStr">
        <is>
          <t>K125</t>
        </is>
      </c>
      <c r="N124" s="239">
        <f>IF(D124="","",IF(LEFT(D124,1)="0",0,1))</f>
        <v/>
      </c>
      <c r="O124" s="80">
        <f>ROUND(R124*S124*T124/1000000,2)</f>
        <v/>
      </c>
      <c r="P124" s="160">
        <f>IF(O124="","",
IF(O124&lt;1,"0,1-0,9 литров",
IF(O124&lt;2,"1-1,9 литра",
IF(O124&lt;3,"2-2,9 литра",
IF(O124&lt;4,"3-3,9 литра",
IF(O124&lt;6,"4-5,9 литра",IF(O124&lt;8,"6-7,9 литра",IF(O124&lt;10,"8-9,9 литров",IF(O124&lt;15,"10-14,9 литров",IF(O124&lt;20,"15-19,9 литров",IF(O124&lt;30,"20-29 литров",IF(O124&lt;50,"30-49 литров",IF(O124&lt;60,"50-59 литров",IF(O124&lt;70,"60-69 литров",IF(O124&lt;80,"70-79 литров",IF(O124&lt;90,"80-89 литров",IF(O124&lt;100,"90-99 литров",IF(O124&lt;200,"100-200 литров","200+ литров"))))))))))))))))))</f>
        <v/>
      </c>
      <c r="Q124" s="101">
        <f>IF(O124="","",IF(O124&lt;1,"&lt;1 л",IF(O124&lt;2,"1-2 л",IF(O124&lt;3,"2-3 л",IF(O124&lt;5,"3-5 л",IF(O124&lt;10,"5-10 л",IF(O124&lt;20,"10-20 л",IF(O124&lt;50,"20-50 л",IF(O124&lt;100,"50-100 л","100+ л")))))))))</f>
        <v/>
      </c>
      <c r="R124" s="162">
        <f>IF(E124="","",--LEFT(E124,FIND("х",E124)-1))</f>
        <v/>
      </c>
      <c r="S124" s="162">
        <f>IF(E124="","",--MID(E124,FIND("х",E124)+1,FIND("х",E124,FIND("х",E124)+1)-FIND("х",E124)-1))</f>
        <v/>
      </c>
      <c r="T124" s="162">
        <f>IF(E124="","",--RIGHT(E124,LEN(E124)-FIND("х",E124,FIND("х",E124)+1)))</f>
        <v/>
      </c>
      <c r="U124" s="66">
        <f>(2*(R124+S124)+60)*(S124+T124+8)/1000000</f>
        <v/>
      </c>
      <c r="V124" s="66">
        <f>IF(OR(AND(R124&gt;=2*S124,R124&gt;=2*T124),AND(S124&gt;=2*R124,S124&gt;=2*T124),AND(T124&gt;=2*R124,T124&gt;=2*S124)),"Длинные","")</f>
        <v/>
      </c>
      <c r="W124" s="66">
        <f>IF(OR(AND(R124&lt;=S124/2,R124&lt;=T124/2),AND(S124&lt;=R124/2,S124&lt;=T124/2),AND(T124&lt;=R124/2,T124&lt;=S124/2)),"Плоские","")</f>
        <v/>
      </c>
      <c r="X124" s="160">
        <f>IF(LARGE($R124:$T124,1)="","",IF(LARGE($R124:$T124,1)&lt;=99,"10-99 мм",IF(LARGE($R124:$T124,1)&lt;=199,"100-199 мм",IF(LARGE($R124:$T124,1)&lt;=299,"200-299 мм",IF(LARGE($R124:$T124,1)&lt;=399,"300-399 мм",IF(LARGE($R124:$T124,1)&lt;=499,"400-499 мм",IF(LARGE($R124:$T124,1)&lt;=599,"500-599 мм",IF(LARGE($R124:$T124,1)&lt;=699,"600-699 мм",IF(LARGE($R124:$T124,1)&lt;=999,"700-999 мм","1000+ мм")))))))))</f>
        <v/>
      </c>
      <c r="Y124" s="160">
        <f>IF(LARGE($R124:$T124,2)="","",IF(LARGE($R124:$T124,2)&lt;=99,"10-99 мм",IF(LARGE($R124:$T124,2)&lt;=199,"100-199 мм",IF(LARGE($R124:$T124,2)&lt;=299,"200-299 мм",IF(LARGE($R124:$T124,2)&lt;=399,"300-399 мм",IF(LARGE($R124:$T124,2)&lt;=499,"400-499 мм",IF(LARGE($R124:$T124,2)&lt;=599,"500-599 мм",IF(LARGE($R124:$T124,2)&lt;=699,"600-699 мм",IF(LARGE($R124:$T124,2)&lt;=999,"700-999 мм","1000+ мм")))))))))</f>
        <v/>
      </c>
      <c r="Z124" s="160">
        <f>IF(SMALL($R124:$T124,1)="","",IF(SMALL($R124:$T124,1)&lt;=99,"10-99 мм",IF(SMALL($R124:$T124,1)&lt;=199,"100-199 мм",IF(SMALL($R124:$T124,1)&lt;=299,"200-299 мм",IF(SMALL($R124:$T124,1)&lt;=399,"300-399 мм",IF(SMALL($R124:$T124,1)&lt;=499,"400-499 мм",IF(SMALL($R124:$T124,1)&lt;=599,"500-599 мм",IF(SMALL($R124:$T124,1)&lt;=699,"600-699 мм",IF(SMALL($R124:$T124,1)&lt;=999,"700-999 мм","1000+ мм")))))))))</f>
        <v/>
      </c>
      <c r="AA124" s="101">
        <f>IF(G124="","",IF(G124="Л","Лист гофрокартона",IF(G124="КД","Крышка-дно",IF(G124="С","Самосборные",IF(G124="Ч","Четырехклапанные",IF(G124="А","Архивные","Неизвестно"))))))</f>
        <v/>
      </c>
      <c r="AB124" s="66" t="n">
        <v>1.73</v>
      </c>
      <c r="AC124" s="101">
        <f>IF(O124="","",IF(O124&lt;=1,"0-1 литров",IF(O124&lt;=3,"2-3 литра",IF(O124&lt;=5,"4-5 литра",IF(O124&lt;=7,"6-7 литра",IF(O124&lt;=9,"8-9 литров",IF(O124&lt;=14,"10-14 литров",IF(O124&lt;=19,"15-19 литров",IF(O124&lt;=29,"20-29 литров",IF(O124&lt;=49,"30-49 литров",IF(O124&lt;=59,"50-59 литров",IF(O124&lt;=70,"60-69 литров",IF(O124&lt;=79,"70-79 литров",IF(O124&lt;=89,"80-89 литров",IF(O124&lt;=99,"90-99 литров",IF(O124&lt;=200,"100-200 литров","200+ литров"))))))))))))))))</f>
        <v/>
      </c>
    </row>
    <row r="125">
      <c r="A125" s="64" t="n">
        <v>0.91</v>
      </c>
      <c r="B125" s="65">
        <f>A125*1.2</f>
        <v/>
      </c>
      <c r="C125" s="109" t="n">
        <v>125</v>
      </c>
      <c r="D125" s="116" t="inlineStr">
        <is>
          <t>У</t>
        </is>
      </c>
      <c r="E125" s="88" t="inlineStr">
        <is>
          <t>410х100х390</t>
        </is>
      </c>
      <c r="G125" s="83" t="inlineStr">
        <is>
          <t>Ч</t>
        </is>
      </c>
      <c r="H125" s="146" t="inlineStr">
        <is>
          <t>х</t>
        </is>
      </c>
      <c r="I125" s="83" t="inlineStr">
        <is>
          <t>В</t>
        </is>
      </c>
      <c r="J125" s="83" t="inlineStr">
        <is>
          <t>х</t>
        </is>
      </c>
      <c r="K125" s="116" t="inlineStr">
        <is>
          <t>K126</t>
        </is>
      </c>
      <c r="N125" s="239">
        <f>IF(D125="","",IF(LEFT(D125,1)="0",0,1))</f>
        <v/>
      </c>
      <c r="O125" s="80">
        <f>ROUND(R125*S125*T125/1000000,2)</f>
        <v/>
      </c>
      <c r="P125" s="160">
        <f>IF(O125="","",
IF(O125&lt;1,"0,1-0,9 литров",
IF(O125&lt;2,"1-1,9 литра",
IF(O125&lt;3,"2-2,9 литра",
IF(O125&lt;4,"3-3,9 литра",
IF(O125&lt;6,"4-5,9 литра",IF(O125&lt;8,"6-7,9 литра",IF(O125&lt;10,"8-9,9 литров",IF(O125&lt;15,"10-14,9 литров",IF(O125&lt;20,"15-19,9 литров",IF(O125&lt;30,"20-29 литров",IF(O125&lt;50,"30-49 литров",IF(O125&lt;60,"50-59 литров",IF(O125&lt;70,"60-69 литров",IF(O125&lt;80,"70-79 литров",IF(O125&lt;90,"80-89 литров",IF(O125&lt;100,"90-99 литров",IF(O125&lt;200,"100-200 литров","200+ литров"))))))))))))))))))</f>
        <v/>
      </c>
      <c r="Q125" s="101">
        <f>IF(O125="","",IF(O125&lt;1,"&lt;1 л",IF(O125&lt;2,"1-2 л",IF(O125&lt;3,"2-3 л",IF(O125&lt;5,"3-5 л",IF(O125&lt;10,"5-10 л",IF(O125&lt;20,"10-20 л",IF(O125&lt;50,"20-50 л",IF(O125&lt;100,"50-100 л","100+ л")))))))))</f>
        <v/>
      </c>
      <c r="R125" s="162">
        <f>IF(E125="","",--LEFT(E125,FIND("х",E125)-1))</f>
        <v/>
      </c>
      <c r="S125" s="162">
        <f>IF(E125="","",--MID(E125,FIND("х",E125)+1,FIND("х",E125,FIND("х",E125)+1)-FIND("х",E125)-1))</f>
        <v/>
      </c>
      <c r="T125" s="162">
        <f>IF(E125="","",--RIGHT(E125,LEN(E125)-FIND("х",E125,FIND("х",E125)+1)))</f>
        <v/>
      </c>
      <c r="U125" s="66">
        <f>(2*(R125+S125)+60)*(S125+T125+8)/1000000</f>
        <v/>
      </c>
      <c r="V125" s="66">
        <f>IF(OR(AND(R125&gt;=2*S125,R125&gt;=2*T125),AND(S125&gt;=2*R125,S125&gt;=2*T125),AND(T125&gt;=2*R125,T125&gt;=2*S125)),"Длинные","")</f>
        <v/>
      </c>
      <c r="W125" s="66">
        <f>IF(OR(AND(R125&lt;=S125/2,R125&lt;=T125/2),AND(S125&lt;=R125/2,S125&lt;=T125/2),AND(T125&lt;=R125/2,T125&lt;=S125/2)),"Плоские","")</f>
        <v/>
      </c>
      <c r="X125" s="160">
        <f>IF(LARGE($R125:$T125,1)="","",IF(LARGE($R125:$T125,1)&lt;=99,"10-99 мм",IF(LARGE($R125:$T125,1)&lt;=199,"100-199 мм",IF(LARGE($R125:$T125,1)&lt;=299,"200-299 мм",IF(LARGE($R125:$T125,1)&lt;=399,"300-399 мм",IF(LARGE($R125:$T125,1)&lt;=499,"400-499 мм",IF(LARGE($R125:$T125,1)&lt;=599,"500-599 мм",IF(LARGE($R125:$T125,1)&lt;=699,"600-699 мм",IF(LARGE($R125:$T125,1)&lt;=999,"700-999 мм","1000+ мм")))))))))</f>
        <v/>
      </c>
      <c r="Y125" s="160">
        <f>IF(LARGE($R125:$T125,2)="","",IF(LARGE($R125:$T125,2)&lt;=99,"10-99 мм",IF(LARGE($R125:$T125,2)&lt;=199,"100-199 мм",IF(LARGE($R125:$T125,2)&lt;=299,"200-299 мм",IF(LARGE($R125:$T125,2)&lt;=399,"300-399 мм",IF(LARGE($R125:$T125,2)&lt;=499,"400-499 мм",IF(LARGE($R125:$T125,2)&lt;=599,"500-599 мм",IF(LARGE($R125:$T125,2)&lt;=699,"600-699 мм",IF(LARGE($R125:$T125,2)&lt;=999,"700-999 мм","1000+ мм")))))))))</f>
        <v/>
      </c>
      <c r="Z125" s="160">
        <f>IF(SMALL($R125:$T125,1)="","",IF(SMALL($R125:$T125,1)&lt;=99,"10-99 мм",IF(SMALL($R125:$T125,1)&lt;=199,"100-199 мм",IF(SMALL($R125:$T125,1)&lt;=299,"200-299 мм",IF(SMALL($R125:$T125,1)&lt;=399,"300-399 мм",IF(SMALL($R125:$T125,1)&lt;=499,"400-499 мм",IF(SMALL($R125:$T125,1)&lt;=599,"500-599 мм",IF(SMALL($R125:$T125,1)&lt;=699,"600-699 мм",IF(SMALL($R125:$T125,1)&lt;=999,"700-999 мм","1000+ мм")))))))))</f>
        <v/>
      </c>
      <c r="AA125" s="101">
        <f>IF(G125="","",IF(G125="Л","Лист гофрокартона",IF(G125="КД","Крышка-дно",IF(G125="С","Самосборные",IF(G125="Ч","Четырехклапанные",IF(G125="А","Архивные","Неизвестно"))))))</f>
        <v/>
      </c>
      <c r="AB125" s="66" t="n">
        <v>1.73</v>
      </c>
      <c r="AC125" s="101">
        <f>IF(O125="","",IF(O125&lt;=1,"0-1 литров",IF(O125&lt;=3,"2-3 литра",IF(O125&lt;=5,"4-5 литра",IF(O125&lt;=7,"6-7 литра",IF(O125&lt;=9,"8-9 литров",IF(O125&lt;=14,"10-14 литров",IF(O125&lt;=19,"15-19 литров",IF(O125&lt;=29,"20-29 литров",IF(O125&lt;=49,"30-49 литров",IF(O125&lt;=59,"50-59 литров",IF(O125&lt;=70,"60-69 литров",IF(O125&lt;=79,"70-79 литров",IF(O125&lt;=89,"80-89 литров",IF(O125&lt;=99,"90-99 литров",IF(O125&lt;=200,"100-200 литров","200+ литров"))))))))))))))))</f>
        <v/>
      </c>
    </row>
    <row r="126">
      <c r="A126" s="64" t="n">
        <v>0.77</v>
      </c>
      <c r="B126" s="65">
        <f>A126*1.2</f>
        <v/>
      </c>
      <c r="C126" s="109" t="n">
        <v>126</v>
      </c>
      <c r="D126" s="116" t="inlineStr">
        <is>
          <t>У</t>
        </is>
      </c>
      <c r="E126" s="88" t="inlineStr">
        <is>
          <t>210х190х355</t>
        </is>
      </c>
      <c r="G126" s="83" t="inlineStr">
        <is>
          <t>Ч</t>
        </is>
      </c>
      <c r="H126" s="146" t="inlineStr">
        <is>
          <t>х</t>
        </is>
      </c>
      <c r="I126" s="83" t="inlineStr">
        <is>
          <t>В</t>
        </is>
      </c>
      <c r="J126" s="83" t="inlineStr">
        <is>
          <t>х</t>
        </is>
      </c>
      <c r="K126" s="116" t="inlineStr">
        <is>
          <t>K127</t>
        </is>
      </c>
      <c r="N126" s="239">
        <f>IF(D126="","",IF(LEFT(D126,1)="0",0,1))</f>
        <v/>
      </c>
      <c r="O126" s="80">
        <f>ROUND(R126*S126*T126/1000000,2)</f>
        <v/>
      </c>
      <c r="P126" s="160">
        <f>IF(O126="","",
IF(O126&lt;1,"0,1-0,9 литров",
IF(O126&lt;2,"1-1,9 литра",
IF(O126&lt;3,"2-2,9 литра",
IF(O126&lt;4,"3-3,9 литра",
IF(O126&lt;6,"4-5,9 литра",IF(O126&lt;8,"6-7,9 литра",IF(O126&lt;10,"8-9,9 литров",IF(O126&lt;15,"10-14,9 литров",IF(O126&lt;20,"15-19,9 литров",IF(O126&lt;30,"20-29 литров",IF(O126&lt;50,"30-49 литров",IF(O126&lt;60,"50-59 литров",IF(O126&lt;70,"60-69 литров",IF(O126&lt;80,"70-79 литров",IF(O126&lt;90,"80-89 литров",IF(O126&lt;100,"90-99 литров",IF(O126&lt;200,"100-200 литров","200+ литров"))))))))))))))))))</f>
        <v/>
      </c>
      <c r="Q126" s="101">
        <f>IF(O126="","",IF(O126&lt;1,"&lt;1 л",IF(O126&lt;2,"1-2 л",IF(O126&lt;3,"2-3 л",IF(O126&lt;5,"3-5 л",IF(O126&lt;10,"5-10 л",IF(O126&lt;20,"10-20 л",IF(O126&lt;50,"20-50 л",IF(O126&lt;100,"50-100 л","100+ л")))))))))</f>
        <v/>
      </c>
      <c r="R126" s="162">
        <f>IF(E126="","",--LEFT(E126,FIND("х",E126)-1))</f>
        <v/>
      </c>
      <c r="S126" s="162">
        <f>IF(E126="","",--MID(E126,FIND("х",E126)+1,FIND("х",E126,FIND("х",E126)+1)-FIND("х",E126)-1))</f>
        <v/>
      </c>
      <c r="T126" s="162">
        <f>IF(E126="","",--RIGHT(E126,LEN(E126)-FIND("х",E126,FIND("х",E126)+1)))</f>
        <v/>
      </c>
      <c r="U126" s="66">
        <f>(2*(R126+S126)+60)*(S126+T126+8)/1000000</f>
        <v/>
      </c>
      <c r="V126" s="66">
        <f>IF(OR(AND(R126&gt;=2*S126,R126&gt;=2*T126),AND(S126&gt;=2*R126,S126&gt;=2*T126),AND(T126&gt;=2*R126,T126&gt;=2*S126)),"Длинные","")</f>
        <v/>
      </c>
      <c r="W126" s="66">
        <f>IF(OR(AND(R126&lt;=S126/2,R126&lt;=T126/2),AND(S126&lt;=R126/2,S126&lt;=T126/2),AND(T126&lt;=R126/2,T126&lt;=S126/2)),"Плоские","")</f>
        <v/>
      </c>
      <c r="X126" s="160">
        <f>IF(LARGE($R126:$T126,1)="","",IF(LARGE($R126:$T126,1)&lt;=99,"10-99 мм",IF(LARGE($R126:$T126,1)&lt;=199,"100-199 мм",IF(LARGE($R126:$T126,1)&lt;=299,"200-299 мм",IF(LARGE($R126:$T126,1)&lt;=399,"300-399 мм",IF(LARGE($R126:$T126,1)&lt;=499,"400-499 мм",IF(LARGE($R126:$T126,1)&lt;=599,"500-599 мм",IF(LARGE($R126:$T126,1)&lt;=699,"600-699 мм",IF(LARGE($R126:$T126,1)&lt;=999,"700-999 мм","1000+ мм")))))))))</f>
        <v/>
      </c>
      <c r="Y126" s="160">
        <f>IF(LARGE($R126:$T126,2)="","",IF(LARGE($R126:$T126,2)&lt;=99,"10-99 мм",IF(LARGE($R126:$T126,2)&lt;=199,"100-199 мм",IF(LARGE($R126:$T126,2)&lt;=299,"200-299 мм",IF(LARGE($R126:$T126,2)&lt;=399,"300-399 мм",IF(LARGE($R126:$T126,2)&lt;=499,"400-499 мм",IF(LARGE($R126:$T126,2)&lt;=599,"500-599 мм",IF(LARGE($R126:$T126,2)&lt;=699,"600-699 мм",IF(LARGE($R126:$T126,2)&lt;=999,"700-999 мм","1000+ мм")))))))))</f>
        <v/>
      </c>
      <c r="Z126" s="160">
        <f>IF(SMALL($R126:$T126,1)="","",IF(SMALL($R126:$T126,1)&lt;=99,"10-99 мм",IF(SMALL($R126:$T126,1)&lt;=199,"100-199 мм",IF(SMALL($R126:$T126,1)&lt;=299,"200-299 мм",IF(SMALL($R126:$T126,1)&lt;=399,"300-399 мм",IF(SMALL($R126:$T126,1)&lt;=499,"400-499 мм",IF(SMALL($R126:$T126,1)&lt;=599,"500-599 мм",IF(SMALL($R126:$T126,1)&lt;=699,"600-699 мм",IF(SMALL($R126:$T126,1)&lt;=999,"700-999 мм","1000+ мм")))))))))</f>
        <v/>
      </c>
      <c r="AA126" s="101">
        <f>IF(G126="","",IF(G126="Л","Лист гофрокартона",IF(G126="КД","Крышка-дно",IF(G126="С","Самосборные",IF(G126="Ч","Четырехклапанные",IF(G126="А","Архивные","Неизвестно"))))))</f>
        <v/>
      </c>
      <c r="AB126" s="66" t="n">
        <v>1.73</v>
      </c>
      <c r="AC126" s="101">
        <f>IF(O126="","",IF(O126&lt;=1,"0-1 литров",IF(O126&lt;=3,"2-3 литра",IF(O126&lt;=5,"4-5 литра",IF(O126&lt;=7,"6-7 литра",IF(O126&lt;=9,"8-9 литров",IF(O126&lt;=14,"10-14 литров",IF(O126&lt;=19,"15-19 литров",IF(O126&lt;=29,"20-29 литров",IF(O126&lt;=49,"30-49 литров",IF(O126&lt;=59,"50-59 литров",IF(O126&lt;=70,"60-69 литров",IF(O126&lt;=79,"70-79 литров",IF(O126&lt;=89,"80-89 литров",IF(O126&lt;=99,"90-99 литров",IF(O126&lt;=200,"100-200 литров","200+ литров"))))))))))))))))</f>
        <v/>
      </c>
    </row>
    <row r="127">
      <c r="A127" s="64" t="n">
        <v>2.18</v>
      </c>
      <c r="B127" s="65">
        <f>A127*1.2</f>
        <v/>
      </c>
      <c r="C127" s="109" t="n">
        <v>127</v>
      </c>
      <c r="D127" s="116" t="inlineStr">
        <is>
          <t>У</t>
        </is>
      </c>
      <c r="E127" s="88" t="inlineStr">
        <is>
          <t>465х305х490</t>
        </is>
      </c>
      <c r="G127" s="83" t="inlineStr">
        <is>
          <t>Ч</t>
        </is>
      </c>
      <c r="H127" s="146" t="inlineStr">
        <is>
          <t>х</t>
        </is>
      </c>
      <c r="I127" s="83" t="inlineStr">
        <is>
          <t>В</t>
        </is>
      </c>
      <c r="J127" s="83" t="inlineStr">
        <is>
          <t>х</t>
        </is>
      </c>
      <c r="K127" s="116" t="inlineStr">
        <is>
          <t>K128</t>
        </is>
      </c>
      <c r="N127" s="239">
        <f>IF(D127="","",IF(LEFT(D127,1)="0",0,1))</f>
        <v/>
      </c>
      <c r="O127" s="80">
        <f>ROUND(R127*S127*T127/1000000,2)</f>
        <v/>
      </c>
      <c r="P127" s="160">
        <f>IF(O127="","",
IF(O127&lt;1,"0,1-0,9 литров",
IF(O127&lt;2,"1-1,9 литра",
IF(O127&lt;3,"2-2,9 литра",
IF(O127&lt;4,"3-3,9 литра",
IF(O127&lt;6,"4-5,9 литра",IF(O127&lt;8,"6-7,9 литра",IF(O127&lt;10,"8-9,9 литров",IF(O127&lt;15,"10-14,9 литров",IF(O127&lt;20,"15-19,9 литров",IF(O127&lt;30,"20-29 литров",IF(O127&lt;50,"30-49 литров",IF(O127&lt;60,"50-59 литров",IF(O127&lt;70,"60-69 литров",IF(O127&lt;80,"70-79 литров",IF(O127&lt;90,"80-89 литров",IF(O127&lt;100,"90-99 литров",IF(O127&lt;200,"100-200 литров","200+ литров"))))))))))))))))))</f>
        <v/>
      </c>
      <c r="Q127" s="101">
        <f>IF(O127="","",IF(O127&lt;1,"&lt;1 л",IF(O127&lt;2,"1-2 л",IF(O127&lt;3,"2-3 л",IF(O127&lt;5,"3-5 л",IF(O127&lt;10,"5-10 л",IF(O127&lt;20,"10-20 л",IF(O127&lt;50,"20-50 л",IF(O127&lt;100,"50-100 л","100+ л")))))))))</f>
        <v/>
      </c>
      <c r="R127" s="162">
        <f>IF(E127="","",--LEFT(E127,FIND("х",E127)-1))</f>
        <v/>
      </c>
      <c r="S127" s="162">
        <f>IF(E127="","",--MID(E127,FIND("х",E127)+1,FIND("х",E127,FIND("х",E127)+1)-FIND("х",E127)-1))</f>
        <v/>
      </c>
      <c r="T127" s="162">
        <f>IF(E127="","",--RIGHT(E127,LEN(E127)-FIND("х",E127,FIND("х",E127)+1)))</f>
        <v/>
      </c>
      <c r="U127" s="66">
        <f>(2*(R127+S127)+60)*(S127+T127+8)/1000000</f>
        <v/>
      </c>
      <c r="V127" s="66">
        <f>IF(OR(AND(R127&gt;=2*S127,R127&gt;=2*T127),AND(S127&gt;=2*R127,S127&gt;=2*T127),AND(T127&gt;=2*R127,T127&gt;=2*S127)),"Длинные","")</f>
        <v/>
      </c>
      <c r="W127" s="66">
        <f>IF(OR(AND(R127&lt;=S127/2,R127&lt;=T127/2),AND(S127&lt;=R127/2,S127&lt;=T127/2),AND(T127&lt;=R127/2,T127&lt;=S127/2)),"Плоские","")</f>
        <v/>
      </c>
      <c r="X127" s="160">
        <f>IF(LARGE($R127:$T127,1)="","",IF(LARGE($R127:$T127,1)&lt;=99,"10-99 мм",IF(LARGE($R127:$T127,1)&lt;=199,"100-199 мм",IF(LARGE($R127:$T127,1)&lt;=299,"200-299 мм",IF(LARGE($R127:$T127,1)&lt;=399,"300-399 мм",IF(LARGE($R127:$T127,1)&lt;=499,"400-499 мм",IF(LARGE($R127:$T127,1)&lt;=599,"500-599 мм",IF(LARGE($R127:$T127,1)&lt;=699,"600-699 мм",IF(LARGE($R127:$T127,1)&lt;=999,"700-999 мм","1000+ мм")))))))))</f>
        <v/>
      </c>
      <c r="Y127" s="160">
        <f>IF(LARGE($R127:$T127,2)="","",IF(LARGE($R127:$T127,2)&lt;=99,"10-99 мм",IF(LARGE($R127:$T127,2)&lt;=199,"100-199 мм",IF(LARGE($R127:$T127,2)&lt;=299,"200-299 мм",IF(LARGE($R127:$T127,2)&lt;=399,"300-399 мм",IF(LARGE($R127:$T127,2)&lt;=499,"400-499 мм",IF(LARGE($R127:$T127,2)&lt;=599,"500-599 мм",IF(LARGE($R127:$T127,2)&lt;=699,"600-699 мм",IF(LARGE($R127:$T127,2)&lt;=999,"700-999 мм","1000+ мм")))))))))</f>
        <v/>
      </c>
      <c r="Z127" s="160">
        <f>IF(SMALL($R127:$T127,1)="","",IF(SMALL($R127:$T127,1)&lt;=99,"10-99 мм",IF(SMALL($R127:$T127,1)&lt;=199,"100-199 мм",IF(SMALL($R127:$T127,1)&lt;=299,"200-299 мм",IF(SMALL($R127:$T127,1)&lt;=399,"300-399 мм",IF(SMALL($R127:$T127,1)&lt;=499,"400-499 мм",IF(SMALL($R127:$T127,1)&lt;=599,"500-599 мм",IF(SMALL($R127:$T127,1)&lt;=699,"600-699 мм",IF(SMALL($R127:$T127,1)&lt;=999,"700-999 мм","1000+ мм")))))))))</f>
        <v/>
      </c>
      <c r="AA127" s="101">
        <f>IF(G127="","",IF(G127="Л","Лист гофрокартона",IF(G127="КД","Крышка-дно",IF(G127="С","Самосборные",IF(G127="Ч","Четырехклапанные",IF(G127="А","Архивные","Неизвестно"))))))</f>
        <v/>
      </c>
      <c r="AB127" s="66" t="n">
        <v>1.73</v>
      </c>
      <c r="AC127" s="101">
        <f>IF(O127="","",IF(O127&lt;=1,"0-1 литров",IF(O127&lt;=3,"2-3 литра",IF(O127&lt;=5,"4-5 литра",IF(O127&lt;=7,"6-7 литра",IF(O127&lt;=9,"8-9 литров",IF(O127&lt;=14,"10-14 литров",IF(O127&lt;=19,"15-19 литров",IF(O127&lt;=29,"20-29 литров",IF(O127&lt;=49,"30-49 литров",IF(O127&lt;=59,"50-59 литров",IF(O127&lt;=70,"60-69 литров",IF(O127&lt;=79,"70-79 литров",IF(O127&lt;=89,"80-89 литров",IF(O127&lt;=99,"90-99 литров",IF(O127&lt;=200,"100-200 литров","200+ литров"))))))))))))))))</f>
        <v/>
      </c>
    </row>
    <row r="128">
      <c r="A128" s="64" t="n">
        <v>0.59</v>
      </c>
      <c r="B128" s="65">
        <f>A128*1.2</f>
        <v/>
      </c>
      <c r="C128" s="109" t="n">
        <v>128</v>
      </c>
      <c r="D128" s="116" t="inlineStr">
        <is>
          <t>У</t>
        </is>
      </c>
      <c r="E128" s="88" t="inlineStr">
        <is>
          <t>225х225х135</t>
        </is>
      </c>
      <c r="G128" s="83" t="inlineStr">
        <is>
          <t>Ч</t>
        </is>
      </c>
      <c r="H128" s="146" t="inlineStr">
        <is>
          <t>х</t>
        </is>
      </c>
      <c r="I128" s="83" t="inlineStr">
        <is>
          <t>В</t>
        </is>
      </c>
      <c r="J128" s="83" t="inlineStr">
        <is>
          <t>х</t>
        </is>
      </c>
      <c r="K128" s="116" t="inlineStr">
        <is>
          <t>K129</t>
        </is>
      </c>
      <c r="N128" s="239">
        <f>IF(D128="","",IF(LEFT(D128,1)="0",0,1))</f>
        <v/>
      </c>
      <c r="O128" s="80">
        <f>ROUND(R128*S128*T128/1000000,2)</f>
        <v/>
      </c>
      <c r="P128" s="160">
        <f>IF(O128="","",
IF(O128&lt;1,"0,1-0,9 литров",
IF(O128&lt;2,"1-1,9 литра",
IF(O128&lt;3,"2-2,9 литра",
IF(O128&lt;4,"3-3,9 литра",
IF(O128&lt;6,"4-5,9 литра",IF(O128&lt;8,"6-7,9 литра",IF(O128&lt;10,"8-9,9 литров",IF(O128&lt;15,"10-14,9 литров",IF(O128&lt;20,"15-19,9 литров",IF(O128&lt;30,"20-29 литров",IF(O128&lt;50,"30-49 литров",IF(O128&lt;60,"50-59 литров",IF(O128&lt;70,"60-69 литров",IF(O128&lt;80,"70-79 литров",IF(O128&lt;90,"80-89 литров",IF(O128&lt;100,"90-99 литров",IF(O128&lt;200,"100-200 литров","200+ литров"))))))))))))))))))</f>
        <v/>
      </c>
      <c r="Q128" s="101">
        <f>IF(O128="","",IF(O128&lt;1,"&lt;1 л",IF(O128&lt;2,"1-2 л",IF(O128&lt;3,"2-3 л",IF(O128&lt;5,"3-5 л",IF(O128&lt;10,"5-10 л",IF(O128&lt;20,"10-20 л",IF(O128&lt;50,"20-50 л",IF(O128&lt;100,"50-100 л","100+ л")))))))))</f>
        <v/>
      </c>
      <c r="R128" s="162">
        <f>IF(E128="","",--LEFT(E128,FIND("х",E128)-1))</f>
        <v/>
      </c>
      <c r="S128" s="162">
        <f>IF(E128="","",--MID(E128,FIND("х",E128)+1,FIND("х",E128,FIND("х",E128)+1)-FIND("х",E128)-1))</f>
        <v/>
      </c>
      <c r="T128" s="162">
        <f>IF(E128="","",--RIGHT(E128,LEN(E128)-FIND("х",E128,FIND("х",E128)+1)))</f>
        <v/>
      </c>
      <c r="U128" s="66">
        <f>(2*(R128+S128)+60)*(S128+T128+8)/1000000</f>
        <v/>
      </c>
      <c r="V128" s="66">
        <f>IF(OR(AND(R128&gt;=2*S128,R128&gt;=2*T128),AND(S128&gt;=2*R128,S128&gt;=2*T128),AND(T128&gt;=2*R128,T128&gt;=2*S128)),"Длинные","")</f>
        <v/>
      </c>
      <c r="W128" s="66">
        <f>IF(OR(AND(R128&lt;=S128/2,R128&lt;=T128/2),AND(S128&lt;=R128/2,S128&lt;=T128/2),AND(T128&lt;=R128/2,T128&lt;=S128/2)),"Плоские","")</f>
        <v/>
      </c>
      <c r="X128" s="160">
        <f>IF(LARGE($R128:$T128,1)="","",IF(LARGE($R128:$T128,1)&lt;=99,"10-99 мм",IF(LARGE($R128:$T128,1)&lt;=199,"100-199 мм",IF(LARGE($R128:$T128,1)&lt;=299,"200-299 мм",IF(LARGE($R128:$T128,1)&lt;=399,"300-399 мм",IF(LARGE($R128:$T128,1)&lt;=499,"400-499 мм",IF(LARGE($R128:$T128,1)&lt;=599,"500-599 мм",IF(LARGE($R128:$T128,1)&lt;=699,"600-699 мм",IF(LARGE($R128:$T128,1)&lt;=999,"700-999 мм","1000+ мм")))))))))</f>
        <v/>
      </c>
      <c r="Y128" s="160">
        <f>IF(LARGE($R128:$T128,2)="","",IF(LARGE($R128:$T128,2)&lt;=99,"10-99 мм",IF(LARGE($R128:$T128,2)&lt;=199,"100-199 мм",IF(LARGE($R128:$T128,2)&lt;=299,"200-299 мм",IF(LARGE($R128:$T128,2)&lt;=399,"300-399 мм",IF(LARGE($R128:$T128,2)&lt;=499,"400-499 мм",IF(LARGE($R128:$T128,2)&lt;=599,"500-599 мм",IF(LARGE($R128:$T128,2)&lt;=699,"600-699 мм",IF(LARGE($R128:$T128,2)&lt;=999,"700-999 мм","1000+ мм")))))))))</f>
        <v/>
      </c>
      <c r="Z128" s="160">
        <f>IF(SMALL($R128:$T128,1)="","",IF(SMALL($R128:$T128,1)&lt;=99,"10-99 мм",IF(SMALL($R128:$T128,1)&lt;=199,"100-199 мм",IF(SMALL($R128:$T128,1)&lt;=299,"200-299 мм",IF(SMALL($R128:$T128,1)&lt;=399,"300-399 мм",IF(SMALL($R128:$T128,1)&lt;=499,"400-499 мм",IF(SMALL($R128:$T128,1)&lt;=599,"500-599 мм",IF(SMALL($R128:$T128,1)&lt;=699,"600-699 мм",IF(SMALL($R128:$T128,1)&lt;=999,"700-999 мм","1000+ мм")))))))))</f>
        <v/>
      </c>
      <c r="AA128" s="101">
        <f>IF(G128="","",IF(G128="Л","Лист гофрокартона",IF(G128="КД","Крышка-дно",IF(G128="С","Самосборные",IF(G128="Ч","Четырехклапанные",IF(G128="А","Архивные","Неизвестно"))))))</f>
        <v/>
      </c>
      <c r="AB128" s="66" t="n">
        <v>1.73</v>
      </c>
      <c r="AC128" s="101">
        <f>IF(O128="","",IF(O128&lt;=1,"0-1 литров",IF(O128&lt;=3,"2-3 литра",IF(O128&lt;=5,"4-5 литра",IF(O128&lt;=7,"6-7 литра",IF(O128&lt;=9,"8-9 литров",IF(O128&lt;=14,"10-14 литров",IF(O128&lt;=19,"15-19 литров",IF(O128&lt;=29,"20-29 литров",IF(O128&lt;=49,"30-49 литров",IF(O128&lt;=59,"50-59 литров",IF(O128&lt;=70,"60-69 литров",IF(O128&lt;=79,"70-79 литров",IF(O128&lt;=89,"80-89 литров",IF(O128&lt;=99,"90-99 литров",IF(O128&lt;=200,"100-200 литров","200+ литров"))))))))))))))))</f>
        <v/>
      </c>
    </row>
    <row r="129">
      <c r="A129" s="64" t="n">
        <v>1.12</v>
      </c>
      <c r="B129" s="65">
        <f>A129*1.2</f>
        <v/>
      </c>
      <c r="C129" s="109" t="n">
        <v>129</v>
      </c>
      <c r="D129" s="116" t="inlineStr">
        <is>
          <t>У</t>
        </is>
      </c>
      <c r="E129" s="88" t="inlineStr">
        <is>
          <t>320х230х335</t>
        </is>
      </c>
      <c r="G129" s="83" t="inlineStr">
        <is>
          <t>Ч</t>
        </is>
      </c>
      <c r="H129" s="146" t="inlineStr">
        <is>
          <t>х</t>
        </is>
      </c>
      <c r="I129" s="83" t="inlineStr">
        <is>
          <t>В</t>
        </is>
      </c>
      <c r="J129" s="83" t="inlineStr">
        <is>
          <t>х</t>
        </is>
      </c>
      <c r="K129" s="116" t="inlineStr">
        <is>
          <t>K130</t>
        </is>
      </c>
      <c r="N129" s="239">
        <f>IF(D129="","",IF(LEFT(D129,1)="0",0,1))</f>
        <v/>
      </c>
      <c r="O129" s="80">
        <f>ROUND(R129*S129*T129/1000000,2)</f>
        <v/>
      </c>
      <c r="P129" s="160">
        <f>IF(O129="","",
IF(O129&lt;1,"0,1-0,9 литров",
IF(O129&lt;2,"1-1,9 литра",
IF(O129&lt;3,"2-2,9 литра",
IF(O129&lt;4,"3-3,9 литра",
IF(O129&lt;6,"4-5,9 литра",IF(O129&lt;8,"6-7,9 литра",IF(O129&lt;10,"8-9,9 литров",IF(O129&lt;15,"10-14,9 литров",IF(O129&lt;20,"15-19,9 литров",IF(O129&lt;30,"20-29 литров",IF(O129&lt;50,"30-49 литров",IF(O129&lt;60,"50-59 литров",IF(O129&lt;70,"60-69 литров",IF(O129&lt;80,"70-79 литров",IF(O129&lt;90,"80-89 литров",IF(O129&lt;100,"90-99 литров",IF(O129&lt;200,"100-200 литров","200+ литров"))))))))))))))))))</f>
        <v/>
      </c>
      <c r="Q129" s="101">
        <f>IF(O129="","",IF(O129&lt;1,"&lt;1 л",IF(O129&lt;2,"1-2 л",IF(O129&lt;3,"2-3 л",IF(O129&lt;5,"3-5 л",IF(O129&lt;10,"5-10 л",IF(O129&lt;20,"10-20 л",IF(O129&lt;50,"20-50 л",IF(O129&lt;100,"50-100 л","100+ л")))))))))</f>
        <v/>
      </c>
      <c r="R129" s="162">
        <f>IF(E129="","",--LEFT(E129,FIND("х",E129)-1))</f>
        <v/>
      </c>
      <c r="S129" s="162">
        <f>IF(E129="","",--MID(E129,FIND("х",E129)+1,FIND("х",E129,FIND("х",E129)+1)-FIND("х",E129)-1))</f>
        <v/>
      </c>
      <c r="T129" s="162">
        <f>IF(E129="","",--RIGHT(E129,LEN(E129)-FIND("х",E129,FIND("х",E129)+1)))</f>
        <v/>
      </c>
      <c r="U129" s="66">
        <f>(2*(R129+S129)+60)*(S129+T129+8)/1000000</f>
        <v/>
      </c>
      <c r="V129" s="66">
        <f>IF(OR(AND(R129&gt;=2*S129,R129&gt;=2*T129),AND(S129&gt;=2*R129,S129&gt;=2*T129),AND(T129&gt;=2*R129,T129&gt;=2*S129)),"Длинные","")</f>
        <v/>
      </c>
      <c r="W129" s="66">
        <f>IF(OR(AND(R129&lt;=S129/2,R129&lt;=T129/2),AND(S129&lt;=R129/2,S129&lt;=T129/2),AND(T129&lt;=R129/2,T129&lt;=S129/2)),"Плоские","")</f>
        <v/>
      </c>
      <c r="X129" s="160">
        <f>IF(LARGE($R129:$T129,1)="","",IF(LARGE($R129:$T129,1)&lt;=99,"10-99 мм",IF(LARGE($R129:$T129,1)&lt;=199,"100-199 мм",IF(LARGE($R129:$T129,1)&lt;=299,"200-299 мм",IF(LARGE($R129:$T129,1)&lt;=399,"300-399 мм",IF(LARGE($R129:$T129,1)&lt;=499,"400-499 мм",IF(LARGE($R129:$T129,1)&lt;=599,"500-599 мм",IF(LARGE($R129:$T129,1)&lt;=699,"600-699 мм",IF(LARGE($R129:$T129,1)&lt;=999,"700-999 мм","1000+ мм")))))))))</f>
        <v/>
      </c>
      <c r="Y129" s="160">
        <f>IF(LARGE($R129:$T129,2)="","",IF(LARGE($R129:$T129,2)&lt;=99,"10-99 мм",IF(LARGE($R129:$T129,2)&lt;=199,"100-199 мм",IF(LARGE($R129:$T129,2)&lt;=299,"200-299 мм",IF(LARGE($R129:$T129,2)&lt;=399,"300-399 мм",IF(LARGE($R129:$T129,2)&lt;=499,"400-499 мм",IF(LARGE($R129:$T129,2)&lt;=599,"500-599 мм",IF(LARGE($R129:$T129,2)&lt;=699,"600-699 мм",IF(LARGE($R129:$T129,2)&lt;=999,"700-999 мм","1000+ мм")))))))))</f>
        <v/>
      </c>
      <c r="Z129" s="160">
        <f>IF(SMALL($R129:$T129,1)="","",IF(SMALL($R129:$T129,1)&lt;=99,"10-99 мм",IF(SMALL($R129:$T129,1)&lt;=199,"100-199 мм",IF(SMALL($R129:$T129,1)&lt;=299,"200-299 мм",IF(SMALL($R129:$T129,1)&lt;=399,"300-399 мм",IF(SMALL($R129:$T129,1)&lt;=499,"400-499 мм",IF(SMALL($R129:$T129,1)&lt;=599,"500-599 мм",IF(SMALL($R129:$T129,1)&lt;=699,"600-699 мм",IF(SMALL($R129:$T129,1)&lt;=999,"700-999 мм","1000+ мм")))))))))</f>
        <v/>
      </c>
      <c r="AA129" s="101">
        <f>IF(G129="","",IF(G129="Л","Лист гофрокартона",IF(G129="КД","Крышка-дно",IF(G129="С","Самосборные",IF(G129="Ч","Четырехклапанные",IF(G129="А","Архивные","Неизвестно"))))))</f>
        <v/>
      </c>
      <c r="AB129" s="66" t="n">
        <v>1.73</v>
      </c>
      <c r="AC129" s="101">
        <f>IF(O129="","",IF(O129&lt;=1,"0-1 литров",IF(O129&lt;=3,"2-3 литра",IF(O129&lt;=5,"4-5 литра",IF(O129&lt;=7,"6-7 литра",IF(O129&lt;=9,"8-9 литров",IF(O129&lt;=14,"10-14 литров",IF(O129&lt;=19,"15-19 литров",IF(O129&lt;=29,"20-29 литров",IF(O129&lt;=49,"30-49 литров",IF(O129&lt;=59,"50-59 литров",IF(O129&lt;=70,"60-69 литров",IF(O129&lt;=79,"70-79 литров",IF(O129&lt;=89,"80-89 литров",IF(O129&lt;=99,"90-99 литров",IF(O129&lt;=200,"100-200 литров","200+ литров"))))))))))))))))</f>
        <v/>
      </c>
    </row>
    <row r="130">
      <c r="A130" s="64" t="n">
        <v>0.34</v>
      </c>
      <c r="B130" s="65">
        <f>A130*1.2</f>
        <v/>
      </c>
      <c r="C130" s="109" t="n">
        <v>130</v>
      </c>
      <c r="D130" s="116" t="inlineStr">
        <is>
          <t>У</t>
        </is>
      </c>
      <c r="E130" s="88" t="inlineStr">
        <is>
          <t>320х160х35</t>
        </is>
      </c>
      <c r="G130" s="83" t="inlineStr">
        <is>
          <t>С</t>
        </is>
      </c>
      <c r="H130" s="146" t="inlineStr">
        <is>
          <t>х</t>
        </is>
      </c>
      <c r="I130" s="83" t="inlineStr">
        <is>
          <t>Е</t>
        </is>
      </c>
      <c r="J130" s="83" t="inlineStr">
        <is>
          <t>х</t>
        </is>
      </c>
      <c r="K130" s="116" t="inlineStr">
        <is>
          <t>K131</t>
        </is>
      </c>
      <c r="N130" s="239">
        <f>IF(D130="","",IF(LEFT(D130,1)="0",0,1))</f>
        <v/>
      </c>
      <c r="O130" s="80">
        <f>ROUND(R130*S130*T130/1000000,2)</f>
        <v/>
      </c>
      <c r="P130" s="160">
        <f>IF(O130="","",
IF(O130&lt;1,"0,1-0,9 литров",
IF(O130&lt;2,"1-1,9 литра",
IF(O130&lt;3,"2-2,9 литра",
IF(O130&lt;4,"3-3,9 литра",
IF(O130&lt;6,"4-5,9 литра",IF(O130&lt;8,"6-7,9 литра",IF(O130&lt;10,"8-9,9 литров",IF(O130&lt;15,"10-14,9 литров",IF(O130&lt;20,"15-19,9 литров",IF(O130&lt;30,"20-29 литров",IF(O130&lt;50,"30-49 литров",IF(O130&lt;60,"50-59 литров",IF(O130&lt;70,"60-69 литров",IF(O130&lt;80,"70-79 литров",IF(O130&lt;90,"80-89 литров",IF(O130&lt;100,"90-99 литров",IF(O130&lt;200,"100-200 литров","200+ литров"))))))))))))))))))</f>
        <v/>
      </c>
      <c r="Q130" s="101">
        <f>IF(O130="","",IF(O130&lt;1,"&lt;1 л",IF(O130&lt;2,"1-2 л",IF(O130&lt;3,"2-3 л",IF(O130&lt;5,"3-5 л",IF(O130&lt;10,"5-10 л",IF(O130&lt;20,"10-20 л",IF(O130&lt;50,"20-50 л",IF(O130&lt;100,"50-100 л","100+ л")))))))))</f>
        <v/>
      </c>
      <c r="R130" s="162">
        <f>IF(E130="","",--LEFT(E130,FIND("х",E130)-1))</f>
        <v/>
      </c>
      <c r="S130" s="162">
        <f>IF(E130="","",--MID(E130,FIND("х",E130)+1,FIND("х",E130,FIND("х",E130)+1)-FIND("х",E130)-1))</f>
        <v/>
      </c>
      <c r="T130" s="162">
        <f>IF(E130="","",--RIGHT(E130,LEN(E130)-FIND("х",E130,FIND("х",E130)+1)))</f>
        <v/>
      </c>
      <c r="U130" s="66">
        <f>(2*(R130+S130)+60)*(S130+T130+8)/1000000</f>
        <v/>
      </c>
      <c r="V130" s="66">
        <f>IF(OR(AND(R130&gt;=2*S130,R130&gt;=2*T130),AND(S130&gt;=2*R130,S130&gt;=2*T130),AND(T130&gt;=2*R130,T130&gt;=2*S130)),"Длинные","")</f>
        <v/>
      </c>
      <c r="W130" s="66">
        <f>IF(OR(AND(R130&lt;=S130/2,R130&lt;=T130/2),AND(S130&lt;=R130/2,S130&lt;=T130/2),AND(T130&lt;=R130/2,T130&lt;=S130/2)),"Плоские","")</f>
        <v/>
      </c>
      <c r="X130" s="160">
        <f>IF(LARGE($R130:$T130,1)="","",IF(LARGE($R130:$T130,1)&lt;=99,"10-99 мм",IF(LARGE($R130:$T130,1)&lt;=199,"100-199 мм",IF(LARGE($R130:$T130,1)&lt;=299,"200-299 мм",IF(LARGE($R130:$T130,1)&lt;=399,"300-399 мм",IF(LARGE($R130:$T130,1)&lt;=499,"400-499 мм",IF(LARGE($R130:$T130,1)&lt;=599,"500-599 мм",IF(LARGE($R130:$T130,1)&lt;=699,"600-699 мм",IF(LARGE($R130:$T130,1)&lt;=999,"700-999 мм","1000+ мм")))))))))</f>
        <v/>
      </c>
      <c r="Y130" s="160">
        <f>IF(LARGE($R130:$T130,2)="","",IF(LARGE($R130:$T130,2)&lt;=99,"10-99 мм",IF(LARGE($R130:$T130,2)&lt;=199,"100-199 мм",IF(LARGE($R130:$T130,2)&lt;=299,"200-299 мм",IF(LARGE($R130:$T130,2)&lt;=399,"300-399 мм",IF(LARGE($R130:$T130,2)&lt;=499,"400-499 мм",IF(LARGE($R130:$T130,2)&lt;=599,"500-599 мм",IF(LARGE($R130:$T130,2)&lt;=699,"600-699 мм",IF(LARGE($R130:$T130,2)&lt;=999,"700-999 мм","1000+ мм")))))))))</f>
        <v/>
      </c>
      <c r="Z130" s="160">
        <f>IF(SMALL($R130:$T130,1)="","",IF(SMALL($R130:$T130,1)&lt;=99,"10-99 мм",IF(SMALL($R130:$T130,1)&lt;=199,"100-199 мм",IF(SMALL($R130:$T130,1)&lt;=299,"200-299 мм",IF(SMALL($R130:$T130,1)&lt;=399,"300-399 мм",IF(SMALL($R130:$T130,1)&lt;=499,"400-499 мм",IF(SMALL($R130:$T130,1)&lt;=599,"500-599 мм",IF(SMALL($R130:$T130,1)&lt;=699,"600-699 мм",IF(SMALL($R130:$T130,1)&lt;=999,"700-999 мм","1000+ мм")))))))))</f>
        <v/>
      </c>
      <c r="AA130" s="101">
        <f>IF(G130="","",IF(G130="Л","Лист гофрокартона",IF(G130="КД","Крышка-дно",IF(G130="С","Самосборные",IF(G130="Ч","Четырехклапанные",IF(G130="А","Архивные","Неизвестно"))))))</f>
        <v/>
      </c>
      <c r="AB130" s="66" t="n">
        <v>1.73</v>
      </c>
      <c r="AC130" s="101">
        <f>IF(O130="","",IF(O130&lt;=1,"0-1 литров",IF(O130&lt;=3,"2-3 литра",IF(O130&lt;=5,"4-5 литра",IF(O130&lt;=7,"6-7 литра",IF(O130&lt;=9,"8-9 литров",IF(O130&lt;=14,"10-14 литров",IF(O130&lt;=19,"15-19 литров",IF(O130&lt;=29,"20-29 литров",IF(O130&lt;=49,"30-49 литров",IF(O130&lt;=59,"50-59 литров",IF(O130&lt;=70,"60-69 литров",IF(O130&lt;=79,"70-79 литров",IF(O130&lt;=89,"80-89 литров",IF(O130&lt;=99,"90-99 литров",IF(O130&lt;=200,"100-200 литров","200+ литров"))))))))))))))))</f>
        <v/>
      </c>
    </row>
    <row r="131">
      <c r="A131" s="64" t="n">
        <v>0.85</v>
      </c>
      <c r="B131" s="65">
        <f>A131*1.2</f>
        <v/>
      </c>
      <c r="C131" s="109" t="n">
        <v>131</v>
      </c>
      <c r="D131" s="116" t="inlineStr">
        <is>
          <t>У</t>
        </is>
      </c>
      <c r="E131" s="88" t="inlineStr">
        <is>
          <t>380х285х70</t>
        </is>
      </c>
      <c r="G131" s="83" t="inlineStr">
        <is>
          <t>Ч</t>
        </is>
      </c>
      <c r="H131" s="146" t="inlineStr">
        <is>
          <t>х</t>
        </is>
      </c>
      <c r="I131" s="83" t="inlineStr">
        <is>
          <t>В</t>
        </is>
      </c>
      <c r="J131" s="83" t="inlineStr">
        <is>
          <t>х</t>
        </is>
      </c>
      <c r="K131" s="116" t="inlineStr">
        <is>
          <t>K132</t>
        </is>
      </c>
      <c r="N131" s="239">
        <f>IF(D131="","",IF(LEFT(D131,1)="0",0,1))</f>
        <v/>
      </c>
      <c r="O131" s="80">
        <f>ROUND(R131*S131*T131/1000000,2)</f>
        <v/>
      </c>
      <c r="P131" s="160">
        <f>IF(O131="","",
IF(O131&lt;1,"0,1-0,9 литров",
IF(O131&lt;2,"1-1,9 литра",
IF(O131&lt;3,"2-2,9 литра",
IF(O131&lt;4,"3-3,9 литра",
IF(O131&lt;6,"4-5,9 литра",IF(O131&lt;8,"6-7,9 литра",IF(O131&lt;10,"8-9,9 литров",IF(O131&lt;15,"10-14,9 литров",IF(O131&lt;20,"15-19,9 литров",IF(O131&lt;30,"20-29 литров",IF(O131&lt;50,"30-49 литров",IF(O131&lt;60,"50-59 литров",IF(O131&lt;70,"60-69 литров",IF(O131&lt;80,"70-79 литров",IF(O131&lt;90,"80-89 литров",IF(O131&lt;100,"90-99 литров",IF(O131&lt;200,"100-200 литров","200+ литров"))))))))))))))))))</f>
        <v/>
      </c>
      <c r="Q131" s="101">
        <f>IF(O131="","",IF(O131&lt;1,"&lt;1 л",IF(O131&lt;2,"1-2 л",IF(O131&lt;3,"2-3 л",IF(O131&lt;5,"3-5 л",IF(O131&lt;10,"5-10 л",IF(O131&lt;20,"10-20 л",IF(O131&lt;50,"20-50 л",IF(O131&lt;100,"50-100 л","100+ л")))))))))</f>
        <v/>
      </c>
      <c r="R131" s="162">
        <f>IF(E131="","",--LEFT(E131,FIND("х",E131)-1))</f>
        <v/>
      </c>
      <c r="S131" s="162">
        <f>IF(E131="","",--MID(E131,FIND("х",E131)+1,FIND("х",E131,FIND("х",E131)+1)-FIND("х",E131)-1))</f>
        <v/>
      </c>
      <c r="T131" s="162">
        <f>IF(E131="","",--RIGHT(E131,LEN(E131)-FIND("х",E131,FIND("х",E131)+1)))</f>
        <v/>
      </c>
      <c r="U131" s="66">
        <f>(2*(R131+S131)+60)*(S131+T131+8)/1000000</f>
        <v/>
      </c>
      <c r="V131" s="66">
        <f>IF(OR(AND(R131&gt;=2*S131,R131&gt;=2*T131),AND(S131&gt;=2*R131,S131&gt;=2*T131),AND(T131&gt;=2*R131,T131&gt;=2*S131)),"Длинные","")</f>
        <v/>
      </c>
      <c r="W131" s="66">
        <f>IF(OR(AND(R131&lt;=S131/2,R131&lt;=T131/2),AND(S131&lt;=R131/2,S131&lt;=T131/2),AND(T131&lt;=R131/2,T131&lt;=S131/2)),"Плоские","")</f>
        <v/>
      </c>
      <c r="X131" s="160">
        <f>IF(LARGE($R131:$T131,1)="","",IF(LARGE($R131:$T131,1)&lt;=99,"10-99 мм",IF(LARGE($R131:$T131,1)&lt;=199,"100-199 мм",IF(LARGE($R131:$T131,1)&lt;=299,"200-299 мм",IF(LARGE($R131:$T131,1)&lt;=399,"300-399 мм",IF(LARGE($R131:$T131,1)&lt;=499,"400-499 мм",IF(LARGE($R131:$T131,1)&lt;=599,"500-599 мм",IF(LARGE($R131:$T131,1)&lt;=699,"600-699 мм",IF(LARGE($R131:$T131,1)&lt;=999,"700-999 мм","1000+ мм")))))))))</f>
        <v/>
      </c>
      <c r="Y131" s="160">
        <f>IF(LARGE($R131:$T131,2)="","",IF(LARGE($R131:$T131,2)&lt;=99,"10-99 мм",IF(LARGE($R131:$T131,2)&lt;=199,"100-199 мм",IF(LARGE($R131:$T131,2)&lt;=299,"200-299 мм",IF(LARGE($R131:$T131,2)&lt;=399,"300-399 мм",IF(LARGE($R131:$T131,2)&lt;=499,"400-499 мм",IF(LARGE($R131:$T131,2)&lt;=599,"500-599 мм",IF(LARGE($R131:$T131,2)&lt;=699,"600-699 мм",IF(LARGE($R131:$T131,2)&lt;=999,"700-999 мм","1000+ мм")))))))))</f>
        <v/>
      </c>
      <c r="Z131" s="160">
        <f>IF(SMALL($R131:$T131,1)="","",IF(SMALL($R131:$T131,1)&lt;=99,"10-99 мм",IF(SMALL($R131:$T131,1)&lt;=199,"100-199 мм",IF(SMALL($R131:$T131,1)&lt;=299,"200-299 мм",IF(SMALL($R131:$T131,1)&lt;=399,"300-399 мм",IF(SMALL($R131:$T131,1)&lt;=499,"400-499 мм",IF(SMALL($R131:$T131,1)&lt;=599,"500-599 мм",IF(SMALL($R131:$T131,1)&lt;=699,"600-699 мм",IF(SMALL($R131:$T131,1)&lt;=999,"700-999 мм","1000+ мм")))))))))</f>
        <v/>
      </c>
      <c r="AA131" s="101">
        <f>IF(G131="","",IF(G131="Л","Лист гофрокартона",IF(G131="КД","Крышка-дно",IF(G131="С","Самосборные",IF(G131="Ч","Четырехклапанные",IF(G131="А","Архивные","Неизвестно"))))))</f>
        <v/>
      </c>
      <c r="AB131" s="66" t="n">
        <v>1.73</v>
      </c>
      <c r="AC131" s="101">
        <f>IF(O131="","",IF(O131&lt;=1,"0-1 литров",IF(O131&lt;=3,"2-3 литра",IF(O131&lt;=5,"4-5 литра",IF(O131&lt;=7,"6-7 литра",IF(O131&lt;=9,"8-9 литров",IF(O131&lt;=14,"10-14 литров",IF(O131&lt;=19,"15-19 литров",IF(O131&lt;=29,"20-29 литров",IF(O131&lt;=49,"30-49 литров",IF(O131&lt;=59,"50-59 литров",IF(O131&lt;=70,"60-69 литров",IF(O131&lt;=79,"70-79 литров",IF(O131&lt;=89,"80-89 литров",IF(O131&lt;=99,"90-99 литров",IF(O131&lt;=200,"100-200 литров","200+ литров"))))))))))))))))</f>
        <v/>
      </c>
    </row>
    <row r="132">
      <c r="A132" s="64" t="n">
        <v>0.53</v>
      </c>
      <c r="B132" s="65">
        <f>A132*1.2</f>
        <v/>
      </c>
      <c r="C132" s="109" t="n">
        <v>132</v>
      </c>
      <c r="D132" s="116" t="inlineStr">
        <is>
          <t>У</t>
        </is>
      </c>
      <c r="E132" s="88" t="inlineStr">
        <is>
          <t>230х145х240</t>
        </is>
      </c>
      <c r="G132" s="83" t="inlineStr">
        <is>
          <t>Ч</t>
        </is>
      </c>
      <c r="H132" s="146" t="inlineStr">
        <is>
          <t>х</t>
        </is>
      </c>
      <c r="I132" s="83" t="inlineStr">
        <is>
          <t>В</t>
        </is>
      </c>
      <c r="J132" s="83" t="inlineStr">
        <is>
          <t>х</t>
        </is>
      </c>
      <c r="K132" s="116" t="inlineStr">
        <is>
          <t>K133</t>
        </is>
      </c>
      <c r="N132" s="239">
        <f>IF(D132="","",IF(LEFT(D132,1)="0",0,1))</f>
        <v/>
      </c>
      <c r="O132" s="80">
        <f>ROUND(R132*S132*T132/1000000,2)</f>
        <v/>
      </c>
      <c r="P132" s="160">
        <f>IF(O132="","",
IF(O132&lt;1,"0,1-0,9 литров",
IF(O132&lt;2,"1-1,9 литра",
IF(O132&lt;3,"2-2,9 литра",
IF(O132&lt;4,"3-3,9 литра",
IF(O132&lt;6,"4-5,9 литра",IF(O132&lt;8,"6-7,9 литра",IF(O132&lt;10,"8-9,9 литров",IF(O132&lt;15,"10-14,9 литров",IF(O132&lt;20,"15-19,9 литров",IF(O132&lt;30,"20-29 литров",IF(O132&lt;50,"30-49 литров",IF(O132&lt;60,"50-59 литров",IF(O132&lt;70,"60-69 литров",IF(O132&lt;80,"70-79 литров",IF(O132&lt;90,"80-89 литров",IF(O132&lt;100,"90-99 литров",IF(O132&lt;200,"100-200 литров","200+ литров"))))))))))))))))))</f>
        <v/>
      </c>
      <c r="Q132" s="101">
        <f>IF(O132="","",IF(O132&lt;1,"&lt;1 л",IF(O132&lt;2,"1-2 л",IF(O132&lt;3,"2-3 л",IF(O132&lt;5,"3-5 л",IF(O132&lt;10,"5-10 л",IF(O132&lt;20,"10-20 л",IF(O132&lt;50,"20-50 л",IF(O132&lt;100,"50-100 л","100+ л")))))))))</f>
        <v/>
      </c>
      <c r="R132" s="162">
        <f>IF(E132="","",--LEFT(E132,FIND("х",E132)-1))</f>
        <v/>
      </c>
      <c r="S132" s="162">
        <f>IF(E132="","",--MID(E132,FIND("х",E132)+1,FIND("х",E132,FIND("х",E132)+1)-FIND("х",E132)-1))</f>
        <v/>
      </c>
      <c r="T132" s="162">
        <f>IF(E132="","",--RIGHT(E132,LEN(E132)-FIND("х",E132,FIND("х",E132)+1)))</f>
        <v/>
      </c>
      <c r="U132" s="66">
        <f>(2*(R132+S132)+60)*(S132+T132+8)/1000000</f>
        <v/>
      </c>
      <c r="V132" s="66">
        <f>IF(OR(AND(R132&gt;=2*S132,R132&gt;=2*T132),AND(S132&gt;=2*R132,S132&gt;=2*T132),AND(T132&gt;=2*R132,T132&gt;=2*S132)),"Длинные","")</f>
        <v/>
      </c>
      <c r="W132" s="66">
        <f>IF(OR(AND(R132&lt;=S132/2,R132&lt;=T132/2),AND(S132&lt;=R132/2,S132&lt;=T132/2),AND(T132&lt;=R132/2,T132&lt;=S132/2)),"Плоские","")</f>
        <v/>
      </c>
      <c r="X132" s="160">
        <f>IF(LARGE($R132:$T132,1)="","",IF(LARGE($R132:$T132,1)&lt;=99,"10-99 мм",IF(LARGE($R132:$T132,1)&lt;=199,"100-199 мм",IF(LARGE($R132:$T132,1)&lt;=299,"200-299 мм",IF(LARGE($R132:$T132,1)&lt;=399,"300-399 мм",IF(LARGE($R132:$T132,1)&lt;=499,"400-499 мм",IF(LARGE($R132:$T132,1)&lt;=599,"500-599 мм",IF(LARGE($R132:$T132,1)&lt;=699,"600-699 мм",IF(LARGE($R132:$T132,1)&lt;=999,"700-999 мм","1000+ мм")))))))))</f>
        <v/>
      </c>
      <c r="Y132" s="160">
        <f>IF(LARGE($R132:$T132,2)="","",IF(LARGE($R132:$T132,2)&lt;=99,"10-99 мм",IF(LARGE($R132:$T132,2)&lt;=199,"100-199 мм",IF(LARGE($R132:$T132,2)&lt;=299,"200-299 мм",IF(LARGE($R132:$T132,2)&lt;=399,"300-399 мм",IF(LARGE($R132:$T132,2)&lt;=499,"400-499 мм",IF(LARGE($R132:$T132,2)&lt;=599,"500-599 мм",IF(LARGE($R132:$T132,2)&lt;=699,"600-699 мм",IF(LARGE($R132:$T132,2)&lt;=999,"700-999 мм","1000+ мм")))))))))</f>
        <v/>
      </c>
      <c r="Z132" s="160">
        <f>IF(SMALL($R132:$T132,1)="","",IF(SMALL($R132:$T132,1)&lt;=99,"10-99 мм",IF(SMALL($R132:$T132,1)&lt;=199,"100-199 мм",IF(SMALL($R132:$T132,1)&lt;=299,"200-299 мм",IF(SMALL($R132:$T132,1)&lt;=399,"300-399 мм",IF(SMALL($R132:$T132,1)&lt;=499,"400-499 мм",IF(SMALL($R132:$T132,1)&lt;=599,"500-599 мм",IF(SMALL($R132:$T132,1)&lt;=699,"600-699 мм",IF(SMALL($R132:$T132,1)&lt;=999,"700-999 мм","1000+ мм")))))))))</f>
        <v/>
      </c>
      <c r="AA132" s="101">
        <f>IF(G132="","",IF(G132="Л","Лист гофрокартона",IF(G132="КД","Крышка-дно",IF(G132="С","Самосборные",IF(G132="Ч","Четырехклапанные",IF(G132="А","Архивные","Неизвестно"))))))</f>
        <v/>
      </c>
      <c r="AB132" s="66" t="n">
        <v>1.73</v>
      </c>
      <c r="AC132" s="101">
        <f>IF(O132="","",IF(O132&lt;=1,"0-1 литров",IF(O132&lt;=3,"2-3 литра",IF(O132&lt;=5,"4-5 литра",IF(O132&lt;=7,"6-7 литра",IF(O132&lt;=9,"8-9 литров",IF(O132&lt;=14,"10-14 литров",IF(O132&lt;=19,"15-19 литров",IF(O132&lt;=29,"20-29 литров",IF(O132&lt;=49,"30-49 литров",IF(O132&lt;=59,"50-59 литров",IF(O132&lt;=70,"60-69 литров",IF(O132&lt;=79,"70-79 литров",IF(O132&lt;=89,"80-89 литров",IF(O132&lt;=99,"90-99 литров",IF(O132&lt;=200,"100-200 литров","200+ литров"))))))))))))))))</f>
        <v/>
      </c>
    </row>
    <row r="133">
      <c r="A133" s="64" t="n">
        <v>1.42</v>
      </c>
      <c r="B133" s="65">
        <f>A133*1.2</f>
        <v/>
      </c>
      <c r="C133" s="109" t="n">
        <v>133</v>
      </c>
      <c r="D133" s="116" t="inlineStr">
        <is>
          <t>У</t>
        </is>
      </c>
      <c r="E133" s="88" t="inlineStr">
        <is>
          <t>380х285х310</t>
        </is>
      </c>
      <c r="G133" s="83" t="inlineStr">
        <is>
          <t>Ч</t>
        </is>
      </c>
      <c r="H133" s="146" t="inlineStr">
        <is>
          <t>х</t>
        </is>
      </c>
      <c r="I133" s="83" t="inlineStr">
        <is>
          <t>В</t>
        </is>
      </c>
      <c r="J133" s="83" t="inlineStr">
        <is>
          <t>х</t>
        </is>
      </c>
      <c r="K133" s="116" t="inlineStr">
        <is>
          <t>K134</t>
        </is>
      </c>
      <c r="N133" s="239">
        <f>IF(D133="","",IF(LEFT(D133,1)="0",0,1))</f>
        <v/>
      </c>
      <c r="O133" s="80">
        <f>ROUND(R133*S133*T133/1000000,2)</f>
        <v/>
      </c>
      <c r="P133" s="160">
        <f>IF(O133="","",
IF(O133&lt;1,"0,1-0,9 литров",
IF(O133&lt;2,"1-1,9 литра",
IF(O133&lt;3,"2-2,9 литра",
IF(O133&lt;4,"3-3,9 литра",
IF(O133&lt;6,"4-5,9 литра",IF(O133&lt;8,"6-7,9 литра",IF(O133&lt;10,"8-9,9 литров",IF(O133&lt;15,"10-14,9 литров",IF(O133&lt;20,"15-19,9 литров",IF(O133&lt;30,"20-29 литров",IF(O133&lt;50,"30-49 литров",IF(O133&lt;60,"50-59 литров",IF(O133&lt;70,"60-69 литров",IF(O133&lt;80,"70-79 литров",IF(O133&lt;90,"80-89 литров",IF(O133&lt;100,"90-99 литров",IF(O133&lt;200,"100-200 литров","200+ литров"))))))))))))))))))</f>
        <v/>
      </c>
      <c r="Q133" s="101">
        <f>IF(O133="","",IF(O133&lt;1,"&lt;1 л",IF(O133&lt;2,"1-2 л",IF(O133&lt;3,"2-3 л",IF(O133&lt;5,"3-5 л",IF(O133&lt;10,"5-10 л",IF(O133&lt;20,"10-20 л",IF(O133&lt;50,"20-50 л",IF(O133&lt;100,"50-100 л","100+ л")))))))))</f>
        <v/>
      </c>
      <c r="R133" s="162">
        <f>IF(E133="","",--LEFT(E133,FIND("х",E133)-1))</f>
        <v/>
      </c>
      <c r="S133" s="162">
        <f>IF(E133="","",--MID(E133,FIND("х",E133)+1,FIND("х",E133,FIND("х",E133)+1)-FIND("х",E133)-1))</f>
        <v/>
      </c>
      <c r="T133" s="162">
        <f>IF(E133="","",--RIGHT(E133,LEN(E133)-FIND("х",E133,FIND("х",E133)+1)))</f>
        <v/>
      </c>
      <c r="U133" s="66">
        <f>(2*(R133+S133)+60)*(S133+T133+8)/1000000</f>
        <v/>
      </c>
      <c r="V133" s="66">
        <f>IF(OR(AND(R133&gt;=2*S133,R133&gt;=2*T133),AND(S133&gt;=2*R133,S133&gt;=2*T133),AND(T133&gt;=2*R133,T133&gt;=2*S133)),"Длинные","")</f>
        <v/>
      </c>
      <c r="W133" s="66">
        <f>IF(OR(AND(R133&lt;=S133/2,R133&lt;=T133/2),AND(S133&lt;=R133/2,S133&lt;=T133/2),AND(T133&lt;=R133/2,T133&lt;=S133/2)),"Плоские","")</f>
        <v/>
      </c>
      <c r="X133" s="160">
        <f>IF(LARGE($R133:$T133,1)="","",IF(LARGE($R133:$T133,1)&lt;=99,"10-99 мм",IF(LARGE($R133:$T133,1)&lt;=199,"100-199 мм",IF(LARGE($R133:$T133,1)&lt;=299,"200-299 мм",IF(LARGE($R133:$T133,1)&lt;=399,"300-399 мм",IF(LARGE($R133:$T133,1)&lt;=499,"400-499 мм",IF(LARGE($R133:$T133,1)&lt;=599,"500-599 мм",IF(LARGE($R133:$T133,1)&lt;=699,"600-699 мм",IF(LARGE($R133:$T133,1)&lt;=999,"700-999 мм","1000+ мм")))))))))</f>
        <v/>
      </c>
      <c r="Y133" s="160">
        <f>IF(LARGE($R133:$T133,2)="","",IF(LARGE($R133:$T133,2)&lt;=99,"10-99 мм",IF(LARGE($R133:$T133,2)&lt;=199,"100-199 мм",IF(LARGE($R133:$T133,2)&lt;=299,"200-299 мм",IF(LARGE($R133:$T133,2)&lt;=399,"300-399 мм",IF(LARGE($R133:$T133,2)&lt;=499,"400-499 мм",IF(LARGE($R133:$T133,2)&lt;=599,"500-599 мм",IF(LARGE($R133:$T133,2)&lt;=699,"600-699 мм",IF(LARGE($R133:$T133,2)&lt;=999,"700-999 мм","1000+ мм")))))))))</f>
        <v/>
      </c>
      <c r="Z133" s="160">
        <f>IF(SMALL($R133:$T133,1)="","",IF(SMALL($R133:$T133,1)&lt;=99,"10-99 мм",IF(SMALL($R133:$T133,1)&lt;=199,"100-199 мм",IF(SMALL($R133:$T133,1)&lt;=299,"200-299 мм",IF(SMALL($R133:$T133,1)&lt;=399,"300-399 мм",IF(SMALL($R133:$T133,1)&lt;=499,"400-499 мм",IF(SMALL($R133:$T133,1)&lt;=599,"500-599 мм",IF(SMALL($R133:$T133,1)&lt;=699,"600-699 мм",IF(SMALL($R133:$T133,1)&lt;=999,"700-999 мм","1000+ мм")))))))))</f>
        <v/>
      </c>
      <c r="AA133" s="101">
        <f>IF(G133="","",IF(G133="Л","Лист гофрокартона",IF(G133="КД","Крышка-дно",IF(G133="С","Самосборные",IF(G133="Ч","Четырехклапанные",IF(G133="А","Архивные","Неизвестно"))))))</f>
        <v/>
      </c>
      <c r="AB133" s="66" t="n">
        <v>1.73</v>
      </c>
      <c r="AC133" s="101">
        <f>IF(O133="","",IF(O133&lt;=1,"0-1 литров",IF(O133&lt;=3,"2-3 литра",IF(O133&lt;=5,"4-5 литра",IF(O133&lt;=7,"6-7 литра",IF(O133&lt;=9,"8-9 литров",IF(O133&lt;=14,"10-14 литров",IF(O133&lt;=19,"15-19 литров",IF(O133&lt;=29,"20-29 литров",IF(O133&lt;=49,"30-49 литров",IF(O133&lt;=59,"50-59 литров",IF(O133&lt;=70,"60-69 литров",IF(O133&lt;=79,"70-79 литров",IF(O133&lt;=89,"80-89 литров",IF(O133&lt;=99,"90-99 литров",IF(O133&lt;=200,"100-200 литров","200+ литров"))))))))))))))))</f>
        <v/>
      </c>
    </row>
    <row r="134">
      <c r="A134" s="64" t="n">
        <v>1.07</v>
      </c>
      <c r="B134" s="65">
        <f>A134*1.2</f>
        <v/>
      </c>
      <c r="C134" s="109" t="n">
        <v>134</v>
      </c>
      <c r="D134" s="116" t="inlineStr">
        <is>
          <t>У</t>
        </is>
      </c>
      <c r="E134" s="88" t="inlineStr">
        <is>
          <t>420х270х160</t>
        </is>
      </c>
      <c r="G134" s="83" t="inlineStr">
        <is>
          <t>Ч</t>
        </is>
      </c>
      <c r="H134" s="146" t="inlineStr">
        <is>
          <t>х</t>
        </is>
      </c>
      <c r="I134" s="83" t="inlineStr">
        <is>
          <t>В</t>
        </is>
      </c>
      <c r="J134" s="83" t="inlineStr">
        <is>
          <t>х</t>
        </is>
      </c>
      <c r="K134" s="116" t="inlineStr">
        <is>
          <t>K135</t>
        </is>
      </c>
      <c r="N134" s="239">
        <f>IF(D134="","",IF(LEFT(D134,1)="0",0,1))</f>
        <v/>
      </c>
      <c r="O134" s="80">
        <f>ROUND(R134*S134*T134/1000000,2)</f>
        <v/>
      </c>
      <c r="P134" s="160">
        <f>IF(O134="","",
IF(O134&lt;1,"0,1-0,9 литров",
IF(O134&lt;2,"1-1,9 литра",
IF(O134&lt;3,"2-2,9 литра",
IF(O134&lt;4,"3-3,9 литра",
IF(O134&lt;6,"4-5,9 литра",IF(O134&lt;8,"6-7,9 литра",IF(O134&lt;10,"8-9,9 литров",IF(O134&lt;15,"10-14,9 литров",IF(O134&lt;20,"15-19,9 литров",IF(O134&lt;30,"20-29 литров",IF(O134&lt;50,"30-49 литров",IF(O134&lt;60,"50-59 литров",IF(O134&lt;70,"60-69 литров",IF(O134&lt;80,"70-79 литров",IF(O134&lt;90,"80-89 литров",IF(O134&lt;100,"90-99 литров",IF(O134&lt;200,"100-200 литров","200+ литров"))))))))))))))))))</f>
        <v/>
      </c>
      <c r="Q134" s="101">
        <f>IF(O134="","",IF(O134&lt;1,"&lt;1 л",IF(O134&lt;2,"1-2 л",IF(O134&lt;3,"2-3 л",IF(O134&lt;5,"3-5 л",IF(O134&lt;10,"5-10 л",IF(O134&lt;20,"10-20 л",IF(O134&lt;50,"20-50 л",IF(O134&lt;100,"50-100 л","100+ л")))))))))</f>
        <v/>
      </c>
      <c r="R134" s="162">
        <f>IF(E134="","",--LEFT(E134,FIND("х",E134)-1))</f>
        <v/>
      </c>
      <c r="S134" s="162">
        <f>IF(E134="","",--MID(E134,FIND("х",E134)+1,FIND("х",E134,FIND("х",E134)+1)-FIND("х",E134)-1))</f>
        <v/>
      </c>
      <c r="T134" s="162">
        <f>IF(E134="","",--RIGHT(E134,LEN(E134)-FIND("х",E134,FIND("х",E134)+1)))</f>
        <v/>
      </c>
      <c r="U134" s="66">
        <f>(2*(R134+S134)+60)*(S134+T134+8)/1000000</f>
        <v/>
      </c>
      <c r="V134" s="66">
        <f>IF(OR(AND(R134&gt;=2*S134,R134&gt;=2*T134),AND(S134&gt;=2*R134,S134&gt;=2*T134),AND(T134&gt;=2*R134,T134&gt;=2*S134)),"Длинные","")</f>
        <v/>
      </c>
      <c r="W134" s="66">
        <f>IF(OR(AND(R134&lt;=S134/2,R134&lt;=T134/2),AND(S134&lt;=R134/2,S134&lt;=T134/2),AND(T134&lt;=R134/2,T134&lt;=S134/2)),"Плоские","")</f>
        <v/>
      </c>
      <c r="X134" s="160">
        <f>IF(LARGE($R134:$T134,1)="","",IF(LARGE($R134:$T134,1)&lt;=99,"10-99 мм",IF(LARGE($R134:$T134,1)&lt;=199,"100-199 мм",IF(LARGE($R134:$T134,1)&lt;=299,"200-299 мм",IF(LARGE($R134:$T134,1)&lt;=399,"300-399 мм",IF(LARGE($R134:$T134,1)&lt;=499,"400-499 мм",IF(LARGE($R134:$T134,1)&lt;=599,"500-599 мм",IF(LARGE($R134:$T134,1)&lt;=699,"600-699 мм",IF(LARGE($R134:$T134,1)&lt;=999,"700-999 мм","1000+ мм")))))))))</f>
        <v/>
      </c>
      <c r="Y134" s="160">
        <f>IF(LARGE($R134:$T134,2)="","",IF(LARGE($R134:$T134,2)&lt;=99,"10-99 мм",IF(LARGE($R134:$T134,2)&lt;=199,"100-199 мм",IF(LARGE($R134:$T134,2)&lt;=299,"200-299 мм",IF(LARGE($R134:$T134,2)&lt;=399,"300-399 мм",IF(LARGE($R134:$T134,2)&lt;=499,"400-499 мм",IF(LARGE($R134:$T134,2)&lt;=599,"500-599 мм",IF(LARGE($R134:$T134,2)&lt;=699,"600-699 мм",IF(LARGE($R134:$T134,2)&lt;=999,"700-999 мм","1000+ мм")))))))))</f>
        <v/>
      </c>
      <c r="Z134" s="160">
        <f>IF(SMALL($R134:$T134,1)="","",IF(SMALL($R134:$T134,1)&lt;=99,"10-99 мм",IF(SMALL($R134:$T134,1)&lt;=199,"100-199 мм",IF(SMALL($R134:$T134,1)&lt;=299,"200-299 мм",IF(SMALL($R134:$T134,1)&lt;=399,"300-399 мм",IF(SMALL($R134:$T134,1)&lt;=499,"400-499 мм",IF(SMALL($R134:$T134,1)&lt;=599,"500-599 мм",IF(SMALL($R134:$T134,1)&lt;=699,"600-699 мм",IF(SMALL($R134:$T134,1)&lt;=999,"700-999 мм","1000+ мм")))))))))</f>
        <v/>
      </c>
      <c r="AA134" s="101">
        <f>IF(G134="","",IF(G134="Л","Лист гофрокартона",IF(G134="КД","Крышка-дно",IF(G134="С","Самосборные",IF(G134="Ч","Четырехклапанные",IF(G134="А","Архивные","Неизвестно"))))))</f>
        <v/>
      </c>
      <c r="AB134" s="66" t="n">
        <v>1.73</v>
      </c>
      <c r="AC134" s="101">
        <f>IF(O134="","",IF(O134&lt;=1,"0-1 литров",IF(O134&lt;=3,"2-3 литра",IF(O134&lt;=5,"4-5 литра",IF(O134&lt;=7,"6-7 литра",IF(O134&lt;=9,"8-9 литров",IF(O134&lt;=14,"10-14 литров",IF(O134&lt;=19,"15-19 литров",IF(O134&lt;=29,"20-29 литров",IF(O134&lt;=49,"30-49 литров",IF(O134&lt;=59,"50-59 литров",IF(O134&lt;=70,"60-69 литров",IF(O134&lt;=79,"70-79 литров",IF(O134&lt;=89,"80-89 литров",IF(O134&lt;=99,"90-99 литров",IF(O134&lt;=200,"100-200 литров","200+ литров"))))))))))))))))</f>
        <v/>
      </c>
    </row>
    <row r="135">
      <c r="A135" s="64" t="n">
        <v>1.25</v>
      </c>
      <c r="B135" s="65">
        <f>A135*1.2</f>
        <v/>
      </c>
      <c r="C135" s="109" t="n">
        <v>135</v>
      </c>
      <c r="D135" s="116" t="inlineStr">
        <is>
          <t>У</t>
        </is>
      </c>
      <c r="E135" s="88" t="inlineStr">
        <is>
          <t>380х285х237</t>
        </is>
      </c>
      <c r="G135" s="83" t="inlineStr">
        <is>
          <t>Ч</t>
        </is>
      </c>
      <c r="H135" s="146" t="inlineStr">
        <is>
          <t>х</t>
        </is>
      </c>
      <c r="I135" s="83" t="inlineStr">
        <is>
          <t>В</t>
        </is>
      </c>
      <c r="J135" s="83" t="inlineStr">
        <is>
          <t>х</t>
        </is>
      </c>
      <c r="K135" s="116" t="inlineStr">
        <is>
          <t>K136</t>
        </is>
      </c>
      <c r="N135" s="239">
        <f>IF(D135="","",IF(LEFT(D135,1)="0",0,1))</f>
        <v/>
      </c>
      <c r="O135" s="80">
        <f>ROUND(R135*S135*T135/1000000,2)</f>
        <v/>
      </c>
      <c r="P135" s="160">
        <f>IF(O135="","",
IF(O135&lt;1,"0,1-0,9 литров",
IF(O135&lt;2,"1-1,9 литра",
IF(O135&lt;3,"2-2,9 литра",
IF(O135&lt;4,"3-3,9 литра",
IF(O135&lt;6,"4-5,9 литра",IF(O135&lt;8,"6-7,9 литра",IF(O135&lt;10,"8-9,9 литров",IF(O135&lt;15,"10-14,9 литров",IF(O135&lt;20,"15-19,9 литров",IF(O135&lt;30,"20-29 литров",IF(O135&lt;50,"30-49 литров",IF(O135&lt;60,"50-59 литров",IF(O135&lt;70,"60-69 литров",IF(O135&lt;80,"70-79 литров",IF(O135&lt;90,"80-89 литров",IF(O135&lt;100,"90-99 литров",IF(O135&lt;200,"100-200 литров","200+ литров"))))))))))))))))))</f>
        <v/>
      </c>
      <c r="Q135" s="101">
        <f>IF(O135="","",IF(O135&lt;1,"&lt;1 л",IF(O135&lt;2,"1-2 л",IF(O135&lt;3,"2-3 л",IF(O135&lt;5,"3-5 л",IF(O135&lt;10,"5-10 л",IF(O135&lt;20,"10-20 л",IF(O135&lt;50,"20-50 л",IF(O135&lt;100,"50-100 л","100+ л")))))))))</f>
        <v/>
      </c>
      <c r="R135" s="162">
        <f>IF(E135="","",--LEFT(E135,FIND("х",E135)-1))</f>
        <v/>
      </c>
      <c r="S135" s="162">
        <f>IF(E135="","",--MID(E135,FIND("х",E135)+1,FIND("х",E135,FIND("х",E135)+1)-FIND("х",E135)-1))</f>
        <v/>
      </c>
      <c r="T135" s="162">
        <f>IF(E135="","",--RIGHT(E135,LEN(E135)-FIND("х",E135,FIND("х",E135)+1)))</f>
        <v/>
      </c>
      <c r="U135" s="66">
        <f>(2*(R135+S135)+60)*(S135+T135+8)/1000000</f>
        <v/>
      </c>
      <c r="V135" s="66">
        <f>IF(OR(AND(R135&gt;=2*S135,R135&gt;=2*T135),AND(S135&gt;=2*R135,S135&gt;=2*T135),AND(T135&gt;=2*R135,T135&gt;=2*S135)),"Длинные","")</f>
        <v/>
      </c>
      <c r="W135" s="66">
        <f>IF(OR(AND(R135&lt;=S135/2,R135&lt;=T135/2),AND(S135&lt;=R135/2,S135&lt;=T135/2),AND(T135&lt;=R135/2,T135&lt;=S135/2)),"Плоские","")</f>
        <v/>
      </c>
      <c r="X135" s="160">
        <f>IF(LARGE($R135:$T135,1)="","",IF(LARGE($R135:$T135,1)&lt;=99,"10-99 мм",IF(LARGE($R135:$T135,1)&lt;=199,"100-199 мм",IF(LARGE($R135:$T135,1)&lt;=299,"200-299 мм",IF(LARGE($R135:$T135,1)&lt;=399,"300-399 мм",IF(LARGE($R135:$T135,1)&lt;=499,"400-499 мм",IF(LARGE($R135:$T135,1)&lt;=599,"500-599 мм",IF(LARGE($R135:$T135,1)&lt;=699,"600-699 мм",IF(LARGE($R135:$T135,1)&lt;=999,"700-999 мм","1000+ мм")))))))))</f>
        <v/>
      </c>
      <c r="Y135" s="160">
        <f>IF(LARGE($R135:$T135,2)="","",IF(LARGE($R135:$T135,2)&lt;=99,"10-99 мм",IF(LARGE($R135:$T135,2)&lt;=199,"100-199 мм",IF(LARGE($R135:$T135,2)&lt;=299,"200-299 мм",IF(LARGE($R135:$T135,2)&lt;=399,"300-399 мм",IF(LARGE($R135:$T135,2)&lt;=499,"400-499 мм",IF(LARGE($R135:$T135,2)&lt;=599,"500-599 мм",IF(LARGE($R135:$T135,2)&lt;=699,"600-699 мм",IF(LARGE($R135:$T135,2)&lt;=999,"700-999 мм","1000+ мм")))))))))</f>
        <v/>
      </c>
      <c r="Z135" s="160">
        <f>IF(SMALL($R135:$T135,1)="","",IF(SMALL($R135:$T135,1)&lt;=99,"10-99 мм",IF(SMALL($R135:$T135,1)&lt;=199,"100-199 мм",IF(SMALL($R135:$T135,1)&lt;=299,"200-299 мм",IF(SMALL($R135:$T135,1)&lt;=399,"300-399 мм",IF(SMALL($R135:$T135,1)&lt;=499,"400-499 мм",IF(SMALL($R135:$T135,1)&lt;=599,"500-599 мм",IF(SMALL($R135:$T135,1)&lt;=699,"600-699 мм",IF(SMALL($R135:$T135,1)&lt;=999,"700-999 мм","1000+ мм")))))))))</f>
        <v/>
      </c>
      <c r="AA135" s="101">
        <f>IF(G135="","",IF(G135="Л","Лист гофрокартона",IF(G135="КД","Крышка-дно",IF(G135="С","Самосборные",IF(G135="Ч","Четырехклапанные",IF(G135="А","Архивные","Неизвестно"))))))</f>
        <v/>
      </c>
      <c r="AB135" s="66" t="n">
        <v>1.73</v>
      </c>
      <c r="AC135" s="101">
        <f>IF(O135="","",IF(O135&lt;=1,"0-1 литров",IF(O135&lt;=3,"2-3 литра",IF(O135&lt;=5,"4-5 литра",IF(O135&lt;=7,"6-7 литра",IF(O135&lt;=9,"8-9 литров",IF(O135&lt;=14,"10-14 литров",IF(O135&lt;=19,"15-19 литров",IF(O135&lt;=29,"20-29 литров",IF(O135&lt;=49,"30-49 литров",IF(O135&lt;=59,"50-59 литров",IF(O135&lt;=70,"60-69 литров",IF(O135&lt;=79,"70-79 литров",IF(O135&lt;=89,"80-89 литров",IF(O135&lt;=99,"90-99 литров",IF(O135&lt;=200,"100-200 литров","200+ литров"))))))))))))))))</f>
        <v/>
      </c>
    </row>
    <row r="136">
      <c r="A136" s="64" t="n">
        <v>0.54</v>
      </c>
      <c r="B136" s="65">
        <f>A136*1.2</f>
        <v/>
      </c>
      <c r="C136" s="109" t="n">
        <v>136</v>
      </c>
      <c r="D136" s="116" t="inlineStr">
        <is>
          <t>У</t>
        </is>
      </c>
      <c r="E136" s="88" t="inlineStr">
        <is>
          <t>200х160х250</t>
        </is>
      </c>
      <c r="G136" s="83" t="inlineStr">
        <is>
          <t>Ч</t>
        </is>
      </c>
      <c r="H136" s="146" t="inlineStr">
        <is>
          <t>х</t>
        </is>
      </c>
      <c r="I136" s="83" t="inlineStr">
        <is>
          <t>В</t>
        </is>
      </c>
      <c r="J136" s="83" t="inlineStr">
        <is>
          <t>х</t>
        </is>
      </c>
      <c r="K136" s="116" t="inlineStr">
        <is>
          <t>K137</t>
        </is>
      </c>
      <c r="N136" s="239">
        <f>IF(D136="","",IF(LEFT(D136,1)="0",0,1))</f>
        <v/>
      </c>
      <c r="O136" s="80">
        <f>ROUND(R136*S136*T136/1000000,2)</f>
        <v/>
      </c>
      <c r="P136" s="160">
        <f>IF(O136="","",
IF(O136&lt;1,"0,1-0,9 литров",
IF(O136&lt;2,"1-1,9 литра",
IF(O136&lt;3,"2-2,9 литра",
IF(O136&lt;4,"3-3,9 литра",
IF(O136&lt;6,"4-5,9 литра",IF(O136&lt;8,"6-7,9 литра",IF(O136&lt;10,"8-9,9 литров",IF(O136&lt;15,"10-14,9 литров",IF(O136&lt;20,"15-19,9 литров",IF(O136&lt;30,"20-29 литров",IF(O136&lt;50,"30-49 литров",IF(O136&lt;60,"50-59 литров",IF(O136&lt;70,"60-69 литров",IF(O136&lt;80,"70-79 литров",IF(O136&lt;90,"80-89 литров",IF(O136&lt;100,"90-99 литров",IF(O136&lt;200,"100-200 литров","200+ литров"))))))))))))))))))</f>
        <v/>
      </c>
      <c r="Q136" s="101">
        <f>IF(O136="","",IF(O136&lt;1,"&lt;1 л",IF(O136&lt;2,"1-2 л",IF(O136&lt;3,"2-3 л",IF(O136&lt;5,"3-5 л",IF(O136&lt;10,"5-10 л",IF(O136&lt;20,"10-20 л",IF(O136&lt;50,"20-50 л",IF(O136&lt;100,"50-100 л","100+ л")))))))))</f>
        <v/>
      </c>
      <c r="R136" s="162">
        <f>IF(E136="","",--LEFT(E136,FIND("х",E136)-1))</f>
        <v/>
      </c>
      <c r="S136" s="162">
        <f>IF(E136="","",--MID(E136,FIND("х",E136)+1,FIND("х",E136,FIND("х",E136)+1)-FIND("х",E136)-1))</f>
        <v/>
      </c>
      <c r="T136" s="162">
        <f>IF(E136="","",--RIGHT(E136,LEN(E136)-FIND("х",E136,FIND("х",E136)+1)))</f>
        <v/>
      </c>
      <c r="U136" s="66">
        <f>(2*(R136+S136)+60)*(S136+T136+8)/1000000</f>
        <v/>
      </c>
      <c r="V136" s="66">
        <f>IF(OR(AND(R136&gt;=2*S136,R136&gt;=2*T136),AND(S136&gt;=2*R136,S136&gt;=2*T136),AND(T136&gt;=2*R136,T136&gt;=2*S136)),"Длинные","")</f>
        <v/>
      </c>
      <c r="W136" s="66">
        <f>IF(OR(AND(R136&lt;=S136/2,R136&lt;=T136/2),AND(S136&lt;=R136/2,S136&lt;=T136/2),AND(T136&lt;=R136/2,T136&lt;=S136/2)),"Плоские","")</f>
        <v/>
      </c>
      <c r="X136" s="160">
        <f>IF(LARGE($R136:$T136,1)="","",IF(LARGE($R136:$T136,1)&lt;=99,"10-99 мм",IF(LARGE($R136:$T136,1)&lt;=199,"100-199 мм",IF(LARGE($R136:$T136,1)&lt;=299,"200-299 мм",IF(LARGE($R136:$T136,1)&lt;=399,"300-399 мм",IF(LARGE($R136:$T136,1)&lt;=499,"400-499 мм",IF(LARGE($R136:$T136,1)&lt;=599,"500-599 мм",IF(LARGE($R136:$T136,1)&lt;=699,"600-699 мм",IF(LARGE($R136:$T136,1)&lt;=999,"700-999 мм","1000+ мм")))))))))</f>
        <v/>
      </c>
      <c r="Y136" s="160">
        <f>IF(LARGE($R136:$T136,2)="","",IF(LARGE($R136:$T136,2)&lt;=99,"10-99 мм",IF(LARGE($R136:$T136,2)&lt;=199,"100-199 мм",IF(LARGE($R136:$T136,2)&lt;=299,"200-299 мм",IF(LARGE($R136:$T136,2)&lt;=399,"300-399 мм",IF(LARGE($R136:$T136,2)&lt;=499,"400-499 мм",IF(LARGE($R136:$T136,2)&lt;=599,"500-599 мм",IF(LARGE($R136:$T136,2)&lt;=699,"600-699 мм",IF(LARGE($R136:$T136,2)&lt;=999,"700-999 мм","1000+ мм")))))))))</f>
        <v/>
      </c>
      <c r="Z136" s="160">
        <f>IF(SMALL($R136:$T136,1)="","",IF(SMALL($R136:$T136,1)&lt;=99,"10-99 мм",IF(SMALL($R136:$T136,1)&lt;=199,"100-199 мм",IF(SMALL($R136:$T136,1)&lt;=299,"200-299 мм",IF(SMALL($R136:$T136,1)&lt;=399,"300-399 мм",IF(SMALL($R136:$T136,1)&lt;=499,"400-499 мм",IF(SMALL($R136:$T136,1)&lt;=599,"500-599 мм",IF(SMALL($R136:$T136,1)&lt;=699,"600-699 мм",IF(SMALL($R136:$T136,1)&lt;=999,"700-999 мм","1000+ мм")))))))))</f>
        <v/>
      </c>
      <c r="AA136" s="101">
        <f>IF(G136="","",IF(G136="Л","Лист гофрокартона",IF(G136="КД","Крышка-дно",IF(G136="С","Самосборные",IF(G136="Ч","Четырехклапанные",IF(G136="А","Архивные","Неизвестно"))))))</f>
        <v/>
      </c>
      <c r="AB136" s="66" t="n">
        <v>1.73</v>
      </c>
      <c r="AC136" s="101">
        <f>IF(O136="","",IF(O136&lt;=1,"0-1 литров",IF(O136&lt;=3,"2-3 литра",IF(O136&lt;=5,"4-5 литра",IF(O136&lt;=7,"6-7 литра",IF(O136&lt;=9,"8-9 литров",IF(O136&lt;=14,"10-14 литров",IF(O136&lt;=19,"15-19 литров",IF(O136&lt;=29,"20-29 литров",IF(O136&lt;=49,"30-49 литров",IF(O136&lt;=59,"50-59 литров",IF(O136&lt;=70,"60-69 литров",IF(O136&lt;=79,"70-79 литров",IF(O136&lt;=89,"80-89 литров",IF(O136&lt;=99,"90-99 литров",IF(O136&lt;=200,"100-200 литров","200+ литров"))))))))))))))))</f>
        <v/>
      </c>
    </row>
    <row r="137">
      <c r="A137" s="64" t="n">
        <v>0.73</v>
      </c>
      <c r="B137" s="65">
        <f>A137*1.2</f>
        <v/>
      </c>
      <c r="C137" s="109" t="n">
        <v>137</v>
      </c>
      <c r="D137" s="116" t="inlineStr">
        <is>
          <t>У</t>
        </is>
      </c>
      <c r="E137" s="88" t="inlineStr">
        <is>
          <t>295х225х160</t>
        </is>
      </c>
      <c r="G137" s="83" t="inlineStr">
        <is>
          <t>Ч</t>
        </is>
      </c>
      <c r="H137" s="146" t="inlineStr">
        <is>
          <t>х</t>
        </is>
      </c>
      <c r="I137" s="83" t="inlineStr">
        <is>
          <t>В</t>
        </is>
      </c>
      <c r="J137" s="83" t="inlineStr">
        <is>
          <t>х</t>
        </is>
      </c>
      <c r="K137" s="116" t="inlineStr">
        <is>
          <t>K138</t>
        </is>
      </c>
      <c r="N137" s="239">
        <f>IF(D137="","",IF(LEFT(D137,1)="0",0,1))</f>
        <v/>
      </c>
      <c r="O137" s="80">
        <f>ROUND(R137*S137*T137/1000000,2)</f>
        <v/>
      </c>
      <c r="P137" s="160">
        <f>IF(O137="","",
IF(O137&lt;1,"0,1-0,9 литров",
IF(O137&lt;2,"1-1,9 литра",
IF(O137&lt;3,"2-2,9 литра",
IF(O137&lt;4,"3-3,9 литра",
IF(O137&lt;6,"4-5,9 литра",IF(O137&lt;8,"6-7,9 литра",IF(O137&lt;10,"8-9,9 литров",IF(O137&lt;15,"10-14,9 литров",IF(O137&lt;20,"15-19,9 литров",IF(O137&lt;30,"20-29 литров",IF(O137&lt;50,"30-49 литров",IF(O137&lt;60,"50-59 литров",IF(O137&lt;70,"60-69 литров",IF(O137&lt;80,"70-79 литров",IF(O137&lt;90,"80-89 литров",IF(O137&lt;100,"90-99 литров",IF(O137&lt;200,"100-200 литров","200+ литров"))))))))))))))))))</f>
        <v/>
      </c>
      <c r="Q137" s="101">
        <f>IF(O137="","",IF(O137&lt;1,"&lt;1 л",IF(O137&lt;2,"1-2 л",IF(O137&lt;3,"2-3 л",IF(O137&lt;5,"3-5 л",IF(O137&lt;10,"5-10 л",IF(O137&lt;20,"10-20 л",IF(O137&lt;50,"20-50 л",IF(O137&lt;100,"50-100 л","100+ л")))))))))</f>
        <v/>
      </c>
      <c r="R137" s="162">
        <f>IF(E137="","",--LEFT(E137,FIND("х",E137)-1))</f>
        <v/>
      </c>
      <c r="S137" s="162">
        <f>IF(E137="","",--MID(E137,FIND("х",E137)+1,FIND("х",E137,FIND("х",E137)+1)-FIND("х",E137)-1))</f>
        <v/>
      </c>
      <c r="T137" s="162">
        <f>IF(E137="","",--RIGHT(E137,LEN(E137)-FIND("х",E137,FIND("х",E137)+1)))</f>
        <v/>
      </c>
      <c r="U137" s="66">
        <f>(2*(R137+S137)+60)*(S137+T137+8)/1000000</f>
        <v/>
      </c>
      <c r="V137" s="66">
        <f>IF(OR(AND(R137&gt;=2*S137,R137&gt;=2*T137),AND(S137&gt;=2*R137,S137&gt;=2*T137),AND(T137&gt;=2*R137,T137&gt;=2*S137)),"Длинные","")</f>
        <v/>
      </c>
      <c r="W137" s="66">
        <f>IF(OR(AND(R137&lt;=S137/2,R137&lt;=T137/2),AND(S137&lt;=R137/2,S137&lt;=T137/2),AND(T137&lt;=R137/2,T137&lt;=S137/2)),"Плоские","")</f>
        <v/>
      </c>
      <c r="X137" s="160">
        <f>IF(LARGE($R137:$T137,1)="","",IF(LARGE($R137:$T137,1)&lt;=99,"10-99 мм",IF(LARGE($R137:$T137,1)&lt;=199,"100-199 мм",IF(LARGE($R137:$T137,1)&lt;=299,"200-299 мм",IF(LARGE($R137:$T137,1)&lt;=399,"300-399 мм",IF(LARGE($R137:$T137,1)&lt;=499,"400-499 мм",IF(LARGE($R137:$T137,1)&lt;=599,"500-599 мм",IF(LARGE($R137:$T137,1)&lt;=699,"600-699 мм",IF(LARGE($R137:$T137,1)&lt;=999,"700-999 мм","1000+ мм")))))))))</f>
        <v/>
      </c>
      <c r="Y137" s="160">
        <f>IF(LARGE($R137:$T137,2)="","",IF(LARGE($R137:$T137,2)&lt;=99,"10-99 мм",IF(LARGE($R137:$T137,2)&lt;=199,"100-199 мм",IF(LARGE($R137:$T137,2)&lt;=299,"200-299 мм",IF(LARGE($R137:$T137,2)&lt;=399,"300-399 мм",IF(LARGE($R137:$T137,2)&lt;=499,"400-499 мм",IF(LARGE($R137:$T137,2)&lt;=599,"500-599 мм",IF(LARGE($R137:$T137,2)&lt;=699,"600-699 мм",IF(LARGE($R137:$T137,2)&lt;=999,"700-999 мм","1000+ мм")))))))))</f>
        <v/>
      </c>
      <c r="Z137" s="160">
        <f>IF(SMALL($R137:$T137,1)="","",IF(SMALL($R137:$T137,1)&lt;=99,"10-99 мм",IF(SMALL($R137:$T137,1)&lt;=199,"100-199 мм",IF(SMALL($R137:$T137,1)&lt;=299,"200-299 мм",IF(SMALL($R137:$T137,1)&lt;=399,"300-399 мм",IF(SMALL($R137:$T137,1)&lt;=499,"400-499 мм",IF(SMALL($R137:$T137,1)&lt;=599,"500-599 мм",IF(SMALL($R137:$T137,1)&lt;=699,"600-699 мм",IF(SMALL($R137:$T137,1)&lt;=999,"700-999 мм","1000+ мм")))))))))</f>
        <v/>
      </c>
      <c r="AA137" s="101">
        <f>IF(G137="","",IF(G137="Л","Лист гофрокартона",IF(G137="КД","Крышка-дно",IF(G137="С","Самосборные",IF(G137="Ч","Четырехклапанные",IF(G137="А","Архивные","Неизвестно"))))))</f>
        <v/>
      </c>
      <c r="AB137" s="66" t="n">
        <v>1.73</v>
      </c>
      <c r="AC137" s="101">
        <f>IF(O137="","",IF(O137&lt;=1,"0-1 литров",IF(O137&lt;=3,"2-3 литра",IF(O137&lt;=5,"4-5 литра",IF(O137&lt;=7,"6-7 литра",IF(O137&lt;=9,"8-9 литров",IF(O137&lt;=14,"10-14 литров",IF(O137&lt;=19,"15-19 литров",IF(O137&lt;=29,"20-29 литров",IF(O137&lt;=49,"30-49 литров",IF(O137&lt;=59,"50-59 литров",IF(O137&lt;=70,"60-69 литров",IF(O137&lt;=79,"70-79 литров",IF(O137&lt;=89,"80-89 литров",IF(O137&lt;=99,"90-99 литров",IF(O137&lt;=200,"100-200 литров","200+ литров"))))))))))))))))</f>
        <v/>
      </c>
    </row>
    <row r="138">
      <c r="A138" s="64" t="n">
        <v>1.65</v>
      </c>
      <c r="B138" s="65">
        <f>A138*1.2</f>
        <v/>
      </c>
      <c r="C138" s="109" t="n">
        <v>138</v>
      </c>
      <c r="D138" s="116" t="inlineStr">
        <is>
          <t>У</t>
        </is>
      </c>
      <c r="E138" s="88" t="inlineStr">
        <is>
          <t>400х370х230</t>
        </is>
      </c>
      <c r="G138" s="83" t="inlineStr">
        <is>
          <t>Ч</t>
        </is>
      </c>
      <c r="H138" s="146" t="inlineStr">
        <is>
          <t>х</t>
        </is>
      </c>
      <c r="I138" s="83" t="inlineStr">
        <is>
          <t>В</t>
        </is>
      </c>
      <c r="J138" s="83" t="inlineStr">
        <is>
          <t>х</t>
        </is>
      </c>
      <c r="K138" s="116" t="inlineStr">
        <is>
          <t>K139</t>
        </is>
      </c>
      <c r="N138" s="239">
        <f>IF(D138="","",IF(LEFT(D138,1)="0",0,1))</f>
        <v/>
      </c>
      <c r="O138" s="80">
        <f>ROUND(R138*S138*T138/1000000,2)</f>
        <v/>
      </c>
      <c r="P138" s="160">
        <f>IF(O138="","",
IF(O138&lt;1,"0,1-0,9 литров",
IF(O138&lt;2,"1-1,9 литра",
IF(O138&lt;3,"2-2,9 литра",
IF(O138&lt;4,"3-3,9 литра",
IF(O138&lt;6,"4-5,9 литра",IF(O138&lt;8,"6-7,9 литра",IF(O138&lt;10,"8-9,9 литров",IF(O138&lt;15,"10-14,9 литров",IF(O138&lt;20,"15-19,9 литров",IF(O138&lt;30,"20-29 литров",IF(O138&lt;50,"30-49 литров",IF(O138&lt;60,"50-59 литров",IF(O138&lt;70,"60-69 литров",IF(O138&lt;80,"70-79 литров",IF(O138&lt;90,"80-89 литров",IF(O138&lt;100,"90-99 литров",IF(O138&lt;200,"100-200 литров","200+ литров"))))))))))))))))))</f>
        <v/>
      </c>
      <c r="Q138" s="101">
        <f>IF(O138="","",IF(O138&lt;1,"&lt;1 л",IF(O138&lt;2,"1-2 л",IF(O138&lt;3,"2-3 л",IF(O138&lt;5,"3-5 л",IF(O138&lt;10,"5-10 л",IF(O138&lt;20,"10-20 л",IF(O138&lt;50,"20-50 л",IF(O138&lt;100,"50-100 л","100+ л")))))))))</f>
        <v/>
      </c>
      <c r="R138" s="162">
        <f>IF(E138="","",--LEFT(E138,FIND("х",E138)-1))</f>
        <v/>
      </c>
      <c r="S138" s="162">
        <f>IF(E138="","",--MID(E138,FIND("х",E138)+1,FIND("х",E138,FIND("х",E138)+1)-FIND("х",E138)-1))</f>
        <v/>
      </c>
      <c r="T138" s="162">
        <f>IF(E138="","",--RIGHT(E138,LEN(E138)-FIND("х",E138,FIND("х",E138)+1)))</f>
        <v/>
      </c>
      <c r="U138" s="66">
        <f>(2*(R138+S138)+60)*(S138+T138+8)/1000000</f>
        <v/>
      </c>
      <c r="V138" s="66">
        <f>IF(OR(AND(R138&gt;=2*S138,R138&gt;=2*T138),AND(S138&gt;=2*R138,S138&gt;=2*T138),AND(T138&gt;=2*R138,T138&gt;=2*S138)),"Длинные","")</f>
        <v/>
      </c>
      <c r="W138" s="66">
        <f>IF(OR(AND(R138&lt;=S138/2,R138&lt;=T138/2),AND(S138&lt;=R138/2,S138&lt;=T138/2),AND(T138&lt;=R138/2,T138&lt;=S138/2)),"Плоские","")</f>
        <v/>
      </c>
      <c r="X138" s="160">
        <f>IF(LARGE($R138:$T138,1)="","",IF(LARGE($R138:$T138,1)&lt;=99,"10-99 мм",IF(LARGE($R138:$T138,1)&lt;=199,"100-199 мм",IF(LARGE($R138:$T138,1)&lt;=299,"200-299 мм",IF(LARGE($R138:$T138,1)&lt;=399,"300-399 мм",IF(LARGE($R138:$T138,1)&lt;=499,"400-499 мм",IF(LARGE($R138:$T138,1)&lt;=599,"500-599 мм",IF(LARGE($R138:$T138,1)&lt;=699,"600-699 мм",IF(LARGE($R138:$T138,1)&lt;=999,"700-999 мм","1000+ мм")))))))))</f>
        <v/>
      </c>
      <c r="Y138" s="160">
        <f>IF(LARGE($R138:$T138,2)="","",IF(LARGE($R138:$T138,2)&lt;=99,"10-99 мм",IF(LARGE($R138:$T138,2)&lt;=199,"100-199 мм",IF(LARGE($R138:$T138,2)&lt;=299,"200-299 мм",IF(LARGE($R138:$T138,2)&lt;=399,"300-399 мм",IF(LARGE($R138:$T138,2)&lt;=499,"400-499 мм",IF(LARGE($R138:$T138,2)&lt;=599,"500-599 мм",IF(LARGE($R138:$T138,2)&lt;=699,"600-699 мм",IF(LARGE($R138:$T138,2)&lt;=999,"700-999 мм","1000+ мм")))))))))</f>
        <v/>
      </c>
      <c r="Z138" s="160">
        <f>IF(SMALL($R138:$T138,1)="","",IF(SMALL($R138:$T138,1)&lt;=99,"10-99 мм",IF(SMALL($R138:$T138,1)&lt;=199,"100-199 мм",IF(SMALL($R138:$T138,1)&lt;=299,"200-299 мм",IF(SMALL($R138:$T138,1)&lt;=399,"300-399 мм",IF(SMALL($R138:$T138,1)&lt;=499,"400-499 мм",IF(SMALL($R138:$T138,1)&lt;=599,"500-599 мм",IF(SMALL($R138:$T138,1)&lt;=699,"600-699 мм",IF(SMALL($R138:$T138,1)&lt;=999,"700-999 мм","1000+ мм")))))))))</f>
        <v/>
      </c>
      <c r="AA138" s="101">
        <f>IF(G138="","",IF(G138="Л","Лист гофрокартона",IF(G138="КД","Крышка-дно",IF(G138="С","Самосборные",IF(G138="Ч","Четырехклапанные",IF(G138="А","Архивные","Неизвестно"))))))</f>
        <v/>
      </c>
      <c r="AB138" s="66" t="n">
        <v>1.73</v>
      </c>
      <c r="AC138" s="101">
        <f>IF(O138="","",IF(O138&lt;=1,"0-1 литров",IF(O138&lt;=3,"2-3 литра",IF(O138&lt;=5,"4-5 литра",IF(O138&lt;=7,"6-7 литра",IF(O138&lt;=9,"8-9 литров",IF(O138&lt;=14,"10-14 литров",IF(O138&lt;=19,"15-19 литров",IF(O138&lt;=29,"20-29 литров",IF(O138&lt;=49,"30-49 литров",IF(O138&lt;=59,"50-59 литров",IF(O138&lt;=70,"60-69 литров",IF(O138&lt;=79,"70-79 литров",IF(O138&lt;=89,"80-89 литров",IF(O138&lt;=99,"90-99 литров",IF(O138&lt;=200,"100-200 литров","200+ литров"))))))))))))))))</f>
        <v/>
      </c>
    </row>
    <row r="139">
      <c r="A139" s="64" t="n">
        <v>2.23</v>
      </c>
      <c r="B139" s="65">
        <f>A139*1.2</f>
        <v/>
      </c>
      <c r="C139" s="109" t="n">
        <v>139</v>
      </c>
      <c r="D139" s="116" t="inlineStr">
        <is>
          <t>У</t>
        </is>
      </c>
      <c r="E139" s="88" t="inlineStr">
        <is>
          <t>630х320х340</t>
        </is>
      </c>
      <c r="G139" s="83" t="inlineStr">
        <is>
          <t>Ч</t>
        </is>
      </c>
      <c r="H139" s="146" t="inlineStr">
        <is>
          <t>х</t>
        </is>
      </c>
      <c r="I139" s="83" t="inlineStr">
        <is>
          <t>В</t>
        </is>
      </c>
      <c r="J139" s="83" t="inlineStr">
        <is>
          <t>х</t>
        </is>
      </c>
      <c r="K139" s="116" t="inlineStr">
        <is>
          <t>K140</t>
        </is>
      </c>
      <c r="N139" s="239">
        <f>IF(D139="","",IF(LEFT(D139,1)="0",0,1))</f>
        <v/>
      </c>
      <c r="O139" s="80">
        <f>ROUND(R139*S139*T139/1000000,2)</f>
        <v/>
      </c>
      <c r="P139" s="160">
        <f>IF(O139="","",
IF(O139&lt;1,"0,1-0,9 литров",
IF(O139&lt;2,"1-1,9 литра",
IF(O139&lt;3,"2-2,9 литра",
IF(O139&lt;4,"3-3,9 литра",
IF(O139&lt;6,"4-5,9 литра",IF(O139&lt;8,"6-7,9 литра",IF(O139&lt;10,"8-9,9 литров",IF(O139&lt;15,"10-14,9 литров",IF(O139&lt;20,"15-19,9 литров",IF(O139&lt;30,"20-29 литров",IF(O139&lt;50,"30-49 литров",IF(O139&lt;60,"50-59 литров",IF(O139&lt;70,"60-69 литров",IF(O139&lt;80,"70-79 литров",IF(O139&lt;90,"80-89 литров",IF(O139&lt;100,"90-99 литров",IF(O139&lt;200,"100-200 литров","200+ литров"))))))))))))))))))</f>
        <v/>
      </c>
      <c r="Q139" s="101">
        <f>IF(O139="","",IF(O139&lt;1,"&lt;1 л",IF(O139&lt;2,"1-2 л",IF(O139&lt;3,"2-3 л",IF(O139&lt;5,"3-5 л",IF(O139&lt;10,"5-10 л",IF(O139&lt;20,"10-20 л",IF(O139&lt;50,"20-50 л",IF(O139&lt;100,"50-100 л","100+ л")))))))))</f>
        <v/>
      </c>
      <c r="R139" s="162">
        <f>IF(E139="","",--LEFT(E139,FIND("х",E139)-1))</f>
        <v/>
      </c>
      <c r="S139" s="162">
        <f>IF(E139="","",--MID(E139,FIND("х",E139)+1,FIND("х",E139,FIND("х",E139)+1)-FIND("х",E139)-1))</f>
        <v/>
      </c>
      <c r="T139" s="162">
        <f>IF(E139="","",--RIGHT(E139,LEN(E139)-FIND("х",E139,FIND("х",E139)+1)))</f>
        <v/>
      </c>
      <c r="U139" s="66">
        <f>(2*(R139+S139)+60)*(S139+T139+8)/1000000</f>
        <v/>
      </c>
      <c r="V139" s="66">
        <f>IF(OR(AND(R139&gt;=2*S139,R139&gt;=2*T139),AND(S139&gt;=2*R139,S139&gt;=2*T139),AND(T139&gt;=2*R139,T139&gt;=2*S139)),"Длинные","")</f>
        <v/>
      </c>
      <c r="W139" s="66">
        <f>IF(OR(AND(R139&lt;=S139/2,R139&lt;=T139/2),AND(S139&lt;=R139/2,S139&lt;=T139/2),AND(T139&lt;=R139/2,T139&lt;=S139/2)),"Плоские","")</f>
        <v/>
      </c>
      <c r="X139" s="160">
        <f>IF(LARGE($R139:$T139,1)="","",IF(LARGE($R139:$T139,1)&lt;=99,"10-99 мм",IF(LARGE($R139:$T139,1)&lt;=199,"100-199 мм",IF(LARGE($R139:$T139,1)&lt;=299,"200-299 мм",IF(LARGE($R139:$T139,1)&lt;=399,"300-399 мм",IF(LARGE($R139:$T139,1)&lt;=499,"400-499 мм",IF(LARGE($R139:$T139,1)&lt;=599,"500-599 мм",IF(LARGE($R139:$T139,1)&lt;=699,"600-699 мм",IF(LARGE($R139:$T139,1)&lt;=999,"700-999 мм","1000+ мм")))))))))</f>
        <v/>
      </c>
      <c r="Y139" s="160">
        <f>IF(LARGE($R139:$T139,2)="","",IF(LARGE($R139:$T139,2)&lt;=99,"10-99 мм",IF(LARGE($R139:$T139,2)&lt;=199,"100-199 мм",IF(LARGE($R139:$T139,2)&lt;=299,"200-299 мм",IF(LARGE($R139:$T139,2)&lt;=399,"300-399 мм",IF(LARGE($R139:$T139,2)&lt;=499,"400-499 мм",IF(LARGE($R139:$T139,2)&lt;=599,"500-599 мм",IF(LARGE($R139:$T139,2)&lt;=699,"600-699 мм",IF(LARGE($R139:$T139,2)&lt;=999,"700-999 мм","1000+ мм")))))))))</f>
        <v/>
      </c>
      <c r="Z139" s="160">
        <f>IF(SMALL($R139:$T139,1)="","",IF(SMALL($R139:$T139,1)&lt;=99,"10-99 мм",IF(SMALL($R139:$T139,1)&lt;=199,"100-199 мм",IF(SMALL($R139:$T139,1)&lt;=299,"200-299 мм",IF(SMALL($R139:$T139,1)&lt;=399,"300-399 мм",IF(SMALL($R139:$T139,1)&lt;=499,"400-499 мм",IF(SMALL($R139:$T139,1)&lt;=599,"500-599 мм",IF(SMALL($R139:$T139,1)&lt;=699,"600-699 мм",IF(SMALL($R139:$T139,1)&lt;=999,"700-999 мм","1000+ мм")))))))))</f>
        <v/>
      </c>
      <c r="AA139" s="101">
        <f>IF(G139="","",IF(G139="Л","Лист гофрокартона",IF(G139="КД","Крышка-дно",IF(G139="С","Самосборные",IF(G139="Ч","Четырехклапанные",IF(G139="А","Архивные","Неизвестно"))))))</f>
        <v/>
      </c>
      <c r="AB139" s="66" t="n">
        <v>1.73</v>
      </c>
      <c r="AC139" s="101">
        <f>IF(O139="","",IF(O139&lt;=1,"0-1 литров",IF(O139&lt;=3,"2-3 литра",IF(O139&lt;=5,"4-5 литра",IF(O139&lt;=7,"6-7 литра",IF(O139&lt;=9,"8-9 литров",IF(O139&lt;=14,"10-14 литров",IF(O139&lt;=19,"15-19 литров",IF(O139&lt;=29,"20-29 литров",IF(O139&lt;=49,"30-49 литров",IF(O139&lt;=59,"50-59 литров",IF(O139&lt;=70,"60-69 литров",IF(O139&lt;=79,"70-79 литров",IF(O139&lt;=89,"80-89 литров",IF(O139&lt;=99,"90-99 литров",IF(O139&lt;=200,"100-200 литров","200+ литров"))))))))))))))))</f>
        <v/>
      </c>
    </row>
    <row r="140">
      <c r="A140" s="64" t="n">
        <v>1.31</v>
      </c>
      <c r="B140" s="65">
        <f>A140*1.2</f>
        <v/>
      </c>
      <c r="C140" s="109" t="n">
        <v>140</v>
      </c>
      <c r="D140" s="116" t="inlineStr">
        <is>
          <t>У</t>
        </is>
      </c>
      <c r="E140" s="88" t="inlineStr">
        <is>
          <t>350х340х190</t>
        </is>
      </c>
      <c r="G140" s="83" t="inlineStr">
        <is>
          <t>Ч</t>
        </is>
      </c>
      <c r="H140" s="146" t="inlineStr">
        <is>
          <t>х</t>
        </is>
      </c>
      <c r="I140" s="83" t="inlineStr">
        <is>
          <t>В</t>
        </is>
      </c>
      <c r="J140" s="83" t="inlineStr">
        <is>
          <t>х</t>
        </is>
      </c>
      <c r="K140" s="116" t="inlineStr">
        <is>
          <t>K141</t>
        </is>
      </c>
      <c r="N140" s="239">
        <f>IF(D140="","",IF(LEFT(D140,1)="0",0,1))</f>
        <v/>
      </c>
      <c r="O140" s="80">
        <f>ROUND(R140*S140*T140/1000000,2)</f>
        <v/>
      </c>
      <c r="P140" s="160">
        <f>IF(O140="","",
IF(O140&lt;1,"0,1-0,9 литров",
IF(O140&lt;2,"1-1,9 литра",
IF(O140&lt;3,"2-2,9 литра",
IF(O140&lt;4,"3-3,9 литра",
IF(O140&lt;6,"4-5,9 литра",IF(O140&lt;8,"6-7,9 литра",IF(O140&lt;10,"8-9,9 литров",IF(O140&lt;15,"10-14,9 литров",IF(O140&lt;20,"15-19,9 литров",IF(O140&lt;30,"20-29 литров",IF(O140&lt;50,"30-49 литров",IF(O140&lt;60,"50-59 литров",IF(O140&lt;70,"60-69 литров",IF(O140&lt;80,"70-79 литров",IF(O140&lt;90,"80-89 литров",IF(O140&lt;100,"90-99 литров",IF(O140&lt;200,"100-200 литров","200+ литров"))))))))))))))))))</f>
        <v/>
      </c>
      <c r="Q140" s="101">
        <f>IF(O140="","",IF(O140&lt;1,"&lt;1 л",IF(O140&lt;2,"1-2 л",IF(O140&lt;3,"2-3 л",IF(O140&lt;5,"3-5 л",IF(O140&lt;10,"5-10 л",IF(O140&lt;20,"10-20 л",IF(O140&lt;50,"20-50 л",IF(O140&lt;100,"50-100 л","100+ л")))))))))</f>
        <v/>
      </c>
      <c r="R140" s="162">
        <f>IF(E140="","",--LEFT(E140,FIND("х",E140)-1))</f>
        <v/>
      </c>
      <c r="S140" s="162">
        <f>IF(E140="","",--MID(E140,FIND("х",E140)+1,FIND("х",E140,FIND("х",E140)+1)-FIND("х",E140)-1))</f>
        <v/>
      </c>
      <c r="T140" s="162">
        <f>IF(E140="","",--RIGHT(E140,LEN(E140)-FIND("х",E140,FIND("х",E140)+1)))</f>
        <v/>
      </c>
      <c r="U140" s="66">
        <f>(2*(R140+S140)+60)*(S140+T140+8)/1000000</f>
        <v/>
      </c>
      <c r="V140" s="66">
        <f>IF(OR(AND(R140&gt;=2*S140,R140&gt;=2*T140),AND(S140&gt;=2*R140,S140&gt;=2*T140),AND(T140&gt;=2*R140,T140&gt;=2*S140)),"Длинные","")</f>
        <v/>
      </c>
      <c r="W140" s="66">
        <f>IF(OR(AND(R140&lt;=S140/2,R140&lt;=T140/2),AND(S140&lt;=R140/2,S140&lt;=T140/2),AND(T140&lt;=R140/2,T140&lt;=S140/2)),"Плоские","")</f>
        <v/>
      </c>
      <c r="X140" s="160">
        <f>IF(LARGE($R140:$T140,1)="","",IF(LARGE($R140:$T140,1)&lt;=99,"10-99 мм",IF(LARGE($R140:$T140,1)&lt;=199,"100-199 мм",IF(LARGE($R140:$T140,1)&lt;=299,"200-299 мм",IF(LARGE($R140:$T140,1)&lt;=399,"300-399 мм",IF(LARGE($R140:$T140,1)&lt;=499,"400-499 мм",IF(LARGE($R140:$T140,1)&lt;=599,"500-599 мм",IF(LARGE($R140:$T140,1)&lt;=699,"600-699 мм",IF(LARGE($R140:$T140,1)&lt;=999,"700-999 мм","1000+ мм")))))))))</f>
        <v/>
      </c>
      <c r="Y140" s="160">
        <f>IF(LARGE($R140:$T140,2)="","",IF(LARGE($R140:$T140,2)&lt;=99,"10-99 мм",IF(LARGE($R140:$T140,2)&lt;=199,"100-199 мм",IF(LARGE($R140:$T140,2)&lt;=299,"200-299 мм",IF(LARGE($R140:$T140,2)&lt;=399,"300-399 мм",IF(LARGE($R140:$T140,2)&lt;=499,"400-499 мм",IF(LARGE($R140:$T140,2)&lt;=599,"500-599 мм",IF(LARGE($R140:$T140,2)&lt;=699,"600-699 мм",IF(LARGE($R140:$T140,2)&lt;=999,"700-999 мм","1000+ мм")))))))))</f>
        <v/>
      </c>
      <c r="Z140" s="160">
        <f>IF(SMALL($R140:$T140,1)="","",IF(SMALL($R140:$T140,1)&lt;=99,"10-99 мм",IF(SMALL($R140:$T140,1)&lt;=199,"100-199 мм",IF(SMALL($R140:$T140,1)&lt;=299,"200-299 мм",IF(SMALL($R140:$T140,1)&lt;=399,"300-399 мм",IF(SMALL($R140:$T140,1)&lt;=499,"400-499 мм",IF(SMALL($R140:$T140,1)&lt;=599,"500-599 мм",IF(SMALL($R140:$T140,1)&lt;=699,"600-699 мм",IF(SMALL($R140:$T140,1)&lt;=999,"700-999 мм","1000+ мм")))))))))</f>
        <v/>
      </c>
      <c r="AA140" s="101">
        <f>IF(G140="","",IF(G140="Л","Лист гофрокартона",IF(G140="КД","Крышка-дно",IF(G140="С","Самосборные",IF(G140="Ч","Четырехклапанные",IF(G140="А","Архивные","Неизвестно"))))))</f>
        <v/>
      </c>
      <c r="AB140" s="66" t="n">
        <v>1.73</v>
      </c>
      <c r="AC140" s="101">
        <f>IF(O140="","",IF(O140&lt;=1,"0-1 литров",IF(O140&lt;=3,"2-3 литра",IF(O140&lt;=5,"4-5 литра",IF(O140&lt;=7,"6-7 литра",IF(O140&lt;=9,"8-9 литров",IF(O140&lt;=14,"10-14 литров",IF(O140&lt;=19,"15-19 литров",IF(O140&lt;=29,"20-29 литров",IF(O140&lt;=49,"30-49 литров",IF(O140&lt;=59,"50-59 литров",IF(O140&lt;=70,"60-69 литров",IF(O140&lt;=79,"70-79 литров",IF(O140&lt;=89,"80-89 литров",IF(O140&lt;=99,"90-99 литров",IF(O140&lt;=200,"100-200 литров","200+ литров"))))))))))))))))</f>
        <v/>
      </c>
    </row>
    <row r="141">
      <c r="A141" s="64" t="n">
        <v>0.2</v>
      </c>
      <c r="B141" s="65">
        <f>A141*1.2</f>
        <v/>
      </c>
      <c r="C141" s="109" t="n">
        <v>141</v>
      </c>
      <c r="D141" s="116" t="inlineStr">
        <is>
          <t>У</t>
        </is>
      </c>
      <c r="E141" s="88" t="inlineStr">
        <is>
          <t>103х103х130</t>
        </is>
      </c>
      <c r="G141" s="83" t="inlineStr">
        <is>
          <t>Ч</t>
        </is>
      </c>
      <c r="H141" s="146" t="inlineStr">
        <is>
          <t>х</t>
        </is>
      </c>
      <c r="I141" s="83" t="inlineStr">
        <is>
          <t>В</t>
        </is>
      </c>
      <c r="J141" s="83" t="inlineStr">
        <is>
          <t>х</t>
        </is>
      </c>
      <c r="K141" s="116" t="inlineStr">
        <is>
          <t>K142</t>
        </is>
      </c>
      <c r="N141" s="239">
        <f>IF(D141="","",IF(LEFT(D141,1)="0",0,1))</f>
        <v/>
      </c>
      <c r="O141" s="80">
        <f>ROUND(R141*S141*T141/1000000,2)</f>
        <v/>
      </c>
      <c r="P141" s="160">
        <f>IF(O141="","",
IF(O141&lt;1,"0,1-0,9 литров",
IF(O141&lt;2,"1-1,9 литра",
IF(O141&lt;3,"2-2,9 литра",
IF(O141&lt;4,"3-3,9 литра",
IF(O141&lt;6,"4-5,9 литра",IF(O141&lt;8,"6-7,9 литра",IF(O141&lt;10,"8-9,9 литров",IF(O141&lt;15,"10-14,9 литров",IF(O141&lt;20,"15-19,9 литров",IF(O141&lt;30,"20-29 литров",IF(O141&lt;50,"30-49 литров",IF(O141&lt;60,"50-59 литров",IF(O141&lt;70,"60-69 литров",IF(O141&lt;80,"70-79 литров",IF(O141&lt;90,"80-89 литров",IF(O141&lt;100,"90-99 литров",IF(O141&lt;200,"100-200 литров","200+ литров"))))))))))))))))))</f>
        <v/>
      </c>
      <c r="Q141" s="101">
        <f>IF(O141="","",IF(O141&lt;1,"&lt;1 л",IF(O141&lt;2,"1-2 л",IF(O141&lt;3,"2-3 л",IF(O141&lt;5,"3-5 л",IF(O141&lt;10,"5-10 л",IF(O141&lt;20,"10-20 л",IF(O141&lt;50,"20-50 л",IF(O141&lt;100,"50-100 л","100+ л")))))))))</f>
        <v/>
      </c>
      <c r="R141" s="162">
        <f>IF(E141="","",--LEFT(E141,FIND("х",E141)-1))</f>
        <v/>
      </c>
      <c r="S141" s="162">
        <f>IF(E141="","",--MID(E141,FIND("х",E141)+1,FIND("х",E141,FIND("х",E141)+1)-FIND("х",E141)-1))</f>
        <v/>
      </c>
      <c r="T141" s="162">
        <f>IF(E141="","",--RIGHT(E141,LEN(E141)-FIND("х",E141,FIND("х",E141)+1)))</f>
        <v/>
      </c>
      <c r="U141" s="66">
        <f>(2*(R141+S141)+60)*(S141+T141+8)/1000000</f>
        <v/>
      </c>
      <c r="V141" s="66">
        <f>IF(OR(AND(R141&gt;=2*S141,R141&gt;=2*T141),AND(S141&gt;=2*R141,S141&gt;=2*T141),AND(T141&gt;=2*R141,T141&gt;=2*S141)),"Длинные","")</f>
        <v/>
      </c>
      <c r="W141" s="66">
        <f>IF(OR(AND(R141&lt;=S141/2,R141&lt;=T141/2),AND(S141&lt;=R141/2,S141&lt;=T141/2),AND(T141&lt;=R141/2,T141&lt;=S141/2)),"Плоские","")</f>
        <v/>
      </c>
      <c r="X141" s="160">
        <f>IF(LARGE($R141:$T141,1)="","",IF(LARGE($R141:$T141,1)&lt;=99,"10-99 мм",IF(LARGE($R141:$T141,1)&lt;=199,"100-199 мм",IF(LARGE($R141:$T141,1)&lt;=299,"200-299 мм",IF(LARGE($R141:$T141,1)&lt;=399,"300-399 мм",IF(LARGE($R141:$T141,1)&lt;=499,"400-499 мм",IF(LARGE($R141:$T141,1)&lt;=599,"500-599 мм",IF(LARGE($R141:$T141,1)&lt;=699,"600-699 мм",IF(LARGE($R141:$T141,1)&lt;=999,"700-999 мм","1000+ мм")))))))))</f>
        <v/>
      </c>
      <c r="Y141" s="160">
        <f>IF(LARGE($R141:$T141,2)="","",IF(LARGE($R141:$T141,2)&lt;=99,"10-99 мм",IF(LARGE($R141:$T141,2)&lt;=199,"100-199 мм",IF(LARGE($R141:$T141,2)&lt;=299,"200-299 мм",IF(LARGE($R141:$T141,2)&lt;=399,"300-399 мм",IF(LARGE($R141:$T141,2)&lt;=499,"400-499 мм",IF(LARGE($R141:$T141,2)&lt;=599,"500-599 мм",IF(LARGE($R141:$T141,2)&lt;=699,"600-699 мм",IF(LARGE($R141:$T141,2)&lt;=999,"700-999 мм","1000+ мм")))))))))</f>
        <v/>
      </c>
      <c r="Z141" s="160">
        <f>IF(SMALL($R141:$T141,1)="","",IF(SMALL($R141:$T141,1)&lt;=99,"10-99 мм",IF(SMALL($R141:$T141,1)&lt;=199,"100-199 мм",IF(SMALL($R141:$T141,1)&lt;=299,"200-299 мм",IF(SMALL($R141:$T141,1)&lt;=399,"300-399 мм",IF(SMALL($R141:$T141,1)&lt;=499,"400-499 мм",IF(SMALL($R141:$T141,1)&lt;=599,"500-599 мм",IF(SMALL($R141:$T141,1)&lt;=699,"600-699 мм",IF(SMALL($R141:$T141,1)&lt;=999,"700-999 мм","1000+ мм")))))))))</f>
        <v/>
      </c>
      <c r="AA141" s="101">
        <f>IF(G141="","",IF(G141="Л","Лист гофрокартона",IF(G141="КД","Крышка-дно",IF(G141="С","Самосборные",IF(G141="Ч","Четырехклапанные",IF(G141="А","Архивные","Неизвестно"))))))</f>
        <v/>
      </c>
      <c r="AB141" s="66" t="n">
        <v>1.73</v>
      </c>
      <c r="AC141" s="101">
        <f>IF(O141="","",IF(O141&lt;=1,"0-1 литров",IF(O141&lt;=3,"2-3 литра",IF(O141&lt;=5,"4-5 литра",IF(O141&lt;=7,"6-7 литра",IF(O141&lt;=9,"8-9 литров",IF(O141&lt;=14,"10-14 литров",IF(O141&lt;=19,"15-19 литров",IF(O141&lt;=29,"20-29 литров",IF(O141&lt;=49,"30-49 литров",IF(O141&lt;=59,"50-59 литров",IF(O141&lt;=70,"60-69 литров",IF(O141&lt;=79,"70-79 литров",IF(O141&lt;=89,"80-89 литров",IF(O141&lt;=99,"90-99 литров",IF(O141&lt;=200,"100-200 литров","200+ литров"))))))))))))))))</f>
        <v/>
      </c>
    </row>
    <row r="142">
      <c r="A142" s="64" t="n">
        <v>0.38</v>
      </c>
      <c r="B142" s="65">
        <f>A142*1.2</f>
        <v/>
      </c>
      <c r="C142" s="109" t="n">
        <v>142</v>
      </c>
      <c r="D142" s="116" t="inlineStr">
        <is>
          <t>У</t>
        </is>
      </c>
      <c r="E142" s="88" t="inlineStr">
        <is>
          <t>200х120х200</t>
        </is>
      </c>
      <c r="G142" s="83" t="inlineStr">
        <is>
          <t>Ч</t>
        </is>
      </c>
      <c r="H142" s="146" t="inlineStr">
        <is>
          <t>х</t>
        </is>
      </c>
      <c r="I142" s="83" t="inlineStr">
        <is>
          <t>В</t>
        </is>
      </c>
      <c r="J142" s="83" t="inlineStr">
        <is>
          <t>х</t>
        </is>
      </c>
      <c r="K142" s="116" t="inlineStr">
        <is>
          <t>K143</t>
        </is>
      </c>
      <c r="N142" s="239">
        <f>IF(D142="","",IF(LEFT(D142,1)="0",0,1))</f>
        <v/>
      </c>
      <c r="O142" s="80">
        <f>ROUND(R142*S142*T142/1000000,2)</f>
        <v/>
      </c>
      <c r="P142" s="160">
        <f>IF(O142="","",
IF(O142&lt;1,"0,1-0,9 литров",
IF(O142&lt;2,"1-1,9 литра",
IF(O142&lt;3,"2-2,9 литра",
IF(O142&lt;4,"3-3,9 литра",
IF(O142&lt;6,"4-5,9 литра",IF(O142&lt;8,"6-7,9 литра",IF(O142&lt;10,"8-9,9 литров",IF(O142&lt;15,"10-14,9 литров",IF(O142&lt;20,"15-19,9 литров",IF(O142&lt;30,"20-29 литров",IF(O142&lt;50,"30-49 литров",IF(O142&lt;60,"50-59 литров",IF(O142&lt;70,"60-69 литров",IF(O142&lt;80,"70-79 литров",IF(O142&lt;90,"80-89 литров",IF(O142&lt;100,"90-99 литров",IF(O142&lt;200,"100-200 литров","200+ литров"))))))))))))))))))</f>
        <v/>
      </c>
      <c r="Q142" s="101">
        <f>IF(O142="","",IF(O142&lt;1,"&lt;1 л",IF(O142&lt;2,"1-2 л",IF(O142&lt;3,"2-3 л",IF(O142&lt;5,"3-5 л",IF(O142&lt;10,"5-10 л",IF(O142&lt;20,"10-20 л",IF(O142&lt;50,"20-50 л",IF(O142&lt;100,"50-100 л","100+ л")))))))))</f>
        <v/>
      </c>
      <c r="R142" s="162">
        <f>IF(E142="","",--LEFT(E142,FIND("х",E142)-1))</f>
        <v/>
      </c>
      <c r="S142" s="162">
        <f>IF(E142="","",--MID(E142,FIND("х",E142)+1,FIND("х",E142,FIND("х",E142)+1)-FIND("х",E142)-1))</f>
        <v/>
      </c>
      <c r="T142" s="162">
        <f>IF(E142="","",--RIGHT(E142,LEN(E142)-FIND("х",E142,FIND("х",E142)+1)))</f>
        <v/>
      </c>
      <c r="U142" s="66">
        <f>(2*(R142+S142)+60)*(S142+T142+8)/1000000</f>
        <v/>
      </c>
      <c r="V142" s="66">
        <f>IF(OR(AND(R142&gt;=2*S142,R142&gt;=2*T142),AND(S142&gt;=2*R142,S142&gt;=2*T142),AND(T142&gt;=2*R142,T142&gt;=2*S142)),"Длинные","")</f>
        <v/>
      </c>
      <c r="W142" s="66">
        <f>IF(OR(AND(R142&lt;=S142/2,R142&lt;=T142/2),AND(S142&lt;=R142/2,S142&lt;=T142/2),AND(T142&lt;=R142/2,T142&lt;=S142/2)),"Плоские","")</f>
        <v/>
      </c>
      <c r="X142" s="160">
        <f>IF(LARGE($R142:$T142,1)="","",IF(LARGE($R142:$T142,1)&lt;=99,"10-99 мм",IF(LARGE($R142:$T142,1)&lt;=199,"100-199 мм",IF(LARGE($R142:$T142,1)&lt;=299,"200-299 мм",IF(LARGE($R142:$T142,1)&lt;=399,"300-399 мм",IF(LARGE($R142:$T142,1)&lt;=499,"400-499 мм",IF(LARGE($R142:$T142,1)&lt;=599,"500-599 мм",IF(LARGE($R142:$T142,1)&lt;=699,"600-699 мм",IF(LARGE($R142:$T142,1)&lt;=999,"700-999 мм","1000+ мм")))))))))</f>
        <v/>
      </c>
      <c r="Y142" s="160">
        <f>IF(LARGE($R142:$T142,2)="","",IF(LARGE($R142:$T142,2)&lt;=99,"10-99 мм",IF(LARGE($R142:$T142,2)&lt;=199,"100-199 мм",IF(LARGE($R142:$T142,2)&lt;=299,"200-299 мм",IF(LARGE($R142:$T142,2)&lt;=399,"300-399 мм",IF(LARGE($R142:$T142,2)&lt;=499,"400-499 мм",IF(LARGE($R142:$T142,2)&lt;=599,"500-599 мм",IF(LARGE($R142:$T142,2)&lt;=699,"600-699 мм",IF(LARGE($R142:$T142,2)&lt;=999,"700-999 мм","1000+ мм")))))))))</f>
        <v/>
      </c>
      <c r="Z142" s="160">
        <f>IF(SMALL($R142:$T142,1)="","",IF(SMALL($R142:$T142,1)&lt;=99,"10-99 мм",IF(SMALL($R142:$T142,1)&lt;=199,"100-199 мм",IF(SMALL($R142:$T142,1)&lt;=299,"200-299 мм",IF(SMALL($R142:$T142,1)&lt;=399,"300-399 мм",IF(SMALL($R142:$T142,1)&lt;=499,"400-499 мм",IF(SMALL($R142:$T142,1)&lt;=599,"500-599 мм",IF(SMALL($R142:$T142,1)&lt;=699,"600-699 мм",IF(SMALL($R142:$T142,1)&lt;=999,"700-999 мм","1000+ мм")))))))))</f>
        <v/>
      </c>
      <c r="AA142" s="101">
        <f>IF(G142="","",IF(G142="Л","Лист гофрокартона",IF(G142="КД","Крышка-дно",IF(G142="С","Самосборные",IF(G142="Ч","Четырехклапанные",IF(G142="А","Архивные","Неизвестно"))))))</f>
        <v/>
      </c>
      <c r="AB142" s="66" t="n">
        <v>1.73</v>
      </c>
      <c r="AC142" s="101">
        <f>IF(O142="","",IF(O142&lt;=1,"0-1 литров",IF(O142&lt;=3,"2-3 литра",IF(O142&lt;=5,"4-5 литра",IF(O142&lt;=7,"6-7 литра",IF(O142&lt;=9,"8-9 литров",IF(O142&lt;=14,"10-14 литров",IF(O142&lt;=19,"15-19 литров",IF(O142&lt;=29,"20-29 литров",IF(O142&lt;=49,"30-49 литров",IF(O142&lt;=59,"50-59 литров",IF(O142&lt;=70,"60-69 литров",IF(O142&lt;=79,"70-79 литров",IF(O142&lt;=89,"80-89 литров",IF(O142&lt;=99,"90-99 литров",IF(O142&lt;=200,"100-200 литров","200+ литров"))))))))))))))))</f>
        <v/>
      </c>
    </row>
    <row r="143">
      <c r="A143" s="64" t="n">
        <v>1.14</v>
      </c>
      <c r="B143" s="65">
        <f>A143*1.2</f>
        <v/>
      </c>
      <c r="C143" s="109" t="n">
        <v>143</v>
      </c>
      <c r="D143" s="116" t="inlineStr">
        <is>
          <t>У</t>
        </is>
      </c>
      <c r="E143" s="88" t="inlineStr">
        <is>
          <t>380х285х190</t>
        </is>
      </c>
      <c r="G143" s="83" t="inlineStr">
        <is>
          <t>Ч</t>
        </is>
      </c>
      <c r="H143" s="146" t="inlineStr">
        <is>
          <t>х</t>
        </is>
      </c>
      <c r="I143" s="83" t="inlineStr">
        <is>
          <t>В</t>
        </is>
      </c>
      <c r="J143" s="83" t="inlineStr">
        <is>
          <t>х</t>
        </is>
      </c>
      <c r="K143" s="116" t="inlineStr">
        <is>
          <t>K144</t>
        </is>
      </c>
      <c r="N143" s="239">
        <f>IF(D143="","",IF(LEFT(D143,1)="0",0,1))</f>
        <v/>
      </c>
      <c r="O143" s="80">
        <f>ROUND(R143*S143*T143/1000000,2)</f>
        <v/>
      </c>
      <c r="P143" s="160">
        <f>IF(O143="","",
IF(O143&lt;1,"0,1-0,9 литров",
IF(O143&lt;2,"1-1,9 литра",
IF(O143&lt;3,"2-2,9 литра",
IF(O143&lt;4,"3-3,9 литра",
IF(O143&lt;6,"4-5,9 литра",IF(O143&lt;8,"6-7,9 литра",IF(O143&lt;10,"8-9,9 литров",IF(O143&lt;15,"10-14,9 литров",IF(O143&lt;20,"15-19,9 литров",IF(O143&lt;30,"20-29 литров",IF(O143&lt;50,"30-49 литров",IF(O143&lt;60,"50-59 литров",IF(O143&lt;70,"60-69 литров",IF(O143&lt;80,"70-79 литров",IF(O143&lt;90,"80-89 литров",IF(O143&lt;100,"90-99 литров",IF(O143&lt;200,"100-200 литров","200+ литров"))))))))))))))))))</f>
        <v/>
      </c>
      <c r="Q143" s="101">
        <f>IF(O143="","",IF(O143&lt;1,"&lt;1 л",IF(O143&lt;2,"1-2 л",IF(O143&lt;3,"2-3 л",IF(O143&lt;5,"3-5 л",IF(O143&lt;10,"5-10 л",IF(O143&lt;20,"10-20 л",IF(O143&lt;50,"20-50 л",IF(O143&lt;100,"50-100 л","100+ л")))))))))</f>
        <v/>
      </c>
      <c r="R143" s="162">
        <f>IF(E143="","",--LEFT(E143,FIND("х",E143)-1))</f>
        <v/>
      </c>
      <c r="S143" s="162">
        <f>IF(E143="","",--MID(E143,FIND("х",E143)+1,FIND("х",E143,FIND("х",E143)+1)-FIND("х",E143)-1))</f>
        <v/>
      </c>
      <c r="T143" s="162">
        <f>IF(E143="","",--RIGHT(E143,LEN(E143)-FIND("х",E143,FIND("х",E143)+1)))</f>
        <v/>
      </c>
      <c r="U143" s="66">
        <f>(2*(R143+S143)+60)*(S143+T143+8)/1000000</f>
        <v/>
      </c>
      <c r="V143" s="66">
        <f>IF(OR(AND(R143&gt;=2*S143,R143&gt;=2*T143),AND(S143&gt;=2*R143,S143&gt;=2*T143),AND(T143&gt;=2*R143,T143&gt;=2*S143)),"Длинные","")</f>
        <v/>
      </c>
      <c r="W143" s="66">
        <f>IF(OR(AND(R143&lt;=S143/2,R143&lt;=T143/2),AND(S143&lt;=R143/2,S143&lt;=T143/2),AND(T143&lt;=R143/2,T143&lt;=S143/2)),"Плоские","")</f>
        <v/>
      </c>
      <c r="X143" s="160">
        <f>IF(LARGE($R143:$T143,1)="","",IF(LARGE($R143:$T143,1)&lt;=99,"10-99 мм",IF(LARGE($R143:$T143,1)&lt;=199,"100-199 мм",IF(LARGE($R143:$T143,1)&lt;=299,"200-299 мм",IF(LARGE($R143:$T143,1)&lt;=399,"300-399 мм",IF(LARGE($R143:$T143,1)&lt;=499,"400-499 мм",IF(LARGE($R143:$T143,1)&lt;=599,"500-599 мм",IF(LARGE($R143:$T143,1)&lt;=699,"600-699 мм",IF(LARGE($R143:$T143,1)&lt;=999,"700-999 мм","1000+ мм")))))))))</f>
        <v/>
      </c>
      <c r="Y143" s="160">
        <f>IF(LARGE($R143:$T143,2)="","",IF(LARGE($R143:$T143,2)&lt;=99,"10-99 мм",IF(LARGE($R143:$T143,2)&lt;=199,"100-199 мм",IF(LARGE($R143:$T143,2)&lt;=299,"200-299 мм",IF(LARGE($R143:$T143,2)&lt;=399,"300-399 мм",IF(LARGE($R143:$T143,2)&lt;=499,"400-499 мм",IF(LARGE($R143:$T143,2)&lt;=599,"500-599 мм",IF(LARGE($R143:$T143,2)&lt;=699,"600-699 мм",IF(LARGE($R143:$T143,2)&lt;=999,"700-999 мм","1000+ мм")))))))))</f>
        <v/>
      </c>
      <c r="Z143" s="160">
        <f>IF(SMALL($R143:$T143,1)="","",IF(SMALL($R143:$T143,1)&lt;=99,"10-99 мм",IF(SMALL($R143:$T143,1)&lt;=199,"100-199 мм",IF(SMALL($R143:$T143,1)&lt;=299,"200-299 мм",IF(SMALL($R143:$T143,1)&lt;=399,"300-399 мм",IF(SMALL($R143:$T143,1)&lt;=499,"400-499 мм",IF(SMALL($R143:$T143,1)&lt;=599,"500-599 мм",IF(SMALL($R143:$T143,1)&lt;=699,"600-699 мм",IF(SMALL($R143:$T143,1)&lt;=999,"700-999 мм","1000+ мм")))))))))</f>
        <v/>
      </c>
      <c r="AA143" s="101">
        <f>IF(G143="","",IF(G143="Л","Лист гофрокартона",IF(G143="КД","Крышка-дно",IF(G143="С","Самосборные",IF(G143="Ч","Четырехклапанные",IF(G143="А","Архивные","Неизвестно"))))))</f>
        <v/>
      </c>
      <c r="AB143" s="66" t="n">
        <v>1.73</v>
      </c>
      <c r="AC143" s="101">
        <f>IF(O143="","",IF(O143&lt;=1,"0-1 литров",IF(O143&lt;=3,"2-3 литра",IF(O143&lt;=5,"4-5 литра",IF(O143&lt;=7,"6-7 литра",IF(O143&lt;=9,"8-9 литров",IF(O143&lt;=14,"10-14 литров",IF(O143&lt;=19,"15-19 литров",IF(O143&lt;=29,"20-29 литров",IF(O143&lt;=49,"30-49 литров",IF(O143&lt;=59,"50-59 литров",IF(O143&lt;=70,"60-69 литров",IF(O143&lt;=79,"70-79 литров",IF(O143&lt;=89,"80-89 литров",IF(O143&lt;=99,"90-99 литров",IF(O143&lt;=200,"100-200 литров","200+ литров"))))))))))))))))</f>
        <v/>
      </c>
    </row>
    <row r="144">
      <c r="A144" s="64" t="n">
        <v>1.34</v>
      </c>
      <c r="B144" s="65">
        <f>A144*1.2</f>
        <v/>
      </c>
      <c r="C144" s="109" t="n">
        <v>144</v>
      </c>
      <c r="D144" s="116" t="inlineStr">
        <is>
          <t>У</t>
        </is>
      </c>
      <c r="E144" s="88" t="inlineStr">
        <is>
          <t>540х325х110</t>
        </is>
      </c>
      <c r="G144" s="83" t="inlineStr">
        <is>
          <t>Ч</t>
        </is>
      </c>
      <c r="H144" s="146" t="inlineStr">
        <is>
          <t>х</t>
        </is>
      </c>
      <c r="I144" s="83" t="inlineStr">
        <is>
          <t>В</t>
        </is>
      </c>
      <c r="J144" s="83" t="inlineStr">
        <is>
          <t>х</t>
        </is>
      </c>
      <c r="K144" s="116" t="inlineStr">
        <is>
          <t>K145</t>
        </is>
      </c>
      <c r="N144" s="239">
        <f>IF(D144="","",IF(LEFT(D144,1)="0",0,1))</f>
        <v/>
      </c>
      <c r="O144" s="80">
        <f>ROUND(R144*S144*T144/1000000,2)</f>
        <v/>
      </c>
      <c r="P144" s="160">
        <f>IF(O144="","",
IF(O144&lt;1,"0,1-0,9 литров",
IF(O144&lt;2,"1-1,9 литра",
IF(O144&lt;3,"2-2,9 литра",
IF(O144&lt;4,"3-3,9 литра",
IF(O144&lt;6,"4-5,9 литра",IF(O144&lt;8,"6-7,9 литра",IF(O144&lt;10,"8-9,9 литров",IF(O144&lt;15,"10-14,9 литров",IF(O144&lt;20,"15-19,9 литров",IF(O144&lt;30,"20-29 литров",IF(O144&lt;50,"30-49 литров",IF(O144&lt;60,"50-59 литров",IF(O144&lt;70,"60-69 литров",IF(O144&lt;80,"70-79 литров",IF(O144&lt;90,"80-89 литров",IF(O144&lt;100,"90-99 литров",IF(O144&lt;200,"100-200 литров","200+ литров"))))))))))))))))))</f>
        <v/>
      </c>
      <c r="Q144" s="101">
        <f>IF(O144="","",IF(O144&lt;1,"&lt;1 л",IF(O144&lt;2,"1-2 л",IF(O144&lt;3,"2-3 л",IF(O144&lt;5,"3-5 л",IF(O144&lt;10,"5-10 л",IF(O144&lt;20,"10-20 л",IF(O144&lt;50,"20-50 л",IF(O144&lt;100,"50-100 л","100+ л")))))))))</f>
        <v/>
      </c>
      <c r="R144" s="162">
        <f>IF(E144="","",--LEFT(E144,FIND("х",E144)-1))</f>
        <v/>
      </c>
      <c r="S144" s="162">
        <f>IF(E144="","",--MID(E144,FIND("х",E144)+1,FIND("х",E144,FIND("х",E144)+1)-FIND("х",E144)-1))</f>
        <v/>
      </c>
      <c r="T144" s="162">
        <f>IF(E144="","",--RIGHT(E144,LEN(E144)-FIND("х",E144,FIND("х",E144)+1)))</f>
        <v/>
      </c>
      <c r="U144" s="66">
        <f>(2*(R144+S144)+60)*(S144+T144+8)/1000000</f>
        <v/>
      </c>
      <c r="V144" s="66">
        <f>IF(OR(AND(R144&gt;=2*S144,R144&gt;=2*T144),AND(S144&gt;=2*R144,S144&gt;=2*T144),AND(T144&gt;=2*R144,T144&gt;=2*S144)),"Длинные","")</f>
        <v/>
      </c>
      <c r="W144" s="66">
        <f>IF(OR(AND(R144&lt;=S144/2,R144&lt;=T144/2),AND(S144&lt;=R144/2,S144&lt;=T144/2),AND(T144&lt;=R144/2,T144&lt;=S144/2)),"Плоские","")</f>
        <v/>
      </c>
      <c r="X144" s="160">
        <f>IF(LARGE($R144:$T144,1)="","",IF(LARGE($R144:$T144,1)&lt;=99,"10-99 мм",IF(LARGE($R144:$T144,1)&lt;=199,"100-199 мм",IF(LARGE($R144:$T144,1)&lt;=299,"200-299 мм",IF(LARGE($R144:$T144,1)&lt;=399,"300-399 мм",IF(LARGE($R144:$T144,1)&lt;=499,"400-499 мм",IF(LARGE($R144:$T144,1)&lt;=599,"500-599 мм",IF(LARGE($R144:$T144,1)&lt;=699,"600-699 мм",IF(LARGE($R144:$T144,1)&lt;=999,"700-999 мм","1000+ мм")))))))))</f>
        <v/>
      </c>
      <c r="Y144" s="160">
        <f>IF(LARGE($R144:$T144,2)="","",IF(LARGE($R144:$T144,2)&lt;=99,"10-99 мм",IF(LARGE($R144:$T144,2)&lt;=199,"100-199 мм",IF(LARGE($R144:$T144,2)&lt;=299,"200-299 мм",IF(LARGE($R144:$T144,2)&lt;=399,"300-399 мм",IF(LARGE($R144:$T144,2)&lt;=499,"400-499 мм",IF(LARGE($R144:$T144,2)&lt;=599,"500-599 мм",IF(LARGE($R144:$T144,2)&lt;=699,"600-699 мм",IF(LARGE($R144:$T144,2)&lt;=999,"700-999 мм","1000+ мм")))))))))</f>
        <v/>
      </c>
      <c r="Z144" s="160">
        <f>IF(SMALL($R144:$T144,1)="","",IF(SMALL($R144:$T144,1)&lt;=99,"10-99 мм",IF(SMALL($R144:$T144,1)&lt;=199,"100-199 мм",IF(SMALL($R144:$T144,1)&lt;=299,"200-299 мм",IF(SMALL($R144:$T144,1)&lt;=399,"300-399 мм",IF(SMALL($R144:$T144,1)&lt;=499,"400-499 мм",IF(SMALL($R144:$T144,1)&lt;=599,"500-599 мм",IF(SMALL($R144:$T144,1)&lt;=699,"600-699 мм",IF(SMALL($R144:$T144,1)&lt;=999,"700-999 мм","1000+ мм")))))))))</f>
        <v/>
      </c>
      <c r="AA144" s="101">
        <f>IF(G144="","",IF(G144="Л","Лист гофрокартона",IF(G144="КД","Крышка-дно",IF(G144="С","Самосборные",IF(G144="Ч","Четырехклапанные",IF(G144="А","Архивные","Неизвестно"))))))</f>
        <v/>
      </c>
      <c r="AB144" s="66" t="n">
        <v>1.73</v>
      </c>
      <c r="AC144" s="101">
        <f>IF(O144="","",IF(O144&lt;=1,"0-1 литров",IF(O144&lt;=3,"2-3 литра",IF(O144&lt;=5,"4-5 литра",IF(O144&lt;=7,"6-7 литра",IF(O144&lt;=9,"8-9 литров",IF(O144&lt;=14,"10-14 литров",IF(O144&lt;=19,"15-19 литров",IF(O144&lt;=29,"20-29 литров",IF(O144&lt;=49,"30-49 литров",IF(O144&lt;=59,"50-59 литров",IF(O144&lt;=70,"60-69 литров",IF(O144&lt;=79,"70-79 литров",IF(O144&lt;=89,"80-89 литров",IF(O144&lt;=99,"90-99 литров",IF(O144&lt;=200,"100-200 литров","200+ литров"))))))))))))))))</f>
        <v/>
      </c>
    </row>
    <row r="145">
      <c r="A145" s="64" t="n">
        <v>1.15</v>
      </c>
      <c r="B145" s="65">
        <f>A145*1.2</f>
        <v/>
      </c>
      <c r="C145" s="109" t="n">
        <v>145</v>
      </c>
      <c r="D145" s="116" t="inlineStr">
        <is>
          <t>У</t>
        </is>
      </c>
      <c r="E145" s="88" t="inlineStr">
        <is>
          <t>260х230х420</t>
        </is>
      </c>
      <c r="G145" s="83" t="inlineStr">
        <is>
          <t>Ч</t>
        </is>
      </c>
      <c r="H145" s="146" t="inlineStr">
        <is>
          <t>х</t>
        </is>
      </c>
      <c r="I145" s="83" t="inlineStr">
        <is>
          <t>В</t>
        </is>
      </c>
      <c r="J145" s="83" t="inlineStr">
        <is>
          <t>х</t>
        </is>
      </c>
      <c r="K145" s="116" t="inlineStr">
        <is>
          <t>K146</t>
        </is>
      </c>
      <c r="N145" s="239">
        <f>IF(D145="","",IF(LEFT(D145,1)="0",0,1))</f>
        <v/>
      </c>
      <c r="O145" s="80">
        <f>ROUND(R145*S145*T145/1000000,2)</f>
        <v/>
      </c>
      <c r="P145" s="160">
        <f>IF(O145="","",
IF(O145&lt;1,"0,1-0,9 литров",
IF(O145&lt;2,"1-1,9 литра",
IF(O145&lt;3,"2-2,9 литра",
IF(O145&lt;4,"3-3,9 литра",
IF(O145&lt;6,"4-5,9 литра",IF(O145&lt;8,"6-7,9 литра",IF(O145&lt;10,"8-9,9 литров",IF(O145&lt;15,"10-14,9 литров",IF(O145&lt;20,"15-19,9 литров",IF(O145&lt;30,"20-29 литров",IF(O145&lt;50,"30-49 литров",IF(O145&lt;60,"50-59 литров",IF(O145&lt;70,"60-69 литров",IF(O145&lt;80,"70-79 литров",IF(O145&lt;90,"80-89 литров",IF(O145&lt;100,"90-99 литров",IF(O145&lt;200,"100-200 литров","200+ литров"))))))))))))))))))</f>
        <v/>
      </c>
      <c r="Q145" s="101">
        <f>IF(O145="","",IF(O145&lt;1,"&lt;1 л",IF(O145&lt;2,"1-2 л",IF(O145&lt;3,"2-3 л",IF(O145&lt;5,"3-5 л",IF(O145&lt;10,"5-10 л",IF(O145&lt;20,"10-20 л",IF(O145&lt;50,"20-50 л",IF(O145&lt;100,"50-100 л","100+ л")))))))))</f>
        <v/>
      </c>
      <c r="R145" s="162">
        <f>IF(E145="","",--LEFT(E145,FIND("х",E145)-1))</f>
        <v/>
      </c>
      <c r="S145" s="162">
        <f>IF(E145="","",--MID(E145,FIND("х",E145)+1,FIND("х",E145,FIND("х",E145)+1)-FIND("х",E145)-1))</f>
        <v/>
      </c>
      <c r="T145" s="162">
        <f>IF(E145="","",--RIGHT(E145,LEN(E145)-FIND("х",E145,FIND("х",E145)+1)))</f>
        <v/>
      </c>
      <c r="U145" s="66">
        <f>(2*(R145+S145)+60)*(S145+T145+8)/1000000</f>
        <v/>
      </c>
      <c r="V145" s="66">
        <f>IF(OR(AND(R145&gt;=2*S145,R145&gt;=2*T145),AND(S145&gt;=2*R145,S145&gt;=2*T145),AND(T145&gt;=2*R145,T145&gt;=2*S145)),"Длинные","")</f>
        <v/>
      </c>
      <c r="W145" s="66">
        <f>IF(OR(AND(R145&lt;=S145/2,R145&lt;=T145/2),AND(S145&lt;=R145/2,S145&lt;=T145/2),AND(T145&lt;=R145/2,T145&lt;=S145/2)),"Плоские","")</f>
        <v/>
      </c>
      <c r="X145" s="160">
        <f>IF(LARGE($R145:$T145,1)="","",IF(LARGE($R145:$T145,1)&lt;=99,"10-99 мм",IF(LARGE($R145:$T145,1)&lt;=199,"100-199 мм",IF(LARGE($R145:$T145,1)&lt;=299,"200-299 мм",IF(LARGE($R145:$T145,1)&lt;=399,"300-399 мм",IF(LARGE($R145:$T145,1)&lt;=499,"400-499 мм",IF(LARGE($R145:$T145,1)&lt;=599,"500-599 мм",IF(LARGE($R145:$T145,1)&lt;=699,"600-699 мм",IF(LARGE($R145:$T145,1)&lt;=999,"700-999 мм","1000+ мм")))))))))</f>
        <v/>
      </c>
      <c r="Y145" s="160">
        <f>IF(LARGE($R145:$T145,2)="","",IF(LARGE($R145:$T145,2)&lt;=99,"10-99 мм",IF(LARGE($R145:$T145,2)&lt;=199,"100-199 мм",IF(LARGE($R145:$T145,2)&lt;=299,"200-299 мм",IF(LARGE($R145:$T145,2)&lt;=399,"300-399 мм",IF(LARGE($R145:$T145,2)&lt;=499,"400-499 мм",IF(LARGE($R145:$T145,2)&lt;=599,"500-599 мм",IF(LARGE($R145:$T145,2)&lt;=699,"600-699 мм",IF(LARGE($R145:$T145,2)&lt;=999,"700-999 мм","1000+ мм")))))))))</f>
        <v/>
      </c>
      <c r="Z145" s="160">
        <f>IF(SMALL($R145:$T145,1)="","",IF(SMALL($R145:$T145,1)&lt;=99,"10-99 мм",IF(SMALL($R145:$T145,1)&lt;=199,"100-199 мм",IF(SMALL($R145:$T145,1)&lt;=299,"200-299 мм",IF(SMALL($R145:$T145,1)&lt;=399,"300-399 мм",IF(SMALL($R145:$T145,1)&lt;=499,"400-499 мм",IF(SMALL($R145:$T145,1)&lt;=599,"500-599 мм",IF(SMALL($R145:$T145,1)&lt;=699,"600-699 мм",IF(SMALL($R145:$T145,1)&lt;=999,"700-999 мм","1000+ мм")))))))))</f>
        <v/>
      </c>
      <c r="AA145" s="101">
        <f>IF(G145="","",IF(G145="Л","Лист гофрокартона",IF(G145="КД","Крышка-дно",IF(G145="С","Самосборные",IF(G145="Ч","Четырехклапанные",IF(G145="А","Архивные","Неизвестно"))))))</f>
        <v/>
      </c>
      <c r="AB145" s="66" t="n">
        <v>1.73</v>
      </c>
      <c r="AC145" s="101">
        <f>IF(O145="","",IF(O145&lt;=1,"0-1 литров",IF(O145&lt;=3,"2-3 литра",IF(O145&lt;=5,"4-5 литра",IF(O145&lt;=7,"6-7 литра",IF(O145&lt;=9,"8-9 литров",IF(O145&lt;=14,"10-14 литров",IF(O145&lt;=19,"15-19 литров",IF(O145&lt;=29,"20-29 литров",IF(O145&lt;=49,"30-49 литров",IF(O145&lt;=59,"50-59 литров",IF(O145&lt;=70,"60-69 литров",IF(O145&lt;=79,"70-79 литров",IF(O145&lt;=89,"80-89 литров",IF(O145&lt;=99,"90-99 литров",IF(O145&lt;=200,"100-200 литров","200+ литров"))))))))))))))))</f>
        <v/>
      </c>
    </row>
    <row r="146">
      <c r="A146" s="64" t="n">
        <v>0.59</v>
      </c>
      <c r="B146" s="65">
        <f>A146*1.2</f>
        <v/>
      </c>
      <c r="C146" s="109" t="n">
        <v>146</v>
      </c>
      <c r="D146" s="116" t="inlineStr">
        <is>
          <t>У</t>
        </is>
      </c>
      <c r="E146" s="88" t="inlineStr">
        <is>
          <t>200х150х305</t>
        </is>
      </c>
      <c r="G146" s="83" t="inlineStr">
        <is>
          <t>Ч</t>
        </is>
      </c>
      <c r="H146" s="146" t="inlineStr">
        <is>
          <t>х</t>
        </is>
      </c>
      <c r="I146" s="83" t="inlineStr">
        <is>
          <t>В</t>
        </is>
      </c>
      <c r="J146" s="83" t="inlineStr">
        <is>
          <t>х</t>
        </is>
      </c>
      <c r="K146" s="116" t="inlineStr">
        <is>
          <t>K147</t>
        </is>
      </c>
      <c r="N146" s="239">
        <f>IF(D146="","",IF(LEFT(D146,1)="0",0,1))</f>
        <v/>
      </c>
      <c r="O146" s="80">
        <f>ROUND(R146*S146*T146/1000000,2)</f>
        <v/>
      </c>
      <c r="P146" s="160">
        <f>IF(O146="","",
IF(O146&lt;1,"0,1-0,9 литров",
IF(O146&lt;2,"1-1,9 литра",
IF(O146&lt;3,"2-2,9 литра",
IF(O146&lt;4,"3-3,9 литра",
IF(O146&lt;6,"4-5,9 литра",IF(O146&lt;8,"6-7,9 литра",IF(O146&lt;10,"8-9,9 литров",IF(O146&lt;15,"10-14,9 литров",IF(O146&lt;20,"15-19,9 литров",IF(O146&lt;30,"20-29 литров",IF(O146&lt;50,"30-49 литров",IF(O146&lt;60,"50-59 литров",IF(O146&lt;70,"60-69 литров",IF(O146&lt;80,"70-79 литров",IF(O146&lt;90,"80-89 литров",IF(O146&lt;100,"90-99 литров",IF(O146&lt;200,"100-200 литров","200+ литров"))))))))))))))))))</f>
        <v/>
      </c>
      <c r="Q146" s="101">
        <f>IF(O146="","",IF(O146&lt;1,"&lt;1 л",IF(O146&lt;2,"1-2 л",IF(O146&lt;3,"2-3 л",IF(O146&lt;5,"3-5 л",IF(O146&lt;10,"5-10 л",IF(O146&lt;20,"10-20 л",IF(O146&lt;50,"20-50 л",IF(O146&lt;100,"50-100 л","100+ л")))))))))</f>
        <v/>
      </c>
      <c r="R146" s="162">
        <f>IF(E146="","",--LEFT(E146,FIND("х",E146)-1))</f>
        <v/>
      </c>
      <c r="S146" s="162">
        <f>IF(E146="","",--MID(E146,FIND("х",E146)+1,FIND("х",E146,FIND("х",E146)+1)-FIND("х",E146)-1))</f>
        <v/>
      </c>
      <c r="T146" s="162">
        <f>IF(E146="","",--RIGHT(E146,LEN(E146)-FIND("х",E146,FIND("х",E146)+1)))</f>
        <v/>
      </c>
      <c r="U146" s="66">
        <f>(2*(R146+S146)+60)*(S146+T146+8)/1000000</f>
        <v/>
      </c>
      <c r="V146" s="66">
        <f>IF(OR(AND(R146&gt;=2*S146,R146&gt;=2*T146),AND(S146&gt;=2*R146,S146&gt;=2*T146),AND(T146&gt;=2*R146,T146&gt;=2*S146)),"Длинные","")</f>
        <v/>
      </c>
      <c r="W146" s="66">
        <f>IF(OR(AND(R146&lt;=S146/2,R146&lt;=T146/2),AND(S146&lt;=R146/2,S146&lt;=T146/2),AND(T146&lt;=R146/2,T146&lt;=S146/2)),"Плоские","")</f>
        <v/>
      </c>
      <c r="X146" s="160">
        <f>IF(LARGE($R146:$T146,1)="","",IF(LARGE($R146:$T146,1)&lt;=99,"10-99 мм",IF(LARGE($R146:$T146,1)&lt;=199,"100-199 мм",IF(LARGE($R146:$T146,1)&lt;=299,"200-299 мм",IF(LARGE($R146:$T146,1)&lt;=399,"300-399 мм",IF(LARGE($R146:$T146,1)&lt;=499,"400-499 мм",IF(LARGE($R146:$T146,1)&lt;=599,"500-599 мм",IF(LARGE($R146:$T146,1)&lt;=699,"600-699 мм",IF(LARGE($R146:$T146,1)&lt;=999,"700-999 мм","1000+ мм")))))))))</f>
        <v/>
      </c>
      <c r="Y146" s="160">
        <f>IF(LARGE($R146:$T146,2)="","",IF(LARGE($R146:$T146,2)&lt;=99,"10-99 мм",IF(LARGE($R146:$T146,2)&lt;=199,"100-199 мм",IF(LARGE($R146:$T146,2)&lt;=299,"200-299 мм",IF(LARGE($R146:$T146,2)&lt;=399,"300-399 мм",IF(LARGE($R146:$T146,2)&lt;=499,"400-499 мм",IF(LARGE($R146:$T146,2)&lt;=599,"500-599 мм",IF(LARGE($R146:$T146,2)&lt;=699,"600-699 мм",IF(LARGE($R146:$T146,2)&lt;=999,"700-999 мм","1000+ мм")))))))))</f>
        <v/>
      </c>
      <c r="Z146" s="160">
        <f>IF(SMALL($R146:$T146,1)="","",IF(SMALL($R146:$T146,1)&lt;=99,"10-99 мм",IF(SMALL($R146:$T146,1)&lt;=199,"100-199 мм",IF(SMALL($R146:$T146,1)&lt;=299,"200-299 мм",IF(SMALL($R146:$T146,1)&lt;=399,"300-399 мм",IF(SMALL($R146:$T146,1)&lt;=499,"400-499 мм",IF(SMALL($R146:$T146,1)&lt;=599,"500-599 мм",IF(SMALL($R146:$T146,1)&lt;=699,"600-699 мм",IF(SMALL($R146:$T146,1)&lt;=999,"700-999 мм","1000+ мм")))))))))</f>
        <v/>
      </c>
      <c r="AA146" s="101">
        <f>IF(G146="","",IF(G146="Л","Лист гофрокартона",IF(G146="КД","Крышка-дно",IF(G146="С","Самосборные",IF(G146="Ч","Четырехклапанные",IF(G146="А","Архивные","Неизвестно"))))))</f>
        <v/>
      </c>
      <c r="AB146" s="66" t="n">
        <v>1.73</v>
      </c>
      <c r="AC146" s="101">
        <f>IF(O146="","",IF(O146&lt;=1,"0-1 литров",IF(O146&lt;=3,"2-3 литра",IF(O146&lt;=5,"4-5 литра",IF(O146&lt;=7,"6-7 литра",IF(O146&lt;=9,"8-9 литров",IF(O146&lt;=14,"10-14 литров",IF(O146&lt;=19,"15-19 литров",IF(O146&lt;=29,"20-29 литров",IF(O146&lt;=49,"30-49 литров",IF(O146&lt;=59,"50-59 литров",IF(O146&lt;=70,"60-69 литров",IF(O146&lt;=79,"70-79 литров",IF(O146&lt;=89,"80-89 литров",IF(O146&lt;=99,"90-99 литров",IF(O146&lt;=200,"100-200 литров","200+ литров"))))))))))))))))</f>
        <v/>
      </c>
    </row>
    <row r="147">
      <c r="A147" s="64" t="n">
        <v>0.6</v>
      </c>
      <c r="B147" s="65">
        <f>A147*1.2</f>
        <v/>
      </c>
      <c r="C147" s="109" t="n">
        <v>147</v>
      </c>
      <c r="D147" s="116" t="inlineStr">
        <is>
          <t>У</t>
        </is>
      </c>
      <c r="E147" s="88" t="inlineStr">
        <is>
          <t>380х130х192</t>
        </is>
      </c>
      <c r="G147" s="83" t="inlineStr">
        <is>
          <t>Ч</t>
        </is>
      </c>
      <c r="H147" s="146" t="inlineStr">
        <is>
          <t>х</t>
        </is>
      </c>
      <c r="I147" s="83" t="inlineStr">
        <is>
          <t>В</t>
        </is>
      </c>
      <c r="J147" s="83" t="inlineStr">
        <is>
          <t>х</t>
        </is>
      </c>
      <c r="K147" s="116" t="inlineStr">
        <is>
          <t>K148</t>
        </is>
      </c>
      <c r="N147" s="239">
        <f>IF(D147="","",IF(LEFT(D147,1)="0",0,1))</f>
        <v/>
      </c>
      <c r="O147" s="80">
        <f>ROUND(R147*S147*T147/1000000,2)</f>
        <v/>
      </c>
      <c r="P147" s="160">
        <f>IF(O147="","",
IF(O147&lt;1,"0,1-0,9 литров",
IF(O147&lt;2,"1-1,9 литра",
IF(O147&lt;3,"2-2,9 литра",
IF(O147&lt;4,"3-3,9 литра",
IF(O147&lt;6,"4-5,9 литра",IF(O147&lt;8,"6-7,9 литра",IF(O147&lt;10,"8-9,9 литров",IF(O147&lt;15,"10-14,9 литров",IF(O147&lt;20,"15-19,9 литров",IF(O147&lt;30,"20-29 литров",IF(O147&lt;50,"30-49 литров",IF(O147&lt;60,"50-59 литров",IF(O147&lt;70,"60-69 литров",IF(O147&lt;80,"70-79 литров",IF(O147&lt;90,"80-89 литров",IF(O147&lt;100,"90-99 литров",IF(O147&lt;200,"100-200 литров","200+ литров"))))))))))))))))))</f>
        <v/>
      </c>
      <c r="Q147" s="101">
        <f>IF(O147="","",IF(O147&lt;1,"&lt;1 л",IF(O147&lt;2,"1-2 л",IF(O147&lt;3,"2-3 л",IF(O147&lt;5,"3-5 л",IF(O147&lt;10,"5-10 л",IF(O147&lt;20,"10-20 л",IF(O147&lt;50,"20-50 л",IF(O147&lt;100,"50-100 л","100+ л")))))))))</f>
        <v/>
      </c>
      <c r="R147" s="162">
        <f>IF(E147="","",--LEFT(E147,FIND("х",E147)-1))</f>
        <v/>
      </c>
      <c r="S147" s="162">
        <f>IF(E147="","",--MID(E147,FIND("х",E147)+1,FIND("х",E147,FIND("х",E147)+1)-FIND("х",E147)-1))</f>
        <v/>
      </c>
      <c r="T147" s="162">
        <f>IF(E147="","",--RIGHT(E147,LEN(E147)-FIND("х",E147,FIND("х",E147)+1)))</f>
        <v/>
      </c>
      <c r="U147" s="66">
        <f>(2*(R147+S147)+60)*(S147+T147+8)/1000000</f>
        <v/>
      </c>
      <c r="V147" s="66">
        <f>IF(OR(AND(R147&gt;=2*S147,R147&gt;=2*T147),AND(S147&gt;=2*R147,S147&gt;=2*T147),AND(T147&gt;=2*R147,T147&gt;=2*S147)),"Длинные","")</f>
        <v/>
      </c>
      <c r="W147" s="66">
        <f>IF(OR(AND(R147&lt;=S147/2,R147&lt;=T147/2),AND(S147&lt;=R147/2,S147&lt;=T147/2),AND(T147&lt;=R147/2,T147&lt;=S147/2)),"Плоские","")</f>
        <v/>
      </c>
      <c r="X147" s="160">
        <f>IF(LARGE($R147:$T147,1)="","",IF(LARGE($R147:$T147,1)&lt;=99,"10-99 мм",IF(LARGE($R147:$T147,1)&lt;=199,"100-199 мм",IF(LARGE($R147:$T147,1)&lt;=299,"200-299 мм",IF(LARGE($R147:$T147,1)&lt;=399,"300-399 мм",IF(LARGE($R147:$T147,1)&lt;=499,"400-499 мм",IF(LARGE($R147:$T147,1)&lt;=599,"500-599 мм",IF(LARGE($R147:$T147,1)&lt;=699,"600-699 мм",IF(LARGE($R147:$T147,1)&lt;=999,"700-999 мм","1000+ мм")))))))))</f>
        <v/>
      </c>
      <c r="Y147" s="160">
        <f>IF(LARGE($R147:$T147,2)="","",IF(LARGE($R147:$T147,2)&lt;=99,"10-99 мм",IF(LARGE($R147:$T147,2)&lt;=199,"100-199 мм",IF(LARGE($R147:$T147,2)&lt;=299,"200-299 мм",IF(LARGE($R147:$T147,2)&lt;=399,"300-399 мм",IF(LARGE($R147:$T147,2)&lt;=499,"400-499 мм",IF(LARGE($R147:$T147,2)&lt;=599,"500-599 мм",IF(LARGE($R147:$T147,2)&lt;=699,"600-699 мм",IF(LARGE($R147:$T147,2)&lt;=999,"700-999 мм","1000+ мм")))))))))</f>
        <v/>
      </c>
      <c r="Z147" s="160">
        <f>IF(SMALL($R147:$T147,1)="","",IF(SMALL($R147:$T147,1)&lt;=99,"10-99 мм",IF(SMALL($R147:$T147,1)&lt;=199,"100-199 мм",IF(SMALL($R147:$T147,1)&lt;=299,"200-299 мм",IF(SMALL($R147:$T147,1)&lt;=399,"300-399 мм",IF(SMALL($R147:$T147,1)&lt;=499,"400-499 мм",IF(SMALL($R147:$T147,1)&lt;=599,"500-599 мм",IF(SMALL($R147:$T147,1)&lt;=699,"600-699 мм",IF(SMALL($R147:$T147,1)&lt;=999,"700-999 мм","1000+ мм")))))))))</f>
        <v/>
      </c>
      <c r="AA147" s="101">
        <f>IF(G147="","",IF(G147="Л","Лист гофрокартона",IF(G147="КД","Крышка-дно",IF(G147="С","Самосборные",IF(G147="Ч","Четырехклапанные",IF(G147="А","Архивные","Неизвестно"))))))</f>
        <v/>
      </c>
      <c r="AB147" s="66" t="n">
        <v>1.73</v>
      </c>
      <c r="AC147" s="101">
        <f>IF(O147="","",IF(O147&lt;=1,"0-1 литров",IF(O147&lt;=3,"2-3 литра",IF(O147&lt;=5,"4-5 литра",IF(O147&lt;=7,"6-7 литра",IF(O147&lt;=9,"8-9 литров",IF(O147&lt;=14,"10-14 литров",IF(O147&lt;=19,"15-19 литров",IF(O147&lt;=29,"20-29 литров",IF(O147&lt;=49,"30-49 литров",IF(O147&lt;=59,"50-59 литров",IF(O147&lt;=70,"60-69 литров",IF(O147&lt;=79,"70-79 литров",IF(O147&lt;=89,"80-89 литров",IF(O147&lt;=99,"90-99 литров",IF(O147&lt;=200,"100-200 литров","200+ литров"))))))))))))))))</f>
        <v/>
      </c>
    </row>
    <row r="148">
      <c r="A148" s="64" t="n">
        <v>1.02</v>
      </c>
      <c r="B148" s="65">
        <f>A148*1.2</f>
        <v/>
      </c>
      <c r="C148" s="109" t="n">
        <v>148</v>
      </c>
      <c r="D148" s="116" t="inlineStr">
        <is>
          <t>У</t>
        </is>
      </c>
      <c r="E148" s="88" t="inlineStr">
        <is>
          <t>535х215х165</t>
        </is>
      </c>
      <c r="G148" s="83" t="inlineStr">
        <is>
          <t>Ч</t>
        </is>
      </c>
      <c r="H148" s="146" t="inlineStr">
        <is>
          <t>х</t>
        </is>
      </c>
      <c r="I148" s="83" t="inlineStr">
        <is>
          <t>В</t>
        </is>
      </c>
      <c r="J148" s="83" t="inlineStr">
        <is>
          <t>х</t>
        </is>
      </c>
      <c r="K148" s="116" t="inlineStr">
        <is>
          <t>K149</t>
        </is>
      </c>
      <c r="N148" s="239">
        <f>IF(D148="","",IF(LEFT(D148,1)="0",0,1))</f>
        <v/>
      </c>
      <c r="O148" s="80">
        <f>ROUND(R148*S148*T148/1000000,2)</f>
        <v/>
      </c>
      <c r="P148" s="160">
        <f>IF(O148="","",
IF(O148&lt;1,"0,1-0,9 литров",
IF(O148&lt;2,"1-1,9 литра",
IF(O148&lt;3,"2-2,9 литра",
IF(O148&lt;4,"3-3,9 литра",
IF(O148&lt;6,"4-5,9 литра",IF(O148&lt;8,"6-7,9 литра",IF(O148&lt;10,"8-9,9 литров",IF(O148&lt;15,"10-14,9 литров",IF(O148&lt;20,"15-19,9 литров",IF(O148&lt;30,"20-29 литров",IF(O148&lt;50,"30-49 литров",IF(O148&lt;60,"50-59 литров",IF(O148&lt;70,"60-69 литров",IF(O148&lt;80,"70-79 литров",IF(O148&lt;90,"80-89 литров",IF(O148&lt;100,"90-99 литров",IF(O148&lt;200,"100-200 литров","200+ литров"))))))))))))))))))</f>
        <v/>
      </c>
      <c r="Q148" s="101">
        <f>IF(O148="","",IF(O148&lt;1,"&lt;1 л",IF(O148&lt;2,"1-2 л",IF(O148&lt;3,"2-3 л",IF(O148&lt;5,"3-5 л",IF(O148&lt;10,"5-10 л",IF(O148&lt;20,"10-20 л",IF(O148&lt;50,"20-50 л",IF(O148&lt;100,"50-100 л","100+ л")))))))))</f>
        <v/>
      </c>
      <c r="R148" s="162">
        <f>IF(E148="","",--LEFT(E148,FIND("х",E148)-1))</f>
        <v/>
      </c>
      <c r="S148" s="162">
        <f>IF(E148="","",--MID(E148,FIND("х",E148)+1,FIND("х",E148,FIND("х",E148)+1)-FIND("х",E148)-1))</f>
        <v/>
      </c>
      <c r="T148" s="162">
        <f>IF(E148="","",--RIGHT(E148,LEN(E148)-FIND("х",E148,FIND("х",E148)+1)))</f>
        <v/>
      </c>
      <c r="U148" s="66">
        <f>(2*(R148+S148)+60)*(S148+T148+8)/1000000</f>
        <v/>
      </c>
      <c r="V148" s="66">
        <f>IF(OR(AND(R148&gt;=2*S148,R148&gt;=2*T148),AND(S148&gt;=2*R148,S148&gt;=2*T148),AND(T148&gt;=2*R148,T148&gt;=2*S148)),"Длинные","")</f>
        <v/>
      </c>
      <c r="W148" s="66">
        <f>IF(OR(AND(R148&lt;=S148/2,R148&lt;=T148/2),AND(S148&lt;=R148/2,S148&lt;=T148/2),AND(T148&lt;=R148/2,T148&lt;=S148/2)),"Плоские","")</f>
        <v/>
      </c>
      <c r="X148" s="160">
        <f>IF(LARGE($R148:$T148,1)="","",IF(LARGE($R148:$T148,1)&lt;=99,"10-99 мм",IF(LARGE($R148:$T148,1)&lt;=199,"100-199 мм",IF(LARGE($R148:$T148,1)&lt;=299,"200-299 мм",IF(LARGE($R148:$T148,1)&lt;=399,"300-399 мм",IF(LARGE($R148:$T148,1)&lt;=499,"400-499 мм",IF(LARGE($R148:$T148,1)&lt;=599,"500-599 мм",IF(LARGE($R148:$T148,1)&lt;=699,"600-699 мм",IF(LARGE($R148:$T148,1)&lt;=999,"700-999 мм","1000+ мм")))))))))</f>
        <v/>
      </c>
      <c r="Y148" s="160">
        <f>IF(LARGE($R148:$T148,2)="","",IF(LARGE($R148:$T148,2)&lt;=99,"10-99 мм",IF(LARGE($R148:$T148,2)&lt;=199,"100-199 мм",IF(LARGE($R148:$T148,2)&lt;=299,"200-299 мм",IF(LARGE($R148:$T148,2)&lt;=399,"300-399 мм",IF(LARGE($R148:$T148,2)&lt;=499,"400-499 мм",IF(LARGE($R148:$T148,2)&lt;=599,"500-599 мм",IF(LARGE($R148:$T148,2)&lt;=699,"600-699 мм",IF(LARGE($R148:$T148,2)&lt;=999,"700-999 мм","1000+ мм")))))))))</f>
        <v/>
      </c>
      <c r="Z148" s="160">
        <f>IF(SMALL($R148:$T148,1)="","",IF(SMALL($R148:$T148,1)&lt;=99,"10-99 мм",IF(SMALL($R148:$T148,1)&lt;=199,"100-199 мм",IF(SMALL($R148:$T148,1)&lt;=299,"200-299 мм",IF(SMALL($R148:$T148,1)&lt;=399,"300-399 мм",IF(SMALL($R148:$T148,1)&lt;=499,"400-499 мм",IF(SMALL($R148:$T148,1)&lt;=599,"500-599 мм",IF(SMALL($R148:$T148,1)&lt;=699,"600-699 мм",IF(SMALL($R148:$T148,1)&lt;=999,"700-999 мм","1000+ мм")))))))))</f>
        <v/>
      </c>
      <c r="AA148" s="101">
        <f>IF(G148="","",IF(G148="Л","Лист гофрокартона",IF(G148="КД","Крышка-дно",IF(G148="С","Самосборные",IF(G148="Ч","Четырехклапанные",IF(G148="А","Архивные","Неизвестно"))))))</f>
        <v/>
      </c>
      <c r="AB148" s="66" t="n">
        <v>1.73</v>
      </c>
      <c r="AC148" s="101">
        <f>IF(O148="","",IF(O148&lt;=1,"0-1 литров",IF(O148&lt;=3,"2-3 литра",IF(O148&lt;=5,"4-5 литра",IF(O148&lt;=7,"6-7 литра",IF(O148&lt;=9,"8-9 литров",IF(O148&lt;=14,"10-14 литров",IF(O148&lt;=19,"15-19 литров",IF(O148&lt;=29,"20-29 литров",IF(O148&lt;=49,"30-49 литров",IF(O148&lt;=59,"50-59 литров",IF(O148&lt;=70,"60-69 литров",IF(O148&lt;=79,"70-79 литров",IF(O148&lt;=89,"80-89 литров",IF(O148&lt;=99,"90-99 литров",IF(O148&lt;=200,"100-200 литров","200+ литров"))))))))))))))))</f>
        <v/>
      </c>
    </row>
    <row r="149" ht="20.6" customHeight="1" s="55">
      <c r="A149" s="64" t="n">
        <v>2.45</v>
      </c>
      <c r="B149" s="65">
        <f>A149*1.2</f>
        <v/>
      </c>
      <c r="C149" s="109" t="n">
        <v>149</v>
      </c>
      <c r="D149" s="116" t="inlineStr">
        <is>
          <t>0-У</t>
        </is>
      </c>
      <c r="E149" s="88" t="inlineStr">
        <is>
          <t>560х360х390</t>
        </is>
      </c>
      <c r="F149" s="213" t="inlineStr">
        <is>
          <t>После расспр БМ опять вернуть У</t>
        </is>
      </c>
      <c r="G149" s="83" t="inlineStr">
        <is>
          <t>Ч</t>
        </is>
      </c>
      <c r="H149" s="146" t="inlineStr">
        <is>
          <t>х</t>
        </is>
      </c>
      <c r="I149" s="83" t="inlineStr">
        <is>
          <t>В</t>
        </is>
      </c>
      <c r="J149" s="83" t="inlineStr">
        <is>
          <t>х</t>
        </is>
      </c>
      <c r="K149" s="116" t="inlineStr">
        <is>
          <t>K150</t>
        </is>
      </c>
      <c r="N149" s="239">
        <f>IF(D149="","",IF(LEFT(D149,1)="0",0,1))</f>
        <v/>
      </c>
      <c r="O149" s="80">
        <f>ROUND(R149*S149*T149/1000000,2)</f>
        <v/>
      </c>
      <c r="P149" s="160">
        <f>IF(O149="","",
IF(O149&lt;1,"0,1-0,9 литров",
IF(O149&lt;2,"1-1,9 литра",
IF(O149&lt;3,"2-2,9 литра",
IF(O149&lt;4,"3-3,9 литра",
IF(O149&lt;6,"4-5,9 литра",IF(O149&lt;8,"6-7,9 литра",IF(O149&lt;10,"8-9,9 литров",IF(O149&lt;15,"10-14,9 литров",IF(O149&lt;20,"15-19,9 литров",IF(O149&lt;30,"20-29 литров",IF(O149&lt;50,"30-49 литров",IF(O149&lt;60,"50-59 литров",IF(O149&lt;70,"60-69 литров",IF(O149&lt;80,"70-79 литров",IF(O149&lt;90,"80-89 литров",IF(O149&lt;100,"90-99 литров",IF(O149&lt;200,"100-200 литров","200+ литров"))))))))))))))))))</f>
        <v/>
      </c>
      <c r="Q149" s="101">
        <f>IF(O149="","",IF(O149&lt;1,"&lt;1 л",IF(O149&lt;2,"1-2 л",IF(O149&lt;3,"2-3 л",IF(O149&lt;5,"3-5 л",IF(O149&lt;10,"5-10 л",IF(O149&lt;20,"10-20 л",IF(O149&lt;50,"20-50 л",IF(O149&lt;100,"50-100 л","100+ л")))))))))</f>
        <v/>
      </c>
      <c r="R149" s="162">
        <f>IF(E149="","",--LEFT(E149,FIND("х",E149)-1))</f>
        <v/>
      </c>
      <c r="S149" s="162">
        <f>IF(E149="","",--MID(E149,FIND("х",E149)+1,FIND("х",E149,FIND("х",E149)+1)-FIND("х",E149)-1))</f>
        <v/>
      </c>
      <c r="T149" s="162">
        <f>IF(E149="","",--RIGHT(E149,LEN(E149)-FIND("х",E149,FIND("х",E149)+1)))</f>
        <v/>
      </c>
      <c r="U149" s="66">
        <f>(2*(R149+S149)+60)*(S149+T149+8)/1000000</f>
        <v/>
      </c>
      <c r="V149" s="66">
        <f>IF(OR(AND(R149&gt;=2*S149,R149&gt;=2*T149),AND(S149&gt;=2*R149,S149&gt;=2*T149),AND(T149&gt;=2*R149,T149&gt;=2*S149)),"Длинные","")</f>
        <v/>
      </c>
      <c r="W149" s="66">
        <f>IF(OR(AND(R149&lt;=S149/2,R149&lt;=T149/2),AND(S149&lt;=R149/2,S149&lt;=T149/2),AND(T149&lt;=R149/2,T149&lt;=S149/2)),"Плоские","")</f>
        <v/>
      </c>
      <c r="X149" s="160">
        <f>IF(LARGE($R149:$T149,1)="","",IF(LARGE($R149:$T149,1)&lt;=99,"10-99 мм",IF(LARGE($R149:$T149,1)&lt;=199,"100-199 мм",IF(LARGE($R149:$T149,1)&lt;=299,"200-299 мм",IF(LARGE($R149:$T149,1)&lt;=399,"300-399 мм",IF(LARGE($R149:$T149,1)&lt;=499,"400-499 мм",IF(LARGE($R149:$T149,1)&lt;=599,"500-599 мм",IF(LARGE($R149:$T149,1)&lt;=699,"600-699 мм",IF(LARGE($R149:$T149,1)&lt;=999,"700-999 мм","1000+ мм")))))))))</f>
        <v/>
      </c>
      <c r="Y149" s="160">
        <f>IF(LARGE($R149:$T149,2)="","",IF(LARGE($R149:$T149,2)&lt;=99,"10-99 мм",IF(LARGE($R149:$T149,2)&lt;=199,"100-199 мм",IF(LARGE($R149:$T149,2)&lt;=299,"200-299 мм",IF(LARGE($R149:$T149,2)&lt;=399,"300-399 мм",IF(LARGE($R149:$T149,2)&lt;=499,"400-499 мм",IF(LARGE($R149:$T149,2)&lt;=599,"500-599 мм",IF(LARGE($R149:$T149,2)&lt;=699,"600-699 мм",IF(LARGE($R149:$T149,2)&lt;=999,"700-999 мм","1000+ мм")))))))))</f>
        <v/>
      </c>
      <c r="Z149" s="160">
        <f>IF(SMALL($R149:$T149,1)="","",IF(SMALL($R149:$T149,1)&lt;=99,"10-99 мм",IF(SMALL($R149:$T149,1)&lt;=199,"100-199 мм",IF(SMALL($R149:$T149,1)&lt;=299,"200-299 мм",IF(SMALL($R149:$T149,1)&lt;=399,"300-399 мм",IF(SMALL($R149:$T149,1)&lt;=499,"400-499 мм",IF(SMALL($R149:$T149,1)&lt;=599,"500-599 мм",IF(SMALL($R149:$T149,1)&lt;=699,"600-699 мм",IF(SMALL($R149:$T149,1)&lt;=999,"700-999 мм","1000+ мм")))))))))</f>
        <v/>
      </c>
      <c r="AA149" s="101">
        <f>IF(G149="","",IF(G149="Л","Лист гофрокартона",IF(G149="КД","Крышка-дно",IF(G149="С","Самосборные",IF(G149="Ч","Четырехклапанные",IF(G149="А","Архивные","Неизвестно"))))))</f>
        <v/>
      </c>
      <c r="AB149" s="66" t="n">
        <v>1.73</v>
      </c>
      <c r="AC149" s="101">
        <f>IF(O149="","",IF(O149&lt;=1,"0-1 литров",IF(O149&lt;=3,"2-3 литра",IF(O149&lt;=5,"4-5 литра",IF(O149&lt;=7,"6-7 литра",IF(O149&lt;=9,"8-9 литров",IF(O149&lt;=14,"10-14 литров",IF(O149&lt;=19,"15-19 литров",IF(O149&lt;=29,"20-29 литров",IF(O149&lt;=49,"30-49 литров",IF(O149&lt;=59,"50-59 литров",IF(O149&lt;=70,"60-69 литров",IF(O149&lt;=79,"70-79 литров",IF(O149&lt;=89,"80-89 литров",IF(O149&lt;=99,"90-99 литров",IF(O149&lt;=200,"100-200 литров","200+ литров"))))))))))))))))</f>
        <v/>
      </c>
    </row>
    <row r="150">
      <c r="A150" s="64" t="n">
        <v>0.82</v>
      </c>
      <c r="B150" s="65">
        <f>A150*1.2</f>
        <v/>
      </c>
      <c r="C150" s="109" t="n">
        <v>150</v>
      </c>
      <c r="D150" s="116" t="inlineStr">
        <is>
          <t>У</t>
        </is>
      </c>
      <c r="E150" s="88" t="inlineStr">
        <is>
          <t>340х265х110</t>
        </is>
      </c>
      <c r="G150" s="83" t="inlineStr">
        <is>
          <t>Ч</t>
        </is>
      </c>
      <c r="H150" s="146" t="inlineStr">
        <is>
          <t>х</t>
        </is>
      </c>
      <c r="I150" s="83" t="inlineStr">
        <is>
          <t>В</t>
        </is>
      </c>
      <c r="J150" s="83" t="inlineStr">
        <is>
          <t>х</t>
        </is>
      </c>
      <c r="K150" s="116" t="inlineStr">
        <is>
          <t>K151</t>
        </is>
      </c>
      <c r="N150" s="239">
        <f>IF(D150="","",IF(LEFT(D150,1)="0",0,1))</f>
        <v/>
      </c>
      <c r="O150" s="80">
        <f>ROUND(R150*S150*T150/1000000,2)</f>
        <v/>
      </c>
      <c r="P150" s="160">
        <f>IF(O150="","",
IF(O150&lt;1,"0,1-0,9 литров",
IF(O150&lt;2,"1-1,9 литра",
IF(O150&lt;3,"2-2,9 литра",
IF(O150&lt;4,"3-3,9 литра",
IF(O150&lt;6,"4-5,9 литра",IF(O150&lt;8,"6-7,9 литра",IF(O150&lt;10,"8-9,9 литров",IF(O150&lt;15,"10-14,9 литров",IF(O150&lt;20,"15-19,9 литров",IF(O150&lt;30,"20-29 литров",IF(O150&lt;50,"30-49 литров",IF(O150&lt;60,"50-59 литров",IF(O150&lt;70,"60-69 литров",IF(O150&lt;80,"70-79 литров",IF(O150&lt;90,"80-89 литров",IF(O150&lt;100,"90-99 литров",IF(O150&lt;200,"100-200 литров","200+ литров"))))))))))))))))))</f>
        <v/>
      </c>
      <c r="Q150" s="101">
        <f>IF(O150="","",IF(O150&lt;1,"&lt;1 л",IF(O150&lt;2,"1-2 л",IF(O150&lt;3,"2-3 л",IF(O150&lt;5,"3-5 л",IF(O150&lt;10,"5-10 л",IF(O150&lt;20,"10-20 л",IF(O150&lt;50,"20-50 л",IF(O150&lt;100,"50-100 л","100+ л")))))))))</f>
        <v/>
      </c>
      <c r="R150" s="162">
        <f>IF(E150="","",--LEFT(E150,FIND("х",E150)-1))</f>
        <v/>
      </c>
      <c r="S150" s="162">
        <f>IF(E150="","",--MID(E150,FIND("х",E150)+1,FIND("х",E150,FIND("х",E150)+1)-FIND("х",E150)-1))</f>
        <v/>
      </c>
      <c r="T150" s="162">
        <f>IF(E150="","",--RIGHT(E150,LEN(E150)-FIND("х",E150,FIND("х",E150)+1)))</f>
        <v/>
      </c>
      <c r="U150" s="66">
        <f>(2*(R150+S150)+60)*(S150+T150+8)/1000000</f>
        <v/>
      </c>
      <c r="V150" s="66">
        <f>IF(OR(AND(R150&gt;=2*S150,R150&gt;=2*T150),AND(S150&gt;=2*R150,S150&gt;=2*T150),AND(T150&gt;=2*R150,T150&gt;=2*S150)),"Длинные","")</f>
        <v/>
      </c>
      <c r="W150" s="66">
        <f>IF(OR(AND(R150&lt;=S150/2,R150&lt;=T150/2),AND(S150&lt;=R150/2,S150&lt;=T150/2),AND(T150&lt;=R150/2,T150&lt;=S150/2)),"Плоские","")</f>
        <v/>
      </c>
      <c r="X150" s="160">
        <f>IF(LARGE($R150:$T150,1)="","",IF(LARGE($R150:$T150,1)&lt;=99,"10-99 мм",IF(LARGE($R150:$T150,1)&lt;=199,"100-199 мм",IF(LARGE($R150:$T150,1)&lt;=299,"200-299 мм",IF(LARGE($R150:$T150,1)&lt;=399,"300-399 мм",IF(LARGE($R150:$T150,1)&lt;=499,"400-499 мм",IF(LARGE($R150:$T150,1)&lt;=599,"500-599 мм",IF(LARGE($R150:$T150,1)&lt;=699,"600-699 мм",IF(LARGE($R150:$T150,1)&lt;=999,"700-999 мм","1000+ мм")))))))))</f>
        <v/>
      </c>
      <c r="Y150" s="160">
        <f>IF(LARGE($R150:$T150,2)="","",IF(LARGE($R150:$T150,2)&lt;=99,"10-99 мм",IF(LARGE($R150:$T150,2)&lt;=199,"100-199 мм",IF(LARGE($R150:$T150,2)&lt;=299,"200-299 мм",IF(LARGE($R150:$T150,2)&lt;=399,"300-399 мм",IF(LARGE($R150:$T150,2)&lt;=499,"400-499 мм",IF(LARGE($R150:$T150,2)&lt;=599,"500-599 мм",IF(LARGE($R150:$T150,2)&lt;=699,"600-699 мм",IF(LARGE($R150:$T150,2)&lt;=999,"700-999 мм","1000+ мм")))))))))</f>
        <v/>
      </c>
      <c r="Z150" s="160">
        <f>IF(SMALL($R150:$T150,1)="","",IF(SMALL($R150:$T150,1)&lt;=99,"10-99 мм",IF(SMALL($R150:$T150,1)&lt;=199,"100-199 мм",IF(SMALL($R150:$T150,1)&lt;=299,"200-299 мм",IF(SMALL($R150:$T150,1)&lt;=399,"300-399 мм",IF(SMALL($R150:$T150,1)&lt;=499,"400-499 мм",IF(SMALL($R150:$T150,1)&lt;=599,"500-599 мм",IF(SMALL($R150:$T150,1)&lt;=699,"600-699 мм",IF(SMALL($R150:$T150,1)&lt;=999,"700-999 мм","1000+ мм")))))))))</f>
        <v/>
      </c>
      <c r="AA150" s="101">
        <f>IF(G150="","",IF(G150="Л","Лист гофрокартона",IF(G150="КД","Крышка-дно",IF(G150="С","Самосборные",IF(G150="Ч","Четырехклапанные",IF(G150="А","Архивные","Неизвестно"))))))</f>
        <v/>
      </c>
      <c r="AB150" s="66" t="n">
        <v>1.73</v>
      </c>
      <c r="AC150" s="101">
        <f>IF(O150="","",IF(O150&lt;=1,"0-1 литров",IF(O150&lt;=3,"2-3 литра",IF(O150&lt;=5,"4-5 литра",IF(O150&lt;=7,"6-7 литра",IF(O150&lt;=9,"8-9 литров",IF(O150&lt;=14,"10-14 литров",IF(O150&lt;=19,"15-19 литров",IF(O150&lt;=29,"20-29 литров",IF(O150&lt;=49,"30-49 литров",IF(O150&lt;=59,"50-59 литров",IF(O150&lt;=70,"60-69 литров",IF(O150&lt;=79,"70-79 литров",IF(O150&lt;=89,"80-89 литров",IF(O150&lt;=99,"90-99 литров",IF(O150&lt;=200,"100-200 литров","200+ литров"))))))))))))))))</f>
        <v/>
      </c>
    </row>
    <row r="151">
      <c r="A151" s="64" t="n">
        <v>0.16</v>
      </c>
      <c r="B151" s="65">
        <f>A151*1.2</f>
        <v/>
      </c>
      <c r="C151" s="109" t="n">
        <v>151</v>
      </c>
      <c r="D151" s="116" t="inlineStr">
        <is>
          <t>У</t>
        </is>
      </c>
      <c r="E151" s="88" t="inlineStr">
        <is>
          <t>160х80х80</t>
        </is>
      </c>
      <c r="G151" s="83" t="inlineStr">
        <is>
          <t>Ч</t>
        </is>
      </c>
      <c r="H151" s="146" t="inlineStr">
        <is>
          <t>х</t>
        </is>
      </c>
      <c r="I151" s="83" t="inlineStr">
        <is>
          <t>В</t>
        </is>
      </c>
      <c r="J151" s="83" t="inlineStr">
        <is>
          <t>х</t>
        </is>
      </c>
      <c r="K151" s="116" t="inlineStr">
        <is>
          <t>K152</t>
        </is>
      </c>
      <c r="N151" s="239">
        <f>IF(D151="","",IF(LEFT(D151,1)="0",0,1))</f>
        <v/>
      </c>
      <c r="O151" s="80">
        <f>ROUND(R151*S151*T151/1000000,2)</f>
        <v/>
      </c>
      <c r="P151" s="160">
        <f>IF(O151="","",
IF(O151&lt;1,"0,1-0,9 литров",
IF(O151&lt;2,"1-1,9 литра",
IF(O151&lt;3,"2-2,9 литра",
IF(O151&lt;4,"3-3,9 литра",
IF(O151&lt;6,"4-5,9 литра",IF(O151&lt;8,"6-7,9 литра",IF(O151&lt;10,"8-9,9 литров",IF(O151&lt;15,"10-14,9 литров",IF(O151&lt;20,"15-19,9 литров",IF(O151&lt;30,"20-29 литров",IF(O151&lt;50,"30-49 литров",IF(O151&lt;60,"50-59 литров",IF(O151&lt;70,"60-69 литров",IF(O151&lt;80,"70-79 литров",IF(O151&lt;90,"80-89 литров",IF(O151&lt;100,"90-99 литров",IF(O151&lt;200,"100-200 литров","200+ литров"))))))))))))))))))</f>
        <v/>
      </c>
      <c r="Q151" s="101">
        <f>IF(O151="","",IF(O151&lt;1,"&lt;1 л",IF(O151&lt;2,"1-2 л",IF(O151&lt;3,"2-3 л",IF(O151&lt;5,"3-5 л",IF(O151&lt;10,"5-10 л",IF(O151&lt;20,"10-20 л",IF(O151&lt;50,"20-50 л",IF(O151&lt;100,"50-100 л","100+ л")))))))))</f>
        <v/>
      </c>
      <c r="R151" s="162">
        <f>IF(E151="","",--LEFT(E151,FIND("х",E151)-1))</f>
        <v/>
      </c>
      <c r="S151" s="162">
        <f>IF(E151="","",--MID(E151,FIND("х",E151)+1,FIND("х",E151,FIND("х",E151)+1)-FIND("х",E151)-1))</f>
        <v/>
      </c>
      <c r="T151" s="162">
        <f>IF(E151="","",--RIGHT(E151,LEN(E151)-FIND("х",E151,FIND("х",E151)+1)))</f>
        <v/>
      </c>
      <c r="U151" s="66">
        <f>(2*(R151+S151)+60)*(S151+T151+8)/1000000</f>
        <v/>
      </c>
      <c r="V151" s="66">
        <f>IF(OR(AND(R151&gt;=2*S151,R151&gt;=2*T151),AND(S151&gt;=2*R151,S151&gt;=2*T151),AND(T151&gt;=2*R151,T151&gt;=2*S151)),"Длинные","")</f>
        <v/>
      </c>
      <c r="W151" s="66">
        <f>IF(OR(AND(R151&lt;=S151/2,R151&lt;=T151/2),AND(S151&lt;=R151/2,S151&lt;=T151/2),AND(T151&lt;=R151/2,T151&lt;=S151/2)),"Плоские","")</f>
        <v/>
      </c>
      <c r="X151" s="160">
        <f>IF(LARGE($R151:$T151,1)="","",IF(LARGE($R151:$T151,1)&lt;=99,"10-99 мм",IF(LARGE($R151:$T151,1)&lt;=199,"100-199 мм",IF(LARGE($R151:$T151,1)&lt;=299,"200-299 мм",IF(LARGE($R151:$T151,1)&lt;=399,"300-399 мм",IF(LARGE($R151:$T151,1)&lt;=499,"400-499 мм",IF(LARGE($R151:$T151,1)&lt;=599,"500-599 мм",IF(LARGE($R151:$T151,1)&lt;=699,"600-699 мм",IF(LARGE($R151:$T151,1)&lt;=999,"700-999 мм","1000+ мм")))))))))</f>
        <v/>
      </c>
      <c r="Y151" s="160">
        <f>IF(LARGE($R151:$T151,2)="","",IF(LARGE($R151:$T151,2)&lt;=99,"10-99 мм",IF(LARGE($R151:$T151,2)&lt;=199,"100-199 мм",IF(LARGE($R151:$T151,2)&lt;=299,"200-299 мм",IF(LARGE($R151:$T151,2)&lt;=399,"300-399 мм",IF(LARGE($R151:$T151,2)&lt;=499,"400-499 мм",IF(LARGE($R151:$T151,2)&lt;=599,"500-599 мм",IF(LARGE($R151:$T151,2)&lt;=699,"600-699 мм",IF(LARGE($R151:$T151,2)&lt;=999,"700-999 мм","1000+ мм")))))))))</f>
        <v/>
      </c>
      <c r="Z151" s="160">
        <f>IF(SMALL($R151:$T151,1)="","",IF(SMALL($R151:$T151,1)&lt;=99,"10-99 мм",IF(SMALL($R151:$T151,1)&lt;=199,"100-199 мм",IF(SMALL($R151:$T151,1)&lt;=299,"200-299 мм",IF(SMALL($R151:$T151,1)&lt;=399,"300-399 мм",IF(SMALL($R151:$T151,1)&lt;=499,"400-499 мм",IF(SMALL($R151:$T151,1)&lt;=599,"500-599 мм",IF(SMALL($R151:$T151,1)&lt;=699,"600-699 мм",IF(SMALL($R151:$T151,1)&lt;=999,"700-999 мм","1000+ мм")))))))))</f>
        <v/>
      </c>
      <c r="AA151" s="101">
        <f>IF(G151="","",IF(G151="Л","Лист гофрокартона",IF(G151="КД","Крышка-дно",IF(G151="С","Самосборные",IF(G151="Ч","Четырехклапанные",IF(G151="А","Архивные","Неизвестно"))))))</f>
        <v/>
      </c>
      <c r="AB151" s="66" t="n">
        <v>1.73</v>
      </c>
      <c r="AC151" s="101">
        <f>IF(O151="","",IF(O151&lt;=1,"0-1 литров",IF(O151&lt;=3,"2-3 литра",IF(O151&lt;=5,"4-5 литра",IF(O151&lt;=7,"6-7 литра",IF(O151&lt;=9,"8-9 литров",IF(O151&lt;=14,"10-14 литров",IF(O151&lt;=19,"15-19 литров",IF(O151&lt;=29,"20-29 литров",IF(O151&lt;=49,"30-49 литров",IF(O151&lt;=59,"50-59 литров",IF(O151&lt;=70,"60-69 литров",IF(O151&lt;=79,"70-79 литров",IF(O151&lt;=89,"80-89 литров",IF(O151&lt;=99,"90-99 литров",IF(O151&lt;=200,"100-200 литров","200+ литров"))))))))))))))))</f>
        <v/>
      </c>
    </row>
    <row r="152">
      <c r="A152" s="64" t="n">
        <v>1.75</v>
      </c>
      <c r="B152" s="65">
        <f>A152*1.2</f>
        <v/>
      </c>
      <c r="C152" s="109" t="n">
        <v>152</v>
      </c>
      <c r="D152" s="116" t="inlineStr">
        <is>
          <t>У</t>
        </is>
      </c>
      <c r="E152" s="88" t="inlineStr">
        <is>
          <t>370х370х290</t>
        </is>
      </c>
      <c r="G152" s="83" t="inlineStr">
        <is>
          <t>Ч</t>
        </is>
      </c>
      <c r="H152" s="146" t="inlineStr">
        <is>
          <t>х</t>
        </is>
      </c>
      <c r="I152" s="83" t="inlineStr">
        <is>
          <t>В</t>
        </is>
      </c>
      <c r="J152" s="83" t="inlineStr">
        <is>
          <t>х</t>
        </is>
      </c>
      <c r="K152" s="116" t="inlineStr">
        <is>
          <t>K153</t>
        </is>
      </c>
      <c r="N152" s="239">
        <f>IF(D152="","",IF(LEFT(D152,1)="0",0,1))</f>
        <v/>
      </c>
      <c r="O152" s="80">
        <f>ROUND(R152*S152*T152/1000000,2)</f>
        <v/>
      </c>
      <c r="P152" s="160">
        <f>IF(O152="","",
IF(O152&lt;1,"0,1-0,9 литров",
IF(O152&lt;2,"1-1,9 литра",
IF(O152&lt;3,"2-2,9 литра",
IF(O152&lt;4,"3-3,9 литра",
IF(O152&lt;6,"4-5,9 литра",IF(O152&lt;8,"6-7,9 литра",IF(O152&lt;10,"8-9,9 литров",IF(O152&lt;15,"10-14,9 литров",IF(O152&lt;20,"15-19,9 литров",IF(O152&lt;30,"20-29 литров",IF(O152&lt;50,"30-49 литров",IF(O152&lt;60,"50-59 литров",IF(O152&lt;70,"60-69 литров",IF(O152&lt;80,"70-79 литров",IF(O152&lt;90,"80-89 литров",IF(O152&lt;100,"90-99 литров",IF(O152&lt;200,"100-200 литров","200+ литров"))))))))))))))))))</f>
        <v/>
      </c>
      <c r="Q152" s="101">
        <f>IF(O152="","",IF(O152&lt;1,"&lt;1 л",IF(O152&lt;2,"1-2 л",IF(O152&lt;3,"2-3 л",IF(O152&lt;5,"3-5 л",IF(O152&lt;10,"5-10 л",IF(O152&lt;20,"10-20 л",IF(O152&lt;50,"20-50 л",IF(O152&lt;100,"50-100 л","100+ л")))))))))</f>
        <v/>
      </c>
      <c r="R152" s="162">
        <f>IF(E152="","",--LEFT(E152,FIND("х",E152)-1))</f>
        <v/>
      </c>
      <c r="S152" s="162">
        <f>IF(E152="","",--MID(E152,FIND("х",E152)+1,FIND("х",E152,FIND("х",E152)+1)-FIND("х",E152)-1))</f>
        <v/>
      </c>
      <c r="T152" s="162">
        <f>IF(E152="","",--RIGHT(E152,LEN(E152)-FIND("х",E152,FIND("х",E152)+1)))</f>
        <v/>
      </c>
      <c r="U152" s="66">
        <f>(2*(R152+S152)+60)*(S152+T152+8)/1000000</f>
        <v/>
      </c>
      <c r="V152" s="66">
        <f>IF(OR(AND(R152&gt;=2*S152,R152&gt;=2*T152),AND(S152&gt;=2*R152,S152&gt;=2*T152),AND(T152&gt;=2*R152,T152&gt;=2*S152)),"Длинные","")</f>
        <v/>
      </c>
      <c r="W152" s="66">
        <f>IF(OR(AND(R152&lt;=S152/2,R152&lt;=T152/2),AND(S152&lt;=R152/2,S152&lt;=T152/2),AND(T152&lt;=R152/2,T152&lt;=S152/2)),"Плоские","")</f>
        <v/>
      </c>
      <c r="X152" s="160">
        <f>IF(LARGE($R152:$T152,1)="","",IF(LARGE($R152:$T152,1)&lt;=99,"10-99 мм",IF(LARGE($R152:$T152,1)&lt;=199,"100-199 мм",IF(LARGE($R152:$T152,1)&lt;=299,"200-299 мм",IF(LARGE($R152:$T152,1)&lt;=399,"300-399 мм",IF(LARGE($R152:$T152,1)&lt;=499,"400-499 мм",IF(LARGE($R152:$T152,1)&lt;=599,"500-599 мм",IF(LARGE($R152:$T152,1)&lt;=699,"600-699 мм",IF(LARGE($R152:$T152,1)&lt;=999,"700-999 мм","1000+ мм")))))))))</f>
        <v/>
      </c>
      <c r="Y152" s="160">
        <f>IF(LARGE($R152:$T152,2)="","",IF(LARGE($R152:$T152,2)&lt;=99,"10-99 мм",IF(LARGE($R152:$T152,2)&lt;=199,"100-199 мм",IF(LARGE($R152:$T152,2)&lt;=299,"200-299 мм",IF(LARGE($R152:$T152,2)&lt;=399,"300-399 мм",IF(LARGE($R152:$T152,2)&lt;=499,"400-499 мм",IF(LARGE($R152:$T152,2)&lt;=599,"500-599 мм",IF(LARGE($R152:$T152,2)&lt;=699,"600-699 мм",IF(LARGE($R152:$T152,2)&lt;=999,"700-999 мм","1000+ мм")))))))))</f>
        <v/>
      </c>
      <c r="Z152" s="160">
        <f>IF(SMALL($R152:$T152,1)="","",IF(SMALL($R152:$T152,1)&lt;=99,"10-99 мм",IF(SMALL($R152:$T152,1)&lt;=199,"100-199 мм",IF(SMALL($R152:$T152,1)&lt;=299,"200-299 мм",IF(SMALL($R152:$T152,1)&lt;=399,"300-399 мм",IF(SMALL($R152:$T152,1)&lt;=499,"400-499 мм",IF(SMALL($R152:$T152,1)&lt;=599,"500-599 мм",IF(SMALL($R152:$T152,1)&lt;=699,"600-699 мм",IF(SMALL($R152:$T152,1)&lt;=999,"700-999 мм","1000+ мм")))))))))</f>
        <v/>
      </c>
      <c r="AA152" s="101">
        <f>IF(G152="","",IF(G152="Л","Лист гофрокартона",IF(G152="КД","Крышка-дно",IF(G152="С","Самосборные",IF(G152="Ч","Четырехклапанные",IF(G152="А","Архивные","Неизвестно"))))))</f>
        <v/>
      </c>
      <c r="AB152" s="66" t="n">
        <v>1.73</v>
      </c>
      <c r="AC152" s="101">
        <f>IF(O152="","",IF(O152&lt;=1,"0-1 литров",IF(O152&lt;=3,"2-3 литра",IF(O152&lt;=5,"4-5 литра",IF(O152&lt;=7,"6-7 литра",IF(O152&lt;=9,"8-9 литров",IF(O152&lt;=14,"10-14 литров",IF(O152&lt;=19,"15-19 литров",IF(O152&lt;=29,"20-29 литров",IF(O152&lt;=49,"30-49 литров",IF(O152&lt;=59,"50-59 литров",IF(O152&lt;=70,"60-69 литров",IF(O152&lt;=79,"70-79 литров",IF(O152&lt;=89,"80-89 литров",IF(O152&lt;=99,"90-99 литров",IF(O152&lt;=200,"100-200 литров","200+ литров"))))))))))))))))</f>
        <v/>
      </c>
    </row>
    <row r="153">
      <c r="A153" s="64" t="n">
        <v>0.68</v>
      </c>
      <c r="B153" s="65">
        <f>A153*1.2</f>
        <v/>
      </c>
      <c r="C153" s="109" t="n">
        <v>153</v>
      </c>
      <c r="D153" s="116" t="inlineStr">
        <is>
          <t>У</t>
        </is>
      </c>
      <c r="E153" s="88" t="inlineStr">
        <is>
          <t>240х240х150</t>
        </is>
      </c>
      <c r="G153" s="83" t="inlineStr">
        <is>
          <t>Ч</t>
        </is>
      </c>
      <c r="H153" s="146" t="inlineStr">
        <is>
          <t>х</t>
        </is>
      </c>
      <c r="I153" s="83" t="inlineStr">
        <is>
          <t>В</t>
        </is>
      </c>
      <c r="J153" s="83" t="inlineStr">
        <is>
          <t>х</t>
        </is>
      </c>
      <c r="K153" s="116" t="inlineStr">
        <is>
          <t>K154</t>
        </is>
      </c>
      <c r="N153" s="239">
        <f>IF(D153="","",IF(LEFT(D153,1)="0",0,1))</f>
        <v/>
      </c>
      <c r="O153" s="80">
        <f>ROUND(R153*S153*T153/1000000,2)</f>
        <v/>
      </c>
      <c r="P153" s="160">
        <f>IF(O153="","",
IF(O153&lt;1,"0,1-0,9 литров",
IF(O153&lt;2,"1-1,9 литра",
IF(O153&lt;3,"2-2,9 литра",
IF(O153&lt;4,"3-3,9 литра",
IF(O153&lt;6,"4-5,9 литра",IF(O153&lt;8,"6-7,9 литра",IF(O153&lt;10,"8-9,9 литров",IF(O153&lt;15,"10-14,9 литров",IF(O153&lt;20,"15-19,9 литров",IF(O153&lt;30,"20-29 литров",IF(O153&lt;50,"30-49 литров",IF(O153&lt;60,"50-59 литров",IF(O153&lt;70,"60-69 литров",IF(O153&lt;80,"70-79 литров",IF(O153&lt;90,"80-89 литров",IF(O153&lt;100,"90-99 литров",IF(O153&lt;200,"100-200 литров","200+ литров"))))))))))))))))))</f>
        <v/>
      </c>
      <c r="Q153" s="101">
        <f>IF(O153="","",IF(O153&lt;1,"&lt;1 л",IF(O153&lt;2,"1-2 л",IF(O153&lt;3,"2-3 л",IF(O153&lt;5,"3-5 л",IF(O153&lt;10,"5-10 л",IF(O153&lt;20,"10-20 л",IF(O153&lt;50,"20-50 л",IF(O153&lt;100,"50-100 л","100+ л")))))))))</f>
        <v/>
      </c>
      <c r="R153" s="162">
        <f>IF(E153="","",--LEFT(E153,FIND("х",E153)-1))</f>
        <v/>
      </c>
      <c r="S153" s="162">
        <f>IF(E153="","",--MID(E153,FIND("х",E153)+1,FIND("х",E153,FIND("х",E153)+1)-FIND("х",E153)-1))</f>
        <v/>
      </c>
      <c r="T153" s="162">
        <f>IF(E153="","",--RIGHT(E153,LEN(E153)-FIND("х",E153,FIND("х",E153)+1)))</f>
        <v/>
      </c>
      <c r="U153" s="66">
        <f>(2*(R153+S153)+60)*(S153+T153+8)/1000000</f>
        <v/>
      </c>
      <c r="V153" s="66">
        <f>IF(OR(AND(R153&gt;=2*S153,R153&gt;=2*T153),AND(S153&gt;=2*R153,S153&gt;=2*T153),AND(T153&gt;=2*R153,T153&gt;=2*S153)),"Длинные","")</f>
        <v/>
      </c>
      <c r="W153" s="66">
        <f>IF(OR(AND(R153&lt;=S153/2,R153&lt;=T153/2),AND(S153&lt;=R153/2,S153&lt;=T153/2),AND(T153&lt;=R153/2,T153&lt;=S153/2)),"Плоские","")</f>
        <v/>
      </c>
      <c r="X153" s="160">
        <f>IF(LARGE($R153:$T153,1)="","",IF(LARGE($R153:$T153,1)&lt;=99,"10-99 мм",IF(LARGE($R153:$T153,1)&lt;=199,"100-199 мм",IF(LARGE($R153:$T153,1)&lt;=299,"200-299 мм",IF(LARGE($R153:$T153,1)&lt;=399,"300-399 мм",IF(LARGE($R153:$T153,1)&lt;=499,"400-499 мм",IF(LARGE($R153:$T153,1)&lt;=599,"500-599 мм",IF(LARGE($R153:$T153,1)&lt;=699,"600-699 мм",IF(LARGE($R153:$T153,1)&lt;=999,"700-999 мм","1000+ мм")))))))))</f>
        <v/>
      </c>
      <c r="Y153" s="160">
        <f>IF(LARGE($R153:$T153,2)="","",IF(LARGE($R153:$T153,2)&lt;=99,"10-99 мм",IF(LARGE($R153:$T153,2)&lt;=199,"100-199 мм",IF(LARGE($R153:$T153,2)&lt;=299,"200-299 мм",IF(LARGE($R153:$T153,2)&lt;=399,"300-399 мм",IF(LARGE($R153:$T153,2)&lt;=499,"400-499 мм",IF(LARGE($R153:$T153,2)&lt;=599,"500-599 мм",IF(LARGE($R153:$T153,2)&lt;=699,"600-699 мм",IF(LARGE($R153:$T153,2)&lt;=999,"700-999 мм","1000+ мм")))))))))</f>
        <v/>
      </c>
      <c r="Z153" s="160">
        <f>IF(SMALL($R153:$T153,1)="","",IF(SMALL($R153:$T153,1)&lt;=99,"10-99 мм",IF(SMALL($R153:$T153,1)&lt;=199,"100-199 мм",IF(SMALL($R153:$T153,1)&lt;=299,"200-299 мм",IF(SMALL($R153:$T153,1)&lt;=399,"300-399 мм",IF(SMALL($R153:$T153,1)&lt;=499,"400-499 мм",IF(SMALL($R153:$T153,1)&lt;=599,"500-599 мм",IF(SMALL($R153:$T153,1)&lt;=699,"600-699 мм",IF(SMALL($R153:$T153,1)&lt;=999,"700-999 мм","1000+ мм")))))))))</f>
        <v/>
      </c>
      <c r="AA153" s="101">
        <f>IF(G153="","",IF(G153="Л","Лист гофрокартона",IF(G153="КД","Крышка-дно",IF(G153="С","Самосборные",IF(G153="Ч","Четырехклапанные",IF(G153="А","Архивные","Неизвестно"))))))</f>
        <v/>
      </c>
      <c r="AB153" s="66" t="n">
        <v>1.73</v>
      </c>
      <c r="AC153" s="101">
        <f>IF(O153="","",IF(O153&lt;=1,"0-1 литров",IF(O153&lt;=3,"2-3 литра",IF(O153&lt;=5,"4-5 литра",IF(O153&lt;=7,"6-7 литра",IF(O153&lt;=9,"8-9 литров",IF(O153&lt;=14,"10-14 литров",IF(O153&lt;=19,"15-19 литров",IF(O153&lt;=29,"20-29 литров",IF(O153&lt;=49,"30-49 литров",IF(O153&lt;=59,"50-59 литров",IF(O153&lt;=70,"60-69 литров",IF(O153&lt;=79,"70-79 литров",IF(O153&lt;=89,"80-89 литров",IF(O153&lt;=99,"90-99 литров",IF(O153&lt;=200,"100-200 литров","200+ литров"))))))))))))))))</f>
        <v/>
      </c>
    </row>
    <row r="154">
      <c r="A154" s="64" t="n">
        <v>2.18</v>
      </c>
      <c r="B154" s="65">
        <f>A154*1.2</f>
        <v/>
      </c>
      <c r="C154" s="109" t="n">
        <v>154</v>
      </c>
      <c r="D154" s="116" t="inlineStr">
        <is>
          <t>У</t>
        </is>
      </c>
      <c r="E154" s="88" t="inlineStr">
        <is>
          <t>760х375х166</t>
        </is>
      </c>
      <c r="G154" s="83" t="inlineStr">
        <is>
          <t>Ч</t>
        </is>
      </c>
      <c r="H154" s="146" t="inlineStr">
        <is>
          <t>х</t>
        </is>
      </c>
      <c r="I154" s="83" t="inlineStr">
        <is>
          <t>В</t>
        </is>
      </c>
      <c r="J154" s="83" t="inlineStr">
        <is>
          <t>х</t>
        </is>
      </c>
      <c r="K154" s="116" t="inlineStr">
        <is>
          <t>K155</t>
        </is>
      </c>
      <c r="N154" s="239">
        <f>IF(D154="","",IF(LEFT(D154,1)="0",0,1))</f>
        <v/>
      </c>
      <c r="O154" s="80">
        <f>ROUND(R154*S154*T154/1000000,2)</f>
        <v/>
      </c>
      <c r="P154" s="160">
        <f>IF(O154="","",
IF(O154&lt;1,"0,1-0,9 литров",
IF(O154&lt;2,"1-1,9 литра",
IF(O154&lt;3,"2-2,9 литра",
IF(O154&lt;4,"3-3,9 литра",
IF(O154&lt;6,"4-5,9 литра",IF(O154&lt;8,"6-7,9 литра",IF(O154&lt;10,"8-9,9 литров",IF(O154&lt;15,"10-14,9 литров",IF(O154&lt;20,"15-19,9 литров",IF(O154&lt;30,"20-29 литров",IF(O154&lt;50,"30-49 литров",IF(O154&lt;60,"50-59 литров",IF(O154&lt;70,"60-69 литров",IF(O154&lt;80,"70-79 литров",IF(O154&lt;90,"80-89 литров",IF(O154&lt;100,"90-99 литров",IF(O154&lt;200,"100-200 литров","200+ литров"))))))))))))))))))</f>
        <v/>
      </c>
      <c r="Q154" s="101">
        <f>IF(O154="","",IF(O154&lt;1,"&lt;1 л",IF(O154&lt;2,"1-2 л",IF(O154&lt;3,"2-3 л",IF(O154&lt;5,"3-5 л",IF(O154&lt;10,"5-10 л",IF(O154&lt;20,"10-20 л",IF(O154&lt;50,"20-50 л",IF(O154&lt;100,"50-100 л","100+ л")))))))))</f>
        <v/>
      </c>
      <c r="R154" s="162">
        <f>IF(E154="","",--LEFT(E154,FIND("х",E154)-1))</f>
        <v/>
      </c>
      <c r="S154" s="162">
        <f>IF(E154="","",--MID(E154,FIND("х",E154)+1,FIND("х",E154,FIND("х",E154)+1)-FIND("х",E154)-1))</f>
        <v/>
      </c>
      <c r="T154" s="162">
        <f>IF(E154="","",--RIGHT(E154,LEN(E154)-FIND("х",E154,FIND("х",E154)+1)))</f>
        <v/>
      </c>
      <c r="U154" s="66">
        <f>(2*(R154+S154)+60)*(S154+T154+8)/1000000</f>
        <v/>
      </c>
      <c r="V154" s="66">
        <f>IF(OR(AND(R154&gt;=2*S154,R154&gt;=2*T154),AND(S154&gt;=2*R154,S154&gt;=2*T154),AND(T154&gt;=2*R154,T154&gt;=2*S154)),"Длинные","")</f>
        <v/>
      </c>
      <c r="W154" s="66">
        <f>IF(OR(AND(R154&lt;=S154/2,R154&lt;=T154/2),AND(S154&lt;=R154/2,S154&lt;=T154/2),AND(T154&lt;=R154/2,T154&lt;=S154/2)),"Плоские","")</f>
        <v/>
      </c>
      <c r="X154" s="160">
        <f>IF(LARGE($R154:$T154,1)="","",IF(LARGE($R154:$T154,1)&lt;=99,"10-99 мм",IF(LARGE($R154:$T154,1)&lt;=199,"100-199 мм",IF(LARGE($R154:$T154,1)&lt;=299,"200-299 мм",IF(LARGE($R154:$T154,1)&lt;=399,"300-399 мм",IF(LARGE($R154:$T154,1)&lt;=499,"400-499 мм",IF(LARGE($R154:$T154,1)&lt;=599,"500-599 мм",IF(LARGE($R154:$T154,1)&lt;=699,"600-699 мм",IF(LARGE($R154:$T154,1)&lt;=999,"700-999 мм","1000+ мм")))))))))</f>
        <v/>
      </c>
      <c r="Y154" s="160">
        <f>IF(LARGE($R154:$T154,2)="","",IF(LARGE($R154:$T154,2)&lt;=99,"10-99 мм",IF(LARGE($R154:$T154,2)&lt;=199,"100-199 мм",IF(LARGE($R154:$T154,2)&lt;=299,"200-299 мм",IF(LARGE($R154:$T154,2)&lt;=399,"300-399 мм",IF(LARGE($R154:$T154,2)&lt;=499,"400-499 мм",IF(LARGE($R154:$T154,2)&lt;=599,"500-599 мм",IF(LARGE($R154:$T154,2)&lt;=699,"600-699 мм",IF(LARGE($R154:$T154,2)&lt;=999,"700-999 мм","1000+ мм")))))))))</f>
        <v/>
      </c>
      <c r="Z154" s="160">
        <f>IF(SMALL($R154:$T154,1)="","",IF(SMALL($R154:$T154,1)&lt;=99,"10-99 мм",IF(SMALL($R154:$T154,1)&lt;=199,"100-199 мм",IF(SMALL($R154:$T154,1)&lt;=299,"200-299 мм",IF(SMALL($R154:$T154,1)&lt;=399,"300-399 мм",IF(SMALL($R154:$T154,1)&lt;=499,"400-499 мм",IF(SMALL($R154:$T154,1)&lt;=599,"500-599 мм",IF(SMALL($R154:$T154,1)&lt;=699,"600-699 мм",IF(SMALL($R154:$T154,1)&lt;=999,"700-999 мм","1000+ мм")))))))))</f>
        <v/>
      </c>
      <c r="AA154" s="101">
        <f>IF(G154="","",IF(G154="Л","Лист гофрокартона",IF(G154="КД","Крышка-дно",IF(G154="С","Самосборные",IF(G154="Ч","Четырехклапанные",IF(G154="А","Архивные","Неизвестно"))))))</f>
        <v/>
      </c>
      <c r="AB154" s="66" t="n">
        <v>1.73</v>
      </c>
      <c r="AC154" s="101">
        <f>IF(O154="","",IF(O154&lt;=1,"0-1 литров",IF(O154&lt;=3,"2-3 литра",IF(O154&lt;=5,"4-5 литра",IF(O154&lt;=7,"6-7 литра",IF(O154&lt;=9,"8-9 литров",IF(O154&lt;=14,"10-14 литров",IF(O154&lt;=19,"15-19 литров",IF(O154&lt;=29,"20-29 литров",IF(O154&lt;=49,"30-49 литров",IF(O154&lt;=59,"50-59 литров",IF(O154&lt;=70,"60-69 литров",IF(O154&lt;=79,"70-79 литров",IF(O154&lt;=89,"80-89 литров",IF(O154&lt;=99,"90-99 литров",IF(O154&lt;=200,"100-200 литров","200+ литров"))))))))))))))))</f>
        <v/>
      </c>
    </row>
    <row r="155">
      <c r="A155" s="64" t="n">
        <v>0.75</v>
      </c>
      <c r="B155" s="65">
        <f>A155*1.2</f>
        <v/>
      </c>
      <c r="C155" s="109" t="n">
        <v>155</v>
      </c>
      <c r="D155" s="116" t="inlineStr">
        <is>
          <t>У</t>
        </is>
      </c>
      <c r="E155" s="88" t="inlineStr">
        <is>
          <t>470х200х110</t>
        </is>
      </c>
      <c r="G155" s="83" t="inlineStr">
        <is>
          <t>Ч</t>
        </is>
      </c>
      <c r="H155" s="146" t="inlineStr">
        <is>
          <t>х</t>
        </is>
      </c>
      <c r="I155" s="83" t="inlineStr">
        <is>
          <t>В</t>
        </is>
      </c>
      <c r="J155" s="83" t="inlineStr">
        <is>
          <t>х</t>
        </is>
      </c>
      <c r="K155" s="116" t="inlineStr">
        <is>
          <t>K156</t>
        </is>
      </c>
      <c r="N155" s="239">
        <f>IF(D155="","",IF(LEFT(D155,1)="0",0,1))</f>
        <v/>
      </c>
      <c r="O155" s="80">
        <f>ROUND(R155*S155*T155/1000000,2)</f>
        <v/>
      </c>
      <c r="P155" s="160">
        <f>IF(O155="","",
IF(O155&lt;1,"0,1-0,9 литров",
IF(O155&lt;2,"1-1,9 литра",
IF(O155&lt;3,"2-2,9 литра",
IF(O155&lt;4,"3-3,9 литра",
IF(O155&lt;6,"4-5,9 литра",IF(O155&lt;8,"6-7,9 литра",IF(O155&lt;10,"8-9,9 литров",IF(O155&lt;15,"10-14,9 литров",IF(O155&lt;20,"15-19,9 литров",IF(O155&lt;30,"20-29 литров",IF(O155&lt;50,"30-49 литров",IF(O155&lt;60,"50-59 литров",IF(O155&lt;70,"60-69 литров",IF(O155&lt;80,"70-79 литров",IF(O155&lt;90,"80-89 литров",IF(O155&lt;100,"90-99 литров",IF(O155&lt;200,"100-200 литров","200+ литров"))))))))))))))))))</f>
        <v/>
      </c>
      <c r="Q155" s="101">
        <f>IF(O155="","",IF(O155&lt;1,"&lt;1 л",IF(O155&lt;2,"1-2 л",IF(O155&lt;3,"2-3 л",IF(O155&lt;5,"3-5 л",IF(O155&lt;10,"5-10 л",IF(O155&lt;20,"10-20 л",IF(O155&lt;50,"20-50 л",IF(O155&lt;100,"50-100 л","100+ л")))))))))</f>
        <v/>
      </c>
      <c r="R155" s="162">
        <f>IF(E155="","",--LEFT(E155,FIND("х",E155)-1))</f>
        <v/>
      </c>
      <c r="S155" s="162">
        <f>IF(E155="","",--MID(E155,FIND("х",E155)+1,FIND("х",E155,FIND("х",E155)+1)-FIND("х",E155)-1))</f>
        <v/>
      </c>
      <c r="T155" s="162">
        <f>IF(E155="","",--RIGHT(E155,LEN(E155)-FIND("х",E155,FIND("х",E155)+1)))</f>
        <v/>
      </c>
      <c r="U155" s="66">
        <f>(2*(R155+S155)+60)*(S155+T155+8)/1000000</f>
        <v/>
      </c>
      <c r="V155" s="66">
        <f>IF(OR(AND(R155&gt;=2*S155,R155&gt;=2*T155),AND(S155&gt;=2*R155,S155&gt;=2*T155),AND(T155&gt;=2*R155,T155&gt;=2*S155)),"Длинные","")</f>
        <v/>
      </c>
      <c r="W155" s="66">
        <f>IF(OR(AND(R155&lt;=S155/2,R155&lt;=T155/2),AND(S155&lt;=R155/2,S155&lt;=T155/2),AND(T155&lt;=R155/2,T155&lt;=S155/2)),"Плоские","")</f>
        <v/>
      </c>
      <c r="X155" s="160">
        <f>IF(LARGE($R155:$T155,1)="","",IF(LARGE($R155:$T155,1)&lt;=99,"10-99 мм",IF(LARGE($R155:$T155,1)&lt;=199,"100-199 мм",IF(LARGE($R155:$T155,1)&lt;=299,"200-299 мм",IF(LARGE($R155:$T155,1)&lt;=399,"300-399 мм",IF(LARGE($R155:$T155,1)&lt;=499,"400-499 мм",IF(LARGE($R155:$T155,1)&lt;=599,"500-599 мм",IF(LARGE($R155:$T155,1)&lt;=699,"600-699 мм",IF(LARGE($R155:$T155,1)&lt;=999,"700-999 мм","1000+ мм")))))))))</f>
        <v/>
      </c>
      <c r="Y155" s="160">
        <f>IF(LARGE($R155:$T155,2)="","",IF(LARGE($R155:$T155,2)&lt;=99,"10-99 мм",IF(LARGE($R155:$T155,2)&lt;=199,"100-199 мм",IF(LARGE($R155:$T155,2)&lt;=299,"200-299 мм",IF(LARGE($R155:$T155,2)&lt;=399,"300-399 мм",IF(LARGE($R155:$T155,2)&lt;=499,"400-499 мм",IF(LARGE($R155:$T155,2)&lt;=599,"500-599 мм",IF(LARGE($R155:$T155,2)&lt;=699,"600-699 мм",IF(LARGE($R155:$T155,2)&lt;=999,"700-999 мм","1000+ мм")))))))))</f>
        <v/>
      </c>
      <c r="Z155" s="160">
        <f>IF(SMALL($R155:$T155,1)="","",IF(SMALL($R155:$T155,1)&lt;=99,"10-99 мм",IF(SMALL($R155:$T155,1)&lt;=199,"100-199 мм",IF(SMALL($R155:$T155,1)&lt;=299,"200-299 мм",IF(SMALL($R155:$T155,1)&lt;=399,"300-399 мм",IF(SMALL($R155:$T155,1)&lt;=499,"400-499 мм",IF(SMALL($R155:$T155,1)&lt;=599,"500-599 мм",IF(SMALL($R155:$T155,1)&lt;=699,"600-699 мм",IF(SMALL($R155:$T155,1)&lt;=999,"700-999 мм","1000+ мм")))))))))</f>
        <v/>
      </c>
      <c r="AA155" s="101">
        <f>IF(G155="","",IF(G155="Л","Лист гофрокартона",IF(G155="КД","Крышка-дно",IF(G155="С","Самосборные",IF(G155="Ч","Четырехклапанные",IF(G155="А","Архивные","Неизвестно"))))))</f>
        <v/>
      </c>
      <c r="AB155" s="66" t="n">
        <v>1.73</v>
      </c>
      <c r="AC155" s="101">
        <f>IF(O155="","",IF(O155&lt;=1,"0-1 литров",IF(O155&lt;=3,"2-3 литра",IF(O155&lt;=5,"4-5 литра",IF(O155&lt;=7,"6-7 литра",IF(O155&lt;=9,"8-9 литров",IF(O155&lt;=14,"10-14 литров",IF(O155&lt;=19,"15-19 литров",IF(O155&lt;=29,"20-29 литров",IF(O155&lt;=49,"30-49 литров",IF(O155&lt;=59,"50-59 литров",IF(O155&lt;=70,"60-69 литров",IF(O155&lt;=79,"70-79 литров",IF(O155&lt;=89,"80-89 литров",IF(O155&lt;=99,"90-99 литров",IF(O155&lt;=200,"100-200 литров","200+ литров"))))))))))))))))</f>
        <v/>
      </c>
    </row>
    <row r="156">
      <c r="A156" s="64" t="n">
        <v>1.05</v>
      </c>
      <c r="B156" s="65">
        <f>A156*1.2</f>
        <v/>
      </c>
      <c r="C156" s="109" t="n">
        <v>156</v>
      </c>
      <c r="D156" s="116" t="inlineStr">
        <is>
          <t>У</t>
        </is>
      </c>
      <c r="E156" s="88" t="inlineStr">
        <is>
          <t>270х270х270</t>
        </is>
      </c>
      <c r="G156" s="83" t="inlineStr">
        <is>
          <t>Ч</t>
        </is>
      </c>
      <c r="H156" s="146" t="inlineStr">
        <is>
          <t>х</t>
        </is>
      </c>
      <c r="I156" s="83" t="inlineStr">
        <is>
          <t>В</t>
        </is>
      </c>
      <c r="J156" s="83" t="inlineStr">
        <is>
          <t>х</t>
        </is>
      </c>
      <c r="K156" s="116" t="inlineStr">
        <is>
          <t>K157</t>
        </is>
      </c>
      <c r="N156" s="239">
        <f>IF(D156="","",IF(LEFT(D156,1)="0",0,1))</f>
        <v/>
      </c>
      <c r="O156" s="80">
        <f>ROUND(R156*S156*T156/1000000,2)</f>
        <v/>
      </c>
      <c r="P156" s="160">
        <f>IF(O156="","",
IF(O156&lt;1,"0,1-0,9 литров",
IF(O156&lt;2,"1-1,9 литра",
IF(O156&lt;3,"2-2,9 литра",
IF(O156&lt;4,"3-3,9 литра",
IF(O156&lt;6,"4-5,9 литра",IF(O156&lt;8,"6-7,9 литра",IF(O156&lt;10,"8-9,9 литров",IF(O156&lt;15,"10-14,9 литров",IF(O156&lt;20,"15-19,9 литров",IF(O156&lt;30,"20-29 литров",IF(O156&lt;50,"30-49 литров",IF(O156&lt;60,"50-59 литров",IF(O156&lt;70,"60-69 литров",IF(O156&lt;80,"70-79 литров",IF(O156&lt;90,"80-89 литров",IF(O156&lt;100,"90-99 литров",IF(O156&lt;200,"100-200 литров","200+ литров"))))))))))))))))))</f>
        <v/>
      </c>
      <c r="Q156" s="101">
        <f>IF(O156="","",IF(O156&lt;1,"&lt;1 л",IF(O156&lt;2,"1-2 л",IF(O156&lt;3,"2-3 л",IF(O156&lt;5,"3-5 л",IF(O156&lt;10,"5-10 л",IF(O156&lt;20,"10-20 л",IF(O156&lt;50,"20-50 л",IF(O156&lt;100,"50-100 л","100+ л")))))))))</f>
        <v/>
      </c>
      <c r="R156" s="162">
        <f>IF(E156="","",--LEFT(E156,FIND("х",E156)-1))</f>
        <v/>
      </c>
      <c r="S156" s="162">
        <f>IF(E156="","",--MID(E156,FIND("х",E156)+1,FIND("х",E156,FIND("х",E156)+1)-FIND("х",E156)-1))</f>
        <v/>
      </c>
      <c r="T156" s="162">
        <f>IF(E156="","",--RIGHT(E156,LEN(E156)-FIND("х",E156,FIND("х",E156)+1)))</f>
        <v/>
      </c>
      <c r="U156" s="66">
        <f>(2*(R156+S156)+60)*(S156+T156+8)/1000000</f>
        <v/>
      </c>
      <c r="V156" s="66">
        <f>IF(OR(AND(R156&gt;=2*S156,R156&gt;=2*T156),AND(S156&gt;=2*R156,S156&gt;=2*T156),AND(T156&gt;=2*R156,T156&gt;=2*S156)),"Длинные","")</f>
        <v/>
      </c>
      <c r="W156" s="66">
        <f>IF(OR(AND(R156&lt;=S156/2,R156&lt;=T156/2),AND(S156&lt;=R156/2,S156&lt;=T156/2),AND(T156&lt;=R156/2,T156&lt;=S156/2)),"Плоские","")</f>
        <v/>
      </c>
      <c r="X156" s="160">
        <f>IF(LARGE($R156:$T156,1)="","",IF(LARGE($R156:$T156,1)&lt;=99,"10-99 мм",IF(LARGE($R156:$T156,1)&lt;=199,"100-199 мм",IF(LARGE($R156:$T156,1)&lt;=299,"200-299 мм",IF(LARGE($R156:$T156,1)&lt;=399,"300-399 мм",IF(LARGE($R156:$T156,1)&lt;=499,"400-499 мм",IF(LARGE($R156:$T156,1)&lt;=599,"500-599 мм",IF(LARGE($R156:$T156,1)&lt;=699,"600-699 мм",IF(LARGE($R156:$T156,1)&lt;=999,"700-999 мм","1000+ мм")))))))))</f>
        <v/>
      </c>
      <c r="Y156" s="160">
        <f>IF(LARGE($R156:$T156,2)="","",IF(LARGE($R156:$T156,2)&lt;=99,"10-99 мм",IF(LARGE($R156:$T156,2)&lt;=199,"100-199 мм",IF(LARGE($R156:$T156,2)&lt;=299,"200-299 мм",IF(LARGE($R156:$T156,2)&lt;=399,"300-399 мм",IF(LARGE($R156:$T156,2)&lt;=499,"400-499 мм",IF(LARGE($R156:$T156,2)&lt;=599,"500-599 мм",IF(LARGE($R156:$T156,2)&lt;=699,"600-699 мм",IF(LARGE($R156:$T156,2)&lt;=999,"700-999 мм","1000+ мм")))))))))</f>
        <v/>
      </c>
      <c r="Z156" s="160">
        <f>IF(SMALL($R156:$T156,1)="","",IF(SMALL($R156:$T156,1)&lt;=99,"10-99 мм",IF(SMALL($R156:$T156,1)&lt;=199,"100-199 мм",IF(SMALL($R156:$T156,1)&lt;=299,"200-299 мм",IF(SMALL($R156:$T156,1)&lt;=399,"300-399 мм",IF(SMALL($R156:$T156,1)&lt;=499,"400-499 мм",IF(SMALL($R156:$T156,1)&lt;=599,"500-599 мм",IF(SMALL($R156:$T156,1)&lt;=699,"600-699 мм",IF(SMALL($R156:$T156,1)&lt;=999,"700-999 мм","1000+ мм")))))))))</f>
        <v/>
      </c>
      <c r="AA156" s="101">
        <f>IF(G156="","",IF(G156="Л","Лист гофрокартона",IF(G156="КД","Крышка-дно",IF(G156="С","Самосборные",IF(G156="Ч","Четырехклапанные",IF(G156="А","Архивные","Неизвестно"))))))</f>
        <v/>
      </c>
      <c r="AB156" s="66" t="n">
        <v>1.73</v>
      </c>
      <c r="AC156" s="101">
        <f>IF(O156="","",IF(O156&lt;=1,"0-1 литров",IF(O156&lt;=3,"2-3 литра",IF(O156&lt;=5,"4-5 литра",IF(O156&lt;=7,"6-7 литра",IF(O156&lt;=9,"8-9 литров",IF(O156&lt;=14,"10-14 литров",IF(O156&lt;=19,"15-19 литров",IF(O156&lt;=29,"20-29 литров",IF(O156&lt;=49,"30-49 литров",IF(O156&lt;=59,"50-59 литров",IF(O156&lt;=70,"60-69 литров",IF(O156&lt;=79,"70-79 литров",IF(O156&lt;=89,"80-89 литров",IF(O156&lt;=99,"90-99 литров",IF(O156&lt;=200,"100-200 литров","200+ литров"))))))))))))))))</f>
        <v/>
      </c>
    </row>
    <row r="157">
      <c r="A157" s="64" t="n">
        <v>0.27</v>
      </c>
      <c r="B157" s="65">
        <f>A157*1.2</f>
        <v/>
      </c>
      <c r="C157" s="109" t="n">
        <v>157</v>
      </c>
      <c r="D157" s="116" t="inlineStr">
        <is>
          <t>У</t>
        </is>
      </c>
      <c r="E157" s="88" t="inlineStr">
        <is>
          <t>140х95х205</t>
        </is>
      </c>
      <c r="G157" s="83" t="inlineStr">
        <is>
          <t>Ч</t>
        </is>
      </c>
      <c r="H157" s="146" t="inlineStr">
        <is>
          <t>х</t>
        </is>
      </c>
      <c r="I157" s="83" t="inlineStr">
        <is>
          <t>В</t>
        </is>
      </c>
      <c r="J157" s="83" t="inlineStr">
        <is>
          <t>х</t>
        </is>
      </c>
      <c r="K157" s="116" t="inlineStr">
        <is>
          <t>K158</t>
        </is>
      </c>
      <c r="N157" s="239">
        <f>IF(D157="","",IF(LEFT(D157,1)="0",0,1))</f>
        <v/>
      </c>
      <c r="O157" s="80">
        <f>ROUND(R157*S157*T157/1000000,2)</f>
        <v/>
      </c>
      <c r="P157" s="160">
        <f>IF(O157="","",
IF(O157&lt;1,"0,1-0,9 литров",
IF(O157&lt;2,"1-1,9 литра",
IF(O157&lt;3,"2-2,9 литра",
IF(O157&lt;4,"3-3,9 литра",
IF(O157&lt;6,"4-5,9 литра",IF(O157&lt;8,"6-7,9 литра",IF(O157&lt;10,"8-9,9 литров",IF(O157&lt;15,"10-14,9 литров",IF(O157&lt;20,"15-19,9 литров",IF(O157&lt;30,"20-29 литров",IF(O157&lt;50,"30-49 литров",IF(O157&lt;60,"50-59 литров",IF(O157&lt;70,"60-69 литров",IF(O157&lt;80,"70-79 литров",IF(O157&lt;90,"80-89 литров",IF(O157&lt;100,"90-99 литров",IF(O157&lt;200,"100-200 литров","200+ литров"))))))))))))))))))</f>
        <v/>
      </c>
      <c r="Q157" s="101">
        <f>IF(O157="","",IF(O157&lt;1,"&lt;1 л",IF(O157&lt;2,"1-2 л",IF(O157&lt;3,"2-3 л",IF(O157&lt;5,"3-5 л",IF(O157&lt;10,"5-10 л",IF(O157&lt;20,"10-20 л",IF(O157&lt;50,"20-50 л",IF(O157&lt;100,"50-100 л","100+ л")))))))))</f>
        <v/>
      </c>
      <c r="R157" s="162">
        <f>IF(E157="","",--LEFT(E157,FIND("х",E157)-1))</f>
        <v/>
      </c>
      <c r="S157" s="162">
        <f>IF(E157="","",--MID(E157,FIND("х",E157)+1,FIND("х",E157,FIND("х",E157)+1)-FIND("х",E157)-1))</f>
        <v/>
      </c>
      <c r="T157" s="162">
        <f>IF(E157="","",--RIGHT(E157,LEN(E157)-FIND("х",E157,FIND("х",E157)+1)))</f>
        <v/>
      </c>
      <c r="U157" s="66">
        <f>(2*(R157+S157)+60)*(S157+T157+8)/1000000</f>
        <v/>
      </c>
      <c r="V157" s="66">
        <f>IF(OR(AND(R157&gt;=2*S157,R157&gt;=2*T157),AND(S157&gt;=2*R157,S157&gt;=2*T157),AND(T157&gt;=2*R157,T157&gt;=2*S157)),"Длинные","")</f>
        <v/>
      </c>
      <c r="W157" s="66">
        <f>IF(OR(AND(R157&lt;=S157/2,R157&lt;=T157/2),AND(S157&lt;=R157/2,S157&lt;=T157/2),AND(T157&lt;=R157/2,T157&lt;=S157/2)),"Плоские","")</f>
        <v/>
      </c>
      <c r="X157" s="160">
        <f>IF(LARGE($R157:$T157,1)="","",IF(LARGE($R157:$T157,1)&lt;=99,"10-99 мм",IF(LARGE($R157:$T157,1)&lt;=199,"100-199 мм",IF(LARGE($R157:$T157,1)&lt;=299,"200-299 мм",IF(LARGE($R157:$T157,1)&lt;=399,"300-399 мм",IF(LARGE($R157:$T157,1)&lt;=499,"400-499 мм",IF(LARGE($R157:$T157,1)&lt;=599,"500-599 мм",IF(LARGE($R157:$T157,1)&lt;=699,"600-699 мм",IF(LARGE($R157:$T157,1)&lt;=999,"700-999 мм","1000+ мм")))))))))</f>
        <v/>
      </c>
      <c r="Y157" s="160">
        <f>IF(LARGE($R157:$T157,2)="","",IF(LARGE($R157:$T157,2)&lt;=99,"10-99 мм",IF(LARGE($R157:$T157,2)&lt;=199,"100-199 мм",IF(LARGE($R157:$T157,2)&lt;=299,"200-299 мм",IF(LARGE($R157:$T157,2)&lt;=399,"300-399 мм",IF(LARGE($R157:$T157,2)&lt;=499,"400-499 мм",IF(LARGE($R157:$T157,2)&lt;=599,"500-599 мм",IF(LARGE($R157:$T157,2)&lt;=699,"600-699 мм",IF(LARGE($R157:$T157,2)&lt;=999,"700-999 мм","1000+ мм")))))))))</f>
        <v/>
      </c>
      <c r="Z157" s="160">
        <f>IF(SMALL($R157:$T157,1)="","",IF(SMALL($R157:$T157,1)&lt;=99,"10-99 мм",IF(SMALL($R157:$T157,1)&lt;=199,"100-199 мм",IF(SMALL($R157:$T157,1)&lt;=299,"200-299 мм",IF(SMALL($R157:$T157,1)&lt;=399,"300-399 мм",IF(SMALL($R157:$T157,1)&lt;=499,"400-499 мм",IF(SMALL($R157:$T157,1)&lt;=599,"500-599 мм",IF(SMALL($R157:$T157,1)&lt;=699,"600-699 мм",IF(SMALL($R157:$T157,1)&lt;=999,"700-999 мм","1000+ мм")))))))))</f>
        <v/>
      </c>
      <c r="AA157" s="101">
        <f>IF(G157="","",IF(G157="Л","Лист гофрокартона",IF(G157="КД","Крышка-дно",IF(G157="С","Самосборные",IF(G157="Ч","Четырехклапанные",IF(G157="А","Архивные","Неизвестно"))))))</f>
        <v/>
      </c>
      <c r="AB157" s="66" t="n">
        <v>1.73</v>
      </c>
      <c r="AC157" s="101">
        <f>IF(O157="","",IF(O157&lt;=1,"0-1 литров",IF(O157&lt;=3,"2-3 литра",IF(O157&lt;=5,"4-5 литра",IF(O157&lt;=7,"6-7 литра",IF(O157&lt;=9,"8-9 литров",IF(O157&lt;=14,"10-14 литров",IF(O157&lt;=19,"15-19 литров",IF(O157&lt;=29,"20-29 литров",IF(O157&lt;=49,"30-49 литров",IF(O157&lt;=59,"50-59 литров",IF(O157&lt;=70,"60-69 литров",IF(O157&lt;=79,"70-79 литров",IF(O157&lt;=89,"80-89 литров",IF(O157&lt;=99,"90-99 литров",IF(O157&lt;=200,"100-200 литров","200+ литров"))))))))))))))))</f>
        <v/>
      </c>
    </row>
    <row r="158">
      <c r="A158" s="64" t="n">
        <v>0.27</v>
      </c>
      <c r="B158" s="65">
        <f>A158*1.2</f>
        <v/>
      </c>
      <c r="C158" s="109" t="n">
        <v>158</v>
      </c>
      <c r="D158" s="116" t="inlineStr">
        <is>
          <t>У</t>
        </is>
      </c>
      <c r="E158" s="88" t="inlineStr">
        <is>
          <t>210х103х130</t>
        </is>
      </c>
      <c r="G158" s="83" t="inlineStr">
        <is>
          <t>Ч</t>
        </is>
      </c>
      <c r="H158" s="146" t="inlineStr">
        <is>
          <t>х</t>
        </is>
      </c>
      <c r="I158" s="83" t="inlineStr">
        <is>
          <t>В</t>
        </is>
      </c>
      <c r="J158" s="83" t="inlineStr">
        <is>
          <t>х</t>
        </is>
      </c>
      <c r="K158" s="116" t="inlineStr">
        <is>
          <t>K159</t>
        </is>
      </c>
      <c r="N158" s="239">
        <f>IF(D158="","",IF(LEFT(D158,1)="0",0,1))</f>
        <v/>
      </c>
      <c r="O158" s="80">
        <f>ROUND(R158*S158*T158/1000000,2)</f>
        <v/>
      </c>
      <c r="P158" s="160">
        <f>IF(O158="","",
IF(O158&lt;1,"0,1-0,9 литров",
IF(O158&lt;2,"1-1,9 литра",
IF(O158&lt;3,"2-2,9 литра",
IF(O158&lt;4,"3-3,9 литра",
IF(O158&lt;6,"4-5,9 литра",IF(O158&lt;8,"6-7,9 литра",IF(O158&lt;10,"8-9,9 литров",IF(O158&lt;15,"10-14,9 литров",IF(O158&lt;20,"15-19,9 литров",IF(O158&lt;30,"20-29 литров",IF(O158&lt;50,"30-49 литров",IF(O158&lt;60,"50-59 литров",IF(O158&lt;70,"60-69 литров",IF(O158&lt;80,"70-79 литров",IF(O158&lt;90,"80-89 литров",IF(O158&lt;100,"90-99 литров",IF(O158&lt;200,"100-200 литров","200+ литров"))))))))))))))))))</f>
        <v/>
      </c>
      <c r="Q158" s="101">
        <f>IF(O158="","",IF(O158&lt;1,"&lt;1 л",IF(O158&lt;2,"1-2 л",IF(O158&lt;3,"2-3 л",IF(O158&lt;5,"3-5 л",IF(O158&lt;10,"5-10 л",IF(O158&lt;20,"10-20 л",IF(O158&lt;50,"20-50 л",IF(O158&lt;100,"50-100 л","100+ л")))))))))</f>
        <v/>
      </c>
      <c r="R158" s="162">
        <f>IF(E158="","",--LEFT(E158,FIND("х",E158)-1))</f>
        <v/>
      </c>
      <c r="S158" s="162">
        <f>IF(E158="","",--MID(E158,FIND("х",E158)+1,FIND("х",E158,FIND("х",E158)+1)-FIND("х",E158)-1))</f>
        <v/>
      </c>
      <c r="T158" s="162">
        <f>IF(E158="","",--RIGHT(E158,LEN(E158)-FIND("х",E158,FIND("х",E158)+1)))</f>
        <v/>
      </c>
      <c r="U158" s="66">
        <f>(2*(R158+S158)+60)*(S158+T158+8)/1000000</f>
        <v/>
      </c>
      <c r="V158" s="66">
        <f>IF(OR(AND(R158&gt;=2*S158,R158&gt;=2*T158),AND(S158&gt;=2*R158,S158&gt;=2*T158),AND(T158&gt;=2*R158,T158&gt;=2*S158)),"Длинные","")</f>
        <v/>
      </c>
      <c r="W158" s="66">
        <f>IF(OR(AND(R158&lt;=S158/2,R158&lt;=T158/2),AND(S158&lt;=R158/2,S158&lt;=T158/2),AND(T158&lt;=R158/2,T158&lt;=S158/2)),"Плоские","")</f>
        <v/>
      </c>
      <c r="X158" s="160">
        <f>IF(LARGE($R158:$T158,1)="","",IF(LARGE($R158:$T158,1)&lt;=99,"10-99 мм",IF(LARGE($R158:$T158,1)&lt;=199,"100-199 мм",IF(LARGE($R158:$T158,1)&lt;=299,"200-299 мм",IF(LARGE($R158:$T158,1)&lt;=399,"300-399 мм",IF(LARGE($R158:$T158,1)&lt;=499,"400-499 мм",IF(LARGE($R158:$T158,1)&lt;=599,"500-599 мм",IF(LARGE($R158:$T158,1)&lt;=699,"600-699 мм",IF(LARGE($R158:$T158,1)&lt;=999,"700-999 мм","1000+ мм")))))))))</f>
        <v/>
      </c>
      <c r="Y158" s="160">
        <f>IF(LARGE($R158:$T158,2)="","",IF(LARGE($R158:$T158,2)&lt;=99,"10-99 мм",IF(LARGE($R158:$T158,2)&lt;=199,"100-199 мм",IF(LARGE($R158:$T158,2)&lt;=299,"200-299 мм",IF(LARGE($R158:$T158,2)&lt;=399,"300-399 мм",IF(LARGE($R158:$T158,2)&lt;=499,"400-499 мм",IF(LARGE($R158:$T158,2)&lt;=599,"500-599 мм",IF(LARGE($R158:$T158,2)&lt;=699,"600-699 мм",IF(LARGE($R158:$T158,2)&lt;=999,"700-999 мм","1000+ мм")))))))))</f>
        <v/>
      </c>
      <c r="Z158" s="160">
        <f>IF(SMALL($R158:$T158,1)="","",IF(SMALL($R158:$T158,1)&lt;=99,"10-99 мм",IF(SMALL($R158:$T158,1)&lt;=199,"100-199 мм",IF(SMALL($R158:$T158,1)&lt;=299,"200-299 мм",IF(SMALL($R158:$T158,1)&lt;=399,"300-399 мм",IF(SMALL($R158:$T158,1)&lt;=499,"400-499 мм",IF(SMALL($R158:$T158,1)&lt;=599,"500-599 мм",IF(SMALL($R158:$T158,1)&lt;=699,"600-699 мм",IF(SMALL($R158:$T158,1)&lt;=999,"700-999 мм","1000+ мм")))))))))</f>
        <v/>
      </c>
      <c r="AA158" s="101">
        <f>IF(G158="","",IF(G158="Л","Лист гофрокартона",IF(G158="КД","Крышка-дно",IF(G158="С","Самосборные",IF(G158="Ч","Четырехклапанные",IF(G158="А","Архивные","Неизвестно"))))))</f>
        <v/>
      </c>
      <c r="AB158" s="66" t="n">
        <v>1.73</v>
      </c>
      <c r="AC158" s="101">
        <f>IF(O158="","",IF(O158&lt;=1,"0-1 литров",IF(O158&lt;=3,"2-3 литра",IF(O158&lt;=5,"4-5 литра",IF(O158&lt;=7,"6-7 литра",IF(O158&lt;=9,"8-9 литров",IF(O158&lt;=14,"10-14 литров",IF(O158&lt;=19,"15-19 литров",IF(O158&lt;=29,"20-29 литров",IF(O158&lt;=49,"30-49 литров",IF(O158&lt;=59,"50-59 литров",IF(O158&lt;=70,"60-69 литров",IF(O158&lt;=79,"70-79 литров",IF(O158&lt;=89,"80-89 литров",IF(O158&lt;=99,"90-99 литров",IF(O158&lt;=200,"100-200 литров","200+ литров"))))))))))))))))</f>
        <v/>
      </c>
    </row>
    <row r="159">
      <c r="A159" s="64" t="n">
        <v>0.88</v>
      </c>
      <c r="B159" s="65">
        <f>A159*1.2</f>
        <v/>
      </c>
      <c r="C159" s="109" t="n">
        <v>159</v>
      </c>
      <c r="D159" s="116" t="inlineStr">
        <is>
          <t>У</t>
        </is>
      </c>
      <c r="E159" s="88" t="inlineStr">
        <is>
          <t>350х230х190</t>
        </is>
      </c>
      <c r="G159" s="83" t="inlineStr">
        <is>
          <t>Ч</t>
        </is>
      </c>
      <c r="H159" s="146" t="inlineStr">
        <is>
          <t>х</t>
        </is>
      </c>
      <c r="I159" s="83" t="inlineStr">
        <is>
          <t>В</t>
        </is>
      </c>
      <c r="J159" s="83" t="inlineStr">
        <is>
          <t>х</t>
        </is>
      </c>
      <c r="K159" s="116" t="inlineStr">
        <is>
          <t>K160</t>
        </is>
      </c>
      <c r="N159" s="239">
        <f>IF(D159="","",IF(LEFT(D159,1)="0",0,1))</f>
        <v/>
      </c>
      <c r="O159" s="80">
        <f>ROUND(R159*S159*T159/1000000,2)</f>
        <v/>
      </c>
      <c r="P159" s="160">
        <f>IF(O159="","",
IF(O159&lt;1,"0,1-0,9 литров",
IF(O159&lt;2,"1-1,9 литра",
IF(O159&lt;3,"2-2,9 литра",
IF(O159&lt;4,"3-3,9 литра",
IF(O159&lt;6,"4-5,9 литра",IF(O159&lt;8,"6-7,9 литра",IF(O159&lt;10,"8-9,9 литров",IF(O159&lt;15,"10-14,9 литров",IF(O159&lt;20,"15-19,9 литров",IF(O159&lt;30,"20-29 литров",IF(O159&lt;50,"30-49 литров",IF(O159&lt;60,"50-59 литров",IF(O159&lt;70,"60-69 литров",IF(O159&lt;80,"70-79 литров",IF(O159&lt;90,"80-89 литров",IF(O159&lt;100,"90-99 литров",IF(O159&lt;200,"100-200 литров","200+ литров"))))))))))))))))))</f>
        <v/>
      </c>
      <c r="Q159" s="101">
        <f>IF(O159="","",IF(O159&lt;1,"&lt;1 л",IF(O159&lt;2,"1-2 л",IF(O159&lt;3,"2-3 л",IF(O159&lt;5,"3-5 л",IF(O159&lt;10,"5-10 л",IF(O159&lt;20,"10-20 л",IF(O159&lt;50,"20-50 л",IF(O159&lt;100,"50-100 л","100+ л")))))))))</f>
        <v/>
      </c>
      <c r="R159" s="162">
        <f>IF(E159="","",--LEFT(E159,FIND("х",E159)-1))</f>
        <v/>
      </c>
      <c r="S159" s="162">
        <f>IF(E159="","",--MID(E159,FIND("х",E159)+1,FIND("х",E159,FIND("х",E159)+1)-FIND("х",E159)-1))</f>
        <v/>
      </c>
      <c r="T159" s="162">
        <f>IF(E159="","",--RIGHT(E159,LEN(E159)-FIND("х",E159,FIND("х",E159)+1)))</f>
        <v/>
      </c>
      <c r="U159" s="66">
        <f>(2*(R159+S159)+60)*(S159+T159+8)/1000000</f>
        <v/>
      </c>
      <c r="V159" s="66">
        <f>IF(OR(AND(R159&gt;=2*S159,R159&gt;=2*T159),AND(S159&gt;=2*R159,S159&gt;=2*T159),AND(T159&gt;=2*R159,T159&gt;=2*S159)),"Длинные","")</f>
        <v/>
      </c>
      <c r="W159" s="66">
        <f>IF(OR(AND(R159&lt;=S159/2,R159&lt;=T159/2),AND(S159&lt;=R159/2,S159&lt;=T159/2),AND(T159&lt;=R159/2,T159&lt;=S159/2)),"Плоские","")</f>
        <v/>
      </c>
      <c r="X159" s="160">
        <f>IF(LARGE($R159:$T159,1)="","",IF(LARGE($R159:$T159,1)&lt;=99,"10-99 мм",IF(LARGE($R159:$T159,1)&lt;=199,"100-199 мм",IF(LARGE($R159:$T159,1)&lt;=299,"200-299 мм",IF(LARGE($R159:$T159,1)&lt;=399,"300-399 мм",IF(LARGE($R159:$T159,1)&lt;=499,"400-499 мм",IF(LARGE($R159:$T159,1)&lt;=599,"500-599 мм",IF(LARGE($R159:$T159,1)&lt;=699,"600-699 мм",IF(LARGE($R159:$T159,1)&lt;=999,"700-999 мм","1000+ мм")))))))))</f>
        <v/>
      </c>
      <c r="Y159" s="160">
        <f>IF(LARGE($R159:$T159,2)="","",IF(LARGE($R159:$T159,2)&lt;=99,"10-99 мм",IF(LARGE($R159:$T159,2)&lt;=199,"100-199 мм",IF(LARGE($R159:$T159,2)&lt;=299,"200-299 мм",IF(LARGE($R159:$T159,2)&lt;=399,"300-399 мм",IF(LARGE($R159:$T159,2)&lt;=499,"400-499 мм",IF(LARGE($R159:$T159,2)&lt;=599,"500-599 мм",IF(LARGE($R159:$T159,2)&lt;=699,"600-699 мм",IF(LARGE($R159:$T159,2)&lt;=999,"700-999 мм","1000+ мм")))))))))</f>
        <v/>
      </c>
      <c r="Z159" s="160">
        <f>IF(SMALL($R159:$T159,1)="","",IF(SMALL($R159:$T159,1)&lt;=99,"10-99 мм",IF(SMALL($R159:$T159,1)&lt;=199,"100-199 мм",IF(SMALL($R159:$T159,1)&lt;=299,"200-299 мм",IF(SMALL($R159:$T159,1)&lt;=399,"300-399 мм",IF(SMALL($R159:$T159,1)&lt;=499,"400-499 мм",IF(SMALL($R159:$T159,1)&lt;=599,"500-599 мм",IF(SMALL($R159:$T159,1)&lt;=699,"600-699 мм",IF(SMALL($R159:$T159,1)&lt;=999,"700-999 мм","1000+ мм")))))))))</f>
        <v/>
      </c>
      <c r="AA159" s="101">
        <f>IF(G159="","",IF(G159="Л","Лист гофрокартона",IF(G159="КД","Крышка-дно",IF(G159="С","Самосборные",IF(G159="Ч","Четырехклапанные",IF(G159="А","Архивные","Неизвестно"))))))</f>
        <v/>
      </c>
      <c r="AB159" s="66" t="n">
        <v>1.73</v>
      </c>
      <c r="AC159" s="101">
        <f>IF(O159="","",IF(O159&lt;=1,"0-1 литров",IF(O159&lt;=3,"2-3 литра",IF(O159&lt;=5,"4-5 литра",IF(O159&lt;=7,"6-7 литра",IF(O159&lt;=9,"8-9 литров",IF(O159&lt;=14,"10-14 литров",IF(O159&lt;=19,"15-19 литров",IF(O159&lt;=29,"20-29 литров",IF(O159&lt;=49,"30-49 литров",IF(O159&lt;=59,"50-59 литров",IF(O159&lt;=70,"60-69 литров",IF(O159&lt;=79,"70-79 литров",IF(O159&lt;=89,"80-89 литров",IF(O159&lt;=99,"90-99 литров",IF(O159&lt;=200,"100-200 литров","200+ литров"))))))))))))))))</f>
        <v/>
      </c>
    </row>
    <row r="160">
      <c r="A160" s="64" t="n">
        <v>2.16</v>
      </c>
      <c r="B160" s="65">
        <f>A160*1.2</f>
        <v/>
      </c>
      <c r="C160" s="109" t="n">
        <v>160</v>
      </c>
      <c r="D160" s="116" t="inlineStr">
        <is>
          <t>У</t>
        </is>
      </c>
      <c r="E160" s="88" t="inlineStr">
        <is>
          <t>560х360х300</t>
        </is>
      </c>
      <c r="G160" s="83" t="inlineStr">
        <is>
          <t>Ч</t>
        </is>
      </c>
      <c r="H160" s="146" t="inlineStr">
        <is>
          <t>х</t>
        </is>
      </c>
      <c r="I160" s="83" t="inlineStr">
        <is>
          <t>В</t>
        </is>
      </c>
      <c r="J160" s="83" t="inlineStr">
        <is>
          <t>х</t>
        </is>
      </c>
      <c r="K160" s="116" t="inlineStr">
        <is>
          <t>K161</t>
        </is>
      </c>
      <c r="N160" s="239">
        <f>IF(D160="","",IF(LEFT(D160,1)="0",0,1))</f>
        <v/>
      </c>
      <c r="O160" s="80">
        <f>ROUND(R160*S160*T160/1000000,2)</f>
        <v/>
      </c>
      <c r="P160" s="160">
        <f>IF(O160="","",
IF(O160&lt;1,"0,1-0,9 литров",
IF(O160&lt;2,"1-1,9 литра",
IF(O160&lt;3,"2-2,9 литра",
IF(O160&lt;4,"3-3,9 литра",
IF(O160&lt;6,"4-5,9 литра",IF(O160&lt;8,"6-7,9 литра",IF(O160&lt;10,"8-9,9 литров",IF(O160&lt;15,"10-14,9 литров",IF(O160&lt;20,"15-19,9 литров",IF(O160&lt;30,"20-29 литров",IF(O160&lt;50,"30-49 литров",IF(O160&lt;60,"50-59 литров",IF(O160&lt;70,"60-69 литров",IF(O160&lt;80,"70-79 литров",IF(O160&lt;90,"80-89 литров",IF(O160&lt;100,"90-99 литров",IF(O160&lt;200,"100-200 литров","200+ литров"))))))))))))))))))</f>
        <v/>
      </c>
      <c r="Q160" s="101">
        <f>IF(O160="","",IF(O160&lt;1,"&lt;1 л",IF(O160&lt;2,"1-2 л",IF(O160&lt;3,"2-3 л",IF(O160&lt;5,"3-5 л",IF(O160&lt;10,"5-10 л",IF(O160&lt;20,"10-20 л",IF(O160&lt;50,"20-50 л",IF(O160&lt;100,"50-100 л","100+ л")))))))))</f>
        <v/>
      </c>
      <c r="R160" s="162">
        <f>IF(E160="","",--LEFT(E160,FIND("х",E160)-1))</f>
        <v/>
      </c>
      <c r="S160" s="162">
        <f>IF(E160="","",--MID(E160,FIND("х",E160)+1,FIND("х",E160,FIND("х",E160)+1)-FIND("х",E160)-1))</f>
        <v/>
      </c>
      <c r="T160" s="162">
        <f>IF(E160="","",--RIGHT(E160,LEN(E160)-FIND("х",E160,FIND("х",E160)+1)))</f>
        <v/>
      </c>
      <c r="U160" s="66">
        <f>(2*(R160+S160)+60)*(S160+T160+8)/1000000</f>
        <v/>
      </c>
      <c r="V160" s="66">
        <f>IF(OR(AND(R160&gt;=2*S160,R160&gt;=2*T160),AND(S160&gt;=2*R160,S160&gt;=2*T160),AND(T160&gt;=2*R160,T160&gt;=2*S160)),"Длинные","")</f>
        <v/>
      </c>
      <c r="W160" s="66">
        <f>IF(OR(AND(R160&lt;=S160/2,R160&lt;=T160/2),AND(S160&lt;=R160/2,S160&lt;=T160/2),AND(T160&lt;=R160/2,T160&lt;=S160/2)),"Плоские","")</f>
        <v/>
      </c>
      <c r="X160" s="160">
        <f>IF(LARGE($R160:$T160,1)="","",IF(LARGE($R160:$T160,1)&lt;=99,"10-99 мм",IF(LARGE($R160:$T160,1)&lt;=199,"100-199 мм",IF(LARGE($R160:$T160,1)&lt;=299,"200-299 мм",IF(LARGE($R160:$T160,1)&lt;=399,"300-399 мм",IF(LARGE($R160:$T160,1)&lt;=499,"400-499 мм",IF(LARGE($R160:$T160,1)&lt;=599,"500-599 мм",IF(LARGE($R160:$T160,1)&lt;=699,"600-699 мм",IF(LARGE($R160:$T160,1)&lt;=999,"700-999 мм","1000+ мм")))))))))</f>
        <v/>
      </c>
      <c r="Y160" s="160">
        <f>IF(LARGE($R160:$T160,2)="","",IF(LARGE($R160:$T160,2)&lt;=99,"10-99 мм",IF(LARGE($R160:$T160,2)&lt;=199,"100-199 мм",IF(LARGE($R160:$T160,2)&lt;=299,"200-299 мм",IF(LARGE($R160:$T160,2)&lt;=399,"300-399 мм",IF(LARGE($R160:$T160,2)&lt;=499,"400-499 мм",IF(LARGE($R160:$T160,2)&lt;=599,"500-599 мм",IF(LARGE($R160:$T160,2)&lt;=699,"600-699 мм",IF(LARGE($R160:$T160,2)&lt;=999,"700-999 мм","1000+ мм")))))))))</f>
        <v/>
      </c>
      <c r="Z160" s="160">
        <f>IF(SMALL($R160:$T160,1)="","",IF(SMALL($R160:$T160,1)&lt;=99,"10-99 мм",IF(SMALL($R160:$T160,1)&lt;=199,"100-199 мм",IF(SMALL($R160:$T160,1)&lt;=299,"200-299 мм",IF(SMALL($R160:$T160,1)&lt;=399,"300-399 мм",IF(SMALL($R160:$T160,1)&lt;=499,"400-499 мм",IF(SMALL($R160:$T160,1)&lt;=599,"500-599 мм",IF(SMALL($R160:$T160,1)&lt;=699,"600-699 мм",IF(SMALL($R160:$T160,1)&lt;=999,"700-999 мм","1000+ мм")))))))))</f>
        <v/>
      </c>
      <c r="AA160" s="101">
        <f>IF(G160="","",IF(G160="Л","Лист гофрокартона",IF(G160="КД","Крышка-дно",IF(G160="С","Самосборные",IF(G160="Ч","Четырехклапанные",IF(G160="А","Архивные","Неизвестно"))))))</f>
        <v/>
      </c>
      <c r="AB160" s="66" t="n">
        <v>1.73</v>
      </c>
      <c r="AC160" s="101">
        <f>IF(O160="","",IF(O160&lt;=1,"0-1 литров",IF(O160&lt;=3,"2-3 литра",IF(O160&lt;=5,"4-5 литра",IF(O160&lt;=7,"6-7 литра",IF(O160&lt;=9,"8-9 литров",IF(O160&lt;=14,"10-14 литров",IF(O160&lt;=19,"15-19 литров",IF(O160&lt;=29,"20-29 литров",IF(O160&lt;=49,"30-49 литров",IF(O160&lt;=59,"50-59 литров",IF(O160&lt;=70,"60-69 литров",IF(O160&lt;=79,"70-79 литров",IF(O160&lt;=89,"80-89 литров",IF(O160&lt;=99,"90-99 литров",IF(O160&lt;=200,"100-200 литров","200+ литров"))))))))))))))))</f>
        <v/>
      </c>
    </row>
    <row r="161">
      <c r="A161" s="64" t="n">
        <v>0.32</v>
      </c>
      <c r="B161" s="65">
        <f>A161*1.2</f>
        <v/>
      </c>
      <c r="C161" s="109" t="n">
        <v>161</v>
      </c>
      <c r="D161" s="116" t="inlineStr">
        <is>
          <t>У</t>
        </is>
      </c>
      <c r="E161" s="88" t="inlineStr">
        <is>
          <t>200х120х150</t>
        </is>
      </c>
      <c r="G161" s="83" t="inlineStr">
        <is>
          <t>Ч</t>
        </is>
      </c>
      <c r="H161" s="146" t="inlineStr">
        <is>
          <t>х</t>
        </is>
      </c>
      <c r="I161" s="83" t="inlineStr">
        <is>
          <t>В</t>
        </is>
      </c>
      <c r="J161" s="83" t="inlineStr">
        <is>
          <t>х</t>
        </is>
      </c>
      <c r="K161" s="116" t="inlineStr">
        <is>
          <t>K162</t>
        </is>
      </c>
      <c r="N161" s="239">
        <f>IF(D161="","",IF(LEFT(D161,1)="0",0,1))</f>
        <v/>
      </c>
      <c r="O161" s="80">
        <f>ROUND(R161*S161*T161/1000000,2)</f>
        <v/>
      </c>
      <c r="P161" s="160">
        <f>IF(O161="","",
IF(O161&lt;1,"0,1-0,9 литров",
IF(O161&lt;2,"1-1,9 литра",
IF(O161&lt;3,"2-2,9 литра",
IF(O161&lt;4,"3-3,9 литра",
IF(O161&lt;6,"4-5,9 литра",IF(O161&lt;8,"6-7,9 литра",IF(O161&lt;10,"8-9,9 литров",IF(O161&lt;15,"10-14,9 литров",IF(O161&lt;20,"15-19,9 литров",IF(O161&lt;30,"20-29 литров",IF(O161&lt;50,"30-49 литров",IF(O161&lt;60,"50-59 литров",IF(O161&lt;70,"60-69 литров",IF(O161&lt;80,"70-79 литров",IF(O161&lt;90,"80-89 литров",IF(O161&lt;100,"90-99 литров",IF(O161&lt;200,"100-200 литров","200+ литров"))))))))))))))))))</f>
        <v/>
      </c>
      <c r="Q161" s="101">
        <f>IF(O161="","",IF(O161&lt;1,"&lt;1 л",IF(O161&lt;2,"1-2 л",IF(O161&lt;3,"2-3 л",IF(O161&lt;5,"3-5 л",IF(O161&lt;10,"5-10 л",IF(O161&lt;20,"10-20 л",IF(O161&lt;50,"20-50 л",IF(O161&lt;100,"50-100 л","100+ л")))))))))</f>
        <v/>
      </c>
      <c r="R161" s="162">
        <f>IF(E161="","",--LEFT(E161,FIND("х",E161)-1))</f>
        <v/>
      </c>
      <c r="S161" s="162">
        <f>IF(E161="","",--MID(E161,FIND("х",E161)+1,FIND("х",E161,FIND("х",E161)+1)-FIND("х",E161)-1))</f>
        <v/>
      </c>
      <c r="T161" s="162">
        <f>IF(E161="","",--RIGHT(E161,LEN(E161)-FIND("х",E161,FIND("х",E161)+1)))</f>
        <v/>
      </c>
      <c r="U161" s="66">
        <f>(2*(R161+S161)+60)*(S161+T161+8)/1000000</f>
        <v/>
      </c>
      <c r="V161" s="66">
        <f>IF(OR(AND(R161&gt;=2*S161,R161&gt;=2*T161),AND(S161&gt;=2*R161,S161&gt;=2*T161),AND(T161&gt;=2*R161,T161&gt;=2*S161)),"Длинные","")</f>
        <v/>
      </c>
      <c r="W161" s="66">
        <f>IF(OR(AND(R161&lt;=S161/2,R161&lt;=T161/2),AND(S161&lt;=R161/2,S161&lt;=T161/2),AND(T161&lt;=R161/2,T161&lt;=S161/2)),"Плоские","")</f>
        <v/>
      </c>
      <c r="X161" s="160">
        <f>IF(LARGE($R161:$T161,1)="","",IF(LARGE($R161:$T161,1)&lt;=99,"10-99 мм",IF(LARGE($R161:$T161,1)&lt;=199,"100-199 мм",IF(LARGE($R161:$T161,1)&lt;=299,"200-299 мм",IF(LARGE($R161:$T161,1)&lt;=399,"300-399 мм",IF(LARGE($R161:$T161,1)&lt;=499,"400-499 мм",IF(LARGE($R161:$T161,1)&lt;=599,"500-599 мм",IF(LARGE($R161:$T161,1)&lt;=699,"600-699 мм",IF(LARGE($R161:$T161,1)&lt;=999,"700-999 мм","1000+ мм")))))))))</f>
        <v/>
      </c>
      <c r="Y161" s="160">
        <f>IF(LARGE($R161:$T161,2)="","",IF(LARGE($R161:$T161,2)&lt;=99,"10-99 мм",IF(LARGE($R161:$T161,2)&lt;=199,"100-199 мм",IF(LARGE($R161:$T161,2)&lt;=299,"200-299 мм",IF(LARGE($R161:$T161,2)&lt;=399,"300-399 мм",IF(LARGE($R161:$T161,2)&lt;=499,"400-499 мм",IF(LARGE($R161:$T161,2)&lt;=599,"500-599 мм",IF(LARGE($R161:$T161,2)&lt;=699,"600-699 мм",IF(LARGE($R161:$T161,2)&lt;=999,"700-999 мм","1000+ мм")))))))))</f>
        <v/>
      </c>
      <c r="Z161" s="160">
        <f>IF(SMALL($R161:$T161,1)="","",IF(SMALL($R161:$T161,1)&lt;=99,"10-99 мм",IF(SMALL($R161:$T161,1)&lt;=199,"100-199 мм",IF(SMALL($R161:$T161,1)&lt;=299,"200-299 мм",IF(SMALL($R161:$T161,1)&lt;=399,"300-399 мм",IF(SMALL($R161:$T161,1)&lt;=499,"400-499 мм",IF(SMALL($R161:$T161,1)&lt;=599,"500-599 мм",IF(SMALL($R161:$T161,1)&lt;=699,"600-699 мм",IF(SMALL($R161:$T161,1)&lt;=999,"700-999 мм","1000+ мм")))))))))</f>
        <v/>
      </c>
      <c r="AA161" s="101">
        <f>IF(G161="","",IF(G161="Л","Лист гофрокартона",IF(G161="КД","Крышка-дно",IF(G161="С","Самосборные",IF(G161="Ч","Четырехклапанные",IF(G161="А","Архивные","Неизвестно"))))))</f>
        <v/>
      </c>
      <c r="AB161" s="66" t="n">
        <v>1.73</v>
      </c>
      <c r="AC161" s="101">
        <f>IF(O161="","",IF(O161&lt;=1,"0-1 литров",IF(O161&lt;=3,"2-3 литра",IF(O161&lt;=5,"4-5 литра",IF(O161&lt;=7,"6-7 литра",IF(O161&lt;=9,"8-9 литров",IF(O161&lt;=14,"10-14 литров",IF(O161&lt;=19,"15-19 литров",IF(O161&lt;=29,"20-29 литров",IF(O161&lt;=49,"30-49 литров",IF(O161&lt;=59,"50-59 литров",IF(O161&lt;=70,"60-69 литров",IF(O161&lt;=79,"70-79 литров",IF(O161&lt;=89,"80-89 литров",IF(O161&lt;=99,"90-99 литров",IF(O161&lt;=200,"100-200 литров","200+ литров"))))))))))))))))</f>
        <v/>
      </c>
    </row>
    <row r="162">
      <c r="A162" s="64" t="n">
        <v>0.64</v>
      </c>
      <c r="B162" s="65">
        <f>A162*1.2</f>
        <v/>
      </c>
      <c r="C162" s="109" t="n">
        <v>162</v>
      </c>
      <c r="D162" s="116" t="inlineStr">
        <is>
          <t>У</t>
        </is>
      </c>
      <c r="E162" s="88" t="inlineStr">
        <is>
          <t>260х170х240</t>
        </is>
      </c>
      <c r="G162" s="83" t="inlineStr">
        <is>
          <t>Ч</t>
        </is>
      </c>
      <c r="H162" s="146" t="inlineStr">
        <is>
          <t>х</t>
        </is>
      </c>
      <c r="I162" s="83" t="inlineStr">
        <is>
          <t>В</t>
        </is>
      </c>
      <c r="J162" s="83" t="inlineStr">
        <is>
          <t>х</t>
        </is>
      </c>
      <c r="K162" s="116" t="inlineStr">
        <is>
          <t>K163</t>
        </is>
      </c>
      <c r="N162" s="239">
        <f>IF(D162="","",IF(LEFT(D162,1)="0",0,1))</f>
        <v/>
      </c>
      <c r="O162" s="80">
        <f>ROUND(R162*S162*T162/1000000,2)</f>
        <v/>
      </c>
      <c r="P162" s="160">
        <f>IF(O162="","",
IF(O162&lt;1,"0,1-0,9 литров",
IF(O162&lt;2,"1-1,9 литра",
IF(O162&lt;3,"2-2,9 литра",
IF(O162&lt;4,"3-3,9 литра",
IF(O162&lt;6,"4-5,9 литра",IF(O162&lt;8,"6-7,9 литра",IF(O162&lt;10,"8-9,9 литров",IF(O162&lt;15,"10-14,9 литров",IF(O162&lt;20,"15-19,9 литров",IF(O162&lt;30,"20-29 литров",IF(O162&lt;50,"30-49 литров",IF(O162&lt;60,"50-59 литров",IF(O162&lt;70,"60-69 литров",IF(O162&lt;80,"70-79 литров",IF(O162&lt;90,"80-89 литров",IF(O162&lt;100,"90-99 литров",IF(O162&lt;200,"100-200 литров","200+ литров"))))))))))))))))))</f>
        <v/>
      </c>
      <c r="Q162" s="101">
        <f>IF(O162="","",IF(O162&lt;1,"&lt;1 л",IF(O162&lt;2,"1-2 л",IF(O162&lt;3,"2-3 л",IF(O162&lt;5,"3-5 л",IF(O162&lt;10,"5-10 л",IF(O162&lt;20,"10-20 л",IF(O162&lt;50,"20-50 л",IF(O162&lt;100,"50-100 л","100+ л")))))))))</f>
        <v/>
      </c>
      <c r="R162" s="162">
        <f>IF(E162="","",--LEFT(E162,FIND("х",E162)-1))</f>
        <v/>
      </c>
      <c r="S162" s="162">
        <f>IF(E162="","",--MID(E162,FIND("х",E162)+1,FIND("х",E162,FIND("х",E162)+1)-FIND("х",E162)-1))</f>
        <v/>
      </c>
      <c r="T162" s="162">
        <f>IF(E162="","",--RIGHT(E162,LEN(E162)-FIND("х",E162,FIND("х",E162)+1)))</f>
        <v/>
      </c>
      <c r="U162" s="66">
        <f>(2*(R162+S162)+60)*(S162+T162+8)/1000000</f>
        <v/>
      </c>
      <c r="V162" s="66">
        <f>IF(OR(AND(R162&gt;=2*S162,R162&gt;=2*T162),AND(S162&gt;=2*R162,S162&gt;=2*T162),AND(T162&gt;=2*R162,T162&gt;=2*S162)),"Длинные","")</f>
        <v/>
      </c>
      <c r="W162" s="66">
        <f>IF(OR(AND(R162&lt;=S162/2,R162&lt;=T162/2),AND(S162&lt;=R162/2,S162&lt;=T162/2),AND(T162&lt;=R162/2,T162&lt;=S162/2)),"Плоские","")</f>
        <v/>
      </c>
      <c r="X162" s="160">
        <f>IF(LARGE($R162:$T162,1)="","",IF(LARGE($R162:$T162,1)&lt;=99,"10-99 мм",IF(LARGE($R162:$T162,1)&lt;=199,"100-199 мм",IF(LARGE($R162:$T162,1)&lt;=299,"200-299 мм",IF(LARGE($R162:$T162,1)&lt;=399,"300-399 мм",IF(LARGE($R162:$T162,1)&lt;=499,"400-499 мм",IF(LARGE($R162:$T162,1)&lt;=599,"500-599 мм",IF(LARGE($R162:$T162,1)&lt;=699,"600-699 мм",IF(LARGE($R162:$T162,1)&lt;=999,"700-999 мм","1000+ мм")))))))))</f>
        <v/>
      </c>
      <c r="Y162" s="160">
        <f>IF(LARGE($R162:$T162,2)="","",IF(LARGE($R162:$T162,2)&lt;=99,"10-99 мм",IF(LARGE($R162:$T162,2)&lt;=199,"100-199 мм",IF(LARGE($R162:$T162,2)&lt;=299,"200-299 мм",IF(LARGE($R162:$T162,2)&lt;=399,"300-399 мм",IF(LARGE($R162:$T162,2)&lt;=499,"400-499 мм",IF(LARGE($R162:$T162,2)&lt;=599,"500-599 мм",IF(LARGE($R162:$T162,2)&lt;=699,"600-699 мм",IF(LARGE($R162:$T162,2)&lt;=999,"700-999 мм","1000+ мм")))))))))</f>
        <v/>
      </c>
      <c r="Z162" s="160">
        <f>IF(SMALL($R162:$T162,1)="","",IF(SMALL($R162:$T162,1)&lt;=99,"10-99 мм",IF(SMALL($R162:$T162,1)&lt;=199,"100-199 мм",IF(SMALL($R162:$T162,1)&lt;=299,"200-299 мм",IF(SMALL($R162:$T162,1)&lt;=399,"300-399 мм",IF(SMALL($R162:$T162,1)&lt;=499,"400-499 мм",IF(SMALL($R162:$T162,1)&lt;=599,"500-599 мм",IF(SMALL($R162:$T162,1)&lt;=699,"600-699 мм",IF(SMALL($R162:$T162,1)&lt;=999,"700-999 мм","1000+ мм")))))))))</f>
        <v/>
      </c>
      <c r="AA162" s="101">
        <f>IF(G162="","",IF(G162="Л","Лист гофрокартона",IF(G162="КД","Крышка-дно",IF(G162="С","Самосборные",IF(G162="Ч","Четырехклапанные",IF(G162="А","Архивные","Неизвестно"))))))</f>
        <v/>
      </c>
      <c r="AB162" s="66" t="n">
        <v>1.73</v>
      </c>
      <c r="AC162" s="101">
        <f>IF(O162="","",IF(O162&lt;=1,"0-1 литров",IF(O162&lt;=3,"2-3 литра",IF(O162&lt;=5,"4-5 литра",IF(O162&lt;=7,"6-7 литра",IF(O162&lt;=9,"8-9 литров",IF(O162&lt;=14,"10-14 литров",IF(O162&lt;=19,"15-19 литров",IF(O162&lt;=29,"20-29 литров",IF(O162&lt;=49,"30-49 литров",IF(O162&lt;=59,"50-59 литров",IF(O162&lt;=70,"60-69 литров",IF(O162&lt;=79,"70-79 литров",IF(O162&lt;=89,"80-89 литров",IF(O162&lt;=99,"90-99 литров",IF(O162&lt;=200,"100-200 литров","200+ литров"))))))))))))))))</f>
        <v/>
      </c>
    </row>
    <row r="163">
      <c r="A163" s="64" t="n">
        <v>3.48</v>
      </c>
      <c r="B163" s="65">
        <f>A163*1.2</f>
        <v/>
      </c>
      <c r="C163" s="109" t="n">
        <v>163</v>
      </c>
      <c r="D163" s="116" t="inlineStr">
        <is>
          <t>У</t>
        </is>
      </c>
      <c r="E163" s="88" t="inlineStr">
        <is>
          <t>800х480х290</t>
        </is>
      </c>
      <c r="G163" s="83" t="inlineStr">
        <is>
          <t>Ч</t>
        </is>
      </c>
      <c r="H163" s="146" t="inlineStr">
        <is>
          <t>х</t>
        </is>
      </c>
      <c r="I163" s="83" t="inlineStr">
        <is>
          <t>В</t>
        </is>
      </c>
      <c r="J163" s="83" t="inlineStr">
        <is>
          <t>х</t>
        </is>
      </c>
      <c r="K163" s="116" t="inlineStr">
        <is>
          <t>K164</t>
        </is>
      </c>
      <c r="N163" s="239">
        <f>IF(D163="","",IF(LEFT(D163,1)="0",0,1))</f>
        <v/>
      </c>
      <c r="O163" s="80">
        <f>ROUND(R163*S163*T163/1000000,2)</f>
        <v/>
      </c>
      <c r="P163" s="160">
        <f>IF(O163="","",
IF(O163&lt;1,"0,1-0,9 литров",
IF(O163&lt;2,"1-1,9 литра",
IF(O163&lt;3,"2-2,9 литра",
IF(O163&lt;4,"3-3,9 литра",
IF(O163&lt;6,"4-5,9 литра",IF(O163&lt;8,"6-7,9 литра",IF(O163&lt;10,"8-9,9 литров",IF(O163&lt;15,"10-14,9 литров",IF(O163&lt;20,"15-19,9 литров",IF(O163&lt;30,"20-29 литров",IF(O163&lt;50,"30-49 литров",IF(O163&lt;60,"50-59 литров",IF(O163&lt;70,"60-69 литров",IF(O163&lt;80,"70-79 литров",IF(O163&lt;90,"80-89 литров",IF(O163&lt;100,"90-99 литров",IF(O163&lt;200,"100-200 литров","200+ литров"))))))))))))))))))</f>
        <v/>
      </c>
      <c r="Q163" s="101">
        <f>IF(O163="","",IF(O163&lt;1,"&lt;1 л",IF(O163&lt;2,"1-2 л",IF(O163&lt;3,"2-3 л",IF(O163&lt;5,"3-5 л",IF(O163&lt;10,"5-10 л",IF(O163&lt;20,"10-20 л",IF(O163&lt;50,"20-50 л",IF(O163&lt;100,"50-100 л","100+ л")))))))))</f>
        <v/>
      </c>
      <c r="R163" s="162">
        <f>IF(E163="","",--LEFT(E163,FIND("х",E163)-1))</f>
        <v/>
      </c>
      <c r="S163" s="162">
        <f>IF(E163="","",--MID(E163,FIND("х",E163)+1,FIND("х",E163,FIND("х",E163)+1)-FIND("х",E163)-1))</f>
        <v/>
      </c>
      <c r="T163" s="162">
        <f>IF(E163="","",--RIGHT(E163,LEN(E163)-FIND("х",E163,FIND("х",E163)+1)))</f>
        <v/>
      </c>
      <c r="U163" s="66">
        <f>(2*(R163+S163)+60)*(S163+T163+8)/1000000</f>
        <v/>
      </c>
      <c r="V163" s="66">
        <f>IF(OR(AND(R163&gt;=2*S163,R163&gt;=2*T163),AND(S163&gt;=2*R163,S163&gt;=2*T163),AND(T163&gt;=2*R163,T163&gt;=2*S163)),"Длинные","")</f>
        <v/>
      </c>
      <c r="W163" s="66">
        <f>IF(OR(AND(R163&lt;=S163/2,R163&lt;=T163/2),AND(S163&lt;=R163/2,S163&lt;=T163/2),AND(T163&lt;=R163/2,T163&lt;=S163/2)),"Плоские","")</f>
        <v/>
      </c>
      <c r="X163" s="160">
        <f>IF(LARGE($R163:$T163,1)="","",IF(LARGE($R163:$T163,1)&lt;=99,"10-99 мм",IF(LARGE($R163:$T163,1)&lt;=199,"100-199 мм",IF(LARGE($R163:$T163,1)&lt;=299,"200-299 мм",IF(LARGE($R163:$T163,1)&lt;=399,"300-399 мм",IF(LARGE($R163:$T163,1)&lt;=499,"400-499 мм",IF(LARGE($R163:$T163,1)&lt;=599,"500-599 мм",IF(LARGE($R163:$T163,1)&lt;=699,"600-699 мм",IF(LARGE($R163:$T163,1)&lt;=999,"700-999 мм","1000+ мм")))))))))</f>
        <v/>
      </c>
      <c r="Y163" s="160">
        <f>IF(LARGE($R163:$T163,2)="","",IF(LARGE($R163:$T163,2)&lt;=99,"10-99 мм",IF(LARGE($R163:$T163,2)&lt;=199,"100-199 мм",IF(LARGE($R163:$T163,2)&lt;=299,"200-299 мм",IF(LARGE($R163:$T163,2)&lt;=399,"300-399 мм",IF(LARGE($R163:$T163,2)&lt;=499,"400-499 мм",IF(LARGE($R163:$T163,2)&lt;=599,"500-599 мм",IF(LARGE($R163:$T163,2)&lt;=699,"600-699 мм",IF(LARGE($R163:$T163,2)&lt;=999,"700-999 мм","1000+ мм")))))))))</f>
        <v/>
      </c>
      <c r="Z163" s="160">
        <f>IF(SMALL($R163:$T163,1)="","",IF(SMALL($R163:$T163,1)&lt;=99,"10-99 мм",IF(SMALL($R163:$T163,1)&lt;=199,"100-199 мм",IF(SMALL($R163:$T163,1)&lt;=299,"200-299 мм",IF(SMALL($R163:$T163,1)&lt;=399,"300-399 мм",IF(SMALL($R163:$T163,1)&lt;=499,"400-499 мм",IF(SMALL($R163:$T163,1)&lt;=599,"500-599 мм",IF(SMALL($R163:$T163,1)&lt;=699,"600-699 мм",IF(SMALL($R163:$T163,1)&lt;=999,"700-999 мм","1000+ мм")))))))))</f>
        <v/>
      </c>
      <c r="AA163" s="101">
        <f>IF(G163="","",IF(G163="Л","Лист гофрокартона",IF(G163="КД","Крышка-дно",IF(G163="С","Самосборные",IF(G163="Ч","Четырехклапанные",IF(G163="А","Архивные","Неизвестно"))))))</f>
        <v/>
      </c>
      <c r="AB163" s="66" t="n">
        <v>1.73</v>
      </c>
      <c r="AC163" s="101">
        <f>IF(O163="","",IF(O163&lt;=1,"0-1 литров",IF(O163&lt;=3,"2-3 литра",IF(O163&lt;=5,"4-5 литра",IF(O163&lt;=7,"6-7 литра",IF(O163&lt;=9,"8-9 литров",IF(O163&lt;=14,"10-14 литров",IF(O163&lt;=19,"15-19 литров",IF(O163&lt;=29,"20-29 литров",IF(O163&lt;=49,"30-49 литров",IF(O163&lt;=59,"50-59 литров",IF(O163&lt;=70,"60-69 литров",IF(O163&lt;=79,"70-79 литров",IF(O163&lt;=89,"80-89 литров",IF(O163&lt;=99,"90-99 литров",IF(O163&lt;=200,"100-200 литров","200+ литров"))))))))))))))))</f>
        <v/>
      </c>
    </row>
    <row r="164">
      <c r="A164" s="64" t="n">
        <v>2.17</v>
      </c>
      <c r="B164" s="65">
        <f>A164*1.2</f>
        <v/>
      </c>
      <c r="C164" s="109" t="n">
        <v>164</v>
      </c>
      <c r="D164" s="116" t="inlineStr">
        <is>
          <t>У</t>
        </is>
      </c>
      <c r="E164" s="88" t="inlineStr">
        <is>
          <t>390х390х390</t>
        </is>
      </c>
      <c r="G164" s="83" t="inlineStr">
        <is>
          <t>Ч</t>
        </is>
      </c>
      <c r="H164" s="146" t="inlineStr">
        <is>
          <t>х</t>
        </is>
      </c>
      <c r="I164" s="83" t="inlineStr">
        <is>
          <t>В</t>
        </is>
      </c>
      <c r="J164" s="83" t="inlineStr">
        <is>
          <t>х</t>
        </is>
      </c>
      <c r="K164" s="116" t="inlineStr">
        <is>
          <t>K165</t>
        </is>
      </c>
      <c r="N164" s="239">
        <f>IF(D164="","",IF(LEFT(D164,1)="0",0,1))</f>
        <v/>
      </c>
      <c r="O164" s="80">
        <f>ROUND(R164*S164*T164/1000000,2)</f>
        <v/>
      </c>
      <c r="P164" s="160">
        <f>IF(O164="","",
IF(O164&lt;1,"0,1-0,9 литров",
IF(O164&lt;2,"1-1,9 литра",
IF(O164&lt;3,"2-2,9 литра",
IF(O164&lt;4,"3-3,9 литра",
IF(O164&lt;6,"4-5,9 литра",IF(O164&lt;8,"6-7,9 литра",IF(O164&lt;10,"8-9,9 литров",IF(O164&lt;15,"10-14,9 литров",IF(O164&lt;20,"15-19,9 литров",IF(O164&lt;30,"20-29 литров",IF(O164&lt;50,"30-49 литров",IF(O164&lt;60,"50-59 литров",IF(O164&lt;70,"60-69 литров",IF(O164&lt;80,"70-79 литров",IF(O164&lt;90,"80-89 литров",IF(O164&lt;100,"90-99 литров",IF(O164&lt;200,"100-200 литров","200+ литров"))))))))))))))))))</f>
        <v/>
      </c>
      <c r="Q164" s="101">
        <f>IF(O164="","",IF(O164&lt;1,"&lt;1 л",IF(O164&lt;2,"1-2 л",IF(O164&lt;3,"2-3 л",IF(O164&lt;5,"3-5 л",IF(O164&lt;10,"5-10 л",IF(O164&lt;20,"10-20 л",IF(O164&lt;50,"20-50 л",IF(O164&lt;100,"50-100 л","100+ л")))))))))</f>
        <v/>
      </c>
      <c r="R164" s="162">
        <f>IF(E164="","",--LEFT(E164,FIND("х",E164)-1))</f>
        <v/>
      </c>
      <c r="S164" s="162">
        <f>IF(E164="","",--MID(E164,FIND("х",E164)+1,FIND("х",E164,FIND("х",E164)+1)-FIND("х",E164)-1))</f>
        <v/>
      </c>
      <c r="T164" s="162">
        <f>IF(E164="","",--RIGHT(E164,LEN(E164)-FIND("х",E164,FIND("х",E164)+1)))</f>
        <v/>
      </c>
      <c r="U164" s="66">
        <f>(2*(R164+S164)+60)*(S164+T164+8)/1000000</f>
        <v/>
      </c>
      <c r="V164" s="66">
        <f>IF(OR(AND(R164&gt;=2*S164,R164&gt;=2*T164),AND(S164&gt;=2*R164,S164&gt;=2*T164),AND(T164&gt;=2*R164,T164&gt;=2*S164)),"Длинные","")</f>
        <v/>
      </c>
      <c r="W164" s="66">
        <f>IF(OR(AND(R164&lt;=S164/2,R164&lt;=T164/2),AND(S164&lt;=R164/2,S164&lt;=T164/2),AND(T164&lt;=R164/2,T164&lt;=S164/2)),"Плоские","")</f>
        <v/>
      </c>
      <c r="X164" s="160">
        <f>IF(LARGE($R164:$T164,1)="","",IF(LARGE($R164:$T164,1)&lt;=99,"10-99 мм",IF(LARGE($R164:$T164,1)&lt;=199,"100-199 мм",IF(LARGE($R164:$T164,1)&lt;=299,"200-299 мм",IF(LARGE($R164:$T164,1)&lt;=399,"300-399 мм",IF(LARGE($R164:$T164,1)&lt;=499,"400-499 мм",IF(LARGE($R164:$T164,1)&lt;=599,"500-599 мм",IF(LARGE($R164:$T164,1)&lt;=699,"600-699 мм",IF(LARGE($R164:$T164,1)&lt;=999,"700-999 мм","1000+ мм")))))))))</f>
        <v/>
      </c>
      <c r="Y164" s="160">
        <f>IF(LARGE($R164:$T164,2)="","",IF(LARGE($R164:$T164,2)&lt;=99,"10-99 мм",IF(LARGE($R164:$T164,2)&lt;=199,"100-199 мм",IF(LARGE($R164:$T164,2)&lt;=299,"200-299 мм",IF(LARGE($R164:$T164,2)&lt;=399,"300-399 мм",IF(LARGE($R164:$T164,2)&lt;=499,"400-499 мм",IF(LARGE($R164:$T164,2)&lt;=599,"500-599 мм",IF(LARGE($R164:$T164,2)&lt;=699,"600-699 мм",IF(LARGE($R164:$T164,2)&lt;=999,"700-999 мм","1000+ мм")))))))))</f>
        <v/>
      </c>
      <c r="Z164" s="160">
        <f>IF(SMALL($R164:$T164,1)="","",IF(SMALL($R164:$T164,1)&lt;=99,"10-99 мм",IF(SMALL($R164:$T164,1)&lt;=199,"100-199 мм",IF(SMALL($R164:$T164,1)&lt;=299,"200-299 мм",IF(SMALL($R164:$T164,1)&lt;=399,"300-399 мм",IF(SMALL($R164:$T164,1)&lt;=499,"400-499 мм",IF(SMALL($R164:$T164,1)&lt;=599,"500-599 мм",IF(SMALL($R164:$T164,1)&lt;=699,"600-699 мм",IF(SMALL($R164:$T164,1)&lt;=999,"700-999 мм","1000+ мм")))))))))</f>
        <v/>
      </c>
      <c r="AA164" s="101">
        <f>IF(G164="","",IF(G164="Л","Лист гофрокартона",IF(G164="КД","Крышка-дно",IF(G164="С","Самосборные",IF(G164="Ч","Четырехклапанные",IF(G164="А","Архивные","Неизвестно"))))))</f>
        <v/>
      </c>
      <c r="AB164" s="66" t="n">
        <v>1.73</v>
      </c>
      <c r="AC164" s="101">
        <f>IF(O164="","",IF(O164&lt;=1,"0-1 литров",IF(O164&lt;=3,"2-3 литра",IF(O164&lt;=5,"4-5 литра",IF(O164&lt;=7,"6-7 литра",IF(O164&lt;=9,"8-9 литров",IF(O164&lt;=14,"10-14 литров",IF(O164&lt;=19,"15-19 литров",IF(O164&lt;=29,"20-29 литров",IF(O164&lt;=49,"30-49 литров",IF(O164&lt;=59,"50-59 литров",IF(O164&lt;=70,"60-69 литров",IF(O164&lt;=79,"70-79 литров",IF(O164&lt;=89,"80-89 литров",IF(O164&lt;=99,"90-99 литров",IF(O164&lt;=200,"100-200 литров","200+ литров"))))))))))))))))</f>
        <v/>
      </c>
    </row>
    <row r="165">
      <c r="A165" s="64" t="n">
        <v>0.78</v>
      </c>
      <c r="B165" s="65">
        <f>A165*1.2</f>
        <v/>
      </c>
      <c r="C165" s="109" t="n">
        <v>165</v>
      </c>
      <c r="D165" s="116" t="inlineStr">
        <is>
          <t>У</t>
        </is>
      </c>
      <c r="E165" s="88" t="inlineStr">
        <is>
          <t>465х155х192</t>
        </is>
      </c>
      <c r="G165" s="83" t="inlineStr">
        <is>
          <t>Ч</t>
        </is>
      </c>
      <c r="H165" s="146" t="inlineStr">
        <is>
          <t>х</t>
        </is>
      </c>
      <c r="I165" s="83" t="inlineStr">
        <is>
          <t>В</t>
        </is>
      </c>
      <c r="J165" s="83" t="inlineStr">
        <is>
          <t>х</t>
        </is>
      </c>
      <c r="K165" s="116" t="inlineStr">
        <is>
          <t>K166</t>
        </is>
      </c>
      <c r="N165" s="239">
        <f>IF(D165="","",IF(LEFT(D165,1)="0",0,1))</f>
        <v/>
      </c>
      <c r="O165" s="80">
        <f>ROUND(R165*S165*T165/1000000,2)</f>
        <v/>
      </c>
      <c r="P165" s="160">
        <f>IF(O165="","",
IF(O165&lt;1,"0,1-0,9 литров",
IF(O165&lt;2,"1-1,9 литра",
IF(O165&lt;3,"2-2,9 литра",
IF(O165&lt;4,"3-3,9 литра",
IF(O165&lt;6,"4-5,9 литра",IF(O165&lt;8,"6-7,9 литра",IF(O165&lt;10,"8-9,9 литров",IF(O165&lt;15,"10-14,9 литров",IF(O165&lt;20,"15-19,9 литров",IF(O165&lt;30,"20-29 литров",IF(O165&lt;50,"30-49 литров",IF(O165&lt;60,"50-59 литров",IF(O165&lt;70,"60-69 литров",IF(O165&lt;80,"70-79 литров",IF(O165&lt;90,"80-89 литров",IF(O165&lt;100,"90-99 литров",IF(O165&lt;200,"100-200 литров","200+ литров"))))))))))))))))))</f>
        <v/>
      </c>
      <c r="Q165" s="101">
        <f>IF(O165="","",IF(O165&lt;1,"&lt;1 л",IF(O165&lt;2,"1-2 л",IF(O165&lt;3,"2-3 л",IF(O165&lt;5,"3-5 л",IF(O165&lt;10,"5-10 л",IF(O165&lt;20,"10-20 л",IF(O165&lt;50,"20-50 л",IF(O165&lt;100,"50-100 л","100+ л")))))))))</f>
        <v/>
      </c>
      <c r="R165" s="162">
        <f>IF(E165="","",--LEFT(E165,FIND("х",E165)-1))</f>
        <v/>
      </c>
      <c r="S165" s="162">
        <f>IF(E165="","",--MID(E165,FIND("х",E165)+1,FIND("х",E165,FIND("х",E165)+1)-FIND("х",E165)-1))</f>
        <v/>
      </c>
      <c r="T165" s="162">
        <f>IF(E165="","",--RIGHT(E165,LEN(E165)-FIND("х",E165,FIND("х",E165)+1)))</f>
        <v/>
      </c>
      <c r="U165" s="66">
        <f>(2*(R165+S165)+60)*(S165+T165+8)/1000000</f>
        <v/>
      </c>
      <c r="V165" s="66">
        <f>IF(OR(AND(R165&gt;=2*S165,R165&gt;=2*T165),AND(S165&gt;=2*R165,S165&gt;=2*T165),AND(T165&gt;=2*R165,T165&gt;=2*S165)),"Длинные","")</f>
        <v/>
      </c>
      <c r="W165" s="66">
        <f>IF(OR(AND(R165&lt;=S165/2,R165&lt;=T165/2),AND(S165&lt;=R165/2,S165&lt;=T165/2),AND(T165&lt;=R165/2,T165&lt;=S165/2)),"Плоские","")</f>
        <v/>
      </c>
      <c r="X165" s="160">
        <f>IF(LARGE($R165:$T165,1)="","",IF(LARGE($R165:$T165,1)&lt;=99,"10-99 мм",IF(LARGE($R165:$T165,1)&lt;=199,"100-199 мм",IF(LARGE($R165:$T165,1)&lt;=299,"200-299 мм",IF(LARGE($R165:$T165,1)&lt;=399,"300-399 мм",IF(LARGE($R165:$T165,1)&lt;=499,"400-499 мм",IF(LARGE($R165:$T165,1)&lt;=599,"500-599 мм",IF(LARGE($R165:$T165,1)&lt;=699,"600-699 мм",IF(LARGE($R165:$T165,1)&lt;=999,"700-999 мм","1000+ мм")))))))))</f>
        <v/>
      </c>
      <c r="Y165" s="160">
        <f>IF(LARGE($R165:$T165,2)="","",IF(LARGE($R165:$T165,2)&lt;=99,"10-99 мм",IF(LARGE($R165:$T165,2)&lt;=199,"100-199 мм",IF(LARGE($R165:$T165,2)&lt;=299,"200-299 мм",IF(LARGE($R165:$T165,2)&lt;=399,"300-399 мм",IF(LARGE($R165:$T165,2)&lt;=499,"400-499 мм",IF(LARGE($R165:$T165,2)&lt;=599,"500-599 мм",IF(LARGE($R165:$T165,2)&lt;=699,"600-699 мм",IF(LARGE($R165:$T165,2)&lt;=999,"700-999 мм","1000+ мм")))))))))</f>
        <v/>
      </c>
      <c r="Z165" s="160">
        <f>IF(SMALL($R165:$T165,1)="","",IF(SMALL($R165:$T165,1)&lt;=99,"10-99 мм",IF(SMALL($R165:$T165,1)&lt;=199,"100-199 мм",IF(SMALL($R165:$T165,1)&lt;=299,"200-299 мм",IF(SMALL($R165:$T165,1)&lt;=399,"300-399 мм",IF(SMALL($R165:$T165,1)&lt;=499,"400-499 мм",IF(SMALL($R165:$T165,1)&lt;=599,"500-599 мм",IF(SMALL($R165:$T165,1)&lt;=699,"600-699 мм",IF(SMALL($R165:$T165,1)&lt;=999,"700-999 мм","1000+ мм")))))))))</f>
        <v/>
      </c>
      <c r="AA165" s="101">
        <f>IF(G165="","",IF(G165="Л","Лист гофрокартона",IF(G165="КД","Крышка-дно",IF(G165="С","Самосборные",IF(G165="Ч","Четырехклапанные",IF(G165="А","Архивные","Неизвестно"))))))</f>
        <v/>
      </c>
      <c r="AB165" s="66" t="n">
        <v>1.73</v>
      </c>
      <c r="AC165" s="101">
        <f>IF(O165="","",IF(O165&lt;=1,"0-1 литров",IF(O165&lt;=3,"2-3 литра",IF(O165&lt;=5,"4-5 литра",IF(O165&lt;=7,"6-7 литра",IF(O165&lt;=9,"8-9 литров",IF(O165&lt;=14,"10-14 литров",IF(O165&lt;=19,"15-19 литров",IF(O165&lt;=29,"20-29 литров",IF(O165&lt;=49,"30-49 литров",IF(O165&lt;=59,"50-59 литров",IF(O165&lt;=70,"60-69 литров",IF(O165&lt;=79,"70-79 литров",IF(O165&lt;=89,"80-89 литров",IF(O165&lt;=99,"90-99 литров",IF(O165&lt;=200,"100-200 литров","200+ литров"))))))))))))))))</f>
        <v/>
      </c>
    </row>
    <row r="166">
      <c r="A166" s="64" t="n">
        <v>1.57</v>
      </c>
      <c r="B166" s="65">
        <f>A166*1.2</f>
        <v/>
      </c>
      <c r="C166" s="109" t="n">
        <v>166</v>
      </c>
      <c r="D166" s="116" t="inlineStr">
        <is>
          <t>У</t>
        </is>
      </c>
      <c r="E166" s="88" t="inlineStr">
        <is>
          <t>630х330х130</t>
        </is>
      </c>
      <c r="G166" s="83" t="inlineStr">
        <is>
          <t>Ч</t>
        </is>
      </c>
      <c r="H166" s="146" t="inlineStr">
        <is>
          <t>х</t>
        </is>
      </c>
      <c r="I166" s="83" t="inlineStr">
        <is>
          <t>В</t>
        </is>
      </c>
      <c r="J166" s="83" t="inlineStr">
        <is>
          <t>х</t>
        </is>
      </c>
      <c r="K166" s="116" t="inlineStr">
        <is>
          <t>K167</t>
        </is>
      </c>
      <c r="N166" s="239">
        <f>IF(D166="","",IF(LEFT(D166,1)="0",0,1))</f>
        <v/>
      </c>
      <c r="O166" s="80">
        <f>ROUND(R166*S166*T166/1000000,2)</f>
        <v/>
      </c>
      <c r="P166" s="160">
        <f>IF(O166="","",
IF(O166&lt;1,"0,1-0,9 литров",
IF(O166&lt;2,"1-1,9 литра",
IF(O166&lt;3,"2-2,9 литра",
IF(O166&lt;4,"3-3,9 литра",
IF(O166&lt;6,"4-5,9 литра",IF(O166&lt;8,"6-7,9 литра",IF(O166&lt;10,"8-9,9 литров",IF(O166&lt;15,"10-14,9 литров",IF(O166&lt;20,"15-19,9 литров",IF(O166&lt;30,"20-29 литров",IF(O166&lt;50,"30-49 литров",IF(O166&lt;60,"50-59 литров",IF(O166&lt;70,"60-69 литров",IF(O166&lt;80,"70-79 литров",IF(O166&lt;90,"80-89 литров",IF(O166&lt;100,"90-99 литров",IF(O166&lt;200,"100-200 литров","200+ литров"))))))))))))))))))</f>
        <v/>
      </c>
      <c r="Q166" s="101">
        <f>IF(O166="","",IF(O166&lt;1,"&lt;1 л",IF(O166&lt;2,"1-2 л",IF(O166&lt;3,"2-3 л",IF(O166&lt;5,"3-5 л",IF(O166&lt;10,"5-10 л",IF(O166&lt;20,"10-20 л",IF(O166&lt;50,"20-50 л",IF(O166&lt;100,"50-100 л","100+ л")))))))))</f>
        <v/>
      </c>
      <c r="R166" s="162">
        <f>IF(E166="","",--LEFT(E166,FIND("х",E166)-1))</f>
        <v/>
      </c>
      <c r="S166" s="162">
        <f>IF(E166="","",--MID(E166,FIND("х",E166)+1,FIND("х",E166,FIND("х",E166)+1)-FIND("х",E166)-1))</f>
        <v/>
      </c>
      <c r="T166" s="162">
        <f>IF(E166="","",--RIGHT(E166,LEN(E166)-FIND("х",E166,FIND("х",E166)+1)))</f>
        <v/>
      </c>
      <c r="U166" s="66">
        <f>(2*(R166+S166)+60)*(S166+T166+8)/1000000</f>
        <v/>
      </c>
      <c r="V166" s="66">
        <f>IF(OR(AND(R166&gt;=2*S166,R166&gt;=2*T166),AND(S166&gt;=2*R166,S166&gt;=2*T166),AND(T166&gt;=2*R166,T166&gt;=2*S166)),"Длинные","")</f>
        <v/>
      </c>
      <c r="W166" s="66">
        <f>IF(OR(AND(R166&lt;=S166/2,R166&lt;=T166/2),AND(S166&lt;=R166/2,S166&lt;=T166/2),AND(T166&lt;=R166/2,T166&lt;=S166/2)),"Плоские","")</f>
        <v/>
      </c>
      <c r="X166" s="160">
        <f>IF(LARGE($R166:$T166,1)="","",IF(LARGE($R166:$T166,1)&lt;=99,"10-99 мм",IF(LARGE($R166:$T166,1)&lt;=199,"100-199 мм",IF(LARGE($R166:$T166,1)&lt;=299,"200-299 мм",IF(LARGE($R166:$T166,1)&lt;=399,"300-399 мм",IF(LARGE($R166:$T166,1)&lt;=499,"400-499 мм",IF(LARGE($R166:$T166,1)&lt;=599,"500-599 мм",IF(LARGE($R166:$T166,1)&lt;=699,"600-699 мм",IF(LARGE($R166:$T166,1)&lt;=999,"700-999 мм","1000+ мм")))))))))</f>
        <v/>
      </c>
      <c r="Y166" s="160">
        <f>IF(LARGE($R166:$T166,2)="","",IF(LARGE($R166:$T166,2)&lt;=99,"10-99 мм",IF(LARGE($R166:$T166,2)&lt;=199,"100-199 мм",IF(LARGE($R166:$T166,2)&lt;=299,"200-299 мм",IF(LARGE($R166:$T166,2)&lt;=399,"300-399 мм",IF(LARGE($R166:$T166,2)&lt;=499,"400-499 мм",IF(LARGE($R166:$T166,2)&lt;=599,"500-599 мм",IF(LARGE($R166:$T166,2)&lt;=699,"600-699 мм",IF(LARGE($R166:$T166,2)&lt;=999,"700-999 мм","1000+ мм")))))))))</f>
        <v/>
      </c>
      <c r="Z166" s="160">
        <f>IF(SMALL($R166:$T166,1)="","",IF(SMALL($R166:$T166,1)&lt;=99,"10-99 мм",IF(SMALL($R166:$T166,1)&lt;=199,"100-199 мм",IF(SMALL($R166:$T166,1)&lt;=299,"200-299 мм",IF(SMALL($R166:$T166,1)&lt;=399,"300-399 мм",IF(SMALL($R166:$T166,1)&lt;=499,"400-499 мм",IF(SMALL($R166:$T166,1)&lt;=599,"500-599 мм",IF(SMALL($R166:$T166,1)&lt;=699,"600-699 мм",IF(SMALL($R166:$T166,1)&lt;=999,"700-999 мм","1000+ мм")))))))))</f>
        <v/>
      </c>
      <c r="AA166" s="101">
        <f>IF(G166="","",IF(G166="Л","Лист гофрокартона",IF(G166="КД","Крышка-дно",IF(G166="С","Самосборные",IF(G166="Ч","Четырехклапанные",IF(G166="А","Архивные","Неизвестно"))))))</f>
        <v/>
      </c>
      <c r="AB166" s="66" t="n">
        <v>1.73</v>
      </c>
      <c r="AC166" s="101">
        <f>IF(O166="","",IF(O166&lt;=1,"0-1 литров",IF(O166&lt;=3,"2-3 литра",IF(O166&lt;=5,"4-5 литра",IF(O166&lt;=7,"6-7 литра",IF(O166&lt;=9,"8-9 литров",IF(O166&lt;=14,"10-14 литров",IF(O166&lt;=19,"15-19 литров",IF(O166&lt;=29,"20-29 литров",IF(O166&lt;=49,"30-49 литров",IF(O166&lt;=59,"50-59 литров",IF(O166&lt;=70,"60-69 литров",IF(O166&lt;=79,"70-79 литров",IF(O166&lt;=89,"80-89 литров",IF(O166&lt;=99,"90-99 литров",IF(O166&lt;=200,"100-200 литров","200+ литров"))))))))))))))))</f>
        <v/>
      </c>
    </row>
    <row r="167">
      <c r="A167" s="64" t="n">
        <v>0.8100000000000001</v>
      </c>
      <c r="B167" s="65">
        <f>A167*1.2</f>
        <v/>
      </c>
      <c r="C167" s="109" t="n">
        <v>167</v>
      </c>
      <c r="D167" s="116" t="inlineStr">
        <is>
          <t>У</t>
        </is>
      </c>
      <c r="E167" s="88" t="inlineStr">
        <is>
          <t>274х186х87</t>
        </is>
      </c>
      <c r="G167" s="83" t="inlineStr">
        <is>
          <t>С</t>
        </is>
      </c>
      <c r="H167" s="146" t="inlineStr">
        <is>
          <t>х</t>
        </is>
      </c>
      <c r="I167" s="83" t="inlineStr">
        <is>
          <t>В</t>
        </is>
      </c>
      <c r="J167" s="83" t="inlineStr">
        <is>
          <t>х</t>
        </is>
      </c>
      <c r="K167" s="116" t="inlineStr">
        <is>
          <t>K168</t>
        </is>
      </c>
      <c r="N167" s="239">
        <f>IF(D167="","",IF(LEFT(D167,1)="0",0,1))</f>
        <v/>
      </c>
      <c r="O167" s="80">
        <f>ROUND(R167*S167*T167/1000000,2)</f>
        <v/>
      </c>
      <c r="P167" s="160">
        <f>IF(O167="","",
IF(O167&lt;1,"0,1-0,9 литров",
IF(O167&lt;2,"1-1,9 литра",
IF(O167&lt;3,"2-2,9 литра",
IF(O167&lt;4,"3-3,9 литра",
IF(O167&lt;6,"4-5,9 литра",IF(O167&lt;8,"6-7,9 литра",IF(O167&lt;10,"8-9,9 литров",IF(O167&lt;15,"10-14,9 литров",IF(O167&lt;20,"15-19,9 литров",IF(O167&lt;30,"20-29 литров",IF(O167&lt;50,"30-49 литров",IF(O167&lt;60,"50-59 литров",IF(O167&lt;70,"60-69 литров",IF(O167&lt;80,"70-79 литров",IF(O167&lt;90,"80-89 литров",IF(O167&lt;100,"90-99 литров",IF(O167&lt;200,"100-200 литров","200+ литров"))))))))))))))))))</f>
        <v/>
      </c>
      <c r="Q167" s="101">
        <f>IF(O167="","",IF(O167&lt;1,"&lt;1 л",IF(O167&lt;2,"1-2 л",IF(O167&lt;3,"2-3 л",IF(O167&lt;5,"3-5 л",IF(O167&lt;10,"5-10 л",IF(O167&lt;20,"10-20 л",IF(O167&lt;50,"20-50 л",IF(O167&lt;100,"50-100 л","100+ л")))))))))</f>
        <v/>
      </c>
      <c r="R167" s="162">
        <f>IF(E167="","",--LEFT(E167,FIND("х",E167)-1))</f>
        <v/>
      </c>
      <c r="S167" s="162">
        <f>IF(E167="","",--MID(E167,FIND("х",E167)+1,FIND("х",E167,FIND("х",E167)+1)-FIND("х",E167)-1))</f>
        <v/>
      </c>
      <c r="T167" s="162">
        <f>IF(E167="","",--RIGHT(E167,LEN(E167)-FIND("х",E167,FIND("х",E167)+1)))</f>
        <v/>
      </c>
      <c r="U167" s="66">
        <f>(2*(R167+S167)+60)*(S167+T167+8)/1000000</f>
        <v/>
      </c>
      <c r="V167" s="66">
        <f>IF(OR(AND(R167&gt;=2*S167,R167&gt;=2*T167),AND(S167&gt;=2*R167,S167&gt;=2*T167),AND(T167&gt;=2*R167,T167&gt;=2*S167)),"Длинные","")</f>
        <v/>
      </c>
      <c r="W167" s="66">
        <f>IF(OR(AND(R167&lt;=S167/2,R167&lt;=T167/2),AND(S167&lt;=R167/2,S167&lt;=T167/2),AND(T167&lt;=R167/2,T167&lt;=S167/2)),"Плоские","")</f>
        <v/>
      </c>
      <c r="X167" s="160">
        <f>IF(LARGE($R167:$T167,1)="","",IF(LARGE($R167:$T167,1)&lt;=99,"10-99 мм",IF(LARGE($R167:$T167,1)&lt;=199,"100-199 мм",IF(LARGE($R167:$T167,1)&lt;=299,"200-299 мм",IF(LARGE($R167:$T167,1)&lt;=399,"300-399 мм",IF(LARGE($R167:$T167,1)&lt;=499,"400-499 мм",IF(LARGE($R167:$T167,1)&lt;=599,"500-599 мм",IF(LARGE($R167:$T167,1)&lt;=699,"600-699 мм",IF(LARGE($R167:$T167,1)&lt;=999,"700-999 мм","1000+ мм")))))))))</f>
        <v/>
      </c>
      <c r="Y167" s="160">
        <f>IF(LARGE($R167:$T167,2)="","",IF(LARGE($R167:$T167,2)&lt;=99,"10-99 мм",IF(LARGE($R167:$T167,2)&lt;=199,"100-199 мм",IF(LARGE($R167:$T167,2)&lt;=299,"200-299 мм",IF(LARGE($R167:$T167,2)&lt;=399,"300-399 мм",IF(LARGE($R167:$T167,2)&lt;=499,"400-499 мм",IF(LARGE($R167:$T167,2)&lt;=599,"500-599 мм",IF(LARGE($R167:$T167,2)&lt;=699,"600-699 мм",IF(LARGE($R167:$T167,2)&lt;=999,"700-999 мм","1000+ мм")))))))))</f>
        <v/>
      </c>
      <c r="Z167" s="160">
        <f>IF(SMALL($R167:$T167,1)="","",IF(SMALL($R167:$T167,1)&lt;=99,"10-99 мм",IF(SMALL($R167:$T167,1)&lt;=199,"100-199 мм",IF(SMALL($R167:$T167,1)&lt;=299,"200-299 мм",IF(SMALL($R167:$T167,1)&lt;=399,"300-399 мм",IF(SMALL($R167:$T167,1)&lt;=499,"400-499 мм",IF(SMALL($R167:$T167,1)&lt;=599,"500-599 мм",IF(SMALL($R167:$T167,1)&lt;=699,"600-699 мм",IF(SMALL($R167:$T167,1)&lt;=999,"700-999 мм","1000+ мм")))))))))</f>
        <v/>
      </c>
      <c r="AA167" s="101">
        <f>IF(G167="","",IF(G167="Л","Лист гофрокартона",IF(G167="КД","Крышка-дно",IF(G167="С","Самосборные",IF(G167="Ч","Четырехклапанные",IF(G167="А","Архивные","Неизвестно"))))))</f>
        <v/>
      </c>
      <c r="AB167" s="66" t="n">
        <v>1.73</v>
      </c>
      <c r="AC167" s="101">
        <f>IF(O167="","",IF(O167&lt;=1,"0-1 литров",IF(O167&lt;=3,"2-3 литра",IF(O167&lt;=5,"4-5 литра",IF(O167&lt;=7,"6-7 литра",IF(O167&lt;=9,"8-9 литров",IF(O167&lt;=14,"10-14 литров",IF(O167&lt;=19,"15-19 литров",IF(O167&lt;=29,"20-29 литров",IF(O167&lt;=49,"30-49 литров",IF(O167&lt;=59,"50-59 литров",IF(O167&lt;=70,"60-69 литров",IF(O167&lt;=79,"70-79 литров",IF(O167&lt;=89,"80-89 литров",IF(O167&lt;=99,"90-99 литров",IF(O167&lt;=200,"100-200 литров","200+ литров"))))))))))))))))</f>
        <v/>
      </c>
    </row>
    <row r="168">
      <c r="A168" s="64" t="n">
        <v>1.58</v>
      </c>
      <c r="B168" s="65">
        <f>A168*1.2</f>
        <v/>
      </c>
      <c r="C168" s="109" t="n">
        <v>168</v>
      </c>
      <c r="D168" s="116" t="inlineStr">
        <is>
          <t>У</t>
        </is>
      </c>
      <c r="E168" s="88" t="inlineStr">
        <is>
          <t>579х261х265</t>
        </is>
      </c>
      <c r="G168" s="83" t="inlineStr">
        <is>
          <t>Ч</t>
        </is>
      </c>
      <c r="H168" s="146" t="inlineStr">
        <is>
          <t>х</t>
        </is>
      </c>
      <c r="I168" s="83" t="inlineStr">
        <is>
          <t>В</t>
        </is>
      </c>
      <c r="J168" s="83" t="inlineStr">
        <is>
          <t>х</t>
        </is>
      </c>
      <c r="K168" s="116" t="inlineStr">
        <is>
          <t>K169</t>
        </is>
      </c>
      <c r="N168" s="239">
        <f>IF(D168="","",IF(LEFT(D168,1)="0",0,1))</f>
        <v/>
      </c>
      <c r="O168" s="80">
        <f>ROUND(R168*S168*T168/1000000,2)</f>
        <v/>
      </c>
      <c r="P168" s="160">
        <f>IF(O168="","",
IF(O168&lt;1,"0,1-0,9 литров",
IF(O168&lt;2,"1-1,9 литра",
IF(O168&lt;3,"2-2,9 литра",
IF(O168&lt;4,"3-3,9 литра",
IF(O168&lt;6,"4-5,9 литра",IF(O168&lt;8,"6-7,9 литра",IF(O168&lt;10,"8-9,9 литров",IF(O168&lt;15,"10-14,9 литров",IF(O168&lt;20,"15-19,9 литров",IF(O168&lt;30,"20-29 литров",IF(O168&lt;50,"30-49 литров",IF(O168&lt;60,"50-59 литров",IF(O168&lt;70,"60-69 литров",IF(O168&lt;80,"70-79 литров",IF(O168&lt;90,"80-89 литров",IF(O168&lt;100,"90-99 литров",IF(O168&lt;200,"100-200 литров","200+ литров"))))))))))))))))))</f>
        <v/>
      </c>
      <c r="Q168" s="101">
        <f>IF(O168="","",IF(O168&lt;1,"&lt;1 л",IF(O168&lt;2,"1-2 л",IF(O168&lt;3,"2-3 л",IF(O168&lt;5,"3-5 л",IF(O168&lt;10,"5-10 л",IF(O168&lt;20,"10-20 л",IF(O168&lt;50,"20-50 л",IF(O168&lt;100,"50-100 л","100+ л")))))))))</f>
        <v/>
      </c>
      <c r="R168" s="162">
        <f>IF(E168="","",--LEFT(E168,FIND("х",E168)-1))</f>
        <v/>
      </c>
      <c r="S168" s="162">
        <f>IF(E168="","",--MID(E168,FIND("х",E168)+1,FIND("х",E168,FIND("х",E168)+1)-FIND("х",E168)-1))</f>
        <v/>
      </c>
      <c r="T168" s="162">
        <f>IF(E168="","",--RIGHT(E168,LEN(E168)-FIND("х",E168,FIND("х",E168)+1)))</f>
        <v/>
      </c>
      <c r="U168" s="66">
        <f>(2*(R168+S168)+60)*(S168+T168+8)/1000000</f>
        <v/>
      </c>
      <c r="V168" s="66">
        <f>IF(OR(AND(R168&gt;=2*S168,R168&gt;=2*T168),AND(S168&gt;=2*R168,S168&gt;=2*T168),AND(T168&gt;=2*R168,T168&gt;=2*S168)),"Длинные","")</f>
        <v/>
      </c>
      <c r="W168" s="66">
        <f>IF(OR(AND(R168&lt;=S168/2,R168&lt;=T168/2),AND(S168&lt;=R168/2,S168&lt;=T168/2),AND(T168&lt;=R168/2,T168&lt;=S168/2)),"Плоские","")</f>
        <v/>
      </c>
      <c r="X168" s="160">
        <f>IF(LARGE($R168:$T168,1)="","",IF(LARGE($R168:$T168,1)&lt;=99,"10-99 мм",IF(LARGE($R168:$T168,1)&lt;=199,"100-199 мм",IF(LARGE($R168:$T168,1)&lt;=299,"200-299 мм",IF(LARGE($R168:$T168,1)&lt;=399,"300-399 мм",IF(LARGE($R168:$T168,1)&lt;=499,"400-499 мм",IF(LARGE($R168:$T168,1)&lt;=599,"500-599 мм",IF(LARGE($R168:$T168,1)&lt;=699,"600-699 мм",IF(LARGE($R168:$T168,1)&lt;=999,"700-999 мм","1000+ мм")))))))))</f>
        <v/>
      </c>
      <c r="Y168" s="160">
        <f>IF(LARGE($R168:$T168,2)="","",IF(LARGE($R168:$T168,2)&lt;=99,"10-99 мм",IF(LARGE($R168:$T168,2)&lt;=199,"100-199 мм",IF(LARGE($R168:$T168,2)&lt;=299,"200-299 мм",IF(LARGE($R168:$T168,2)&lt;=399,"300-399 мм",IF(LARGE($R168:$T168,2)&lt;=499,"400-499 мм",IF(LARGE($R168:$T168,2)&lt;=599,"500-599 мм",IF(LARGE($R168:$T168,2)&lt;=699,"600-699 мм",IF(LARGE($R168:$T168,2)&lt;=999,"700-999 мм","1000+ мм")))))))))</f>
        <v/>
      </c>
      <c r="Z168" s="160">
        <f>IF(SMALL($R168:$T168,1)="","",IF(SMALL($R168:$T168,1)&lt;=99,"10-99 мм",IF(SMALL($R168:$T168,1)&lt;=199,"100-199 мм",IF(SMALL($R168:$T168,1)&lt;=299,"200-299 мм",IF(SMALL($R168:$T168,1)&lt;=399,"300-399 мм",IF(SMALL($R168:$T168,1)&lt;=499,"400-499 мм",IF(SMALL($R168:$T168,1)&lt;=599,"500-599 мм",IF(SMALL($R168:$T168,1)&lt;=699,"600-699 мм",IF(SMALL($R168:$T168,1)&lt;=999,"700-999 мм","1000+ мм")))))))))</f>
        <v/>
      </c>
      <c r="AA168" s="101">
        <f>IF(G168="","",IF(G168="Л","Лист гофрокартона",IF(G168="КД","Крышка-дно",IF(G168="С","Самосборные",IF(G168="Ч","Четырехклапанные",IF(G168="А","Архивные","Неизвестно"))))))</f>
        <v/>
      </c>
      <c r="AB168" s="66" t="n">
        <v>1.73</v>
      </c>
      <c r="AC168" s="101">
        <f>IF(O168="","",IF(O168&lt;=1,"0-1 литров",IF(O168&lt;=3,"2-3 литра",IF(O168&lt;=5,"4-5 литра",IF(O168&lt;=7,"6-7 литра",IF(O168&lt;=9,"8-9 литров",IF(O168&lt;=14,"10-14 литров",IF(O168&lt;=19,"15-19 литров",IF(O168&lt;=29,"20-29 литров",IF(O168&lt;=49,"30-49 литров",IF(O168&lt;=59,"50-59 литров",IF(O168&lt;=70,"60-69 литров",IF(O168&lt;=79,"70-79 литров",IF(O168&lt;=89,"80-89 литров",IF(O168&lt;=99,"90-99 литров",IF(O168&lt;=200,"100-200 литров","200+ литров"))))))))))))))))</f>
        <v/>
      </c>
    </row>
    <row r="169">
      <c r="A169" s="64" t="n">
        <v>5.12</v>
      </c>
      <c r="B169" s="65">
        <f>A169*1.2</f>
        <v/>
      </c>
      <c r="C169" s="109" t="n">
        <v>169</v>
      </c>
      <c r="D169" s="116" t="inlineStr">
        <is>
          <t>У</t>
        </is>
      </c>
      <c r="E169" s="88" t="inlineStr">
        <is>
          <t>745х545х580</t>
        </is>
      </c>
      <c r="G169" s="83" t="inlineStr">
        <is>
          <t>Ч</t>
        </is>
      </c>
      <c r="H169" s="146" t="inlineStr">
        <is>
          <t>х</t>
        </is>
      </c>
      <c r="I169" s="83" t="inlineStr">
        <is>
          <t>В</t>
        </is>
      </c>
      <c r="J169" s="83" t="inlineStr">
        <is>
          <t>х</t>
        </is>
      </c>
      <c r="K169" s="116" t="inlineStr">
        <is>
          <t>K170</t>
        </is>
      </c>
      <c r="N169" s="239">
        <f>IF(D169="","",IF(LEFT(D169,1)="0",0,1))</f>
        <v/>
      </c>
      <c r="O169" s="80">
        <f>ROUND(R169*S169*T169/1000000,2)</f>
        <v/>
      </c>
      <c r="P169" s="160">
        <f>IF(O169="","",
IF(O169&lt;1,"0,1-0,9 литров",
IF(O169&lt;2,"1-1,9 литра",
IF(O169&lt;3,"2-2,9 литра",
IF(O169&lt;4,"3-3,9 литра",
IF(O169&lt;6,"4-5,9 литра",IF(O169&lt;8,"6-7,9 литра",IF(O169&lt;10,"8-9,9 литров",IF(O169&lt;15,"10-14,9 литров",IF(O169&lt;20,"15-19,9 литров",IF(O169&lt;30,"20-29 литров",IF(O169&lt;50,"30-49 литров",IF(O169&lt;60,"50-59 литров",IF(O169&lt;70,"60-69 литров",IF(O169&lt;80,"70-79 литров",IF(O169&lt;90,"80-89 литров",IF(O169&lt;100,"90-99 литров",IF(O169&lt;200,"100-200 литров","200+ литров"))))))))))))))))))</f>
        <v/>
      </c>
      <c r="Q169" s="101">
        <f>IF(O169="","",IF(O169&lt;1,"&lt;1 л",IF(O169&lt;2,"1-2 л",IF(O169&lt;3,"2-3 л",IF(O169&lt;5,"3-5 л",IF(O169&lt;10,"5-10 л",IF(O169&lt;20,"10-20 л",IF(O169&lt;50,"20-50 л",IF(O169&lt;100,"50-100 л","100+ л")))))))))</f>
        <v/>
      </c>
      <c r="R169" s="162">
        <f>IF(E169="","",--LEFT(E169,FIND("х",E169)-1))</f>
        <v/>
      </c>
      <c r="S169" s="162">
        <f>IF(E169="","",--MID(E169,FIND("х",E169)+1,FIND("х",E169,FIND("х",E169)+1)-FIND("х",E169)-1))</f>
        <v/>
      </c>
      <c r="T169" s="162">
        <f>IF(E169="","",--RIGHT(E169,LEN(E169)-FIND("х",E169,FIND("х",E169)+1)))</f>
        <v/>
      </c>
      <c r="U169" s="66">
        <f>(2*(R169+S169)+60)*(S169+T169+8)/1000000</f>
        <v/>
      </c>
      <c r="V169" s="66">
        <f>IF(OR(AND(R169&gt;=2*S169,R169&gt;=2*T169),AND(S169&gt;=2*R169,S169&gt;=2*T169),AND(T169&gt;=2*R169,T169&gt;=2*S169)),"Длинные","")</f>
        <v/>
      </c>
      <c r="W169" s="66">
        <f>IF(OR(AND(R169&lt;=S169/2,R169&lt;=T169/2),AND(S169&lt;=R169/2,S169&lt;=T169/2),AND(T169&lt;=R169/2,T169&lt;=S169/2)),"Плоские","")</f>
        <v/>
      </c>
      <c r="X169" s="160">
        <f>IF(LARGE($R169:$T169,1)="","",IF(LARGE($R169:$T169,1)&lt;=99,"10-99 мм",IF(LARGE($R169:$T169,1)&lt;=199,"100-199 мм",IF(LARGE($R169:$T169,1)&lt;=299,"200-299 мм",IF(LARGE($R169:$T169,1)&lt;=399,"300-399 мм",IF(LARGE($R169:$T169,1)&lt;=499,"400-499 мм",IF(LARGE($R169:$T169,1)&lt;=599,"500-599 мм",IF(LARGE($R169:$T169,1)&lt;=699,"600-699 мм",IF(LARGE($R169:$T169,1)&lt;=999,"700-999 мм","1000+ мм")))))))))</f>
        <v/>
      </c>
      <c r="Y169" s="160">
        <f>IF(LARGE($R169:$T169,2)="","",IF(LARGE($R169:$T169,2)&lt;=99,"10-99 мм",IF(LARGE($R169:$T169,2)&lt;=199,"100-199 мм",IF(LARGE($R169:$T169,2)&lt;=299,"200-299 мм",IF(LARGE($R169:$T169,2)&lt;=399,"300-399 мм",IF(LARGE($R169:$T169,2)&lt;=499,"400-499 мм",IF(LARGE($R169:$T169,2)&lt;=599,"500-599 мм",IF(LARGE($R169:$T169,2)&lt;=699,"600-699 мм",IF(LARGE($R169:$T169,2)&lt;=999,"700-999 мм","1000+ мм")))))))))</f>
        <v/>
      </c>
      <c r="Z169" s="160">
        <f>IF(SMALL($R169:$T169,1)="","",IF(SMALL($R169:$T169,1)&lt;=99,"10-99 мм",IF(SMALL($R169:$T169,1)&lt;=199,"100-199 мм",IF(SMALL($R169:$T169,1)&lt;=299,"200-299 мм",IF(SMALL($R169:$T169,1)&lt;=399,"300-399 мм",IF(SMALL($R169:$T169,1)&lt;=499,"400-499 мм",IF(SMALL($R169:$T169,1)&lt;=599,"500-599 мм",IF(SMALL($R169:$T169,1)&lt;=699,"600-699 мм",IF(SMALL($R169:$T169,1)&lt;=999,"700-999 мм","1000+ мм")))))))))</f>
        <v/>
      </c>
      <c r="AA169" s="101">
        <f>IF(G169="","",IF(G169="Л","Лист гофрокартона",IF(G169="КД","Крышка-дно",IF(G169="С","Самосборные",IF(G169="Ч","Четырехклапанные",IF(G169="А","Архивные","Неизвестно"))))))</f>
        <v/>
      </c>
      <c r="AB169" s="66" t="n">
        <v>1.73</v>
      </c>
      <c r="AC169" s="101">
        <f>IF(O169="","",IF(O169&lt;=1,"0-1 литров",IF(O169&lt;=3,"2-3 литра",IF(O169&lt;=5,"4-5 литра",IF(O169&lt;=7,"6-7 литра",IF(O169&lt;=9,"8-9 литров",IF(O169&lt;=14,"10-14 литров",IF(O169&lt;=19,"15-19 литров",IF(O169&lt;=29,"20-29 литров",IF(O169&lt;=49,"30-49 литров",IF(O169&lt;=59,"50-59 литров",IF(O169&lt;=70,"60-69 литров",IF(O169&lt;=79,"70-79 литров",IF(O169&lt;=89,"80-89 литров",IF(O169&lt;=99,"90-99 литров",IF(O169&lt;=200,"100-200 литров","200+ литров"))))))))))))))))</f>
        <v/>
      </c>
    </row>
    <row r="170">
      <c r="A170" s="64" t="n">
        <v>0.28</v>
      </c>
      <c r="B170" s="65">
        <f>A170*1.2</f>
        <v/>
      </c>
      <c r="C170" s="109" t="n">
        <v>170</v>
      </c>
      <c r="D170" s="116" t="inlineStr">
        <is>
          <t>У</t>
        </is>
      </c>
      <c r="E170" s="88" t="inlineStr">
        <is>
          <t>150х150х100</t>
        </is>
      </c>
      <c r="G170" s="83" t="inlineStr">
        <is>
          <t>Ч</t>
        </is>
      </c>
      <c r="H170" s="146" t="inlineStr">
        <is>
          <t>х</t>
        </is>
      </c>
      <c r="I170" s="83" t="inlineStr">
        <is>
          <t>В</t>
        </is>
      </c>
      <c r="J170" s="83" t="inlineStr">
        <is>
          <t>х</t>
        </is>
      </c>
      <c r="K170" s="116" t="inlineStr">
        <is>
          <t>K171</t>
        </is>
      </c>
      <c r="N170" s="239">
        <f>IF(D170="","",IF(LEFT(D170,1)="0",0,1))</f>
        <v/>
      </c>
      <c r="O170" s="80">
        <f>ROUND(R170*S170*T170/1000000,2)</f>
        <v/>
      </c>
      <c r="P170" s="160">
        <f>IF(O170="","",
IF(O170&lt;1,"0,1-0,9 литров",
IF(O170&lt;2,"1-1,9 литра",
IF(O170&lt;3,"2-2,9 литра",
IF(O170&lt;4,"3-3,9 литра",
IF(O170&lt;6,"4-5,9 литра",IF(O170&lt;8,"6-7,9 литра",IF(O170&lt;10,"8-9,9 литров",IF(O170&lt;15,"10-14,9 литров",IF(O170&lt;20,"15-19,9 литров",IF(O170&lt;30,"20-29 литров",IF(O170&lt;50,"30-49 литров",IF(O170&lt;60,"50-59 литров",IF(O170&lt;70,"60-69 литров",IF(O170&lt;80,"70-79 литров",IF(O170&lt;90,"80-89 литров",IF(O170&lt;100,"90-99 литров",IF(O170&lt;200,"100-200 литров","200+ литров"))))))))))))))))))</f>
        <v/>
      </c>
      <c r="Q170" s="101">
        <f>IF(O170="","",IF(O170&lt;1,"&lt;1 л",IF(O170&lt;2,"1-2 л",IF(O170&lt;3,"2-3 л",IF(O170&lt;5,"3-5 л",IF(O170&lt;10,"5-10 л",IF(O170&lt;20,"10-20 л",IF(O170&lt;50,"20-50 л",IF(O170&lt;100,"50-100 л","100+ л")))))))))</f>
        <v/>
      </c>
      <c r="R170" s="162">
        <f>IF(E170="","",--LEFT(E170,FIND("х",E170)-1))</f>
        <v/>
      </c>
      <c r="S170" s="162">
        <f>IF(E170="","",--MID(E170,FIND("х",E170)+1,FIND("х",E170,FIND("х",E170)+1)-FIND("х",E170)-1))</f>
        <v/>
      </c>
      <c r="T170" s="162">
        <f>IF(E170="","",--RIGHT(E170,LEN(E170)-FIND("х",E170,FIND("х",E170)+1)))</f>
        <v/>
      </c>
      <c r="U170" s="66">
        <f>(2*(R170+S170)+60)*(S170+T170+8)/1000000</f>
        <v/>
      </c>
      <c r="V170" s="66">
        <f>IF(OR(AND(R170&gt;=2*S170,R170&gt;=2*T170),AND(S170&gt;=2*R170,S170&gt;=2*T170),AND(T170&gt;=2*R170,T170&gt;=2*S170)),"Длинные","")</f>
        <v/>
      </c>
      <c r="W170" s="66">
        <f>IF(OR(AND(R170&lt;=S170/2,R170&lt;=T170/2),AND(S170&lt;=R170/2,S170&lt;=T170/2),AND(T170&lt;=R170/2,T170&lt;=S170/2)),"Плоские","")</f>
        <v/>
      </c>
      <c r="X170" s="160">
        <f>IF(LARGE($R170:$T170,1)="","",IF(LARGE($R170:$T170,1)&lt;=99,"10-99 мм",IF(LARGE($R170:$T170,1)&lt;=199,"100-199 мм",IF(LARGE($R170:$T170,1)&lt;=299,"200-299 мм",IF(LARGE($R170:$T170,1)&lt;=399,"300-399 мм",IF(LARGE($R170:$T170,1)&lt;=499,"400-499 мм",IF(LARGE($R170:$T170,1)&lt;=599,"500-599 мм",IF(LARGE($R170:$T170,1)&lt;=699,"600-699 мм",IF(LARGE($R170:$T170,1)&lt;=999,"700-999 мм","1000+ мм")))))))))</f>
        <v/>
      </c>
      <c r="Y170" s="160">
        <f>IF(LARGE($R170:$T170,2)="","",IF(LARGE($R170:$T170,2)&lt;=99,"10-99 мм",IF(LARGE($R170:$T170,2)&lt;=199,"100-199 мм",IF(LARGE($R170:$T170,2)&lt;=299,"200-299 мм",IF(LARGE($R170:$T170,2)&lt;=399,"300-399 мм",IF(LARGE($R170:$T170,2)&lt;=499,"400-499 мм",IF(LARGE($R170:$T170,2)&lt;=599,"500-599 мм",IF(LARGE($R170:$T170,2)&lt;=699,"600-699 мм",IF(LARGE($R170:$T170,2)&lt;=999,"700-999 мм","1000+ мм")))))))))</f>
        <v/>
      </c>
      <c r="Z170" s="160">
        <f>IF(SMALL($R170:$T170,1)="","",IF(SMALL($R170:$T170,1)&lt;=99,"10-99 мм",IF(SMALL($R170:$T170,1)&lt;=199,"100-199 мм",IF(SMALL($R170:$T170,1)&lt;=299,"200-299 мм",IF(SMALL($R170:$T170,1)&lt;=399,"300-399 мм",IF(SMALL($R170:$T170,1)&lt;=499,"400-499 мм",IF(SMALL($R170:$T170,1)&lt;=599,"500-599 мм",IF(SMALL($R170:$T170,1)&lt;=699,"600-699 мм",IF(SMALL($R170:$T170,1)&lt;=999,"700-999 мм","1000+ мм")))))))))</f>
        <v/>
      </c>
      <c r="AA170" s="101">
        <f>IF(G170="","",IF(G170="Л","Лист гофрокартона",IF(G170="КД","Крышка-дно",IF(G170="С","Самосборные",IF(G170="Ч","Четырехклапанные",IF(G170="А","Архивные","Неизвестно"))))))</f>
        <v/>
      </c>
      <c r="AB170" s="66" t="n">
        <v>1.73</v>
      </c>
      <c r="AC170" s="101">
        <f>IF(O170="","",IF(O170&lt;=1,"0-1 литров",IF(O170&lt;=3,"2-3 литра",IF(O170&lt;=5,"4-5 литра",IF(O170&lt;=7,"6-7 литра",IF(O170&lt;=9,"8-9 литров",IF(O170&lt;=14,"10-14 литров",IF(O170&lt;=19,"15-19 литров",IF(O170&lt;=29,"20-29 литров",IF(O170&lt;=49,"30-49 литров",IF(O170&lt;=59,"50-59 литров",IF(O170&lt;=70,"60-69 литров",IF(O170&lt;=79,"70-79 литров",IF(O170&lt;=89,"80-89 литров",IF(O170&lt;=99,"90-99 литров",IF(O170&lt;=200,"100-200 литров","200+ литров"))))))))))))))))</f>
        <v/>
      </c>
    </row>
    <row r="171">
      <c r="A171" s="64" t="n">
        <v>0.58</v>
      </c>
      <c r="B171" s="65">
        <f>A171*1.2</f>
        <v/>
      </c>
      <c r="C171" s="109" t="n">
        <v>171</v>
      </c>
      <c r="D171" s="116" t="inlineStr">
        <is>
          <t>У</t>
        </is>
      </c>
      <c r="E171" s="88" t="inlineStr">
        <is>
          <t>260х190х160</t>
        </is>
      </c>
      <c r="G171" s="83" t="inlineStr">
        <is>
          <t>Ч</t>
        </is>
      </c>
      <c r="H171" s="146" t="inlineStr">
        <is>
          <t>х</t>
        </is>
      </c>
      <c r="I171" s="83" t="inlineStr">
        <is>
          <t>В</t>
        </is>
      </c>
      <c r="J171" s="83" t="inlineStr">
        <is>
          <t>х</t>
        </is>
      </c>
      <c r="K171" s="116" t="inlineStr">
        <is>
          <t>K172</t>
        </is>
      </c>
      <c r="N171" s="239">
        <f>IF(D171="","",IF(LEFT(D171,1)="0",0,1))</f>
        <v/>
      </c>
      <c r="O171" s="80">
        <f>ROUND(R171*S171*T171/1000000,2)</f>
        <v/>
      </c>
      <c r="P171" s="160">
        <f>IF(O171="","",
IF(O171&lt;1,"0,1-0,9 литров",
IF(O171&lt;2,"1-1,9 литра",
IF(O171&lt;3,"2-2,9 литра",
IF(O171&lt;4,"3-3,9 литра",
IF(O171&lt;6,"4-5,9 литра",IF(O171&lt;8,"6-7,9 литра",IF(O171&lt;10,"8-9,9 литров",IF(O171&lt;15,"10-14,9 литров",IF(O171&lt;20,"15-19,9 литров",IF(O171&lt;30,"20-29 литров",IF(O171&lt;50,"30-49 литров",IF(O171&lt;60,"50-59 литров",IF(O171&lt;70,"60-69 литров",IF(O171&lt;80,"70-79 литров",IF(O171&lt;90,"80-89 литров",IF(O171&lt;100,"90-99 литров",IF(O171&lt;200,"100-200 литров","200+ литров"))))))))))))))))))</f>
        <v/>
      </c>
      <c r="Q171" s="101">
        <f>IF(O171="","",IF(O171&lt;1,"&lt;1 л",IF(O171&lt;2,"1-2 л",IF(O171&lt;3,"2-3 л",IF(O171&lt;5,"3-5 л",IF(O171&lt;10,"5-10 л",IF(O171&lt;20,"10-20 л",IF(O171&lt;50,"20-50 л",IF(O171&lt;100,"50-100 л","100+ л")))))))))</f>
        <v/>
      </c>
      <c r="R171" s="162">
        <f>IF(E171="","",--LEFT(E171,FIND("х",E171)-1))</f>
        <v/>
      </c>
      <c r="S171" s="162">
        <f>IF(E171="","",--MID(E171,FIND("х",E171)+1,FIND("х",E171,FIND("х",E171)+1)-FIND("х",E171)-1))</f>
        <v/>
      </c>
      <c r="T171" s="162">
        <f>IF(E171="","",--RIGHT(E171,LEN(E171)-FIND("х",E171,FIND("х",E171)+1)))</f>
        <v/>
      </c>
      <c r="U171" s="66">
        <f>(2*(R171+S171)+60)*(S171+T171+8)/1000000</f>
        <v/>
      </c>
      <c r="V171" s="66">
        <f>IF(OR(AND(R171&gt;=2*S171,R171&gt;=2*T171),AND(S171&gt;=2*R171,S171&gt;=2*T171),AND(T171&gt;=2*R171,T171&gt;=2*S171)),"Длинные","")</f>
        <v/>
      </c>
      <c r="W171" s="66">
        <f>IF(OR(AND(R171&lt;=S171/2,R171&lt;=T171/2),AND(S171&lt;=R171/2,S171&lt;=T171/2),AND(T171&lt;=R171/2,T171&lt;=S171/2)),"Плоские","")</f>
        <v/>
      </c>
      <c r="X171" s="160">
        <f>IF(LARGE($R171:$T171,1)="","",IF(LARGE($R171:$T171,1)&lt;=99,"10-99 мм",IF(LARGE($R171:$T171,1)&lt;=199,"100-199 мм",IF(LARGE($R171:$T171,1)&lt;=299,"200-299 мм",IF(LARGE($R171:$T171,1)&lt;=399,"300-399 мм",IF(LARGE($R171:$T171,1)&lt;=499,"400-499 мм",IF(LARGE($R171:$T171,1)&lt;=599,"500-599 мм",IF(LARGE($R171:$T171,1)&lt;=699,"600-699 мм",IF(LARGE($R171:$T171,1)&lt;=999,"700-999 мм","1000+ мм")))))))))</f>
        <v/>
      </c>
      <c r="Y171" s="160">
        <f>IF(LARGE($R171:$T171,2)="","",IF(LARGE($R171:$T171,2)&lt;=99,"10-99 мм",IF(LARGE($R171:$T171,2)&lt;=199,"100-199 мм",IF(LARGE($R171:$T171,2)&lt;=299,"200-299 мм",IF(LARGE($R171:$T171,2)&lt;=399,"300-399 мм",IF(LARGE($R171:$T171,2)&lt;=499,"400-499 мм",IF(LARGE($R171:$T171,2)&lt;=599,"500-599 мм",IF(LARGE($R171:$T171,2)&lt;=699,"600-699 мм",IF(LARGE($R171:$T171,2)&lt;=999,"700-999 мм","1000+ мм")))))))))</f>
        <v/>
      </c>
      <c r="Z171" s="160">
        <f>IF(SMALL($R171:$T171,1)="","",IF(SMALL($R171:$T171,1)&lt;=99,"10-99 мм",IF(SMALL($R171:$T171,1)&lt;=199,"100-199 мм",IF(SMALL($R171:$T171,1)&lt;=299,"200-299 мм",IF(SMALL($R171:$T171,1)&lt;=399,"300-399 мм",IF(SMALL($R171:$T171,1)&lt;=499,"400-499 мм",IF(SMALL($R171:$T171,1)&lt;=599,"500-599 мм",IF(SMALL($R171:$T171,1)&lt;=699,"600-699 мм",IF(SMALL($R171:$T171,1)&lt;=999,"700-999 мм","1000+ мм")))))))))</f>
        <v/>
      </c>
      <c r="AA171" s="101">
        <f>IF(G171="","",IF(G171="Л","Лист гофрокартона",IF(G171="КД","Крышка-дно",IF(G171="С","Самосборные",IF(G171="Ч","Четырехклапанные",IF(G171="А","Архивные","Неизвестно"))))))</f>
        <v/>
      </c>
      <c r="AB171" s="66" t="n">
        <v>1.73</v>
      </c>
      <c r="AC171" s="101">
        <f>IF(O171="","",IF(O171&lt;=1,"0-1 литров",IF(O171&lt;=3,"2-3 литра",IF(O171&lt;=5,"4-5 литра",IF(O171&lt;=7,"6-7 литра",IF(O171&lt;=9,"8-9 литров",IF(O171&lt;=14,"10-14 литров",IF(O171&lt;=19,"15-19 литров",IF(O171&lt;=29,"20-29 литров",IF(O171&lt;=49,"30-49 литров",IF(O171&lt;=59,"50-59 литров",IF(O171&lt;=70,"60-69 литров",IF(O171&lt;=79,"70-79 литров",IF(O171&lt;=89,"80-89 литров",IF(O171&lt;=99,"90-99 литров",IF(O171&lt;=200,"100-200 литров","200+ литров"))))))))))))))))</f>
        <v/>
      </c>
    </row>
    <row r="172">
      <c r="A172" s="64" t="n">
        <v>0.26</v>
      </c>
      <c r="B172" s="65">
        <f>A172*1.2</f>
        <v/>
      </c>
      <c r="C172" s="109" t="n">
        <v>172</v>
      </c>
      <c r="D172" s="116" t="inlineStr">
        <is>
          <t>У</t>
        </is>
      </c>
      <c r="E172" s="88" t="inlineStr">
        <is>
          <t>150х150х85</t>
        </is>
      </c>
      <c r="G172" s="83" t="inlineStr">
        <is>
          <t>Ч</t>
        </is>
      </c>
      <c r="H172" s="146" t="inlineStr">
        <is>
          <t>х</t>
        </is>
      </c>
      <c r="I172" s="83" t="inlineStr">
        <is>
          <t>В</t>
        </is>
      </c>
      <c r="J172" s="83" t="inlineStr">
        <is>
          <t>х</t>
        </is>
      </c>
      <c r="K172" s="116" t="inlineStr">
        <is>
          <t>K173</t>
        </is>
      </c>
      <c r="N172" s="239">
        <f>IF(D172="","",IF(LEFT(D172,1)="0",0,1))</f>
        <v/>
      </c>
      <c r="O172" s="80">
        <f>ROUND(R172*S172*T172/1000000,2)</f>
        <v/>
      </c>
      <c r="P172" s="160">
        <f>IF(O172="","",
IF(O172&lt;1,"0,1-0,9 литров",
IF(O172&lt;2,"1-1,9 литра",
IF(O172&lt;3,"2-2,9 литра",
IF(O172&lt;4,"3-3,9 литра",
IF(O172&lt;6,"4-5,9 литра",IF(O172&lt;8,"6-7,9 литра",IF(O172&lt;10,"8-9,9 литров",IF(O172&lt;15,"10-14,9 литров",IF(O172&lt;20,"15-19,9 литров",IF(O172&lt;30,"20-29 литров",IF(O172&lt;50,"30-49 литров",IF(O172&lt;60,"50-59 литров",IF(O172&lt;70,"60-69 литров",IF(O172&lt;80,"70-79 литров",IF(O172&lt;90,"80-89 литров",IF(O172&lt;100,"90-99 литров",IF(O172&lt;200,"100-200 литров","200+ литров"))))))))))))))))))</f>
        <v/>
      </c>
      <c r="Q172" s="101">
        <f>IF(O172="","",IF(O172&lt;1,"&lt;1 л",IF(O172&lt;2,"1-2 л",IF(O172&lt;3,"2-3 л",IF(O172&lt;5,"3-5 л",IF(O172&lt;10,"5-10 л",IF(O172&lt;20,"10-20 л",IF(O172&lt;50,"20-50 л",IF(O172&lt;100,"50-100 л","100+ л")))))))))</f>
        <v/>
      </c>
      <c r="R172" s="162">
        <f>IF(E172="","",--LEFT(E172,FIND("х",E172)-1))</f>
        <v/>
      </c>
      <c r="S172" s="162">
        <f>IF(E172="","",--MID(E172,FIND("х",E172)+1,FIND("х",E172,FIND("х",E172)+1)-FIND("х",E172)-1))</f>
        <v/>
      </c>
      <c r="T172" s="162">
        <f>IF(E172="","",--RIGHT(E172,LEN(E172)-FIND("х",E172,FIND("х",E172)+1)))</f>
        <v/>
      </c>
      <c r="U172" s="66">
        <f>(2*(R172+S172)+60)*(S172+T172+8)/1000000</f>
        <v/>
      </c>
      <c r="V172" s="66">
        <f>IF(OR(AND(R172&gt;=2*S172,R172&gt;=2*T172),AND(S172&gt;=2*R172,S172&gt;=2*T172),AND(T172&gt;=2*R172,T172&gt;=2*S172)),"Длинные","")</f>
        <v/>
      </c>
      <c r="W172" s="66">
        <f>IF(OR(AND(R172&lt;=S172/2,R172&lt;=T172/2),AND(S172&lt;=R172/2,S172&lt;=T172/2),AND(T172&lt;=R172/2,T172&lt;=S172/2)),"Плоские","")</f>
        <v/>
      </c>
      <c r="X172" s="160">
        <f>IF(LARGE($R172:$T172,1)="","",IF(LARGE($R172:$T172,1)&lt;=99,"10-99 мм",IF(LARGE($R172:$T172,1)&lt;=199,"100-199 мм",IF(LARGE($R172:$T172,1)&lt;=299,"200-299 мм",IF(LARGE($R172:$T172,1)&lt;=399,"300-399 мм",IF(LARGE($R172:$T172,1)&lt;=499,"400-499 мм",IF(LARGE($R172:$T172,1)&lt;=599,"500-599 мм",IF(LARGE($R172:$T172,1)&lt;=699,"600-699 мм",IF(LARGE($R172:$T172,1)&lt;=999,"700-999 мм","1000+ мм")))))))))</f>
        <v/>
      </c>
      <c r="Y172" s="160">
        <f>IF(LARGE($R172:$T172,2)="","",IF(LARGE($R172:$T172,2)&lt;=99,"10-99 мм",IF(LARGE($R172:$T172,2)&lt;=199,"100-199 мм",IF(LARGE($R172:$T172,2)&lt;=299,"200-299 мм",IF(LARGE($R172:$T172,2)&lt;=399,"300-399 мм",IF(LARGE($R172:$T172,2)&lt;=499,"400-499 мм",IF(LARGE($R172:$T172,2)&lt;=599,"500-599 мм",IF(LARGE($R172:$T172,2)&lt;=699,"600-699 мм",IF(LARGE($R172:$T172,2)&lt;=999,"700-999 мм","1000+ мм")))))))))</f>
        <v/>
      </c>
      <c r="Z172" s="160">
        <f>IF(SMALL($R172:$T172,1)="","",IF(SMALL($R172:$T172,1)&lt;=99,"10-99 мм",IF(SMALL($R172:$T172,1)&lt;=199,"100-199 мм",IF(SMALL($R172:$T172,1)&lt;=299,"200-299 мм",IF(SMALL($R172:$T172,1)&lt;=399,"300-399 мм",IF(SMALL($R172:$T172,1)&lt;=499,"400-499 мм",IF(SMALL($R172:$T172,1)&lt;=599,"500-599 мм",IF(SMALL($R172:$T172,1)&lt;=699,"600-699 мм",IF(SMALL($R172:$T172,1)&lt;=999,"700-999 мм","1000+ мм")))))))))</f>
        <v/>
      </c>
      <c r="AA172" s="101">
        <f>IF(G172="","",IF(G172="Л","Лист гофрокартона",IF(G172="КД","Крышка-дно",IF(G172="С","Самосборные",IF(G172="Ч","Четырехклапанные",IF(G172="А","Архивные","Неизвестно"))))))</f>
        <v/>
      </c>
      <c r="AB172" s="66" t="n">
        <v>1.73</v>
      </c>
      <c r="AC172" s="101">
        <f>IF(O172="","",IF(O172&lt;=1,"0-1 литров",IF(O172&lt;=3,"2-3 литра",IF(O172&lt;=5,"4-5 литра",IF(O172&lt;=7,"6-7 литра",IF(O172&lt;=9,"8-9 литров",IF(O172&lt;=14,"10-14 литров",IF(O172&lt;=19,"15-19 литров",IF(O172&lt;=29,"20-29 литров",IF(O172&lt;=49,"30-49 литров",IF(O172&lt;=59,"50-59 литров",IF(O172&lt;=70,"60-69 литров",IF(O172&lt;=79,"70-79 литров",IF(O172&lt;=89,"80-89 литров",IF(O172&lt;=99,"90-99 литров",IF(O172&lt;=200,"100-200 литров","200+ литров"))))))))))))))))</f>
        <v/>
      </c>
    </row>
    <row r="173">
      <c r="A173" s="64" t="n">
        <v>0.22</v>
      </c>
      <c r="B173" s="65">
        <f>A173*1.2</f>
        <v/>
      </c>
      <c r="C173" s="109" t="n">
        <v>173</v>
      </c>
      <c r="D173" s="116" t="inlineStr">
        <is>
          <t>У</t>
        </is>
      </c>
      <c r="E173" s="88" t="inlineStr">
        <is>
          <t>120х120х120</t>
        </is>
      </c>
      <c r="G173" s="83" t="inlineStr">
        <is>
          <t>Ч</t>
        </is>
      </c>
      <c r="H173" s="146" t="inlineStr">
        <is>
          <t>х</t>
        </is>
      </c>
      <c r="I173" s="83" t="inlineStr">
        <is>
          <t>В</t>
        </is>
      </c>
      <c r="J173" s="83" t="inlineStr">
        <is>
          <t>х</t>
        </is>
      </c>
      <c r="K173" s="116" t="inlineStr">
        <is>
          <t>K174</t>
        </is>
      </c>
      <c r="N173" s="239">
        <f>IF(D173="","",IF(LEFT(D173,1)="0",0,1))</f>
        <v/>
      </c>
      <c r="O173" s="80">
        <f>ROUND(R173*S173*T173/1000000,2)</f>
        <v/>
      </c>
      <c r="P173" s="160">
        <f>IF(O173="","",
IF(O173&lt;1,"0,1-0,9 литров",
IF(O173&lt;2,"1-1,9 литра",
IF(O173&lt;3,"2-2,9 литра",
IF(O173&lt;4,"3-3,9 литра",
IF(O173&lt;6,"4-5,9 литра",IF(O173&lt;8,"6-7,9 литра",IF(O173&lt;10,"8-9,9 литров",IF(O173&lt;15,"10-14,9 литров",IF(O173&lt;20,"15-19,9 литров",IF(O173&lt;30,"20-29 литров",IF(O173&lt;50,"30-49 литров",IF(O173&lt;60,"50-59 литров",IF(O173&lt;70,"60-69 литров",IF(O173&lt;80,"70-79 литров",IF(O173&lt;90,"80-89 литров",IF(O173&lt;100,"90-99 литров",IF(O173&lt;200,"100-200 литров","200+ литров"))))))))))))))))))</f>
        <v/>
      </c>
      <c r="Q173" s="101">
        <f>IF(O173="","",IF(O173&lt;1,"&lt;1 л",IF(O173&lt;2,"1-2 л",IF(O173&lt;3,"2-3 л",IF(O173&lt;5,"3-5 л",IF(O173&lt;10,"5-10 л",IF(O173&lt;20,"10-20 л",IF(O173&lt;50,"20-50 л",IF(O173&lt;100,"50-100 л","100+ л")))))))))</f>
        <v/>
      </c>
      <c r="R173" s="162">
        <f>IF(E173="","",--LEFT(E173,FIND("х",E173)-1))</f>
        <v/>
      </c>
      <c r="S173" s="162">
        <f>IF(E173="","",--MID(E173,FIND("х",E173)+1,FIND("х",E173,FIND("х",E173)+1)-FIND("х",E173)-1))</f>
        <v/>
      </c>
      <c r="T173" s="162">
        <f>IF(E173="","",--RIGHT(E173,LEN(E173)-FIND("х",E173,FIND("х",E173)+1)))</f>
        <v/>
      </c>
      <c r="U173" s="66">
        <f>(2*(R173+S173)+60)*(S173+T173+8)/1000000</f>
        <v/>
      </c>
      <c r="V173" s="66">
        <f>IF(OR(AND(R173&gt;=2*S173,R173&gt;=2*T173),AND(S173&gt;=2*R173,S173&gt;=2*T173),AND(T173&gt;=2*R173,T173&gt;=2*S173)),"Длинные","")</f>
        <v/>
      </c>
      <c r="W173" s="66">
        <f>IF(OR(AND(R173&lt;=S173/2,R173&lt;=T173/2),AND(S173&lt;=R173/2,S173&lt;=T173/2),AND(T173&lt;=R173/2,T173&lt;=S173/2)),"Плоские","")</f>
        <v/>
      </c>
      <c r="X173" s="160">
        <f>IF(LARGE($R173:$T173,1)="","",IF(LARGE($R173:$T173,1)&lt;=99,"10-99 мм",IF(LARGE($R173:$T173,1)&lt;=199,"100-199 мм",IF(LARGE($R173:$T173,1)&lt;=299,"200-299 мм",IF(LARGE($R173:$T173,1)&lt;=399,"300-399 мм",IF(LARGE($R173:$T173,1)&lt;=499,"400-499 мм",IF(LARGE($R173:$T173,1)&lt;=599,"500-599 мм",IF(LARGE($R173:$T173,1)&lt;=699,"600-699 мм",IF(LARGE($R173:$T173,1)&lt;=999,"700-999 мм","1000+ мм")))))))))</f>
        <v/>
      </c>
      <c r="Y173" s="160">
        <f>IF(LARGE($R173:$T173,2)="","",IF(LARGE($R173:$T173,2)&lt;=99,"10-99 мм",IF(LARGE($R173:$T173,2)&lt;=199,"100-199 мм",IF(LARGE($R173:$T173,2)&lt;=299,"200-299 мм",IF(LARGE($R173:$T173,2)&lt;=399,"300-399 мм",IF(LARGE($R173:$T173,2)&lt;=499,"400-499 мм",IF(LARGE($R173:$T173,2)&lt;=599,"500-599 мм",IF(LARGE($R173:$T173,2)&lt;=699,"600-699 мм",IF(LARGE($R173:$T173,2)&lt;=999,"700-999 мм","1000+ мм")))))))))</f>
        <v/>
      </c>
      <c r="Z173" s="160">
        <f>IF(SMALL($R173:$T173,1)="","",IF(SMALL($R173:$T173,1)&lt;=99,"10-99 мм",IF(SMALL($R173:$T173,1)&lt;=199,"100-199 мм",IF(SMALL($R173:$T173,1)&lt;=299,"200-299 мм",IF(SMALL($R173:$T173,1)&lt;=399,"300-399 мм",IF(SMALL($R173:$T173,1)&lt;=499,"400-499 мм",IF(SMALL($R173:$T173,1)&lt;=599,"500-599 мм",IF(SMALL($R173:$T173,1)&lt;=699,"600-699 мм",IF(SMALL($R173:$T173,1)&lt;=999,"700-999 мм","1000+ мм")))))))))</f>
        <v/>
      </c>
      <c r="AA173" s="101">
        <f>IF(G173="","",IF(G173="Л","Лист гофрокартона",IF(G173="КД","Крышка-дно",IF(G173="С","Самосборные",IF(G173="Ч","Четырехклапанные",IF(G173="А","Архивные","Неизвестно"))))))</f>
        <v/>
      </c>
      <c r="AB173" s="66" t="n">
        <v>1.73</v>
      </c>
      <c r="AC173" s="101">
        <f>IF(O173="","",IF(O173&lt;=1,"0-1 литров",IF(O173&lt;=3,"2-3 литра",IF(O173&lt;=5,"4-5 литра",IF(O173&lt;=7,"6-7 литра",IF(O173&lt;=9,"8-9 литров",IF(O173&lt;=14,"10-14 литров",IF(O173&lt;=19,"15-19 литров",IF(O173&lt;=29,"20-29 литров",IF(O173&lt;=49,"30-49 литров",IF(O173&lt;=59,"50-59 литров",IF(O173&lt;=70,"60-69 литров",IF(O173&lt;=79,"70-79 литров",IF(O173&lt;=89,"80-89 литров",IF(O173&lt;=99,"90-99 литров",IF(O173&lt;=200,"100-200 литров","200+ литров"))))))))))))))))</f>
        <v/>
      </c>
    </row>
    <row r="174">
      <c r="A174" s="64" t="n">
        <v>0.42</v>
      </c>
      <c r="B174" s="65">
        <f>A174*1.2</f>
        <v/>
      </c>
      <c r="C174" s="109" t="n">
        <v>174</v>
      </c>
      <c r="D174" s="116" t="inlineStr">
        <is>
          <t>У</t>
        </is>
      </c>
      <c r="E174" s="88" t="inlineStr">
        <is>
          <t>180х180х125</t>
        </is>
      </c>
      <c r="G174" s="83" t="inlineStr">
        <is>
          <t>Ч</t>
        </is>
      </c>
      <c r="H174" s="146" t="inlineStr">
        <is>
          <t>х</t>
        </is>
      </c>
      <c r="I174" s="83" t="inlineStr">
        <is>
          <t>В</t>
        </is>
      </c>
      <c r="J174" s="83" t="inlineStr">
        <is>
          <t>х</t>
        </is>
      </c>
      <c r="K174" s="116" t="inlineStr">
        <is>
          <t>K175</t>
        </is>
      </c>
      <c r="N174" s="239">
        <f>IF(D174="","",IF(LEFT(D174,1)="0",0,1))</f>
        <v/>
      </c>
      <c r="O174" s="80">
        <f>ROUND(R174*S174*T174/1000000,2)</f>
        <v/>
      </c>
      <c r="P174" s="160">
        <f>IF(O174="","",
IF(O174&lt;1,"0,1-0,9 литров",
IF(O174&lt;2,"1-1,9 литра",
IF(O174&lt;3,"2-2,9 литра",
IF(O174&lt;4,"3-3,9 литра",
IF(O174&lt;6,"4-5,9 литра",IF(O174&lt;8,"6-7,9 литра",IF(O174&lt;10,"8-9,9 литров",IF(O174&lt;15,"10-14,9 литров",IF(O174&lt;20,"15-19,9 литров",IF(O174&lt;30,"20-29 литров",IF(O174&lt;50,"30-49 литров",IF(O174&lt;60,"50-59 литров",IF(O174&lt;70,"60-69 литров",IF(O174&lt;80,"70-79 литров",IF(O174&lt;90,"80-89 литров",IF(O174&lt;100,"90-99 литров",IF(O174&lt;200,"100-200 литров","200+ литров"))))))))))))))))))</f>
        <v/>
      </c>
      <c r="Q174" s="101">
        <f>IF(O174="","",IF(O174&lt;1,"&lt;1 л",IF(O174&lt;2,"1-2 л",IF(O174&lt;3,"2-3 л",IF(O174&lt;5,"3-5 л",IF(O174&lt;10,"5-10 л",IF(O174&lt;20,"10-20 л",IF(O174&lt;50,"20-50 л",IF(O174&lt;100,"50-100 л","100+ л")))))))))</f>
        <v/>
      </c>
      <c r="R174" s="162">
        <f>IF(E174="","",--LEFT(E174,FIND("х",E174)-1))</f>
        <v/>
      </c>
      <c r="S174" s="162">
        <f>IF(E174="","",--MID(E174,FIND("х",E174)+1,FIND("х",E174,FIND("х",E174)+1)-FIND("х",E174)-1))</f>
        <v/>
      </c>
      <c r="T174" s="162">
        <f>IF(E174="","",--RIGHT(E174,LEN(E174)-FIND("х",E174,FIND("х",E174)+1)))</f>
        <v/>
      </c>
      <c r="U174" s="66">
        <f>(2*(R174+S174)+60)*(S174+T174+8)/1000000</f>
        <v/>
      </c>
      <c r="V174" s="66">
        <f>IF(OR(AND(R174&gt;=2*S174,R174&gt;=2*T174),AND(S174&gt;=2*R174,S174&gt;=2*T174),AND(T174&gt;=2*R174,T174&gt;=2*S174)),"Длинные","")</f>
        <v/>
      </c>
      <c r="W174" s="66">
        <f>IF(OR(AND(R174&lt;=S174/2,R174&lt;=T174/2),AND(S174&lt;=R174/2,S174&lt;=T174/2),AND(T174&lt;=R174/2,T174&lt;=S174/2)),"Плоские","")</f>
        <v/>
      </c>
      <c r="X174" s="160">
        <f>IF(LARGE($R174:$T174,1)="","",IF(LARGE($R174:$T174,1)&lt;=99,"10-99 мм",IF(LARGE($R174:$T174,1)&lt;=199,"100-199 мм",IF(LARGE($R174:$T174,1)&lt;=299,"200-299 мм",IF(LARGE($R174:$T174,1)&lt;=399,"300-399 мм",IF(LARGE($R174:$T174,1)&lt;=499,"400-499 мм",IF(LARGE($R174:$T174,1)&lt;=599,"500-599 мм",IF(LARGE($R174:$T174,1)&lt;=699,"600-699 мм",IF(LARGE($R174:$T174,1)&lt;=999,"700-999 мм","1000+ мм")))))))))</f>
        <v/>
      </c>
      <c r="Y174" s="160">
        <f>IF(LARGE($R174:$T174,2)="","",IF(LARGE($R174:$T174,2)&lt;=99,"10-99 мм",IF(LARGE($R174:$T174,2)&lt;=199,"100-199 мм",IF(LARGE($R174:$T174,2)&lt;=299,"200-299 мм",IF(LARGE($R174:$T174,2)&lt;=399,"300-399 мм",IF(LARGE($R174:$T174,2)&lt;=499,"400-499 мм",IF(LARGE($R174:$T174,2)&lt;=599,"500-599 мм",IF(LARGE($R174:$T174,2)&lt;=699,"600-699 мм",IF(LARGE($R174:$T174,2)&lt;=999,"700-999 мм","1000+ мм")))))))))</f>
        <v/>
      </c>
      <c r="Z174" s="160">
        <f>IF(SMALL($R174:$T174,1)="","",IF(SMALL($R174:$T174,1)&lt;=99,"10-99 мм",IF(SMALL($R174:$T174,1)&lt;=199,"100-199 мм",IF(SMALL($R174:$T174,1)&lt;=299,"200-299 мм",IF(SMALL($R174:$T174,1)&lt;=399,"300-399 мм",IF(SMALL($R174:$T174,1)&lt;=499,"400-499 мм",IF(SMALL($R174:$T174,1)&lt;=599,"500-599 мм",IF(SMALL($R174:$T174,1)&lt;=699,"600-699 мм",IF(SMALL($R174:$T174,1)&lt;=999,"700-999 мм","1000+ мм")))))))))</f>
        <v/>
      </c>
      <c r="AA174" s="101">
        <f>IF(G174="","",IF(G174="Л","Лист гофрокартона",IF(G174="КД","Крышка-дно",IF(G174="С","Самосборные",IF(G174="Ч","Четырехклапанные",IF(G174="А","Архивные","Неизвестно"))))))</f>
        <v/>
      </c>
      <c r="AB174" s="66" t="n">
        <v>1.73</v>
      </c>
      <c r="AC174" s="101">
        <f>IF(O174="","",IF(O174&lt;=1,"0-1 литров",IF(O174&lt;=3,"2-3 литра",IF(O174&lt;=5,"4-5 литра",IF(O174&lt;=7,"6-7 литра",IF(O174&lt;=9,"8-9 литров",IF(O174&lt;=14,"10-14 литров",IF(O174&lt;=19,"15-19 литров",IF(O174&lt;=29,"20-29 литров",IF(O174&lt;=49,"30-49 литров",IF(O174&lt;=59,"50-59 литров",IF(O174&lt;=70,"60-69 литров",IF(O174&lt;=79,"70-79 литров",IF(O174&lt;=89,"80-89 литров",IF(O174&lt;=99,"90-99 литров",IF(O174&lt;=200,"100-200 литров","200+ литров"))))))))))))))))</f>
        <v/>
      </c>
    </row>
    <row r="175">
      <c r="A175" s="64" t="n">
        <v>0.8</v>
      </c>
      <c r="B175" s="65">
        <f>A175*1.2</f>
        <v/>
      </c>
      <c r="C175" s="109" t="n">
        <v>175</v>
      </c>
      <c r="D175" s="116" t="inlineStr">
        <is>
          <t>У</t>
        </is>
      </c>
      <c r="E175" s="88" t="inlineStr">
        <is>
          <t>260х190х300</t>
        </is>
      </c>
      <c r="G175" s="83" t="inlineStr">
        <is>
          <t>Ч</t>
        </is>
      </c>
      <c r="H175" s="146" t="inlineStr">
        <is>
          <t>х</t>
        </is>
      </c>
      <c r="I175" s="83" t="inlineStr">
        <is>
          <t>В</t>
        </is>
      </c>
      <c r="J175" s="83" t="inlineStr">
        <is>
          <t>х</t>
        </is>
      </c>
      <c r="K175" s="116" t="inlineStr">
        <is>
          <t>K176</t>
        </is>
      </c>
      <c r="N175" s="239">
        <f>IF(D175="","",IF(LEFT(D175,1)="0",0,1))</f>
        <v/>
      </c>
      <c r="O175" s="80">
        <f>ROUND(R175*S175*T175/1000000,2)</f>
        <v/>
      </c>
      <c r="P175" s="160">
        <f>IF(O175="","",
IF(O175&lt;1,"0,1-0,9 литров",
IF(O175&lt;2,"1-1,9 литра",
IF(O175&lt;3,"2-2,9 литра",
IF(O175&lt;4,"3-3,9 литра",
IF(O175&lt;6,"4-5,9 литра",IF(O175&lt;8,"6-7,9 литра",IF(O175&lt;10,"8-9,9 литров",IF(O175&lt;15,"10-14,9 литров",IF(O175&lt;20,"15-19,9 литров",IF(O175&lt;30,"20-29 литров",IF(O175&lt;50,"30-49 литров",IF(O175&lt;60,"50-59 литров",IF(O175&lt;70,"60-69 литров",IF(O175&lt;80,"70-79 литров",IF(O175&lt;90,"80-89 литров",IF(O175&lt;100,"90-99 литров",IF(O175&lt;200,"100-200 литров","200+ литров"))))))))))))))))))</f>
        <v/>
      </c>
      <c r="Q175" s="101">
        <f>IF(O175="","",IF(O175&lt;1,"&lt;1 л",IF(O175&lt;2,"1-2 л",IF(O175&lt;3,"2-3 л",IF(O175&lt;5,"3-5 л",IF(O175&lt;10,"5-10 л",IF(O175&lt;20,"10-20 л",IF(O175&lt;50,"20-50 л",IF(O175&lt;100,"50-100 л","100+ л")))))))))</f>
        <v/>
      </c>
      <c r="R175" s="162">
        <f>IF(E175="","",--LEFT(E175,FIND("х",E175)-1))</f>
        <v/>
      </c>
      <c r="S175" s="162">
        <f>IF(E175="","",--MID(E175,FIND("х",E175)+1,FIND("х",E175,FIND("х",E175)+1)-FIND("х",E175)-1))</f>
        <v/>
      </c>
      <c r="T175" s="162">
        <f>IF(E175="","",--RIGHT(E175,LEN(E175)-FIND("х",E175,FIND("х",E175)+1)))</f>
        <v/>
      </c>
      <c r="U175" s="66">
        <f>(2*(R175+S175)+60)*(S175+T175+8)/1000000</f>
        <v/>
      </c>
      <c r="V175" s="66">
        <f>IF(OR(AND(R175&gt;=2*S175,R175&gt;=2*T175),AND(S175&gt;=2*R175,S175&gt;=2*T175),AND(T175&gt;=2*R175,T175&gt;=2*S175)),"Длинные","")</f>
        <v/>
      </c>
      <c r="W175" s="66">
        <f>IF(OR(AND(R175&lt;=S175/2,R175&lt;=T175/2),AND(S175&lt;=R175/2,S175&lt;=T175/2),AND(T175&lt;=R175/2,T175&lt;=S175/2)),"Плоские","")</f>
        <v/>
      </c>
      <c r="X175" s="160">
        <f>IF(LARGE($R175:$T175,1)="","",IF(LARGE($R175:$T175,1)&lt;=99,"10-99 мм",IF(LARGE($R175:$T175,1)&lt;=199,"100-199 мм",IF(LARGE($R175:$T175,1)&lt;=299,"200-299 мм",IF(LARGE($R175:$T175,1)&lt;=399,"300-399 мм",IF(LARGE($R175:$T175,1)&lt;=499,"400-499 мм",IF(LARGE($R175:$T175,1)&lt;=599,"500-599 мм",IF(LARGE($R175:$T175,1)&lt;=699,"600-699 мм",IF(LARGE($R175:$T175,1)&lt;=999,"700-999 мм","1000+ мм")))))))))</f>
        <v/>
      </c>
      <c r="Y175" s="160">
        <f>IF(LARGE($R175:$T175,2)="","",IF(LARGE($R175:$T175,2)&lt;=99,"10-99 мм",IF(LARGE($R175:$T175,2)&lt;=199,"100-199 мм",IF(LARGE($R175:$T175,2)&lt;=299,"200-299 мм",IF(LARGE($R175:$T175,2)&lt;=399,"300-399 мм",IF(LARGE($R175:$T175,2)&lt;=499,"400-499 мм",IF(LARGE($R175:$T175,2)&lt;=599,"500-599 мм",IF(LARGE($R175:$T175,2)&lt;=699,"600-699 мм",IF(LARGE($R175:$T175,2)&lt;=999,"700-999 мм","1000+ мм")))))))))</f>
        <v/>
      </c>
      <c r="Z175" s="160">
        <f>IF(SMALL($R175:$T175,1)="","",IF(SMALL($R175:$T175,1)&lt;=99,"10-99 мм",IF(SMALL($R175:$T175,1)&lt;=199,"100-199 мм",IF(SMALL($R175:$T175,1)&lt;=299,"200-299 мм",IF(SMALL($R175:$T175,1)&lt;=399,"300-399 мм",IF(SMALL($R175:$T175,1)&lt;=499,"400-499 мм",IF(SMALL($R175:$T175,1)&lt;=599,"500-599 мм",IF(SMALL($R175:$T175,1)&lt;=699,"600-699 мм",IF(SMALL($R175:$T175,1)&lt;=999,"700-999 мм","1000+ мм")))))))))</f>
        <v/>
      </c>
      <c r="AA175" s="101">
        <f>IF(G175="","",IF(G175="Л","Лист гофрокартона",IF(G175="КД","Крышка-дно",IF(G175="С","Самосборные",IF(G175="Ч","Четырехклапанные",IF(G175="А","Архивные","Неизвестно"))))))</f>
        <v/>
      </c>
      <c r="AB175" s="66" t="n">
        <v>1.73</v>
      </c>
      <c r="AC175" s="101">
        <f>IF(O175="","",IF(O175&lt;=1,"0-1 литров",IF(O175&lt;=3,"2-3 литра",IF(O175&lt;=5,"4-5 литра",IF(O175&lt;=7,"6-7 литра",IF(O175&lt;=9,"8-9 литров",IF(O175&lt;=14,"10-14 литров",IF(O175&lt;=19,"15-19 литров",IF(O175&lt;=29,"20-29 литров",IF(O175&lt;=49,"30-49 литров",IF(O175&lt;=59,"50-59 литров",IF(O175&lt;=70,"60-69 литров",IF(O175&lt;=79,"70-79 литров",IF(O175&lt;=89,"80-89 литров",IF(O175&lt;=99,"90-99 литров",IF(O175&lt;=200,"100-200 литров","200+ литров"))))))))))))))))</f>
        <v/>
      </c>
    </row>
    <row r="176">
      <c r="A176" s="64" t="n">
        <v>0.3</v>
      </c>
      <c r="B176" s="65">
        <f>A176*1.2</f>
        <v/>
      </c>
      <c r="C176" s="109" t="n">
        <v>176</v>
      </c>
      <c r="D176" s="116" t="inlineStr">
        <is>
          <t>У</t>
        </is>
      </c>
      <c r="E176" s="88" t="inlineStr">
        <is>
          <t>280х90х125</t>
        </is>
      </c>
      <c r="G176" s="83" t="inlineStr">
        <is>
          <t>Ч</t>
        </is>
      </c>
      <c r="H176" s="146" t="inlineStr">
        <is>
          <t>х</t>
        </is>
      </c>
      <c r="I176" s="83" t="inlineStr">
        <is>
          <t>В</t>
        </is>
      </c>
      <c r="J176" s="83" t="inlineStr">
        <is>
          <t>х</t>
        </is>
      </c>
      <c r="K176" s="116" t="inlineStr">
        <is>
          <t>K177</t>
        </is>
      </c>
      <c r="N176" s="239">
        <f>IF(D176="","",IF(LEFT(D176,1)="0",0,1))</f>
        <v/>
      </c>
      <c r="O176" s="80">
        <f>ROUND(R176*S176*T176/1000000,2)</f>
        <v/>
      </c>
      <c r="P176" s="160">
        <f>IF(O176="","",
IF(O176&lt;1,"0,1-0,9 литров",
IF(O176&lt;2,"1-1,9 литра",
IF(O176&lt;3,"2-2,9 литра",
IF(O176&lt;4,"3-3,9 литра",
IF(O176&lt;6,"4-5,9 литра",IF(O176&lt;8,"6-7,9 литра",IF(O176&lt;10,"8-9,9 литров",IF(O176&lt;15,"10-14,9 литров",IF(O176&lt;20,"15-19,9 литров",IF(O176&lt;30,"20-29 литров",IF(O176&lt;50,"30-49 литров",IF(O176&lt;60,"50-59 литров",IF(O176&lt;70,"60-69 литров",IF(O176&lt;80,"70-79 литров",IF(O176&lt;90,"80-89 литров",IF(O176&lt;100,"90-99 литров",IF(O176&lt;200,"100-200 литров","200+ литров"))))))))))))))))))</f>
        <v/>
      </c>
      <c r="Q176" s="101">
        <f>IF(O176="","",IF(O176&lt;1,"&lt;1 л",IF(O176&lt;2,"1-2 л",IF(O176&lt;3,"2-3 л",IF(O176&lt;5,"3-5 л",IF(O176&lt;10,"5-10 л",IF(O176&lt;20,"10-20 л",IF(O176&lt;50,"20-50 л",IF(O176&lt;100,"50-100 л","100+ л")))))))))</f>
        <v/>
      </c>
      <c r="R176" s="162">
        <f>IF(E176="","",--LEFT(E176,FIND("х",E176)-1))</f>
        <v/>
      </c>
      <c r="S176" s="162">
        <f>IF(E176="","",--MID(E176,FIND("х",E176)+1,FIND("х",E176,FIND("х",E176)+1)-FIND("х",E176)-1))</f>
        <v/>
      </c>
      <c r="T176" s="162">
        <f>IF(E176="","",--RIGHT(E176,LEN(E176)-FIND("х",E176,FIND("х",E176)+1)))</f>
        <v/>
      </c>
      <c r="U176" s="66">
        <f>(2*(R176+S176)+60)*(S176+T176+8)/1000000</f>
        <v/>
      </c>
      <c r="V176" s="66">
        <f>IF(OR(AND(R176&gt;=2*S176,R176&gt;=2*T176),AND(S176&gt;=2*R176,S176&gt;=2*T176),AND(T176&gt;=2*R176,T176&gt;=2*S176)),"Длинные","")</f>
        <v/>
      </c>
      <c r="W176" s="66">
        <f>IF(OR(AND(R176&lt;=S176/2,R176&lt;=T176/2),AND(S176&lt;=R176/2,S176&lt;=T176/2),AND(T176&lt;=R176/2,T176&lt;=S176/2)),"Плоские","")</f>
        <v/>
      </c>
      <c r="X176" s="160">
        <f>IF(LARGE($R176:$T176,1)="","",IF(LARGE($R176:$T176,1)&lt;=99,"10-99 мм",IF(LARGE($R176:$T176,1)&lt;=199,"100-199 мм",IF(LARGE($R176:$T176,1)&lt;=299,"200-299 мм",IF(LARGE($R176:$T176,1)&lt;=399,"300-399 мм",IF(LARGE($R176:$T176,1)&lt;=499,"400-499 мм",IF(LARGE($R176:$T176,1)&lt;=599,"500-599 мм",IF(LARGE($R176:$T176,1)&lt;=699,"600-699 мм",IF(LARGE($R176:$T176,1)&lt;=999,"700-999 мм","1000+ мм")))))))))</f>
        <v/>
      </c>
      <c r="Y176" s="160">
        <f>IF(LARGE($R176:$T176,2)="","",IF(LARGE($R176:$T176,2)&lt;=99,"10-99 мм",IF(LARGE($R176:$T176,2)&lt;=199,"100-199 мм",IF(LARGE($R176:$T176,2)&lt;=299,"200-299 мм",IF(LARGE($R176:$T176,2)&lt;=399,"300-399 мм",IF(LARGE($R176:$T176,2)&lt;=499,"400-499 мм",IF(LARGE($R176:$T176,2)&lt;=599,"500-599 мм",IF(LARGE($R176:$T176,2)&lt;=699,"600-699 мм",IF(LARGE($R176:$T176,2)&lt;=999,"700-999 мм","1000+ мм")))))))))</f>
        <v/>
      </c>
      <c r="Z176" s="160">
        <f>IF(SMALL($R176:$T176,1)="","",IF(SMALL($R176:$T176,1)&lt;=99,"10-99 мм",IF(SMALL($R176:$T176,1)&lt;=199,"100-199 мм",IF(SMALL($R176:$T176,1)&lt;=299,"200-299 мм",IF(SMALL($R176:$T176,1)&lt;=399,"300-399 мм",IF(SMALL($R176:$T176,1)&lt;=499,"400-499 мм",IF(SMALL($R176:$T176,1)&lt;=599,"500-599 мм",IF(SMALL($R176:$T176,1)&lt;=699,"600-699 мм",IF(SMALL($R176:$T176,1)&lt;=999,"700-999 мм","1000+ мм")))))))))</f>
        <v/>
      </c>
      <c r="AA176" s="101">
        <f>IF(G176="","",IF(G176="Л","Лист гофрокартона",IF(G176="КД","Крышка-дно",IF(G176="С","Самосборные",IF(G176="Ч","Четырехклапанные",IF(G176="А","Архивные","Неизвестно"))))))</f>
        <v/>
      </c>
      <c r="AB176" s="66" t="n">
        <v>1.73</v>
      </c>
      <c r="AC176" s="101">
        <f>IF(O176="","",IF(O176&lt;=1,"0-1 литров",IF(O176&lt;=3,"2-3 литра",IF(O176&lt;=5,"4-5 литра",IF(O176&lt;=7,"6-7 литра",IF(O176&lt;=9,"8-9 литров",IF(O176&lt;=14,"10-14 литров",IF(O176&lt;=19,"15-19 литров",IF(O176&lt;=29,"20-29 литров",IF(O176&lt;=49,"30-49 литров",IF(O176&lt;=59,"50-59 литров",IF(O176&lt;=70,"60-69 литров",IF(O176&lt;=79,"70-79 литров",IF(O176&lt;=89,"80-89 литров",IF(O176&lt;=99,"90-99 литров",IF(O176&lt;=200,"100-200 литров","200+ литров"))))))))))))))))</f>
        <v/>
      </c>
    </row>
    <row r="177">
      <c r="A177" s="64" t="n">
        <v>0.75</v>
      </c>
      <c r="B177" s="65">
        <f>A177*1.2</f>
        <v/>
      </c>
      <c r="C177" s="109" t="n">
        <v>177</v>
      </c>
      <c r="D177" s="116" t="inlineStr">
        <is>
          <t>У</t>
        </is>
      </c>
      <c r="E177" s="88" t="inlineStr">
        <is>
          <t>350х60х440</t>
        </is>
      </c>
      <c r="G177" s="83" t="inlineStr">
        <is>
          <t>Ч</t>
        </is>
      </c>
      <c r="H177" s="146" t="inlineStr">
        <is>
          <t>х</t>
        </is>
      </c>
      <c r="I177" s="83" t="inlineStr">
        <is>
          <t>В</t>
        </is>
      </c>
      <c r="J177" s="83" t="inlineStr">
        <is>
          <t>х</t>
        </is>
      </c>
      <c r="K177" s="116" t="inlineStr">
        <is>
          <t>K178</t>
        </is>
      </c>
      <c r="N177" s="239">
        <f>IF(D177="","",IF(LEFT(D177,1)="0",0,1))</f>
        <v/>
      </c>
      <c r="O177" s="80">
        <f>ROUND(R177*S177*T177/1000000,2)</f>
        <v/>
      </c>
      <c r="P177" s="160">
        <f>IF(O177="","",
IF(O177&lt;1,"0,1-0,9 литров",
IF(O177&lt;2,"1-1,9 литра",
IF(O177&lt;3,"2-2,9 литра",
IF(O177&lt;4,"3-3,9 литра",
IF(O177&lt;6,"4-5,9 литра",IF(O177&lt;8,"6-7,9 литра",IF(O177&lt;10,"8-9,9 литров",IF(O177&lt;15,"10-14,9 литров",IF(O177&lt;20,"15-19,9 литров",IF(O177&lt;30,"20-29 литров",IF(O177&lt;50,"30-49 литров",IF(O177&lt;60,"50-59 литров",IF(O177&lt;70,"60-69 литров",IF(O177&lt;80,"70-79 литров",IF(O177&lt;90,"80-89 литров",IF(O177&lt;100,"90-99 литров",IF(O177&lt;200,"100-200 литров","200+ литров"))))))))))))))))))</f>
        <v/>
      </c>
      <c r="Q177" s="101">
        <f>IF(O177="","",IF(O177&lt;1,"&lt;1 л",IF(O177&lt;2,"1-2 л",IF(O177&lt;3,"2-3 л",IF(O177&lt;5,"3-5 л",IF(O177&lt;10,"5-10 л",IF(O177&lt;20,"10-20 л",IF(O177&lt;50,"20-50 л",IF(O177&lt;100,"50-100 л","100+ л")))))))))</f>
        <v/>
      </c>
      <c r="R177" s="162">
        <f>IF(E177="","",--LEFT(E177,FIND("х",E177)-1))</f>
        <v/>
      </c>
      <c r="S177" s="162">
        <f>IF(E177="","",--MID(E177,FIND("х",E177)+1,FIND("х",E177,FIND("х",E177)+1)-FIND("х",E177)-1))</f>
        <v/>
      </c>
      <c r="T177" s="162">
        <f>IF(E177="","",--RIGHT(E177,LEN(E177)-FIND("х",E177,FIND("х",E177)+1)))</f>
        <v/>
      </c>
      <c r="U177" s="66">
        <f>(2*(R177+S177)+60)*(S177+T177+8)/1000000</f>
        <v/>
      </c>
      <c r="V177" s="66">
        <f>IF(OR(AND(R177&gt;=2*S177,R177&gt;=2*T177),AND(S177&gt;=2*R177,S177&gt;=2*T177),AND(T177&gt;=2*R177,T177&gt;=2*S177)),"Длинные","")</f>
        <v/>
      </c>
      <c r="W177" s="66">
        <f>IF(OR(AND(R177&lt;=S177/2,R177&lt;=T177/2),AND(S177&lt;=R177/2,S177&lt;=T177/2),AND(T177&lt;=R177/2,T177&lt;=S177/2)),"Плоские","")</f>
        <v/>
      </c>
      <c r="X177" s="160">
        <f>IF(LARGE($R177:$T177,1)="","",IF(LARGE($R177:$T177,1)&lt;=99,"10-99 мм",IF(LARGE($R177:$T177,1)&lt;=199,"100-199 мм",IF(LARGE($R177:$T177,1)&lt;=299,"200-299 мм",IF(LARGE($R177:$T177,1)&lt;=399,"300-399 мм",IF(LARGE($R177:$T177,1)&lt;=499,"400-499 мм",IF(LARGE($R177:$T177,1)&lt;=599,"500-599 мм",IF(LARGE($R177:$T177,1)&lt;=699,"600-699 мм",IF(LARGE($R177:$T177,1)&lt;=999,"700-999 мм","1000+ мм")))))))))</f>
        <v/>
      </c>
      <c r="Y177" s="160">
        <f>IF(LARGE($R177:$T177,2)="","",IF(LARGE($R177:$T177,2)&lt;=99,"10-99 мм",IF(LARGE($R177:$T177,2)&lt;=199,"100-199 мм",IF(LARGE($R177:$T177,2)&lt;=299,"200-299 мм",IF(LARGE($R177:$T177,2)&lt;=399,"300-399 мм",IF(LARGE($R177:$T177,2)&lt;=499,"400-499 мм",IF(LARGE($R177:$T177,2)&lt;=599,"500-599 мм",IF(LARGE($R177:$T177,2)&lt;=699,"600-699 мм",IF(LARGE($R177:$T177,2)&lt;=999,"700-999 мм","1000+ мм")))))))))</f>
        <v/>
      </c>
      <c r="Z177" s="160">
        <f>IF(SMALL($R177:$T177,1)="","",IF(SMALL($R177:$T177,1)&lt;=99,"10-99 мм",IF(SMALL($R177:$T177,1)&lt;=199,"100-199 мм",IF(SMALL($R177:$T177,1)&lt;=299,"200-299 мм",IF(SMALL($R177:$T177,1)&lt;=399,"300-399 мм",IF(SMALL($R177:$T177,1)&lt;=499,"400-499 мм",IF(SMALL($R177:$T177,1)&lt;=599,"500-599 мм",IF(SMALL($R177:$T177,1)&lt;=699,"600-699 мм",IF(SMALL($R177:$T177,1)&lt;=999,"700-999 мм","1000+ мм")))))))))</f>
        <v/>
      </c>
      <c r="AA177" s="101">
        <f>IF(G177="","",IF(G177="Л","Лист гофрокартона",IF(G177="КД","Крышка-дно",IF(G177="С","Самосборные",IF(G177="Ч","Четырехклапанные",IF(G177="А","Архивные","Неизвестно"))))))</f>
        <v/>
      </c>
      <c r="AB177" s="66" t="n">
        <v>1.73</v>
      </c>
      <c r="AC177" s="101">
        <f>IF(O177="","",IF(O177&lt;=1,"0-1 литров",IF(O177&lt;=3,"2-3 литра",IF(O177&lt;=5,"4-5 литра",IF(O177&lt;=7,"6-7 литра",IF(O177&lt;=9,"8-9 литров",IF(O177&lt;=14,"10-14 литров",IF(O177&lt;=19,"15-19 литров",IF(O177&lt;=29,"20-29 литров",IF(O177&lt;=49,"30-49 литров",IF(O177&lt;=59,"50-59 литров",IF(O177&lt;=70,"60-69 литров",IF(O177&lt;=79,"70-79 литров",IF(O177&lt;=89,"80-89 литров",IF(O177&lt;=99,"90-99 литров",IF(O177&lt;=200,"100-200 литров","200+ литров"))))))))))))))))</f>
        <v/>
      </c>
    </row>
    <row r="178">
      <c r="A178" s="64" t="n">
        <v>0.28</v>
      </c>
      <c r="B178" s="65">
        <f>A178*1.2</f>
        <v/>
      </c>
      <c r="C178" s="109" t="n">
        <v>178</v>
      </c>
      <c r="D178" s="116" t="inlineStr">
        <is>
          <t>У</t>
        </is>
      </c>
      <c r="E178" s="88" t="inlineStr">
        <is>
          <t>210х70х200</t>
        </is>
      </c>
      <c r="G178" s="83" t="inlineStr">
        <is>
          <t>Ч</t>
        </is>
      </c>
      <c r="H178" s="146" t="inlineStr">
        <is>
          <t>х</t>
        </is>
      </c>
      <c r="I178" s="83" t="inlineStr">
        <is>
          <t>В</t>
        </is>
      </c>
      <c r="J178" s="83" t="inlineStr">
        <is>
          <t>х</t>
        </is>
      </c>
      <c r="K178" s="116" t="inlineStr">
        <is>
          <t>K179</t>
        </is>
      </c>
      <c r="N178" s="239">
        <f>IF(D178="","",IF(LEFT(D178,1)="0",0,1))</f>
        <v/>
      </c>
      <c r="O178" s="80">
        <f>ROUND(R178*S178*T178/1000000,2)</f>
        <v/>
      </c>
      <c r="P178" s="160">
        <f>IF(O178="","",
IF(O178&lt;1,"0,1-0,9 литров",
IF(O178&lt;2,"1-1,9 литра",
IF(O178&lt;3,"2-2,9 литра",
IF(O178&lt;4,"3-3,9 литра",
IF(O178&lt;6,"4-5,9 литра",IF(O178&lt;8,"6-7,9 литра",IF(O178&lt;10,"8-9,9 литров",IF(O178&lt;15,"10-14,9 литров",IF(O178&lt;20,"15-19,9 литров",IF(O178&lt;30,"20-29 литров",IF(O178&lt;50,"30-49 литров",IF(O178&lt;60,"50-59 литров",IF(O178&lt;70,"60-69 литров",IF(O178&lt;80,"70-79 литров",IF(O178&lt;90,"80-89 литров",IF(O178&lt;100,"90-99 литров",IF(O178&lt;200,"100-200 литров","200+ литров"))))))))))))))))))</f>
        <v/>
      </c>
      <c r="Q178" s="101">
        <f>IF(O178="","",IF(O178&lt;1,"&lt;1 л",IF(O178&lt;2,"1-2 л",IF(O178&lt;3,"2-3 л",IF(O178&lt;5,"3-5 л",IF(O178&lt;10,"5-10 л",IF(O178&lt;20,"10-20 л",IF(O178&lt;50,"20-50 л",IF(O178&lt;100,"50-100 л","100+ л")))))))))</f>
        <v/>
      </c>
      <c r="R178" s="162">
        <f>IF(E178="","",--LEFT(E178,FIND("х",E178)-1))</f>
        <v/>
      </c>
      <c r="S178" s="162">
        <f>IF(E178="","",--MID(E178,FIND("х",E178)+1,FIND("х",E178,FIND("х",E178)+1)-FIND("х",E178)-1))</f>
        <v/>
      </c>
      <c r="T178" s="162">
        <f>IF(E178="","",--RIGHT(E178,LEN(E178)-FIND("х",E178,FIND("х",E178)+1)))</f>
        <v/>
      </c>
      <c r="U178" s="66">
        <f>(2*(R178+S178)+60)*(S178+T178+8)/1000000</f>
        <v/>
      </c>
      <c r="V178" s="66">
        <f>IF(OR(AND(R178&gt;=2*S178,R178&gt;=2*T178),AND(S178&gt;=2*R178,S178&gt;=2*T178),AND(T178&gt;=2*R178,T178&gt;=2*S178)),"Длинные","")</f>
        <v/>
      </c>
      <c r="W178" s="66">
        <f>IF(OR(AND(R178&lt;=S178/2,R178&lt;=T178/2),AND(S178&lt;=R178/2,S178&lt;=T178/2),AND(T178&lt;=R178/2,T178&lt;=S178/2)),"Плоские","")</f>
        <v/>
      </c>
      <c r="X178" s="160">
        <f>IF(LARGE($R178:$T178,1)="","",IF(LARGE($R178:$T178,1)&lt;=99,"10-99 мм",IF(LARGE($R178:$T178,1)&lt;=199,"100-199 мм",IF(LARGE($R178:$T178,1)&lt;=299,"200-299 мм",IF(LARGE($R178:$T178,1)&lt;=399,"300-399 мм",IF(LARGE($R178:$T178,1)&lt;=499,"400-499 мм",IF(LARGE($R178:$T178,1)&lt;=599,"500-599 мм",IF(LARGE($R178:$T178,1)&lt;=699,"600-699 мм",IF(LARGE($R178:$T178,1)&lt;=999,"700-999 мм","1000+ мм")))))))))</f>
        <v/>
      </c>
      <c r="Y178" s="160">
        <f>IF(LARGE($R178:$T178,2)="","",IF(LARGE($R178:$T178,2)&lt;=99,"10-99 мм",IF(LARGE($R178:$T178,2)&lt;=199,"100-199 мм",IF(LARGE($R178:$T178,2)&lt;=299,"200-299 мм",IF(LARGE($R178:$T178,2)&lt;=399,"300-399 мм",IF(LARGE($R178:$T178,2)&lt;=499,"400-499 мм",IF(LARGE($R178:$T178,2)&lt;=599,"500-599 мм",IF(LARGE($R178:$T178,2)&lt;=699,"600-699 мм",IF(LARGE($R178:$T178,2)&lt;=999,"700-999 мм","1000+ мм")))))))))</f>
        <v/>
      </c>
      <c r="Z178" s="160">
        <f>IF(SMALL($R178:$T178,1)="","",IF(SMALL($R178:$T178,1)&lt;=99,"10-99 мм",IF(SMALL($R178:$T178,1)&lt;=199,"100-199 мм",IF(SMALL($R178:$T178,1)&lt;=299,"200-299 мм",IF(SMALL($R178:$T178,1)&lt;=399,"300-399 мм",IF(SMALL($R178:$T178,1)&lt;=499,"400-499 мм",IF(SMALL($R178:$T178,1)&lt;=599,"500-599 мм",IF(SMALL($R178:$T178,1)&lt;=699,"600-699 мм",IF(SMALL($R178:$T178,1)&lt;=999,"700-999 мм","1000+ мм")))))))))</f>
        <v/>
      </c>
      <c r="AA178" s="101">
        <f>IF(G178="","",IF(G178="Л","Лист гофрокартона",IF(G178="КД","Крышка-дно",IF(G178="С","Самосборные",IF(G178="Ч","Четырехклапанные",IF(G178="А","Архивные","Неизвестно"))))))</f>
        <v/>
      </c>
      <c r="AB178" s="66" t="n">
        <v>1.73</v>
      </c>
      <c r="AC178" s="101">
        <f>IF(O178="","",IF(O178&lt;=1,"0-1 литров",IF(O178&lt;=3,"2-3 литра",IF(O178&lt;=5,"4-5 литра",IF(O178&lt;=7,"6-7 литра",IF(O178&lt;=9,"8-9 литров",IF(O178&lt;=14,"10-14 литров",IF(O178&lt;=19,"15-19 литров",IF(O178&lt;=29,"20-29 литров",IF(O178&lt;=49,"30-49 литров",IF(O178&lt;=59,"50-59 литров",IF(O178&lt;=70,"60-69 литров",IF(O178&lt;=79,"70-79 литров",IF(O178&lt;=89,"80-89 литров",IF(O178&lt;=99,"90-99 литров",IF(O178&lt;=200,"100-200 литров","200+ литров"))))))))))))))))</f>
        <v/>
      </c>
    </row>
    <row r="179">
      <c r="A179" s="64" t="n">
        <v>0.53</v>
      </c>
      <c r="B179" s="65">
        <f>A179*1.2</f>
        <v/>
      </c>
      <c r="C179" s="109" t="n">
        <v>179</v>
      </c>
      <c r="D179" s="116" t="inlineStr">
        <is>
          <t>У</t>
        </is>
      </c>
      <c r="E179" s="88" t="inlineStr">
        <is>
          <t>215х215х120</t>
        </is>
      </c>
      <c r="G179" s="83" t="inlineStr">
        <is>
          <t>Ч</t>
        </is>
      </c>
      <c r="H179" s="146" t="inlineStr">
        <is>
          <t>х</t>
        </is>
      </c>
      <c r="I179" s="83" t="inlineStr">
        <is>
          <t>В</t>
        </is>
      </c>
      <c r="J179" s="83" t="inlineStr">
        <is>
          <t>х</t>
        </is>
      </c>
      <c r="K179" s="116" t="inlineStr">
        <is>
          <t>K180</t>
        </is>
      </c>
      <c r="N179" s="239">
        <f>IF(D179="","",IF(LEFT(D179,1)="0",0,1))</f>
        <v/>
      </c>
      <c r="O179" s="80">
        <f>ROUND(R179*S179*T179/1000000,2)</f>
        <v/>
      </c>
      <c r="P179" s="160">
        <f>IF(O179="","",
IF(O179&lt;1,"0,1-0,9 литров",
IF(O179&lt;2,"1-1,9 литра",
IF(O179&lt;3,"2-2,9 литра",
IF(O179&lt;4,"3-3,9 литра",
IF(O179&lt;6,"4-5,9 литра",IF(O179&lt;8,"6-7,9 литра",IF(O179&lt;10,"8-9,9 литров",IF(O179&lt;15,"10-14,9 литров",IF(O179&lt;20,"15-19,9 литров",IF(O179&lt;30,"20-29 литров",IF(O179&lt;50,"30-49 литров",IF(O179&lt;60,"50-59 литров",IF(O179&lt;70,"60-69 литров",IF(O179&lt;80,"70-79 литров",IF(O179&lt;90,"80-89 литров",IF(O179&lt;100,"90-99 литров",IF(O179&lt;200,"100-200 литров","200+ литров"))))))))))))))))))</f>
        <v/>
      </c>
      <c r="Q179" s="101">
        <f>IF(O179="","",IF(O179&lt;1,"&lt;1 л",IF(O179&lt;2,"1-2 л",IF(O179&lt;3,"2-3 л",IF(O179&lt;5,"3-5 л",IF(O179&lt;10,"5-10 л",IF(O179&lt;20,"10-20 л",IF(O179&lt;50,"20-50 л",IF(O179&lt;100,"50-100 л","100+ л")))))))))</f>
        <v/>
      </c>
      <c r="R179" s="162">
        <f>IF(E179="","",--LEFT(E179,FIND("х",E179)-1))</f>
        <v/>
      </c>
      <c r="S179" s="162">
        <f>IF(E179="","",--MID(E179,FIND("х",E179)+1,FIND("х",E179,FIND("х",E179)+1)-FIND("х",E179)-1))</f>
        <v/>
      </c>
      <c r="T179" s="162">
        <f>IF(E179="","",--RIGHT(E179,LEN(E179)-FIND("х",E179,FIND("х",E179)+1)))</f>
        <v/>
      </c>
      <c r="U179" s="66">
        <f>(2*(R179+S179)+60)*(S179+T179+8)/1000000</f>
        <v/>
      </c>
      <c r="V179" s="66">
        <f>IF(OR(AND(R179&gt;=2*S179,R179&gt;=2*T179),AND(S179&gt;=2*R179,S179&gt;=2*T179),AND(T179&gt;=2*R179,T179&gt;=2*S179)),"Длинные","")</f>
        <v/>
      </c>
      <c r="W179" s="66">
        <f>IF(OR(AND(R179&lt;=S179/2,R179&lt;=T179/2),AND(S179&lt;=R179/2,S179&lt;=T179/2),AND(T179&lt;=R179/2,T179&lt;=S179/2)),"Плоские","")</f>
        <v/>
      </c>
      <c r="X179" s="160">
        <f>IF(LARGE($R179:$T179,1)="","",IF(LARGE($R179:$T179,1)&lt;=99,"10-99 мм",IF(LARGE($R179:$T179,1)&lt;=199,"100-199 мм",IF(LARGE($R179:$T179,1)&lt;=299,"200-299 мм",IF(LARGE($R179:$T179,1)&lt;=399,"300-399 мм",IF(LARGE($R179:$T179,1)&lt;=499,"400-499 мм",IF(LARGE($R179:$T179,1)&lt;=599,"500-599 мм",IF(LARGE($R179:$T179,1)&lt;=699,"600-699 мм",IF(LARGE($R179:$T179,1)&lt;=999,"700-999 мм","1000+ мм")))))))))</f>
        <v/>
      </c>
      <c r="Y179" s="160">
        <f>IF(LARGE($R179:$T179,2)="","",IF(LARGE($R179:$T179,2)&lt;=99,"10-99 мм",IF(LARGE($R179:$T179,2)&lt;=199,"100-199 мм",IF(LARGE($R179:$T179,2)&lt;=299,"200-299 мм",IF(LARGE($R179:$T179,2)&lt;=399,"300-399 мм",IF(LARGE($R179:$T179,2)&lt;=499,"400-499 мм",IF(LARGE($R179:$T179,2)&lt;=599,"500-599 мм",IF(LARGE($R179:$T179,2)&lt;=699,"600-699 мм",IF(LARGE($R179:$T179,2)&lt;=999,"700-999 мм","1000+ мм")))))))))</f>
        <v/>
      </c>
      <c r="Z179" s="160">
        <f>IF(SMALL($R179:$T179,1)="","",IF(SMALL($R179:$T179,1)&lt;=99,"10-99 мм",IF(SMALL($R179:$T179,1)&lt;=199,"100-199 мм",IF(SMALL($R179:$T179,1)&lt;=299,"200-299 мм",IF(SMALL($R179:$T179,1)&lt;=399,"300-399 мм",IF(SMALL($R179:$T179,1)&lt;=499,"400-499 мм",IF(SMALL($R179:$T179,1)&lt;=599,"500-599 мм",IF(SMALL($R179:$T179,1)&lt;=699,"600-699 мм",IF(SMALL($R179:$T179,1)&lt;=999,"700-999 мм","1000+ мм")))))))))</f>
        <v/>
      </c>
      <c r="AA179" s="101">
        <f>IF(G179="","",IF(G179="Л","Лист гофрокартона",IF(G179="КД","Крышка-дно",IF(G179="С","Самосборные",IF(G179="Ч","Четырехклапанные",IF(G179="А","Архивные","Неизвестно"))))))</f>
        <v/>
      </c>
      <c r="AB179" s="66" t="n">
        <v>1.73</v>
      </c>
      <c r="AC179" s="101">
        <f>IF(O179="","",IF(O179&lt;=1,"0-1 литров",IF(O179&lt;=3,"2-3 литра",IF(O179&lt;=5,"4-5 литра",IF(O179&lt;=7,"6-7 литра",IF(O179&lt;=9,"8-9 литров",IF(O179&lt;=14,"10-14 литров",IF(O179&lt;=19,"15-19 литров",IF(O179&lt;=29,"20-29 литров",IF(O179&lt;=49,"30-49 литров",IF(O179&lt;=59,"50-59 литров",IF(O179&lt;=70,"60-69 литров",IF(O179&lt;=79,"70-79 литров",IF(O179&lt;=89,"80-89 литров",IF(O179&lt;=99,"90-99 литров",IF(O179&lt;=200,"100-200 литров","200+ литров"))))))))))))))))</f>
        <v/>
      </c>
    </row>
    <row r="180">
      <c r="A180" s="64" t="n">
        <v>0.43</v>
      </c>
      <c r="B180" s="65">
        <f>A180*1.2</f>
        <v/>
      </c>
      <c r="C180" s="109" t="n">
        <v>180</v>
      </c>
      <c r="D180" s="116" t="inlineStr">
        <is>
          <t>У</t>
        </is>
      </c>
      <c r="E180" s="88" t="inlineStr">
        <is>
          <t>180х140х220</t>
        </is>
      </c>
      <c r="G180" s="83" t="inlineStr">
        <is>
          <t>Ч</t>
        </is>
      </c>
      <c r="H180" s="146" t="inlineStr">
        <is>
          <t>х</t>
        </is>
      </c>
      <c r="I180" s="83" t="inlineStr">
        <is>
          <t>В</t>
        </is>
      </c>
      <c r="J180" s="83" t="inlineStr">
        <is>
          <t>х</t>
        </is>
      </c>
      <c r="K180" s="116" t="inlineStr">
        <is>
          <t>K181</t>
        </is>
      </c>
      <c r="N180" s="239">
        <f>IF(D180="","",IF(LEFT(D180,1)="0",0,1))</f>
        <v/>
      </c>
      <c r="O180" s="80">
        <f>ROUND(R180*S180*T180/1000000,2)</f>
        <v/>
      </c>
      <c r="P180" s="160">
        <f>IF(O180="","",
IF(O180&lt;1,"0,1-0,9 литров",
IF(O180&lt;2,"1-1,9 литра",
IF(O180&lt;3,"2-2,9 литра",
IF(O180&lt;4,"3-3,9 литра",
IF(O180&lt;6,"4-5,9 литра",IF(O180&lt;8,"6-7,9 литра",IF(O180&lt;10,"8-9,9 литров",IF(O180&lt;15,"10-14,9 литров",IF(O180&lt;20,"15-19,9 литров",IF(O180&lt;30,"20-29 литров",IF(O180&lt;50,"30-49 литров",IF(O180&lt;60,"50-59 литров",IF(O180&lt;70,"60-69 литров",IF(O180&lt;80,"70-79 литров",IF(O180&lt;90,"80-89 литров",IF(O180&lt;100,"90-99 литров",IF(O180&lt;200,"100-200 литров","200+ литров"))))))))))))))))))</f>
        <v/>
      </c>
      <c r="Q180" s="101">
        <f>IF(O180="","",IF(O180&lt;1,"&lt;1 л",IF(O180&lt;2,"1-2 л",IF(O180&lt;3,"2-3 л",IF(O180&lt;5,"3-5 л",IF(O180&lt;10,"5-10 л",IF(O180&lt;20,"10-20 л",IF(O180&lt;50,"20-50 л",IF(O180&lt;100,"50-100 л","100+ л")))))))))</f>
        <v/>
      </c>
      <c r="R180" s="162">
        <f>IF(E180="","",--LEFT(E180,FIND("х",E180)-1))</f>
        <v/>
      </c>
      <c r="S180" s="162">
        <f>IF(E180="","",--MID(E180,FIND("х",E180)+1,FIND("х",E180,FIND("х",E180)+1)-FIND("х",E180)-1))</f>
        <v/>
      </c>
      <c r="T180" s="162">
        <f>IF(E180="","",--RIGHT(E180,LEN(E180)-FIND("х",E180,FIND("х",E180)+1)))</f>
        <v/>
      </c>
      <c r="U180" s="66">
        <f>(2*(R180+S180)+60)*(S180+T180+8)/1000000</f>
        <v/>
      </c>
      <c r="V180" s="66">
        <f>IF(OR(AND(R180&gt;=2*S180,R180&gt;=2*T180),AND(S180&gt;=2*R180,S180&gt;=2*T180),AND(T180&gt;=2*R180,T180&gt;=2*S180)),"Длинные","")</f>
        <v/>
      </c>
      <c r="W180" s="66">
        <f>IF(OR(AND(R180&lt;=S180/2,R180&lt;=T180/2),AND(S180&lt;=R180/2,S180&lt;=T180/2),AND(T180&lt;=R180/2,T180&lt;=S180/2)),"Плоские","")</f>
        <v/>
      </c>
      <c r="X180" s="160">
        <f>IF(LARGE($R180:$T180,1)="","",IF(LARGE($R180:$T180,1)&lt;=99,"10-99 мм",IF(LARGE($R180:$T180,1)&lt;=199,"100-199 мм",IF(LARGE($R180:$T180,1)&lt;=299,"200-299 мм",IF(LARGE($R180:$T180,1)&lt;=399,"300-399 мм",IF(LARGE($R180:$T180,1)&lt;=499,"400-499 мм",IF(LARGE($R180:$T180,1)&lt;=599,"500-599 мм",IF(LARGE($R180:$T180,1)&lt;=699,"600-699 мм",IF(LARGE($R180:$T180,1)&lt;=999,"700-999 мм","1000+ мм")))))))))</f>
        <v/>
      </c>
      <c r="Y180" s="160">
        <f>IF(LARGE($R180:$T180,2)="","",IF(LARGE($R180:$T180,2)&lt;=99,"10-99 мм",IF(LARGE($R180:$T180,2)&lt;=199,"100-199 мм",IF(LARGE($R180:$T180,2)&lt;=299,"200-299 мм",IF(LARGE($R180:$T180,2)&lt;=399,"300-399 мм",IF(LARGE($R180:$T180,2)&lt;=499,"400-499 мм",IF(LARGE($R180:$T180,2)&lt;=599,"500-599 мм",IF(LARGE($R180:$T180,2)&lt;=699,"600-699 мм",IF(LARGE($R180:$T180,2)&lt;=999,"700-999 мм","1000+ мм")))))))))</f>
        <v/>
      </c>
      <c r="Z180" s="160">
        <f>IF(SMALL($R180:$T180,1)="","",IF(SMALL($R180:$T180,1)&lt;=99,"10-99 мм",IF(SMALL($R180:$T180,1)&lt;=199,"100-199 мм",IF(SMALL($R180:$T180,1)&lt;=299,"200-299 мм",IF(SMALL($R180:$T180,1)&lt;=399,"300-399 мм",IF(SMALL($R180:$T180,1)&lt;=499,"400-499 мм",IF(SMALL($R180:$T180,1)&lt;=599,"500-599 мм",IF(SMALL($R180:$T180,1)&lt;=699,"600-699 мм",IF(SMALL($R180:$T180,1)&lt;=999,"700-999 мм","1000+ мм")))))))))</f>
        <v/>
      </c>
      <c r="AA180" s="101">
        <f>IF(G180="","",IF(G180="Л","Лист гофрокартона",IF(G180="КД","Крышка-дно",IF(G180="С","Самосборные",IF(G180="Ч","Четырехклапанные",IF(G180="А","Архивные","Неизвестно"))))))</f>
        <v/>
      </c>
      <c r="AB180" s="66" t="n">
        <v>1.73</v>
      </c>
      <c r="AC180" s="101">
        <f>IF(O180="","",IF(O180&lt;=1,"0-1 литров",IF(O180&lt;=3,"2-3 литра",IF(O180&lt;=5,"4-5 литра",IF(O180&lt;=7,"6-7 литра",IF(O180&lt;=9,"8-9 литров",IF(O180&lt;=14,"10-14 литров",IF(O180&lt;=19,"15-19 литров",IF(O180&lt;=29,"20-29 литров",IF(O180&lt;=49,"30-49 литров",IF(O180&lt;=59,"50-59 литров",IF(O180&lt;=70,"60-69 литров",IF(O180&lt;=79,"70-79 литров",IF(O180&lt;=89,"80-89 литров",IF(O180&lt;=99,"90-99 литров",IF(O180&lt;=200,"100-200 литров","200+ литров"))))))))))))))))</f>
        <v/>
      </c>
    </row>
    <row r="181">
      <c r="A181" s="64" t="n">
        <v>0.77</v>
      </c>
      <c r="B181" s="65">
        <f>A181*1.2</f>
        <v/>
      </c>
      <c r="C181" s="109" t="n">
        <v>181</v>
      </c>
      <c r="D181" s="116" t="inlineStr">
        <is>
          <t>У</t>
        </is>
      </c>
      <c r="E181" s="88" t="inlineStr">
        <is>
          <t>125х125х730</t>
        </is>
      </c>
      <c r="G181" s="83" t="inlineStr">
        <is>
          <t>Ч</t>
        </is>
      </c>
      <c r="H181" s="146" t="inlineStr">
        <is>
          <t>х</t>
        </is>
      </c>
      <c r="I181" s="83" t="inlineStr">
        <is>
          <t>В</t>
        </is>
      </c>
      <c r="J181" s="83" t="inlineStr">
        <is>
          <t>х</t>
        </is>
      </c>
      <c r="K181" s="116" t="inlineStr">
        <is>
          <t>K182</t>
        </is>
      </c>
      <c r="N181" s="239">
        <f>IF(D181="","",IF(LEFT(D181,1)="0",0,1))</f>
        <v/>
      </c>
      <c r="O181" s="80">
        <f>ROUND(R181*S181*T181/1000000,2)</f>
        <v/>
      </c>
      <c r="P181" s="160">
        <f>IF(O181="","",
IF(O181&lt;1,"0,1-0,9 литров",
IF(O181&lt;2,"1-1,9 литра",
IF(O181&lt;3,"2-2,9 литра",
IF(O181&lt;4,"3-3,9 литра",
IF(O181&lt;6,"4-5,9 литра",IF(O181&lt;8,"6-7,9 литра",IF(O181&lt;10,"8-9,9 литров",IF(O181&lt;15,"10-14,9 литров",IF(O181&lt;20,"15-19,9 литров",IF(O181&lt;30,"20-29 литров",IF(O181&lt;50,"30-49 литров",IF(O181&lt;60,"50-59 литров",IF(O181&lt;70,"60-69 литров",IF(O181&lt;80,"70-79 литров",IF(O181&lt;90,"80-89 литров",IF(O181&lt;100,"90-99 литров",IF(O181&lt;200,"100-200 литров","200+ литров"))))))))))))))))))</f>
        <v/>
      </c>
      <c r="Q181" s="101">
        <f>IF(O181="","",IF(O181&lt;1,"&lt;1 л",IF(O181&lt;2,"1-2 л",IF(O181&lt;3,"2-3 л",IF(O181&lt;5,"3-5 л",IF(O181&lt;10,"5-10 л",IF(O181&lt;20,"10-20 л",IF(O181&lt;50,"20-50 л",IF(O181&lt;100,"50-100 л","100+ л")))))))))</f>
        <v/>
      </c>
      <c r="R181" s="162">
        <f>IF(E181="","",--LEFT(E181,FIND("х",E181)-1))</f>
        <v/>
      </c>
      <c r="S181" s="162">
        <f>IF(E181="","",--MID(E181,FIND("х",E181)+1,FIND("х",E181,FIND("х",E181)+1)-FIND("х",E181)-1))</f>
        <v/>
      </c>
      <c r="T181" s="162">
        <f>IF(E181="","",--RIGHT(E181,LEN(E181)-FIND("х",E181,FIND("х",E181)+1)))</f>
        <v/>
      </c>
      <c r="U181" s="66">
        <f>(2*(R181+S181)+60)*(S181+T181+8)/1000000</f>
        <v/>
      </c>
      <c r="V181" s="66">
        <f>IF(OR(AND(R181&gt;=2*S181,R181&gt;=2*T181),AND(S181&gt;=2*R181,S181&gt;=2*T181),AND(T181&gt;=2*R181,T181&gt;=2*S181)),"Длинные","")</f>
        <v/>
      </c>
      <c r="W181" s="66">
        <f>IF(OR(AND(R181&lt;=S181/2,R181&lt;=T181/2),AND(S181&lt;=R181/2,S181&lt;=T181/2),AND(T181&lt;=R181/2,T181&lt;=S181/2)),"Плоские","")</f>
        <v/>
      </c>
      <c r="X181" s="160">
        <f>IF(LARGE($R181:$T181,1)="","",IF(LARGE($R181:$T181,1)&lt;=99,"10-99 мм",IF(LARGE($R181:$T181,1)&lt;=199,"100-199 мм",IF(LARGE($R181:$T181,1)&lt;=299,"200-299 мм",IF(LARGE($R181:$T181,1)&lt;=399,"300-399 мм",IF(LARGE($R181:$T181,1)&lt;=499,"400-499 мм",IF(LARGE($R181:$T181,1)&lt;=599,"500-599 мм",IF(LARGE($R181:$T181,1)&lt;=699,"600-699 мм",IF(LARGE($R181:$T181,1)&lt;=999,"700-999 мм","1000+ мм")))))))))</f>
        <v/>
      </c>
      <c r="Y181" s="160">
        <f>IF(LARGE($R181:$T181,2)="","",IF(LARGE($R181:$T181,2)&lt;=99,"10-99 мм",IF(LARGE($R181:$T181,2)&lt;=199,"100-199 мм",IF(LARGE($R181:$T181,2)&lt;=299,"200-299 мм",IF(LARGE($R181:$T181,2)&lt;=399,"300-399 мм",IF(LARGE($R181:$T181,2)&lt;=499,"400-499 мм",IF(LARGE($R181:$T181,2)&lt;=599,"500-599 мм",IF(LARGE($R181:$T181,2)&lt;=699,"600-699 мм",IF(LARGE($R181:$T181,2)&lt;=999,"700-999 мм","1000+ мм")))))))))</f>
        <v/>
      </c>
      <c r="Z181" s="160">
        <f>IF(SMALL($R181:$T181,1)="","",IF(SMALL($R181:$T181,1)&lt;=99,"10-99 мм",IF(SMALL($R181:$T181,1)&lt;=199,"100-199 мм",IF(SMALL($R181:$T181,1)&lt;=299,"200-299 мм",IF(SMALL($R181:$T181,1)&lt;=399,"300-399 мм",IF(SMALL($R181:$T181,1)&lt;=499,"400-499 мм",IF(SMALL($R181:$T181,1)&lt;=599,"500-599 мм",IF(SMALL($R181:$T181,1)&lt;=699,"600-699 мм",IF(SMALL($R181:$T181,1)&lt;=999,"700-999 мм","1000+ мм")))))))))</f>
        <v/>
      </c>
      <c r="AA181" s="101">
        <f>IF(G181="","",IF(G181="Л","Лист гофрокартона",IF(G181="КД","Крышка-дно",IF(G181="С","Самосборные",IF(G181="Ч","Четырехклапанные",IF(G181="А","Архивные","Неизвестно"))))))</f>
        <v/>
      </c>
      <c r="AB181" s="66" t="n">
        <v>1.73</v>
      </c>
      <c r="AC181" s="101">
        <f>IF(O181="","",IF(O181&lt;=1,"0-1 литров",IF(O181&lt;=3,"2-3 литра",IF(O181&lt;=5,"4-5 литра",IF(O181&lt;=7,"6-7 литра",IF(O181&lt;=9,"8-9 литров",IF(O181&lt;=14,"10-14 литров",IF(O181&lt;=19,"15-19 литров",IF(O181&lt;=29,"20-29 литров",IF(O181&lt;=49,"30-49 литров",IF(O181&lt;=59,"50-59 литров",IF(O181&lt;=70,"60-69 литров",IF(O181&lt;=79,"70-79 литров",IF(O181&lt;=89,"80-89 литров",IF(O181&lt;=99,"90-99 литров",IF(O181&lt;=200,"100-200 литров","200+ литров"))))))))))))))))</f>
        <v/>
      </c>
    </row>
    <row r="182">
      <c r="A182" s="64" t="n">
        <v>0.58</v>
      </c>
      <c r="B182" s="65">
        <f>A182*1.2</f>
        <v/>
      </c>
      <c r="C182" s="109" t="n">
        <v>182</v>
      </c>
      <c r="D182" s="116" t="inlineStr">
        <is>
          <t>У</t>
        </is>
      </c>
      <c r="E182" s="88" t="inlineStr">
        <is>
          <t>250х190х170</t>
        </is>
      </c>
      <c r="G182" s="83" t="inlineStr">
        <is>
          <t>Ч</t>
        </is>
      </c>
      <c r="H182" s="146" t="inlineStr">
        <is>
          <t>х</t>
        </is>
      </c>
      <c r="I182" s="83" t="inlineStr">
        <is>
          <t>В</t>
        </is>
      </c>
      <c r="J182" s="83" t="inlineStr">
        <is>
          <t>х</t>
        </is>
      </c>
      <c r="K182" s="116" t="inlineStr">
        <is>
          <t>K183</t>
        </is>
      </c>
      <c r="N182" s="239">
        <f>IF(D182="","",IF(LEFT(D182,1)="0",0,1))</f>
        <v/>
      </c>
      <c r="O182" s="80">
        <f>ROUND(R182*S182*T182/1000000,2)</f>
        <v/>
      </c>
      <c r="P182" s="160">
        <f>IF(O182="","",
IF(O182&lt;1,"0,1-0,9 литров",
IF(O182&lt;2,"1-1,9 литра",
IF(O182&lt;3,"2-2,9 литра",
IF(O182&lt;4,"3-3,9 литра",
IF(O182&lt;6,"4-5,9 литра",IF(O182&lt;8,"6-7,9 литра",IF(O182&lt;10,"8-9,9 литров",IF(O182&lt;15,"10-14,9 литров",IF(O182&lt;20,"15-19,9 литров",IF(O182&lt;30,"20-29 литров",IF(O182&lt;50,"30-49 литров",IF(O182&lt;60,"50-59 литров",IF(O182&lt;70,"60-69 литров",IF(O182&lt;80,"70-79 литров",IF(O182&lt;90,"80-89 литров",IF(O182&lt;100,"90-99 литров",IF(O182&lt;200,"100-200 литров","200+ литров"))))))))))))))))))</f>
        <v/>
      </c>
      <c r="Q182" s="101">
        <f>IF(O182="","",IF(O182&lt;1,"&lt;1 л",IF(O182&lt;2,"1-2 л",IF(O182&lt;3,"2-3 л",IF(O182&lt;5,"3-5 л",IF(O182&lt;10,"5-10 л",IF(O182&lt;20,"10-20 л",IF(O182&lt;50,"20-50 л",IF(O182&lt;100,"50-100 л","100+ л")))))))))</f>
        <v/>
      </c>
      <c r="R182" s="162">
        <f>IF(E182="","",--LEFT(E182,FIND("х",E182)-1))</f>
        <v/>
      </c>
      <c r="S182" s="162">
        <f>IF(E182="","",--MID(E182,FIND("х",E182)+1,FIND("х",E182,FIND("х",E182)+1)-FIND("х",E182)-1))</f>
        <v/>
      </c>
      <c r="T182" s="162">
        <f>IF(E182="","",--RIGHT(E182,LEN(E182)-FIND("х",E182,FIND("х",E182)+1)))</f>
        <v/>
      </c>
      <c r="U182" s="66">
        <f>(2*(R182+S182)+60)*(S182+T182+8)/1000000</f>
        <v/>
      </c>
      <c r="V182" s="66">
        <f>IF(OR(AND(R182&gt;=2*S182,R182&gt;=2*T182),AND(S182&gt;=2*R182,S182&gt;=2*T182),AND(T182&gt;=2*R182,T182&gt;=2*S182)),"Длинные","")</f>
        <v/>
      </c>
      <c r="W182" s="66">
        <f>IF(OR(AND(R182&lt;=S182/2,R182&lt;=T182/2),AND(S182&lt;=R182/2,S182&lt;=T182/2),AND(T182&lt;=R182/2,T182&lt;=S182/2)),"Плоские","")</f>
        <v/>
      </c>
      <c r="X182" s="160">
        <f>IF(LARGE($R182:$T182,1)="","",IF(LARGE($R182:$T182,1)&lt;=99,"10-99 мм",IF(LARGE($R182:$T182,1)&lt;=199,"100-199 мм",IF(LARGE($R182:$T182,1)&lt;=299,"200-299 мм",IF(LARGE($R182:$T182,1)&lt;=399,"300-399 мм",IF(LARGE($R182:$T182,1)&lt;=499,"400-499 мм",IF(LARGE($R182:$T182,1)&lt;=599,"500-599 мм",IF(LARGE($R182:$T182,1)&lt;=699,"600-699 мм",IF(LARGE($R182:$T182,1)&lt;=999,"700-999 мм","1000+ мм")))))))))</f>
        <v/>
      </c>
      <c r="Y182" s="160">
        <f>IF(LARGE($R182:$T182,2)="","",IF(LARGE($R182:$T182,2)&lt;=99,"10-99 мм",IF(LARGE($R182:$T182,2)&lt;=199,"100-199 мм",IF(LARGE($R182:$T182,2)&lt;=299,"200-299 мм",IF(LARGE($R182:$T182,2)&lt;=399,"300-399 мм",IF(LARGE($R182:$T182,2)&lt;=499,"400-499 мм",IF(LARGE($R182:$T182,2)&lt;=599,"500-599 мм",IF(LARGE($R182:$T182,2)&lt;=699,"600-699 мм",IF(LARGE($R182:$T182,2)&lt;=999,"700-999 мм","1000+ мм")))))))))</f>
        <v/>
      </c>
      <c r="Z182" s="160">
        <f>IF(SMALL($R182:$T182,1)="","",IF(SMALL($R182:$T182,1)&lt;=99,"10-99 мм",IF(SMALL($R182:$T182,1)&lt;=199,"100-199 мм",IF(SMALL($R182:$T182,1)&lt;=299,"200-299 мм",IF(SMALL($R182:$T182,1)&lt;=399,"300-399 мм",IF(SMALL($R182:$T182,1)&lt;=499,"400-499 мм",IF(SMALL($R182:$T182,1)&lt;=599,"500-599 мм",IF(SMALL($R182:$T182,1)&lt;=699,"600-699 мм",IF(SMALL($R182:$T182,1)&lt;=999,"700-999 мм","1000+ мм")))))))))</f>
        <v/>
      </c>
      <c r="AA182" s="101">
        <f>IF(G182="","",IF(G182="Л","Лист гофрокартона",IF(G182="КД","Крышка-дно",IF(G182="С","Самосборные",IF(G182="Ч","Четырехклапанные",IF(G182="А","Архивные","Неизвестно"))))))</f>
        <v/>
      </c>
      <c r="AB182" s="66" t="n">
        <v>1.73</v>
      </c>
      <c r="AC182" s="101">
        <f>IF(O182="","",IF(O182&lt;=1,"0-1 литров",IF(O182&lt;=3,"2-3 литра",IF(O182&lt;=5,"4-5 литра",IF(O182&lt;=7,"6-7 литра",IF(O182&lt;=9,"8-9 литров",IF(O182&lt;=14,"10-14 литров",IF(O182&lt;=19,"15-19 литров",IF(O182&lt;=29,"20-29 литров",IF(O182&lt;=49,"30-49 литров",IF(O182&lt;=59,"50-59 литров",IF(O182&lt;=70,"60-69 литров",IF(O182&lt;=79,"70-79 литров",IF(O182&lt;=89,"80-89 литров",IF(O182&lt;=99,"90-99 литров",IF(O182&lt;=200,"100-200 литров","200+ литров"))))))))))))))))</f>
        <v/>
      </c>
    </row>
    <row r="183">
      <c r="A183" s="64" t="n">
        <v>0.09</v>
      </c>
      <c r="B183" s="65">
        <f>A183*1.2</f>
        <v/>
      </c>
      <c r="C183" s="109" t="n">
        <v>183</v>
      </c>
      <c r="D183" s="116" t="inlineStr">
        <is>
          <t>У</t>
        </is>
      </c>
      <c r="E183" s="88" t="inlineStr">
        <is>
          <t>72х72х90</t>
        </is>
      </c>
      <c r="G183" s="83" t="inlineStr">
        <is>
          <t>Ч</t>
        </is>
      </c>
      <c r="H183" s="146" t="inlineStr">
        <is>
          <t>х</t>
        </is>
      </c>
      <c r="I183" s="83" t="inlineStr">
        <is>
          <t>В</t>
        </is>
      </c>
      <c r="J183" s="83" t="inlineStr">
        <is>
          <t>х</t>
        </is>
      </c>
      <c r="K183" s="116" t="inlineStr">
        <is>
          <t>K184</t>
        </is>
      </c>
      <c r="N183" s="239">
        <f>IF(D183="","",IF(LEFT(D183,1)="0",0,1))</f>
        <v/>
      </c>
      <c r="O183" s="80">
        <f>ROUND(R183*S183*T183/1000000,2)</f>
        <v/>
      </c>
      <c r="P183" s="160">
        <f>IF(O183="","",
IF(O183&lt;1,"0,1-0,9 литров",
IF(O183&lt;2,"1-1,9 литра",
IF(O183&lt;3,"2-2,9 литра",
IF(O183&lt;4,"3-3,9 литра",
IF(O183&lt;6,"4-5,9 литра",IF(O183&lt;8,"6-7,9 литра",IF(O183&lt;10,"8-9,9 литров",IF(O183&lt;15,"10-14,9 литров",IF(O183&lt;20,"15-19,9 литров",IF(O183&lt;30,"20-29 литров",IF(O183&lt;50,"30-49 литров",IF(O183&lt;60,"50-59 литров",IF(O183&lt;70,"60-69 литров",IF(O183&lt;80,"70-79 литров",IF(O183&lt;90,"80-89 литров",IF(O183&lt;100,"90-99 литров",IF(O183&lt;200,"100-200 литров","200+ литров"))))))))))))))))))</f>
        <v/>
      </c>
      <c r="Q183" s="101">
        <f>IF(O183="","",IF(O183&lt;1,"&lt;1 л",IF(O183&lt;2,"1-2 л",IF(O183&lt;3,"2-3 л",IF(O183&lt;5,"3-5 л",IF(O183&lt;10,"5-10 л",IF(O183&lt;20,"10-20 л",IF(O183&lt;50,"20-50 л",IF(O183&lt;100,"50-100 л","100+ л")))))))))</f>
        <v/>
      </c>
      <c r="R183" s="162">
        <f>IF(E183="","",--LEFT(E183,FIND("х",E183)-1))</f>
        <v/>
      </c>
      <c r="S183" s="162">
        <f>IF(E183="","",--MID(E183,FIND("х",E183)+1,FIND("х",E183,FIND("х",E183)+1)-FIND("х",E183)-1))</f>
        <v/>
      </c>
      <c r="T183" s="162">
        <f>IF(E183="","",--RIGHT(E183,LEN(E183)-FIND("х",E183,FIND("х",E183)+1)))</f>
        <v/>
      </c>
      <c r="U183" s="66">
        <f>(2*(R183+S183)+60)*(S183+T183+8)/1000000</f>
        <v/>
      </c>
      <c r="V183" s="66">
        <f>IF(OR(AND(R183&gt;=2*S183,R183&gt;=2*T183),AND(S183&gt;=2*R183,S183&gt;=2*T183),AND(T183&gt;=2*R183,T183&gt;=2*S183)),"Длинные","")</f>
        <v/>
      </c>
      <c r="W183" s="66">
        <f>IF(OR(AND(R183&lt;=S183/2,R183&lt;=T183/2),AND(S183&lt;=R183/2,S183&lt;=T183/2),AND(T183&lt;=R183/2,T183&lt;=S183/2)),"Плоские","")</f>
        <v/>
      </c>
      <c r="X183" s="160">
        <f>IF(LARGE($R183:$T183,1)="","",IF(LARGE($R183:$T183,1)&lt;=99,"10-99 мм",IF(LARGE($R183:$T183,1)&lt;=199,"100-199 мм",IF(LARGE($R183:$T183,1)&lt;=299,"200-299 мм",IF(LARGE($R183:$T183,1)&lt;=399,"300-399 мм",IF(LARGE($R183:$T183,1)&lt;=499,"400-499 мм",IF(LARGE($R183:$T183,1)&lt;=599,"500-599 мм",IF(LARGE($R183:$T183,1)&lt;=699,"600-699 мм",IF(LARGE($R183:$T183,1)&lt;=999,"700-999 мм","1000+ мм")))))))))</f>
        <v/>
      </c>
      <c r="Y183" s="160">
        <f>IF(LARGE($R183:$T183,2)="","",IF(LARGE($R183:$T183,2)&lt;=99,"10-99 мм",IF(LARGE($R183:$T183,2)&lt;=199,"100-199 мм",IF(LARGE($R183:$T183,2)&lt;=299,"200-299 мм",IF(LARGE($R183:$T183,2)&lt;=399,"300-399 мм",IF(LARGE($R183:$T183,2)&lt;=499,"400-499 мм",IF(LARGE($R183:$T183,2)&lt;=599,"500-599 мм",IF(LARGE($R183:$T183,2)&lt;=699,"600-699 мм",IF(LARGE($R183:$T183,2)&lt;=999,"700-999 мм","1000+ мм")))))))))</f>
        <v/>
      </c>
      <c r="Z183" s="160">
        <f>IF(SMALL($R183:$T183,1)="","",IF(SMALL($R183:$T183,1)&lt;=99,"10-99 мм",IF(SMALL($R183:$T183,1)&lt;=199,"100-199 мм",IF(SMALL($R183:$T183,1)&lt;=299,"200-299 мм",IF(SMALL($R183:$T183,1)&lt;=399,"300-399 мм",IF(SMALL($R183:$T183,1)&lt;=499,"400-499 мм",IF(SMALL($R183:$T183,1)&lt;=599,"500-599 мм",IF(SMALL($R183:$T183,1)&lt;=699,"600-699 мм",IF(SMALL($R183:$T183,1)&lt;=999,"700-999 мм","1000+ мм")))))))))</f>
        <v/>
      </c>
      <c r="AA183" s="101">
        <f>IF(G183="","",IF(G183="Л","Лист гофрокартона",IF(G183="КД","Крышка-дно",IF(G183="С","Самосборные",IF(G183="Ч","Четырехклапанные",IF(G183="А","Архивные","Неизвестно"))))))</f>
        <v/>
      </c>
      <c r="AB183" s="66" t="n">
        <v>1.73</v>
      </c>
      <c r="AC183" s="101">
        <f>IF(O183="","",IF(O183&lt;=1,"0-1 литров",IF(O183&lt;=3,"2-3 литра",IF(O183&lt;=5,"4-5 литра",IF(O183&lt;=7,"6-7 литра",IF(O183&lt;=9,"8-9 литров",IF(O183&lt;=14,"10-14 литров",IF(O183&lt;=19,"15-19 литров",IF(O183&lt;=29,"20-29 литров",IF(O183&lt;=49,"30-49 литров",IF(O183&lt;=59,"50-59 литров",IF(O183&lt;=70,"60-69 литров",IF(O183&lt;=79,"70-79 литров",IF(O183&lt;=89,"80-89 литров",IF(O183&lt;=99,"90-99 литров",IF(O183&lt;=200,"100-200 литров","200+ литров"))))))))))))))))</f>
        <v/>
      </c>
    </row>
    <row r="184">
      <c r="A184" s="64" t="n">
        <v>1.08</v>
      </c>
      <c r="B184" s="65">
        <f>A184*1.2</f>
        <v/>
      </c>
      <c r="C184" s="109" t="n">
        <v>184</v>
      </c>
      <c r="D184" s="116" t="inlineStr">
        <is>
          <t>У</t>
        </is>
      </c>
      <c r="E184" s="88" t="inlineStr">
        <is>
          <t>300х300х200</t>
        </is>
      </c>
      <c r="G184" s="83" t="inlineStr">
        <is>
          <t>Ч</t>
        </is>
      </c>
      <c r="H184" s="146" t="inlineStr">
        <is>
          <t>х</t>
        </is>
      </c>
      <c r="I184" s="83" t="inlineStr">
        <is>
          <t>В</t>
        </is>
      </c>
      <c r="J184" s="83" t="inlineStr">
        <is>
          <t>х</t>
        </is>
      </c>
      <c r="K184" s="116" t="inlineStr">
        <is>
          <t>K185</t>
        </is>
      </c>
      <c r="N184" s="239">
        <f>IF(D184="","",IF(LEFT(D184,1)="0",0,1))</f>
        <v/>
      </c>
      <c r="O184" s="80">
        <f>ROUND(R184*S184*T184/1000000,2)</f>
        <v/>
      </c>
      <c r="P184" s="160">
        <f>IF(O184="","",
IF(O184&lt;1,"0,1-0,9 литров",
IF(O184&lt;2,"1-1,9 литра",
IF(O184&lt;3,"2-2,9 литра",
IF(O184&lt;4,"3-3,9 литра",
IF(O184&lt;6,"4-5,9 литра",IF(O184&lt;8,"6-7,9 литра",IF(O184&lt;10,"8-9,9 литров",IF(O184&lt;15,"10-14,9 литров",IF(O184&lt;20,"15-19,9 литров",IF(O184&lt;30,"20-29 литров",IF(O184&lt;50,"30-49 литров",IF(O184&lt;60,"50-59 литров",IF(O184&lt;70,"60-69 литров",IF(O184&lt;80,"70-79 литров",IF(O184&lt;90,"80-89 литров",IF(O184&lt;100,"90-99 литров",IF(O184&lt;200,"100-200 литров","200+ литров"))))))))))))))))))</f>
        <v/>
      </c>
      <c r="Q184" s="101">
        <f>IF(O184="","",IF(O184&lt;1,"&lt;1 л",IF(O184&lt;2,"1-2 л",IF(O184&lt;3,"2-3 л",IF(O184&lt;5,"3-5 л",IF(O184&lt;10,"5-10 л",IF(O184&lt;20,"10-20 л",IF(O184&lt;50,"20-50 л",IF(O184&lt;100,"50-100 л","100+ л")))))))))</f>
        <v/>
      </c>
      <c r="R184" s="162">
        <f>IF(E184="","",--LEFT(E184,FIND("х",E184)-1))</f>
        <v/>
      </c>
      <c r="S184" s="162">
        <f>IF(E184="","",--MID(E184,FIND("х",E184)+1,FIND("х",E184,FIND("х",E184)+1)-FIND("х",E184)-1))</f>
        <v/>
      </c>
      <c r="T184" s="162">
        <f>IF(E184="","",--RIGHT(E184,LEN(E184)-FIND("х",E184,FIND("х",E184)+1)))</f>
        <v/>
      </c>
      <c r="U184" s="66">
        <f>(2*(R184+S184)+60)*(S184+T184+8)/1000000</f>
        <v/>
      </c>
      <c r="V184" s="66">
        <f>IF(OR(AND(R184&gt;=2*S184,R184&gt;=2*T184),AND(S184&gt;=2*R184,S184&gt;=2*T184),AND(T184&gt;=2*R184,T184&gt;=2*S184)),"Длинные","")</f>
        <v/>
      </c>
      <c r="W184" s="66">
        <f>IF(OR(AND(R184&lt;=S184/2,R184&lt;=T184/2),AND(S184&lt;=R184/2,S184&lt;=T184/2),AND(T184&lt;=R184/2,T184&lt;=S184/2)),"Плоские","")</f>
        <v/>
      </c>
      <c r="X184" s="160">
        <f>IF(LARGE($R184:$T184,1)="","",IF(LARGE($R184:$T184,1)&lt;=99,"10-99 мм",IF(LARGE($R184:$T184,1)&lt;=199,"100-199 мм",IF(LARGE($R184:$T184,1)&lt;=299,"200-299 мм",IF(LARGE($R184:$T184,1)&lt;=399,"300-399 мм",IF(LARGE($R184:$T184,1)&lt;=499,"400-499 мм",IF(LARGE($R184:$T184,1)&lt;=599,"500-599 мм",IF(LARGE($R184:$T184,1)&lt;=699,"600-699 мм",IF(LARGE($R184:$T184,1)&lt;=999,"700-999 мм","1000+ мм")))))))))</f>
        <v/>
      </c>
      <c r="Y184" s="160">
        <f>IF(LARGE($R184:$T184,2)="","",IF(LARGE($R184:$T184,2)&lt;=99,"10-99 мм",IF(LARGE($R184:$T184,2)&lt;=199,"100-199 мм",IF(LARGE($R184:$T184,2)&lt;=299,"200-299 мм",IF(LARGE($R184:$T184,2)&lt;=399,"300-399 мм",IF(LARGE($R184:$T184,2)&lt;=499,"400-499 мм",IF(LARGE($R184:$T184,2)&lt;=599,"500-599 мм",IF(LARGE($R184:$T184,2)&lt;=699,"600-699 мм",IF(LARGE($R184:$T184,2)&lt;=999,"700-999 мм","1000+ мм")))))))))</f>
        <v/>
      </c>
      <c r="Z184" s="160">
        <f>IF(SMALL($R184:$T184,1)="","",IF(SMALL($R184:$T184,1)&lt;=99,"10-99 мм",IF(SMALL($R184:$T184,1)&lt;=199,"100-199 мм",IF(SMALL($R184:$T184,1)&lt;=299,"200-299 мм",IF(SMALL($R184:$T184,1)&lt;=399,"300-399 мм",IF(SMALL($R184:$T184,1)&lt;=499,"400-499 мм",IF(SMALL($R184:$T184,1)&lt;=599,"500-599 мм",IF(SMALL($R184:$T184,1)&lt;=699,"600-699 мм",IF(SMALL($R184:$T184,1)&lt;=999,"700-999 мм","1000+ мм")))))))))</f>
        <v/>
      </c>
      <c r="AA184" s="101">
        <f>IF(G184="","",IF(G184="Л","Лист гофрокартона",IF(G184="КД","Крышка-дно",IF(G184="С","Самосборные",IF(G184="Ч","Четырехклапанные",IF(G184="А","Архивные","Неизвестно"))))))</f>
        <v/>
      </c>
      <c r="AB184" s="66" t="n">
        <v>1.73</v>
      </c>
      <c r="AC184" s="101">
        <f>IF(O184="","",IF(O184&lt;=1,"0-1 литров",IF(O184&lt;=3,"2-3 литра",IF(O184&lt;=5,"4-5 литра",IF(O184&lt;=7,"6-7 литра",IF(O184&lt;=9,"8-9 литров",IF(O184&lt;=14,"10-14 литров",IF(O184&lt;=19,"15-19 литров",IF(O184&lt;=29,"20-29 литров",IF(O184&lt;=49,"30-49 литров",IF(O184&lt;=59,"50-59 литров",IF(O184&lt;=70,"60-69 литров",IF(O184&lt;=79,"70-79 литров",IF(O184&lt;=89,"80-89 литров",IF(O184&lt;=99,"90-99 литров",IF(O184&lt;=200,"100-200 литров","200+ литров"))))))))))))))))</f>
        <v/>
      </c>
    </row>
    <row r="185">
      <c r="A185" s="64" t="n">
        <v>0.73</v>
      </c>
      <c r="B185" s="65">
        <f>A185*1.2</f>
        <v/>
      </c>
      <c r="C185" s="109" t="n">
        <v>185</v>
      </c>
      <c r="D185" s="116" t="inlineStr">
        <is>
          <t>У</t>
        </is>
      </c>
      <c r="E185" s="88" t="inlineStr">
        <is>
          <t>300х200х200</t>
        </is>
      </c>
      <c r="G185" s="83" t="inlineStr">
        <is>
          <t>Ч</t>
        </is>
      </c>
      <c r="H185" s="146" t="inlineStr">
        <is>
          <t>х</t>
        </is>
      </c>
      <c r="I185" s="83" t="inlineStr">
        <is>
          <t>В</t>
        </is>
      </c>
      <c r="J185" s="83" t="inlineStr">
        <is>
          <t>х</t>
        </is>
      </c>
      <c r="K185" s="116" t="inlineStr">
        <is>
          <t>K186</t>
        </is>
      </c>
      <c r="N185" s="239">
        <f>IF(D185="","",IF(LEFT(D185,1)="0",0,1))</f>
        <v/>
      </c>
      <c r="O185" s="80">
        <f>ROUND(R185*S185*T185/1000000,2)</f>
        <v/>
      </c>
      <c r="P185" s="160">
        <f>IF(O185="","",
IF(O185&lt;1,"0,1-0,9 литров",
IF(O185&lt;2,"1-1,9 литра",
IF(O185&lt;3,"2-2,9 литра",
IF(O185&lt;4,"3-3,9 литра",
IF(O185&lt;6,"4-5,9 литра",IF(O185&lt;8,"6-7,9 литра",IF(O185&lt;10,"8-9,9 литров",IF(O185&lt;15,"10-14,9 литров",IF(O185&lt;20,"15-19,9 литров",IF(O185&lt;30,"20-29 литров",IF(O185&lt;50,"30-49 литров",IF(O185&lt;60,"50-59 литров",IF(O185&lt;70,"60-69 литров",IF(O185&lt;80,"70-79 литров",IF(O185&lt;90,"80-89 литров",IF(O185&lt;100,"90-99 литров",IF(O185&lt;200,"100-200 литров","200+ литров"))))))))))))))))))</f>
        <v/>
      </c>
      <c r="Q185" s="101">
        <f>IF(O185="","",IF(O185&lt;1,"&lt;1 л",IF(O185&lt;2,"1-2 л",IF(O185&lt;3,"2-3 л",IF(O185&lt;5,"3-5 л",IF(O185&lt;10,"5-10 л",IF(O185&lt;20,"10-20 л",IF(O185&lt;50,"20-50 л",IF(O185&lt;100,"50-100 л","100+ л")))))))))</f>
        <v/>
      </c>
      <c r="R185" s="162">
        <f>IF(E185="","",--LEFT(E185,FIND("х",E185)-1))</f>
        <v/>
      </c>
      <c r="S185" s="162">
        <f>IF(E185="","",--MID(E185,FIND("х",E185)+1,FIND("х",E185,FIND("х",E185)+1)-FIND("х",E185)-1))</f>
        <v/>
      </c>
      <c r="T185" s="162">
        <f>IF(E185="","",--RIGHT(E185,LEN(E185)-FIND("х",E185,FIND("х",E185)+1)))</f>
        <v/>
      </c>
      <c r="U185" s="66">
        <f>(2*(R185+S185)+60)*(S185+T185+8)/1000000</f>
        <v/>
      </c>
      <c r="V185" s="66">
        <f>IF(OR(AND(R185&gt;=2*S185,R185&gt;=2*T185),AND(S185&gt;=2*R185,S185&gt;=2*T185),AND(T185&gt;=2*R185,T185&gt;=2*S185)),"Длинные","")</f>
        <v/>
      </c>
      <c r="W185" s="66">
        <f>IF(OR(AND(R185&lt;=S185/2,R185&lt;=T185/2),AND(S185&lt;=R185/2,S185&lt;=T185/2),AND(T185&lt;=R185/2,T185&lt;=S185/2)),"Плоские","")</f>
        <v/>
      </c>
      <c r="X185" s="160">
        <f>IF(LARGE($R185:$T185,1)="","",IF(LARGE($R185:$T185,1)&lt;=99,"10-99 мм",IF(LARGE($R185:$T185,1)&lt;=199,"100-199 мм",IF(LARGE($R185:$T185,1)&lt;=299,"200-299 мм",IF(LARGE($R185:$T185,1)&lt;=399,"300-399 мм",IF(LARGE($R185:$T185,1)&lt;=499,"400-499 мм",IF(LARGE($R185:$T185,1)&lt;=599,"500-599 мм",IF(LARGE($R185:$T185,1)&lt;=699,"600-699 мм",IF(LARGE($R185:$T185,1)&lt;=999,"700-999 мм","1000+ мм")))))))))</f>
        <v/>
      </c>
      <c r="Y185" s="160">
        <f>IF(LARGE($R185:$T185,2)="","",IF(LARGE($R185:$T185,2)&lt;=99,"10-99 мм",IF(LARGE($R185:$T185,2)&lt;=199,"100-199 мм",IF(LARGE($R185:$T185,2)&lt;=299,"200-299 мм",IF(LARGE($R185:$T185,2)&lt;=399,"300-399 мм",IF(LARGE($R185:$T185,2)&lt;=499,"400-499 мм",IF(LARGE($R185:$T185,2)&lt;=599,"500-599 мм",IF(LARGE($R185:$T185,2)&lt;=699,"600-699 мм",IF(LARGE($R185:$T185,2)&lt;=999,"700-999 мм","1000+ мм")))))))))</f>
        <v/>
      </c>
      <c r="Z185" s="160">
        <f>IF(SMALL($R185:$T185,1)="","",IF(SMALL($R185:$T185,1)&lt;=99,"10-99 мм",IF(SMALL($R185:$T185,1)&lt;=199,"100-199 мм",IF(SMALL($R185:$T185,1)&lt;=299,"200-299 мм",IF(SMALL($R185:$T185,1)&lt;=399,"300-399 мм",IF(SMALL($R185:$T185,1)&lt;=499,"400-499 мм",IF(SMALL($R185:$T185,1)&lt;=599,"500-599 мм",IF(SMALL($R185:$T185,1)&lt;=699,"600-699 мм",IF(SMALL($R185:$T185,1)&lt;=999,"700-999 мм","1000+ мм")))))))))</f>
        <v/>
      </c>
      <c r="AA185" s="101">
        <f>IF(G185="","",IF(G185="Л","Лист гофрокартона",IF(G185="КД","Крышка-дно",IF(G185="С","Самосборные",IF(G185="Ч","Четырехклапанные",IF(G185="А","Архивные","Неизвестно"))))))</f>
        <v/>
      </c>
      <c r="AB185" s="66" t="n">
        <v>1.73</v>
      </c>
      <c r="AC185" s="101">
        <f>IF(O185="","",IF(O185&lt;=1,"0-1 литров",IF(O185&lt;=3,"2-3 литра",IF(O185&lt;=5,"4-5 литра",IF(O185&lt;=7,"6-7 литра",IF(O185&lt;=9,"8-9 литров",IF(O185&lt;=14,"10-14 литров",IF(O185&lt;=19,"15-19 литров",IF(O185&lt;=29,"20-29 литров",IF(O185&lt;=49,"30-49 литров",IF(O185&lt;=59,"50-59 литров",IF(O185&lt;=70,"60-69 литров",IF(O185&lt;=79,"70-79 литров",IF(O185&lt;=89,"80-89 литров",IF(O185&lt;=99,"90-99 литров",IF(O185&lt;=200,"100-200 литров","200+ литров"))))))))))))))))</f>
        <v/>
      </c>
    </row>
    <row r="186">
      <c r="A186" s="64" t="n">
        <v>0.87</v>
      </c>
      <c r="B186" s="65">
        <f>A186*1.2</f>
        <v/>
      </c>
      <c r="C186" s="109" t="n">
        <v>186</v>
      </c>
      <c r="D186" s="116" t="inlineStr">
        <is>
          <t>У</t>
        </is>
      </c>
      <c r="E186" s="88" t="inlineStr">
        <is>
          <t>400х200х200</t>
        </is>
      </c>
      <c r="G186" s="83" t="inlineStr">
        <is>
          <t>Ч</t>
        </is>
      </c>
      <c r="H186" s="146" t="inlineStr">
        <is>
          <t>х</t>
        </is>
      </c>
      <c r="I186" s="83" t="inlineStr">
        <is>
          <t>В</t>
        </is>
      </c>
      <c r="J186" s="83" t="inlineStr">
        <is>
          <t>х</t>
        </is>
      </c>
      <c r="K186" s="116" t="inlineStr">
        <is>
          <t>K187</t>
        </is>
      </c>
      <c r="N186" s="239">
        <f>IF(D186="","",IF(LEFT(D186,1)="0",0,1))</f>
        <v/>
      </c>
      <c r="O186" s="80">
        <f>ROUND(R186*S186*T186/1000000,2)</f>
        <v/>
      </c>
      <c r="P186" s="160">
        <f>IF(O186="","",
IF(O186&lt;1,"0,1-0,9 литров",
IF(O186&lt;2,"1-1,9 литра",
IF(O186&lt;3,"2-2,9 литра",
IF(O186&lt;4,"3-3,9 литра",
IF(O186&lt;6,"4-5,9 литра",IF(O186&lt;8,"6-7,9 литра",IF(O186&lt;10,"8-9,9 литров",IF(O186&lt;15,"10-14,9 литров",IF(O186&lt;20,"15-19,9 литров",IF(O186&lt;30,"20-29 литров",IF(O186&lt;50,"30-49 литров",IF(O186&lt;60,"50-59 литров",IF(O186&lt;70,"60-69 литров",IF(O186&lt;80,"70-79 литров",IF(O186&lt;90,"80-89 литров",IF(O186&lt;100,"90-99 литров",IF(O186&lt;200,"100-200 литров","200+ литров"))))))))))))))))))</f>
        <v/>
      </c>
      <c r="Q186" s="101">
        <f>IF(O186="","",IF(O186&lt;1,"&lt;1 л",IF(O186&lt;2,"1-2 л",IF(O186&lt;3,"2-3 л",IF(O186&lt;5,"3-5 л",IF(O186&lt;10,"5-10 л",IF(O186&lt;20,"10-20 л",IF(O186&lt;50,"20-50 л",IF(O186&lt;100,"50-100 л","100+ л")))))))))</f>
        <v/>
      </c>
      <c r="R186" s="162">
        <f>IF(E186="","",--LEFT(E186,FIND("х",E186)-1))</f>
        <v/>
      </c>
      <c r="S186" s="162">
        <f>IF(E186="","",--MID(E186,FIND("х",E186)+1,FIND("х",E186,FIND("х",E186)+1)-FIND("х",E186)-1))</f>
        <v/>
      </c>
      <c r="T186" s="162">
        <f>IF(E186="","",--RIGHT(E186,LEN(E186)-FIND("х",E186,FIND("х",E186)+1)))</f>
        <v/>
      </c>
      <c r="U186" s="66">
        <f>(2*(R186+S186)+60)*(S186+T186+8)/1000000</f>
        <v/>
      </c>
      <c r="V186" s="66">
        <f>IF(OR(AND(R186&gt;=2*S186,R186&gt;=2*T186),AND(S186&gt;=2*R186,S186&gt;=2*T186),AND(T186&gt;=2*R186,T186&gt;=2*S186)),"Длинные","")</f>
        <v/>
      </c>
      <c r="W186" s="66">
        <f>IF(OR(AND(R186&lt;=S186/2,R186&lt;=T186/2),AND(S186&lt;=R186/2,S186&lt;=T186/2),AND(T186&lt;=R186/2,T186&lt;=S186/2)),"Плоские","")</f>
        <v/>
      </c>
      <c r="X186" s="160">
        <f>IF(LARGE($R186:$T186,1)="","",IF(LARGE($R186:$T186,1)&lt;=99,"10-99 мм",IF(LARGE($R186:$T186,1)&lt;=199,"100-199 мм",IF(LARGE($R186:$T186,1)&lt;=299,"200-299 мм",IF(LARGE($R186:$T186,1)&lt;=399,"300-399 мм",IF(LARGE($R186:$T186,1)&lt;=499,"400-499 мм",IF(LARGE($R186:$T186,1)&lt;=599,"500-599 мм",IF(LARGE($R186:$T186,1)&lt;=699,"600-699 мм",IF(LARGE($R186:$T186,1)&lt;=999,"700-999 мм","1000+ мм")))))))))</f>
        <v/>
      </c>
      <c r="Y186" s="160">
        <f>IF(LARGE($R186:$T186,2)="","",IF(LARGE($R186:$T186,2)&lt;=99,"10-99 мм",IF(LARGE($R186:$T186,2)&lt;=199,"100-199 мм",IF(LARGE($R186:$T186,2)&lt;=299,"200-299 мм",IF(LARGE($R186:$T186,2)&lt;=399,"300-399 мм",IF(LARGE($R186:$T186,2)&lt;=499,"400-499 мм",IF(LARGE($R186:$T186,2)&lt;=599,"500-599 мм",IF(LARGE($R186:$T186,2)&lt;=699,"600-699 мм",IF(LARGE($R186:$T186,2)&lt;=999,"700-999 мм","1000+ мм")))))))))</f>
        <v/>
      </c>
      <c r="Z186" s="160">
        <f>IF(SMALL($R186:$T186,1)="","",IF(SMALL($R186:$T186,1)&lt;=99,"10-99 мм",IF(SMALL($R186:$T186,1)&lt;=199,"100-199 мм",IF(SMALL($R186:$T186,1)&lt;=299,"200-299 мм",IF(SMALL($R186:$T186,1)&lt;=399,"300-399 мм",IF(SMALL($R186:$T186,1)&lt;=499,"400-499 мм",IF(SMALL($R186:$T186,1)&lt;=599,"500-599 мм",IF(SMALL($R186:$T186,1)&lt;=699,"600-699 мм",IF(SMALL($R186:$T186,1)&lt;=999,"700-999 мм","1000+ мм")))))))))</f>
        <v/>
      </c>
      <c r="AA186" s="101">
        <f>IF(G186="","",IF(G186="Л","Лист гофрокартона",IF(G186="КД","Крышка-дно",IF(G186="С","Самосборные",IF(G186="Ч","Четырехклапанные",IF(G186="А","Архивные","Неизвестно"))))))</f>
        <v/>
      </c>
      <c r="AB186" s="66" t="n">
        <v>1.73</v>
      </c>
      <c r="AC186" s="101">
        <f>IF(O186="","",IF(O186&lt;=1,"0-1 литров",IF(O186&lt;=3,"2-3 литра",IF(O186&lt;=5,"4-5 литра",IF(O186&lt;=7,"6-7 литра",IF(O186&lt;=9,"8-9 литров",IF(O186&lt;=14,"10-14 литров",IF(O186&lt;=19,"15-19 литров",IF(O186&lt;=29,"20-29 литров",IF(O186&lt;=49,"30-49 литров",IF(O186&lt;=59,"50-59 литров",IF(O186&lt;=70,"60-69 литров",IF(O186&lt;=79,"70-79 литров",IF(O186&lt;=89,"80-89 литров",IF(O186&lt;=99,"90-99 литров",IF(O186&lt;=200,"100-200 литров","200+ литров"))))))))))))))))</f>
        <v/>
      </c>
    </row>
    <row r="187">
      <c r="A187" s="64" t="n">
        <v>0.59</v>
      </c>
      <c r="B187" s="65">
        <f>A187*1.2</f>
        <v/>
      </c>
      <c r="C187" s="109" t="n">
        <v>187</v>
      </c>
      <c r="D187" s="116" t="inlineStr">
        <is>
          <t>У</t>
        </is>
      </c>
      <c r="E187" s="88" t="inlineStr">
        <is>
          <t>200х200х200</t>
        </is>
      </c>
      <c r="G187" s="83" t="inlineStr">
        <is>
          <t>Ч</t>
        </is>
      </c>
      <c r="H187" s="146" t="inlineStr">
        <is>
          <t>х</t>
        </is>
      </c>
      <c r="I187" s="83" t="inlineStr">
        <is>
          <t>В</t>
        </is>
      </c>
      <c r="J187" s="83" t="inlineStr">
        <is>
          <t>х</t>
        </is>
      </c>
      <c r="K187" s="116" t="inlineStr">
        <is>
          <t>K188</t>
        </is>
      </c>
      <c r="N187" s="239">
        <f>IF(D187="","",IF(LEFT(D187,1)="0",0,1))</f>
        <v/>
      </c>
      <c r="O187" s="80">
        <f>ROUND(R187*S187*T187/1000000,2)</f>
        <v/>
      </c>
      <c r="P187" s="160">
        <f>IF(O187="","",
IF(O187&lt;1,"0,1-0,9 литров",
IF(O187&lt;2,"1-1,9 литра",
IF(O187&lt;3,"2-2,9 литра",
IF(O187&lt;4,"3-3,9 литра",
IF(O187&lt;6,"4-5,9 литра",IF(O187&lt;8,"6-7,9 литра",IF(O187&lt;10,"8-9,9 литров",IF(O187&lt;15,"10-14,9 литров",IF(O187&lt;20,"15-19,9 литров",IF(O187&lt;30,"20-29 литров",IF(O187&lt;50,"30-49 литров",IF(O187&lt;60,"50-59 литров",IF(O187&lt;70,"60-69 литров",IF(O187&lt;80,"70-79 литров",IF(O187&lt;90,"80-89 литров",IF(O187&lt;100,"90-99 литров",IF(O187&lt;200,"100-200 литров","200+ литров"))))))))))))))))))</f>
        <v/>
      </c>
      <c r="Q187" s="101">
        <f>IF(O187="","",IF(O187&lt;1,"&lt;1 л",IF(O187&lt;2,"1-2 л",IF(O187&lt;3,"2-3 л",IF(O187&lt;5,"3-5 л",IF(O187&lt;10,"5-10 л",IF(O187&lt;20,"10-20 л",IF(O187&lt;50,"20-50 л",IF(O187&lt;100,"50-100 л","100+ л")))))))))</f>
        <v/>
      </c>
      <c r="R187" s="162">
        <f>IF(E187="","",--LEFT(E187,FIND("х",E187)-1))</f>
        <v/>
      </c>
      <c r="S187" s="162">
        <f>IF(E187="","",--MID(E187,FIND("х",E187)+1,FIND("х",E187,FIND("х",E187)+1)-FIND("х",E187)-1))</f>
        <v/>
      </c>
      <c r="T187" s="162">
        <f>IF(E187="","",--RIGHT(E187,LEN(E187)-FIND("х",E187,FIND("х",E187)+1)))</f>
        <v/>
      </c>
      <c r="U187" s="66">
        <f>(2*(R187+S187)+60)*(S187+T187+8)/1000000</f>
        <v/>
      </c>
      <c r="V187" s="66">
        <f>IF(OR(AND(R187&gt;=2*S187,R187&gt;=2*T187),AND(S187&gt;=2*R187,S187&gt;=2*T187),AND(T187&gt;=2*R187,T187&gt;=2*S187)),"Длинные","")</f>
        <v/>
      </c>
      <c r="W187" s="66">
        <f>IF(OR(AND(R187&lt;=S187/2,R187&lt;=T187/2),AND(S187&lt;=R187/2,S187&lt;=T187/2),AND(T187&lt;=R187/2,T187&lt;=S187/2)),"Плоские","")</f>
        <v/>
      </c>
      <c r="X187" s="160">
        <f>IF(LARGE($R187:$T187,1)="","",IF(LARGE($R187:$T187,1)&lt;=99,"10-99 мм",IF(LARGE($R187:$T187,1)&lt;=199,"100-199 мм",IF(LARGE($R187:$T187,1)&lt;=299,"200-299 мм",IF(LARGE($R187:$T187,1)&lt;=399,"300-399 мм",IF(LARGE($R187:$T187,1)&lt;=499,"400-499 мм",IF(LARGE($R187:$T187,1)&lt;=599,"500-599 мм",IF(LARGE($R187:$T187,1)&lt;=699,"600-699 мм",IF(LARGE($R187:$T187,1)&lt;=999,"700-999 мм","1000+ мм")))))))))</f>
        <v/>
      </c>
      <c r="Y187" s="160">
        <f>IF(LARGE($R187:$T187,2)="","",IF(LARGE($R187:$T187,2)&lt;=99,"10-99 мм",IF(LARGE($R187:$T187,2)&lt;=199,"100-199 мм",IF(LARGE($R187:$T187,2)&lt;=299,"200-299 мм",IF(LARGE($R187:$T187,2)&lt;=399,"300-399 мм",IF(LARGE($R187:$T187,2)&lt;=499,"400-499 мм",IF(LARGE($R187:$T187,2)&lt;=599,"500-599 мм",IF(LARGE($R187:$T187,2)&lt;=699,"600-699 мм",IF(LARGE($R187:$T187,2)&lt;=999,"700-999 мм","1000+ мм")))))))))</f>
        <v/>
      </c>
      <c r="Z187" s="160">
        <f>IF(SMALL($R187:$T187,1)="","",IF(SMALL($R187:$T187,1)&lt;=99,"10-99 мм",IF(SMALL($R187:$T187,1)&lt;=199,"100-199 мм",IF(SMALL($R187:$T187,1)&lt;=299,"200-299 мм",IF(SMALL($R187:$T187,1)&lt;=399,"300-399 мм",IF(SMALL($R187:$T187,1)&lt;=499,"400-499 мм",IF(SMALL($R187:$T187,1)&lt;=599,"500-599 мм",IF(SMALL($R187:$T187,1)&lt;=699,"600-699 мм",IF(SMALL($R187:$T187,1)&lt;=999,"700-999 мм","1000+ мм")))))))))</f>
        <v/>
      </c>
      <c r="AA187" s="101">
        <f>IF(G187="","",IF(G187="Л","Лист гофрокартона",IF(G187="КД","Крышка-дно",IF(G187="С","Самосборные",IF(G187="Ч","Четырехклапанные",IF(G187="А","Архивные","Неизвестно"))))))</f>
        <v/>
      </c>
      <c r="AB187" s="66" t="n">
        <v>1.73</v>
      </c>
      <c r="AC187" s="101">
        <f>IF(O187="","",IF(O187&lt;=1,"0-1 литров",IF(O187&lt;=3,"2-3 литра",IF(O187&lt;=5,"4-5 литра",IF(O187&lt;=7,"6-7 литра",IF(O187&lt;=9,"8-9 литров",IF(O187&lt;=14,"10-14 литров",IF(O187&lt;=19,"15-19 литров",IF(O187&lt;=29,"20-29 литров",IF(O187&lt;=49,"30-49 литров",IF(O187&lt;=59,"50-59 литров",IF(O187&lt;=70,"60-69 литров",IF(O187&lt;=79,"70-79 литров",IF(O187&lt;=89,"80-89 литров",IF(O187&lt;=99,"90-99 литров",IF(O187&lt;=200,"100-200 литров","200+ литров"))))))))))))))))</f>
        <v/>
      </c>
    </row>
    <row r="188">
      <c r="A188" s="64" t="n">
        <v>1.71</v>
      </c>
      <c r="B188" s="65">
        <f>A188*1.2</f>
        <v/>
      </c>
      <c r="C188" s="109" t="n">
        <v>188</v>
      </c>
      <c r="D188" s="116" t="inlineStr">
        <is>
          <t>У</t>
        </is>
      </c>
      <c r="E188" s="88" t="inlineStr">
        <is>
          <t>500х300х300</t>
        </is>
      </c>
      <c r="G188" s="83" t="inlineStr">
        <is>
          <t>Ч</t>
        </is>
      </c>
      <c r="H188" s="146" t="inlineStr">
        <is>
          <t>х</t>
        </is>
      </c>
      <c r="I188" s="83" t="inlineStr">
        <is>
          <t>В</t>
        </is>
      </c>
      <c r="J188" s="83" t="inlineStr">
        <is>
          <t>х</t>
        </is>
      </c>
      <c r="K188" s="116" t="inlineStr">
        <is>
          <t>K189</t>
        </is>
      </c>
      <c r="N188" s="239">
        <f>IF(D188="","",IF(LEFT(D188,1)="0",0,1))</f>
        <v/>
      </c>
      <c r="O188" s="80">
        <f>ROUND(R188*S188*T188/1000000,2)</f>
        <v/>
      </c>
      <c r="P188" s="160">
        <f>IF(O188="","",
IF(O188&lt;1,"0,1-0,9 литров",
IF(O188&lt;2,"1-1,9 литра",
IF(O188&lt;3,"2-2,9 литра",
IF(O188&lt;4,"3-3,9 литра",
IF(O188&lt;6,"4-5,9 литра",IF(O188&lt;8,"6-7,9 литра",IF(O188&lt;10,"8-9,9 литров",IF(O188&lt;15,"10-14,9 литров",IF(O188&lt;20,"15-19,9 литров",IF(O188&lt;30,"20-29 литров",IF(O188&lt;50,"30-49 литров",IF(O188&lt;60,"50-59 литров",IF(O188&lt;70,"60-69 литров",IF(O188&lt;80,"70-79 литров",IF(O188&lt;90,"80-89 литров",IF(O188&lt;100,"90-99 литров",IF(O188&lt;200,"100-200 литров","200+ литров"))))))))))))))))))</f>
        <v/>
      </c>
      <c r="Q188" s="101">
        <f>IF(O188="","",IF(O188&lt;1,"&lt;1 л",IF(O188&lt;2,"1-2 л",IF(O188&lt;3,"2-3 л",IF(O188&lt;5,"3-5 л",IF(O188&lt;10,"5-10 л",IF(O188&lt;20,"10-20 л",IF(O188&lt;50,"20-50 л",IF(O188&lt;100,"50-100 л","100+ л")))))))))</f>
        <v/>
      </c>
      <c r="R188" s="162">
        <f>IF(E188="","",--LEFT(E188,FIND("х",E188)-1))</f>
        <v/>
      </c>
      <c r="S188" s="162">
        <f>IF(E188="","",--MID(E188,FIND("х",E188)+1,FIND("х",E188,FIND("х",E188)+1)-FIND("х",E188)-1))</f>
        <v/>
      </c>
      <c r="T188" s="162">
        <f>IF(E188="","",--RIGHT(E188,LEN(E188)-FIND("х",E188,FIND("х",E188)+1)))</f>
        <v/>
      </c>
      <c r="U188" s="66">
        <f>(2*(R188+S188)+60)*(S188+T188+8)/1000000</f>
        <v/>
      </c>
      <c r="V188" s="66">
        <f>IF(OR(AND(R188&gt;=2*S188,R188&gt;=2*T188),AND(S188&gt;=2*R188,S188&gt;=2*T188),AND(T188&gt;=2*R188,T188&gt;=2*S188)),"Длинные","")</f>
        <v/>
      </c>
      <c r="W188" s="66">
        <f>IF(OR(AND(R188&lt;=S188/2,R188&lt;=T188/2),AND(S188&lt;=R188/2,S188&lt;=T188/2),AND(T188&lt;=R188/2,T188&lt;=S188/2)),"Плоские","")</f>
        <v/>
      </c>
      <c r="X188" s="160">
        <f>IF(LARGE($R188:$T188,1)="","",IF(LARGE($R188:$T188,1)&lt;=99,"10-99 мм",IF(LARGE($R188:$T188,1)&lt;=199,"100-199 мм",IF(LARGE($R188:$T188,1)&lt;=299,"200-299 мм",IF(LARGE($R188:$T188,1)&lt;=399,"300-399 мм",IF(LARGE($R188:$T188,1)&lt;=499,"400-499 мм",IF(LARGE($R188:$T188,1)&lt;=599,"500-599 мм",IF(LARGE($R188:$T188,1)&lt;=699,"600-699 мм",IF(LARGE($R188:$T188,1)&lt;=999,"700-999 мм","1000+ мм")))))))))</f>
        <v/>
      </c>
      <c r="Y188" s="160">
        <f>IF(LARGE($R188:$T188,2)="","",IF(LARGE($R188:$T188,2)&lt;=99,"10-99 мм",IF(LARGE($R188:$T188,2)&lt;=199,"100-199 мм",IF(LARGE($R188:$T188,2)&lt;=299,"200-299 мм",IF(LARGE($R188:$T188,2)&lt;=399,"300-399 мм",IF(LARGE($R188:$T188,2)&lt;=499,"400-499 мм",IF(LARGE($R188:$T188,2)&lt;=599,"500-599 мм",IF(LARGE($R188:$T188,2)&lt;=699,"600-699 мм",IF(LARGE($R188:$T188,2)&lt;=999,"700-999 мм","1000+ мм")))))))))</f>
        <v/>
      </c>
      <c r="Z188" s="160">
        <f>IF(SMALL($R188:$T188,1)="","",IF(SMALL($R188:$T188,1)&lt;=99,"10-99 мм",IF(SMALL($R188:$T188,1)&lt;=199,"100-199 мм",IF(SMALL($R188:$T188,1)&lt;=299,"200-299 мм",IF(SMALL($R188:$T188,1)&lt;=399,"300-399 мм",IF(SMALL($R188:$T188,1)&lt;=499,"400-499 мм",IF(SMALL($R188:$T188,1)&lt;=599,"500-599 мм",IF(SMALL($R188:$T188,1)&lt;=699,"600-699 мм",IF(SMALL($R188:$T188,1)&lt;=999,"700-999 мм","1000+ мм")))))))))</f>
        <v/>
      </c>
      <c r="AA188" s="101">
        <f>IF(G188="","",IF(G188="Л","Лист гофрокартона",IF(G188="КД","Крышка-дно",IF(G188="С","Самосборные",IF(G188="Ч","Четырехклапанные",IF(G188="А","Архивные","Неизвестно"))))))</f>
        <v/>
      </c>
      <c r="AB188" s="66" t="n">
        <v>1.73</v>
      </c>
      <c r="AC188" s="101">
        <f>IF(O188="","",IF(O188&lt;=1,"0-1 литров",IF(O188&lt;=3,"2-3 литра",IF(O188&lt;=5,"4-5 литра",IF(O188&lt;=7,"6-7 литра",IF(O188&lt;=9,"8-9 литров",IF(O188&lt;=14,"10-14 литров",IF(O188&lt;=19,"15-19 литров",IF(O188&lt;=29,"20-29 литров",IF(O188&lt;=49,"30-49 литров",IF(O188&lt;=59,"50-59 литров",IF(O188&lt;=70,"60-69 литров",IF(O188&lt;=79,"70-79 литров",IF(O188&lt;=89,"80-89 литров",IF(O188&lt;=99,"90-99 литров",IF(O188&lt;=200,"100-200 литров","200+ литров"))))))))))))))))</f>
        <v/>
      </c>
    </row>
    <row r="189">
      <c r="A189" s="64" t="n">
        <v>1.26</v>
      </c>
      <c r="B189" s="65">
        <f>A189*1.2</f>
        <v/>
      </c>
      <c r="C189" s="109" t="n">
        <v>189</v>
      </c>
      <c r="D189" s="116" t="inlineStr">
        <is>
          <t>У</t>
        </is>
      </c>
      <c r="E189" s="88" t="inlineStr">
        <is>
          <t>400х300х200</t>
        </is>
      </c>
      <c r="G189" s="83" t="inlineStr">
        <is>
          <t>Ч</t>
        </is>
      </c>
      <c r="H189" s="146" t="inlineStr">
        <is>
          <t>х</t>
        </is>
      </c>
      <c r="I189" s="83" t="inlineStr">
        <is>
          <t>В</t>
        </is>
      </c>
      <c r="J189" s="83" t="inlineStr">
        <is>
          <t>х</t>
        </is>
      </c>
      <c r="K189" s="116" t="inlineStr">
        <is>
          <t>K190</t>
        </is>
      </c>
      <c r="N189" s="239">
        <f>IF(D189="","",IF(LEFT(D189,1)="0",0,1))</f>
        <v/>
      </c>
      <c r="O189" s="80">
        <f>ROUND(R189*S189*T189/1000000,2)</f>
        <v/>
      </c>
      <c r="P189" s="160">
        <f>IF(O189="","",
IF(O189&lt;1,"0,1-0,9 литров",
IF(O189&lt;2,"1-1,9 литра",
IF(O189&lt;3,"2-2,9 литра",
IF(O189&lt;4,"3-3,9 литра",
IF(O189&lt;6,"4-5,9 литра",IF(O189&lt;8,"6-7,9 литра",IF(O189&lt;10,"8-9,9 литров",IF(O189&lt;15,"10-14,9 литров",IF(O189&lt;20,"15-19,9 литров",IF(O189&lt;30,"20-29 литров",IF(O189&lt;50,"30-49 литров",IF(O189&lt;60,"50-59 литров",IF(O189&lt;70,"60-69 литров",IF(O189&lt;80,"70-79 литров",IF(O189&lt;90,"80-89 литров",IF(O189&lt;100,"90-99 литров",IF(O189&lt;200,"100-200 литров","200+ литров"))))))))))))))))))</f>
        <v/>
      </c>
      <c r="Q189" s="101">
        <f>IF(O189="","",IF(O189&lt;1,"&lt;1 л",IF(O189&lt;2,"1-2 л",IF(O189&lt;3,"2-3 л",IF(O189&lt;5,"3-5 л",IF(O189&lt;10,"5-10 л",IF(O189&lt;20,"10-20 л",IF(O189&lt;50,"20-50 л",IF(O189&lt;100,"50-100 л","100+ л")))))))))</f>
        <v/>
      </c>
      <c r="R189" s="162">
        <f>IF(E189="","",--LEFT(E189,FIND("х",E189)-1))</f>
        <v/>
      </c>
      <c r="S189" s="162">
        <f>IF(E189="","",--MID(E189,FIND("х",E189)+1,FIND("х",E189,FIND("х",E189)+1)-FIND("х",E189)-1))</f>
        <v/>
      </c>
      <c r="T189" s="162">
        <f>IF(E189="","",--RIGHT(E189,LEN(E189)-FIND("х",E189,FIND("х",E189)+1)))</f>
        <v/>
      </c>
      <c r="U189" s="66">
        <f>(2*(R189+S189)+60)*(S189+T189+8)/1000000</f>
        <v/>
      </c>
      <c r="V189" s="66">
        <f>IF(OR(AND(R189&gt;=2*S189,R189&gt;=2*T189),AND(S189&gt;=2*R189,S189&gt;=2*T189),AND(T189&gt;=2*R189,T189&gt;=2*S189)),"Длинные","")</f>
        <v/>
      </c>
      <c r="W189" s="66">
        <f>IF(OR(AND(R189&lt;=S189/2,R189&lt;=T189/2),AND(S189&lt;=R189/2,S189&lt;=T189/2),AND(T189&lt;=R189/2,T189&lt;=S189/2)),"Плоские","")</f>
        <v/>
      </c>
      <c r="X189" s="160">
        <f>IF(LARGE($R189:$T189,1)="","",IF(LARGE($R189:$T189,1)&lt;=99,"10-99 мм",IF(LARGE($R189:$T189,1)&lt;=199,"100-199 мм",IF(LARGE($R189:$T189,1)&lt;=299,"200-299 мм",IF(LARGE($R189:$T189,1)&lt;=399,"300-399 мм",IF(LARGE($R189:$T189,1)&lt;=499,"400-499 мм",IF(LARGE($R189:$T189,1)&lt;=599,"500-599 мм",IF(LARGE($R189:$T189,1)&lt;=699,"600-699 мм",IF(LARGE($R189:$T189,1)&lt;=999,"700-999 мм","1000+ мм")))))))))</f>
        <v/>
      </c>
      <c r="Y189" s="160">
        <f>IF(LARGE($R189:$T189,2)="","",IF(LARGE($R189:$T189,2)&lt;=99,"10-99 мм",IF(LARGE($R189:$T189,2)&lt;=199,"100-199 мм",IF(LARGE($R189:$T189,2)&lt;=299,"200-299 мм",IF(LARGE($R189:$T189,2)&lt;=399,"300-399 мм",IF(LARGE($R189:$T189,2)&lt;=499,"400-499 мм",IF(LARGE($R189:$T189,2)&lt;=599,"500-599 мм",IF(LARGE($R189:$T189,2)&lt;=699,"600-699 мм",IF(LARGE($R189:$T189,2)&lt;=999,"700-999 мм","1000+ мм")))))))))</f>
        <v/>
      </c>
      <c r="Z189" s="160">
        <f>IF(SMALL($R189:$T189,1)="","",IF(SMALL($R189:$T189,1)&lt;=99,"10-99 мм",IF(SMALL($R189:$T189,1)&lt;=199,"100-199 мм",IF(SMALL($R189:$T189,1)&lt;=299,"200-299 мм",IF(SMALL($R189:$T189,1)&lt;=399,"300-399 мм",IF(SMALL($R189:$T189,1)&lt;=499,"400-499 мм",IF(SMALL($R189:$T189,1)&lt;=599,"500-599 мм",IF(SMALL($R189:$T189,1)&lt;=699,"600-699 мм",IF(SMALL($R189:$T189,1)&lt;=999,"700-999 мм","1000+ мм")))))))))</f>
        <v/>
      </c>
      <c r="AA189" s="101">
        <f>IF(G189="","",IF(G189="Л","Лист гофрокартона",IF(G189="КД","Крышка-дно",IF(G189="С","Самосборные",IF(G189="Ч","Четырехклапанные",IF(G189="А","Архивные","Неизвестно"))))))</f>
        <v/>
      </c>
      <c r="AB189" s="66" t="n">
        <v>1.73</v>
      </c>
      <c r="AC189" s="101">
        <f>IF(O189="","",IF(O189&lt;=1,"0-1 литров",IF(O189&lt;=3,"2-3 литра",IF(O189&lt;=5,"4-5 литра",IF(O189&lt;=7,"6-7 литра",IF(O189&lt;=9,"8-9 литров",IF(O189&lt;=14,"10-14 литров",IF(O189&lt;=19,"15-19 литров",IF(O189&lt;=29,"20-29 литров",IF(O189&lt;=49,"30-49 литров",IF(O189&lt;=59,"50-59 литров",IF(O189&lt;=70,"60-69 литров",IF(O189&lt;=79,"70-79 литров",IF(O189&lt;=89,"80-89 литров",IF(O189&lt;=99,"90-99 литров",IF(O189&lt;=200,"100-200 литров","200+ литров"))))))))))))))))</f>
        <v/>
      </c>
    </row>
    <row r="190">
      <c r="A190" s="64" t="n">
        <v>0.31</v>
      </c>
      <c r="B190" s="65">
        <f>A190*1.2</f>
        <v/>
      </c>
      <c r="C190" s="109" t="n">
        <v>190</v>
      </c>
      <c r="D190" s="116" t="inlineStr">
        <is>
          <t>У</t>
        </is>
      </c>
      <c r="E190" s="88" t="inlineStr">
        <is>
          <t>125х125х200</t>
        </is>
      </c>
      <c r="G190" s="83" t="inlineStr">
        <is>
          <t>Ч</t>
        </is>
      </c>
      <c r="H190" s="146" t="inlineStr">
        <is>
          <t>х</t>
        </is>
      </c>
      <c r="I190" s="83" t="inlineStr">
        <is>
          <t>В</t>
        </is>
      </c>
      <c r="J190" s="83" t="inlineStr">
        <is>
          <t>х</t>
        </is>
      </c>
      <c r="K190" s="116" t="inlineStr">
        <is>
          <t>K191</t>
        </is>
      </c>
      <c r="N190" s="239">
        <f>IF(D190="","",IF(LEFT(D190,1)="0",0,1))</f>
        <v/>
      </c>
      <c r="O190" s="80">
        <f>ROUND(R190*S190*T190/1000000,2)</f>
        <v/>
      </c>
      <c r="P190" s="160">
        <f>IF(O190="","",
IF(O190&lt;1,"0,1-0,9 литров",
IF(O190&lt;2,"1-1,9 литра",
IF(O190&lt;3,"2-2,9 литра",
IF(O190&lt;4,"3-3,9 литра",
IF(O190&lt;6,"4-5,9 литра",IF(O190&lt;8,"6-7,9 литра",IF(O190&lt;10,"8-9,9 литров",IF(O190&lt;15,"10-14,9 литров",IF(O190&lt;20,"15-19,9 литров",IF(O190&lt;30,"20-29 литров",IF(O190&lt;50,"30-49 литров",IF(O190&lt;60,"50-59 литров",IF(O190&lt;70,"60-69 литров",IF(O190&lt;80,"70-79 литров",IF(O190&lt;90,"80-89 литров",IF(O190&lt;100,"90-99 литров",IF(O190&lt;200,"100-200 литров","200+ литров"))))))))))))))))))</f>
        <v/>
      </c>
      <c r="Q190" s="101">
        <f>IF(O190="","",IF(O190&lt;1,"&lt;1 л",IF(O190&lt;2,"1-2 л",IF(O190&lt;3,"2-3 л",IF(O190&lt;5,"3-5 л",IF(O190&lt;10,"5-10 л",IF(O190&lt;20,"10-20 л",IF(O190&lt;50,"20-50 л",IF(O190&lt;100,"50-100 л","100+ л")))))))))</f>
        <v/>
      </c>
      <c r="R190" s="162">
        <f>IF(E190="","",--LEFT(E190,FIND("х",E190)-1))</f>
        <v/>
      </c>
      <c r="S190" s="162">
        <f>IF(E190="","",--MID(E190,FIND("х",E190)+1,FIND("х",E190,FIND("х",E190)+1)-FIND("х",E190)-1))</f>
        <v/>
      </c>
      <c r="T190" s="162">
        <f>IF(E190="","",--RIGHT(E190,LEN(E190)-FIND("х",E190,FIND("х",E190)+1)))</f>
        <v/>
      </c>
      <c r="U190" s="66">
        <f>(2*(R190+S190)+60)*(S190+T190+8)/1000000</f>
        <v/>
      </c>
      <c r="V190" s="66">
        <f>IF(OR(AND(R190&gt;=2*S190,R190&gt;=2*T190),AND(S190&gt;=2*R190,S190&gt;=2*T190),AND(T190&gt;=2*R190,T190&gt;=2*S190)),"Длинные","")</f>
        <v/>
      </c>
      <c r="W190" s="66">
        <f>IF(OR(AND(R190&lt;=S190/2,R190&lt;=T190/2),AND(S190&lt;=R190/2,S190&lt;=T190/2),AND(T190&lt;=R190/2,T190&lt;=S190/2)),"Плоские","")</f>
        <v/>
      </c>
      <c r="X190" s="160">
        <f>IF(LARGE($R190:$T190,1)="","",IF(LARGE($R190:$T190,1)&lt;=99,"10-99 мм",IF(LARGE($R190:$T190,1)&lt;=199,"100-199 мм",IF(LARGE($R190:$T190,1)&lt;=299,"200-299 мм",IF(LARGE($R190:$T190,1)&lt;=399,"300-399 мм",IF(LARGE($R190:$T190,1)&lt;=499,"400-499 мм",IF(LARGE($R190:$T190,1)&lt;=599,"500-599 мм",IF(LARGE($R190:$T190,1)&lt;=699,"600-699 мм",IF(LARGE($R190:$T190,1)&lt;=999,"700-999 мм","1000+ мм")))))))))</f>
        <v/>
      </c>
      <c r="Y190" s="160">
        <f>IF(LARGE($R190:$T190,2)="","",IF(LARGE($R190:$T190,2)&lt;=99,"10-99 мм",IF(LARGE($R190:$T190,2)&lt;=199,"100-199 мм",IF(LARGE($R190:$T190,2)&lt;=299,"200-299 мм",IF(LARGE($R190:$T190,2)&lt;=399,"300-399 мм",IF(LARGE($R190:$T190,2)&lt;=499,"400-499 мм",IF(LARGE($R190:$T190,2)&lt;=599,"500-599 мм",IF(LARGE($R190:$T190,2)&lt;=699,"600-699 мм",IF(LARGE($R190:$T190,2)&lt;=999,"700-999 мм","1000+ мм")))))))))</f>
        <v/>
      </c>
      <c r="Z190" s="160">
        <f>IF(SMALL($R190:$T190,1)="","",IF(SMALL($R190:$T190,1)&lt;=99,"10-99 мм",IF(SMALL($R190:$T190,1)&lt;=199,"100-199 мм",IF(SMALL($R190:$T190,1)&lt;=299,"200-299 мм",IF(SMALL($R190:$T190,1)&lt;=399,"300-399 мм",IF(SMALL($R190:$T190,1)&lt;=499,"400-499 мм",IF(SMALL($R190:$T190,1)&lt;=599,"500-599 мм",IF(SMALL($R190:$T190,1)&lt;=699,"600-699 мм",IF(SMALL($R190:$T190,1)&lt;=999,"700-999 мм","1000+ мм")))))))))</f>
        <v/>
      </c>
      <c r="AA190" s="101">
        <f>IF(G190="","",IF(G190="Л","Лист гофрокартона",IF(G190="КД","Крышка-дно",IF(G190="С","Самосборные",IF(G190="Ч","Четырехклапанные",IF(G190="А","Архивные","Неизвестно"))))))</f>
        <v/>
      </c>
      <c r="AB190" s="66" t="n">
        <v>1.73</v>
      </c>
      <c r="AC190" s="101">
        <f>IF(O190="","",IF(O190&lt;=1,"0-1 литров",IF(O190&lt;=3,"2-3 литра",IF(O190&lt;=5,"4-5 литра",IF(O190&lt;=7,"6-7 литра",IF(O190&lt;=9,"8-9 литров",IF(O190&lt;=14,"10-14 литров",IF(O190&lt;=19,"15-19 литров",IF(O190&lt;=29,"20-29 литров",IF(O190&lt;=49,"30-49 литров",IF(O190&lt;=59,"50-59 литров",IF(O190&lt;=70,"60-69 литров",IF(O190&lt;=79,"70-79 литров",IF(O190&lt;=89,"80-89 литров",IF(O190&lt;=99,"90-99 литров",IF(O190&lt;=200,"100-200 литров","200+ литров"))))))))))))))))</f>
        <v/>
      </c>
    </row>
    <row r="191">
      <c r="A191" s="64" t="n">
        <v>0.39</v>
      </c>
      <c r="B191" s="65">
        <f>A191*1.2</f>
        <v/>
      </c>
      <c r="C191" s="109" t="n">
        <v>191</v>
      </c>
      <c r="D191" s="116" t="inlineStr">
        <is>
          <t>У</t>
        </is>
      </c>
      <c r="E191" s="88" t="inlineStr">
        <is>
          <t>150х150х200</t>
        </is>
      </c>
      <c r="G191" s="83" t="inlineStr">
        <is>
          <t>Ч</t>
        </is>
      </c>
      <c r="H191" s="146" t="inlineStr">
        <is>
          <t>х</t>
        </is>
      </c>
      <c r="I191" s="83" t="inlineStr">
        <is>
          <t>В</t>
        </is>
      </c>
      <c r="J191" s="83" t="inlineStr">
        <is>
          <t>х</t>
        </is>
      </c>
      <c r="K191" s="116" t="inlineStr">
        <is>
          <t>K192</t>
        </is>
      </c>
      <c r="N191" s="239">
        <f>IF(D191="","",IF(LEFT(D191,1)="0",0,1))</f>
        <v/>
      </c>
      <c r="O191" s="80">
        <f>ROUND(R191*S191*T191/1000000,2)</f>
        <v/>
      </c>
      <c r="P191" s="160">
        <f>IF(O191="","",
IF(O191&lt;1,"0,1-0,9 литров",
IF(O191&lt;2,"1-1,9 литра",
IF(O191&lt;3,"2-2,9 литра",
IF(O191&lt;4,"3-3,9 литра",
IF(O191&lt;6,"4-5,9 литра",IF(O191&lt;8,"6-7,9 литра",IF(O191&lt;10,"8-9,9 литров",IF(O191&lt;15,"10-14,9 литров",IF(O191&lt;20,"15-19,9 литров",IF(O191&lt;30,"20-29 литров",IF(O191&lt;50,"30-49 литров",IF(O191&lt;60,"50-59 литров",IF(O191&lt;70,"60-69 литров",IF(O191&lt;80,"70-79 литров",IF(O191&lt;90,"80-89 литров",IF(O191&lt;100,"90-99 литров",IF(O191&lt;200,"100-200 литров","200+ литров"))))))))))))))))))</f>
        <v/>
      </c>
      <c r="Q191" s="101">
        <f>IF(O191="","",IF(O191&lt;1,"&lt;1 л",IF(O191&lt;2,"1-2 л",IF(O191&lt;3,"2-3 л",IF(O191&lt;5,"3-5 л",IF(O191&lt;10,"5-10 л",IF(O191&lt;20,"10-20 л",IF(O191&lt;50,"20-50 л",IF(O191&lt;100,"50-100 л","100+ л")))))))))</f>
        <v/>
      </c>
      <c r="R191" s="162">
        <f>IF(E191="","",--LEFT(E191,FIND("х",E191)-1))</f>
        <v/>
      </c>
      <c r="S191" s="162">
        <f>IF(E191="","",--MID(E191,FIND("х",E191)+1,FIND("х",E191,FIND("х",E191)+1)-FIND("х",E191)-1))</f>
        <v/>
      </c>
      <c r="T191" s="162">
        <f>IF(E191="","",--RIGHT(E191,LEN(E191)-FIND("х",E191,FIND("х",E191)+1)))</f>
        <v/>
      </c>
      <c r="U191" s="66">
        <f>(2*(R191+S191)+60)*(S191+T191+8)/1000000</f>
        <v/>
      </c>
      <c r="V191" s="66">
        <f>IF(OR(AND(R191&gt;=2*S191,R191&gt;=2*T191),AND(S191&gt;=2*R191,S191&gt;=2*T191),AND(T191&gt;=2*R191,T191&gt;=2*S191)),"Длинные","")</f>
        <v/>
      </c>
      <c r="W191" s="66">
        <f>IF(OR(AND(R191&lt;=S191/2,R191&lt;=T191/2),AND(S191&lt;=R191/2,S191&lt;=T191/2),AND(T191&lt;=R191/2,T191&lt;=S191/2)),"Плоские","")</f>
        <v/>
      </c>
      <c r="X191" s="160">
        <f>IF(LARGE($R191:$T191,1)="","",IF(LARGE($R191:$T191,1)&lt;=99,"10-99 мм",IF(LARGE($R191:$T191,1)&lt;=199,"100-199 мм",IF(LARGE($R191:$T191,1)&lt;=299,"200-299 мм",IF(LARGE($R191:$T191,1)&lt;=399,"300-399 мм",IF(LARGE($R191:$T191,1)&lt;=499,"400-499 мм",IF(LARGE($R191:$T191,1)&lt;=599,"500-599 мм",IF(LARGE($R191:$T191,1)&lt;=699,"600-699 мм",IF(LARGE($R191:$T191,1)&lt;=999,"700-999 мм","1000+ мм")))))))))</f>
        <v/>
      </c>
      <c r="Y191" s="160">
        <f>IF(LARGE($R191:$T191,2)="","",IF(LARGE($R191:$T191,2)&lt;=99,"10-99 мм",IF(LARGE($R191:$T191,2)&lt;=199,"100-199 мм",IF(LARGE($R191:$T191,2)&lt;=299,"200-299 мм",IF(LARGE($R191:$T191,2)&lt;=399,"300-399 мм",IF(LARGE($R191:$T191,2)&lt;=499,"400-499 мм",IF(LARGE($R191:$T191,2)&lt;=599,"500-599 мм",IF(LARGE($R191:$T191,2)&lt;=699,"600-699 мм",IF(LARGE($R191:$T191,2)&lt;=999,"700-999 мм","1000+ мм")))))))))</f>
        <v/>
      </c>
      <c r="Z191" s="160">
        <f>IF(SMALL($R191:$T191,1)="","",IF(SMALL($R191:$T191,1)&lt;=99,"10-99 мм",IF(SMALL($R191:$T191,1)&lt;=199,"100-199 мм",IF(SMALL($R191:$T191,1)&lt;=299,"200-299 мм",IF(SMALL($R191:$T191,1)&lt;=399,"300-399 мм",IF(SMALL($R191:$T191,1)&lt;=499,"400-499 мм",IF(SMALL($R191:$T191,1)&lt;=599,"500-599 мм",IF(SMALL($R191:$T191,1)&lt;=699,"600-699 мм",IF(SMALL($R191:$T191,1)&lt;=999,"700-999 мм","1000+ мм")))))))))</f>
        <v/>
      </c>
      <c r="AA191" s="101">
        <f>IF(G191="","",IF(G191="Л","Лист гофрокартона",IF(G191="КД","Крышка-дно",IF(G191="С","Самосборные",IF(G191="Ч","Четырехклапанные",IF(G191="А","Архивные","Неизвестно"))))))</f>
        <v/>
      </c>
      <c r="AB191" s="66" t="n">
        <v>1.73</v>
      </c>
      <c r="AC191" s="101">
        <f>IF(O191="","",IF(O191&lt;=1,"0-1 литров",IF(O191&lt;=3,"2-3 литра",IF(O191&lt;=5,"4-5 литра",IF(O191&lt;=7,"6-7 литра",IF(O191&lt;=9,"8-9 литров",IF(O191&lt;=14,"10-14 литров",IF(O191&lt;=19,"15-19 литров",IF(O191&lt;=29,"20-29 литров",IF(O191&lt;=49,"30-49 литров",IF(O191&lt;=59,"50-59 литров",IF(O191&lt;=70,"60-69 литров",IF(O191&lt;=79,"70-79 литров",IF(O191&lt;=89,"80-89 литров",IF(O191&lt;=99,"90-99 литров",IF(O191&lt;=200,"100-200 литров","200+ литров"))))))))))))))))</f>
        <v/>
      </c>
    </row>
    <row r="192">
      <c r="A192" s="64" t="n">
        <v>0.21</v>
      </c>
      <c r="B192" s="65">
        <f>A192*1.2</f>
        <v/>
      </c>
      <c r="C192" s="109" t="n">
        <v>192</v>
      </c>
      <c r="D192" s="116" t="inlineStr">
        <is>
          <t>У</t>
        </is>
      </c>
      <c r="E192" s="88" t="inlineStr">
        <is>
          <t>190х110х70</t>
        </is>
      </c>
      <c r="G192" s="83" t="inlineStr">
        <is>
          <t>Ч</t>
        </is>
      </c>
      <c r="H192" s="146" t="inlineStr">
        <is>
          <t>х</t>
        </is>
      </c>
      <c r="I192" s="83" t="inlineStr">
        <is>
          <t>В</t>
        </is>
      </c>
      <c r="J192" s="83" t="inlineStr">
        <is>
          <t>х</t>
        </is>
      </c>
      <c r="K192" s="116" t="inlineStr">
        <is>
          <t>K193</t>
        </is>
      </c>
      <c r="N192" s="239">
        <f>IF(D192="","",IF(LEFT(D192,1)="0",0,1))</f>
        <v/>
      </c>
      <c r="O192" s="80">
        <f>ROUND(R192*S192*T192/1000000,2)</f>
        <v/>
      </c>
      <c r="P192" s="160">
        <f>IF(O192="","",
IF(O192&lt;1,"0,1-0,9 литров",
IF(O192&lt;2,"1-1,9 литра",
IF(O192&lt;3,"2-2,9 литра",
IF(O192&lt;4,"3-3,9 литра",
IF(O192&lt;6,"4-5,9 литра",IF(O192&lt;8,"6-7,9 литра",IF(O192&lt;10,"8-9,9 литров",IF(O192&lt;15,"10-14,9 литров",IF(O192&lt;20,"15-19,9 литров",IF(O192&lt;30,"20-29 литров",IF(O192&lt;50,"30-49 литров",IF(O192&lt;60,"50-59 литров",IF(O192&lt;70,"60-69 литров",IF(O192&lt;80,"70-79 литров",IF(O192&lt;90,"80-89 литров",IF(O192&lt;100,"90-99 литров",IF(O192&lt;200,"100-200 литров","200+ литров"))))))))))))))))))</f>
        <v/>
      </c>
      <c r="Q192" s="101">
        <f>IF(O192="","",IF(O192&lt;1,"&lt;1 л",IF(O192&lt;2,"1-2 л",IF(O192&lt;3,"2-3 л",IF(O192&lt;5,"3-5 л",IF(O192&lt;10,"5-10 л",IF(O192&lt;20,"10-20 л",IF(O192&lt;50,"20-50 л",IF(O192&lt;100,"50-100 л","100+ л")))))))))</f>
        <v/>
      </c>
      <c r="R192" s="162">
        <f>IF(E192="","",--LEFT(E192,FIND("х",E192)-1))</f>
        <v/>
      </c>
      <c r="S192" s="162">
        <f>IF(E192="","",--MID(E192,FIND("х",E192)+1,FIND("х",E192,FIND("х",E192)+1)-FIND("х",E192)-1))</f>
        <v/>
      </c>
      <c r="T192" s="162">
        <f>IF(E192="","",--RIGHT(E192,LEN(E192)-FIND("х",E192,FIND("х",E192)+1)))</f>
        <v/>
      </c>
      <c r="U192" s="66">
        <f>(2*(R192+S192)+60)*(S192+T192+8)/1000000</f>
        <v/>
      </c>
      <c r="V192" s="66">
        <f>IF(OR(AND(R192&gt;=2*S192,R192&gt;=2*T192),AND(S192&gt;=2*R192,S192&gt;=2*T192),AND(T192&gt;=2*R192,T192&gt;=2*S192)),"Длинные","")</f>
        <v/>
      </c>
      <c r="W192" s="66">
        <f>IF(OR(AND(R192&lt;=S192/2,R192&lt;=T192/2),AND(S192&lt;=R192/2,S192&lt;=T192/2),AND(T192&lt;=R192/2,T192&lt;=S192/2)),"Плоские","")</f>
        <v/>
      </c>
      <c r="X192" s="160">
        <f>IF(LARGE($R192:$T192,1)="","",IF(LARGE($R192:$T192,1)&lt;=99,"10-99 мм",IF(LARGE($R192:$T192,1)&lt;=199,"100-199 мм",IF(LARGE($R192:$T192,1)&lt;=299,"200-299 мм",IF(LARGE($R192:$T192,1)&lt;=399,"300-399 мм",IF(LARGE($R192:$T192,1)&lt;=499,"400-499 мм",IF(LARGE($R192:$T192,1)&lt;=599,"500-599 мм",IF(LARGE($R192:$T192,1)&lt;=699,"600-699 мм",IF(LARGE($R192:$T192,1)&lt;=999,"700-999 мм","1000+ мм")))))))))</f>
        <v/>
      </c>
      <c r="Y192" s="160">
        <f>IF(LARGE($R192:$T192,2)="","",IF(LARGE($R192:$T192,2)&lt;=99,"10-99 мм",IF(LARGE($R192:$T192,2)&lt;=199,"100-199 мм",IF(LARGE($R192:$T192,2)&lt;=299,"200-299 мм",IF(LARGE($R192:$T192,2)&lt;=399,"300-399 мм",IF(LARGE($R192:$T192,2)&lt;=499,"400-499 мм",IF(LARGE($R192:$T192,2)&lt;=599,"500-599 мм",IF(LARGE($R192:$T192,2)&lt;=699,"600-699 мм",IF(LARGE($R192:$T192,2)&lt;=999,"700-999 мм","1000+ мм")))))))))</f>
        <v/>
      </c>
      <c r="Z192" s="160">
        <f>IF(SMALL($R192:$T192,1)="","",IF(SMALL($R192:$T192,1)&lt;=99,"10-99 мм",IF(SMALL($R192:$T192,1)&lt;=199,"100-199 мм",IF(SMALL($R192:$T192,1)&lt;=299,"200-299 мм",IF(SMALL($R192:$T192,1)&lt;=399,"300-399 мм",IF(SMALL($R192:$T192,1)&lt;=499,"400-499 мм",IF(SMALL($R192:$T192,1)&lt;=599,"500-599 мм",IF(SMALL($R192:$T192,1)&lt;=699,"600-699 мм",IF(SMALL($R192:$T192,1)&lt;=999,"700-999 мм","1000+ мм")))))))))</f>
        <v/>
      </c>
      <c r="AA192" s="101">
        <f>IF(G192="","",IF(G192="Л","Лист гофрокартона",IF(G192="КД","Крышка-дно",IF(G192="С","Самосборные",IF(G192="Ч","Четырехклапанные",IF(G192="А","Архивные","Неизвестно"))))))</f>
        <v/>
      </c>
      <c r="AB192" s="66" t="n">
        <v>1.73</v>
      </c>
      <c r="AC192" s="101">
        <f>IF(O192="","",IF(O192&lt;=1,"0-1 литров",IF(O192&lt;=3,"2-3 литра",IF(O192&lt;=5,"4-5 литра",IF(O192&lt;=7,"6-7 литра",IF(O192&lt;=9,"8-9 литров",IF(O192&lt;=14,"10-14 литров",IF(O192&lt;=19,"15-19 литров",IF(O192&lt;=29,"20-29 литров",IF(O192&lt;=49,"30-49 литров",IF(O192&lt;=59,"50-59 литров",IF(O192&lt;=70,"60-69 литров",IF(O192&lt;=79,"70-79 литров",IF(O192&lt;=89,"80-89 литров",IF(O192&lt;=99,"90-99 литров",IF(O192&lt;=200,"100-200 литров","200+ литров"))))))))))))))))</f>
        <v/>
      </c>
    </row>
    <row r="193">
      <c r="A193" s="64" t="n">
        <v>0.26</v>
      </c>
      <c r="B193" s="65">
        <f>A193*1.2</f>
        <v/>
      </c>
      <c r="C193" s="109" t="n">
        <v>193</v>
      </c>
      <c r="D193" s="116" t="inlineStr">
        <is>
          <t>У</t>
        </is>
      </c>
      <c r="E193" s="88" t="inlineStr">
        <is>
          <t>110х50х130</t>
        </is>
      </c>
      <c r="F193" s="213" t="inlineStr">
        <is>
          <t>110х130х50</t>
        </is>
      </c>
      <c r="G193" s="83" t="inlineStr">
        <is>
          <t>С</t>
        </is>
      </c>
      <c r="H193" s="146" t="inlineStr">
        <is>
          <t>х</t>
        </is>
      </c>
      <c r="I193" s="83" t="inlineStr">
        <is>
          <t>В</t>
        </is>
      </c>
      <c r="J193" s="83" t="inlineStr">
        <is>
          <t>х</t>
        </is>
      </c>
      <c r="K193" s="116" t="inlineStr">
        <is>
          <t>K194</t>
        </is>
      </c>
      <c r="L193" s="103" t="inlineStr">
        <is>
          <t>Sale</t>
        </is>
      </c>
      <c r="N193" s="239">
        <f>IF(D193="","",IF(LEFT(D193,1)="0",0,1))</f>
        <v/>
      </c>
      <c r="O193" s="80">
        <f>ROUND(R193*S193*T193/1000000,2)</f>
        <v/>
      </c>
      <c r="P193" s="160">
        <f>IF(O193="","",
IF(O193&lt;1,"0,1-0,9 литров",
IF(O193&lt;2,"1-1,9 литра",
IF(O193&lt;3,"2-2,9 литра",
IF(O193&lt;4,"3-3,9 литра",
IF(O193&lt;6,"4-5,9 литра",IF(O193&lt;8,"6-7,9 литра",IF(O193&lt;10,"8-9,9 литров",IF(O193&lt;15,"10-14,9 литров",IF(O193&lt;20,"15-19,9 литров",IF(O193&lt;30,"20-29 литров",IF(O193&lt;50,"30-49 литров",IF(O193&lt;60,"50-59 литров",IF(O193&lt;70,"60-69 литров",IF(O193&lt;80,"70-79 литров",IF(O193&lt;90,"80-89 литров",IF(O193&lt;100,"90-99 литров",IF(O193&lt;200,"100-200 литров","200+ литров"))))))))))))))))))</f>
        <v/>
      </c>
      <c r="Q193" s="101">
        <f>IF(O193="","",IF(O193&lt;1,"&lt;1 л",IF(O193&lt;2,"1-2 л",IF(O193&lt;3,"2-3 л",IF(O193&lt;5,"3-5 л",IF(O193&lt;10,"5-10 л",IF(O193&lt;20,"10-20 л",IF(O193&lt;50,"20-50 л",IF(O193&lt;100,"50-100 л","100+ л")))))))))</f>
        <v/>
      </c>
      <c r="R193" s="162">
        <f>IF(E193="","",--LEFT(E193,FIND("х",E193)-1))</f>
        <v/>
      </c>
      <c r="S193" s="162">
        <f>IF(E193="","",--MID(E193,FIND("х",E193)+1,FIND("х",E193,FIND("х",E193)+1)-FIND("х",E193)-1))</f>
        <v/>
      </c>
      <c r="T193" s="162">
        <f>IF(E193="","",--RIGHT(E193,LEN(E193)-FIND("х",E193,FIND("х",E193)+1)))</f>
        <v/>
      </c>
      <c r="U193" s="66">
        <f>(2*(R193+S193)+60)*(S193+T193+8)/1000000</f>
        <v/>
      </c>
      <c r="V193" s="66">
        <f>IF(OR(AND(R193&gt;=2*S193,R193&gt;=2*T193),AND(S193&gt;=2*R193,S193&gt;=2*T193),AND(T193&gt;=2*R193,T193&gt;=2*S193)),"Длинные","")</f>
        <v/>
      </c>
      <c r="W193" s="66">
        <f>IF(OR(AND(R193&lt;=S193/2,R193&lt;=T193/2),AND(S193&lt;=R193/2,S193&lt;=T193/2),AND(T193&lt;=R193/2,T193&lt;=S193/2)),"Плоские","")</f>
        <v/>
      </c>
      <c r="X193" s="160">
        <f>IF(LARGE($R193:$T193,1)="","",IF(LARGE($R193:$T193,1)&lt;=99,"10-99 мм",IF(LARGE($R193:$T193,1)&lt;=199,"100-199 мм",IF(LARGE($R193:$T193,1)&lt;=299,"200-299 мм",IF(LARGE($R193:$T193,1)&lt;=399,"300-399 мм",IF(LARGE($R193:$T193,1)&lt;=499,"400-499 мм",IF(LARGE($R193:$T193,1)&lt;=599,"500-599 мм",IF(LARGE($R193:$T193,1)&lt;=699,"600-699 мм",IF(LARGE($R193:$T193,1)&lt;=999,"700-999 мм","1000+ мм")))))))))</f>
        <v/>
      </c>
      <c r="Y193" s="160">
        <f>IF(LARGE($R193:$T193,2)="","",IF(LARGE($R193:$T193,2)&lt;=99,"10-99 мм",IF(LARGE($R193:$T193,2)&lt;=199,"100-199 мм",IF(LARGE($R193:$T193,2)&lt;=299,"200-299 мм",IF(LARGE($R193:$T193,2)&lt;=399,"300-399 мм",IF(LARGE($R193:$T193,2)&lt;=499,"400-499 мм",IF(LARGE($R193:$T193,2)&lt;=599,"500-599 мм",IF(LARGE($R193:$T193,2)&lt;=699,"600-699 мм",IF(LARGE($R193:$T193,2)&lt;=999,"700-999 мм","1000+ мм")))))))))</f>
        <v/>
      </c>
      <c r="Z193" s="160">
        <f>IF(SMALL($R193:$T193,1)="","",IF(SMALL($R193:$T193,1)&lt;=99,"10-99 мм",IF(SMALL($R193:$T193,1)&lt;=199,"100-199 мм",IF(SMALL($R193:$T193,1)&lt;=299,"200-299 мм",IF(SMALL($R193:$T193,1)&lt;=399,"300-399 мм",IF(SMALL($R193:$T193,1)&lt;=499,"400-499 мм",IF(SMALL($R193:$T193,1)&lt;=599,"500-599 мм",IF(SMALL($R193:$T193,1)&lt;=699,"600-699 мм",IF(SMALL($R193:$T193,1)&lt;=999,"700-999 мм","1000+ мм")))))))))</f>
        <v/>
      </c>
      <c r="AA193" s="101">
        <f>IF(G193="","",IF(G193="Л","Лист гофрокартона",IF(G193="КД","Крышка-дно",IF(G193="С","Самосборные",IF(G193="Ч","Четырехклапанные",IF(G193="А","Архивные","Неизвестно"))))))</f>
        <v/>
      </c>
      <c r="AB193" s="66" t="n">
        <v>1.73</v>
      </c>
      <c r="AC193" s="101">
        <f>IF(O193="","",IF(O193&lt;=1,"0-1 литров",IF(O193&lt;=3,"2-3 литра",IF(O193&lt;=5,"4-5 литра",IF(O193&lt;=7,"6-7 литра",IF(O193&lt;=9,"8-9 литров",IF(O193&lt;=14,"10-14 литров",IF(O193&lt;=19,"15-19 литров",IF(O193&lt;=29,"20-29 литров",IF(O193&lt;=49,"30-49 литров",IF(O193&lt;=59,"50-59 литров",IF(O193&lt;=70,"60-69 литров",IF(O193&lt;=79,"70-79 литров",IF(O193&lt;=89,"80-89 литров",IF(O193&lt;=99,"90-99 литров",IF(O193&lt;=200,"100-200 литров","200+ литров"))))))))))))))))</f>
        <v/>
      </c>
    </row>
    <row r="194">
      <c r="A194" s="64" t="n">
        <v>0.34</v>
      </c>
      <c r="B194" s="65">
        <f>A194*1.2</f>
        <v/>
      </c>
      <c r="C194" s="109" t="n">
        <v>194</v>
      </c>
      <c r="D194" s="116" t="inlineStr">
        <is>
          <t>У</t>
        </is>
      </c>
      <c r="E194" s="88" t="inlineStr">
        <is>
          <t>150х150х150</t>
        </is>
      </c>
      <c r="G194" s="83" t="inlineStr">
        <is>
          <t>Ч</t>
        </is>
      </c>
      <c r="H194" s="146" t="inlineStr">
        <is>
          <t>х</t>
        </is>
      </c>
      <c r="I194" s="83" t="inlineStr">
        <is>
          <t>В</t>
        </is>
      </c>
      <c r="J194" s="83" t="inlineStr">
        <is>
          <t>х</t>
        </is>
      </c>
      <c r="K194" s="116" t="inlineStr">
        <is>
          <t>K195</t>
        </is>
      </c>
      <c r="N194" s="239">
        <f>IF(D194="","",IF(LEFT(D194,1)="0",0,1))</f>
        <v/>
      </c>
      <c r="O194" s="80">
        <f>ROUND(R194*S194*T194/1000000,2)</f>
        <v/>
      </c>
      <c r="P194" s="160">
        <f>IF(O194="","",
IF(O194&lt;1,"0,1-0,9 литров",
IF(O194&lt;2,"1-1,9 литра",
IF(O194&lt;3,"2-2,9 литра",
IF(O194&lt;4,"3-3,9 литра",
IF(O194&lt;6,"4-5,9 литра",IF(O194&lt;8,"6-7,9 литра",IF(O194&lt;10,"8-9,9 литров",IF(O194&lt;15,"10-14,9 литров",IF(O194&lt;20,"15-19,9 литров",IF(O194&lt;30,"20-29 литров",IF(O194&lt;50,"30-49 литров",IF(O194&lt;60,"50-59 литров",IF(O194&lt;70,"60-69 литров",IF(O194&lt;80,"70-79 литров",IF(O194&lt;90,"80-89 литров",IF(O194&lt;100,"90-99 литров",IF(O194&lt;200,"100-200 литров","200+ литров"))))))))))))))))))</f>
        <v/>
      </c>
      <c r="Q194" s="101">
        <f>IF(O194="","",IF(O194&lt;1,"&lt;1 л",IF(O194&lt;2,"1-2 л",IF(O194&lt;3,"2-3 л",IF(O194&lt;5,"3-5 л",IF(O194&lt;10,"5-10 л",IF(O194&lt;20,"10-20 л",IF(O194&lt;50,"20-50 л",IF(O194&lt;100,"50-100 л","100+ л")))))))))</f>
        <v/>
      </c>
      <c r="R194" s="162">
        <f>IF(E194="","",--LEFT(E194,FIND("х",E194)-1))</f>
        <v/>
      </c>
      <c r="S194" s="162">
        <f>IF(E194="","",--MID(E194,FIND("х",E194)+1,FIND("х",E194,FIND("х",E194)+1)-FIND("х",E194)-1))</f>
        <v/>
      </c>
      <c r="T194" s="162">
        <f>IF(E194="","",--RIGHT(E194,LEN(E194)-FIND("х",E194,FIND("х",E194)+1)))</f>
        <v/>
      </c>
      <c r="U194" s="66">
        <f>(2*(R194+S194)+60)*(S194+T194+8)/1000000</f>
        <v/>
      </c>
      <c r="V194" s="66">
        <f>IF(OR(AND(R194&gt;=2*S194,R194&gt;=2*T194),AND(S194&gt;=2*R194,S194&gt;=2*T194),AND(T194&gt;=2*R194,T194&gt;=2*S194)),"Длинные","")</f>
        <v/>
      </c>
      <c r="W194" s="66">
        <f>IF(OR(AND(R194&lt;=S194/2,R194&lt;=T194/2),AND(S194&lt;=R194/2,S194&lt;=T194/2),AND(T194&lt;=R194/2,T194&lt;=S194/2)),"Плоские","")</f>
        <v/>
      </c>
      <c r="X194" s="160">
        <f>IF(LARGE($R194:$T194,1)="","",IF(LARGE($R194:$T194,1)&lt;=99,"10-99 мм",IF(LARGE($R194:$T194,1)&lt;=199,"100-199 мм",IF(LARGE($R194:$T194,1)&lt;=299,"200-299 мм",IF(LARGE($R194:$T194,1)&lt;=399,"300-399 мм",IF(LARGE($R194:$T194,1)&lt;=499,"400-499 мм",IF(LARGE($R194:$T194,1)&lt;=599,"500-599 мм",IF(LARGE($R194:$T194,1)&lt;=699,"600-699 мм",IF(LARGE($R194:$T194,1)&lt;=999,"700-999 мм","1000+ мм")))))))))</f>
        <v/>
      </c>
      <c r="Y194" s="160">
        <f>IF(LARGE($R194:$T194,2)="","",IF(LARGE($R194:$T194,2)&lt;=99,"10-99 мм",IF(LARGE($R194:$T194,2)&lt;=199,"100-199 мм",IF(LARGE($R194:$T194,2)&lt;=299,"200-299 мм",IF(LARGE($R194:$T194,2)&lt;=399,"300-399 мм",IF(LARGE($R194:$T194,2)&lt;=499,"400-499 мм",IF(LARGE($R194:$T194,2)&lt;=599,"500-599 мм",IF(LARGE($R194:$T194,2)&lt;=699,"600-699 мм",IF(LARGE($R194:$T194,2)&lt;=999,"700-999 мм","1000+ мм")))))))))</f>
        <v/>
      </c>
      <c r="Z194" s="160">
        <f>IF(SMALL($R194:$T194,1)="","",IF(SMALL($R194:$T194,1)&lt;=99,"10-99 мм",IF(SMALL($R194:$T194,1)&lt;=199,"100-199 мм",IF(SMALL($R194:$T194,1)&lt;=299,"200-299 мм",IF(SMALL($R194:$T194,1)&lt;=399,"300-399 мм",IF(SMALL($R194:$T194,1)&lt;=499,"400-499 мм",IF(SMALL($R194:$T194,1)&lt;=599,"500-599 мм",IF(SMALL($R194:$T194,1)&lt;=699,"600-699 мм",IF(SMALL($R194:$T194,1)&lt;=999,"700-999 мм","1000+ мм")))))))))</f>
        <v/>
      </c>
      <c r="AA194" s="101">
        <f>IF(G194="","",IF(G194="Л","Лист гофрокартона",IF(G194="КД","Крышка-дно",IF(G194="С","Самосборные",IF(G194="Ч","Четырехклапанные",IF(G194="А","Архивные","Неизвестно"))))))</f>
        <v/>
      </c>
      <c r="AB194" s="66" t="n">
        <v>1.73</v>
      </c>
      <c r="AC194" s="101">
        <f>IF(O194="","",IF(O194&lt;=1,"0-1 литров",IF(O194&lt;=3,"2-3 литра",IF(O194&lt;=5,"4-5 литра",IF(O194&lt;=7,"6-7 литра",IF(O194&lt;=9,"8-9 литров",IF(O194&lt;=14,"10-14 литров",IF(O194&lt;=19,"15-19 литров",IF(O194&lt;=29,"20-29 литров",IF(O194&lt;=49,"30-49 литров",IF(O194&lt;=59,"50-59 литров",IF(O194&lt;=70,"60-69 литров",IF(O194&lt;=79,"70-79 литров",IF(O194&lt;=89,"80-89 литров",IF(O194&lt;=99,"90-99 литров",IF(O194&lt;=200,"100-200 литров","200+ литров"))))))))))))))))</f>
        <v/>
      </c>
    </row>
    <row r="195">
      <c r="A195" s="64" t="n">
        <v>0.77</v>
      </c>
      <c r="B195" s="65">
        <f>A195*1.2</f>
        <v/>
      </c>
      <c r="C195" s="109" t="n">
        <v>195</v>
      </c>
      <c r="D195" s="116" t="inlineStr">
        <is>
          <t>У</t>
        </is>
      </c>
      <c r="E195" s="88" t="inlineStr">
        <is>
          <t>1135х100х50</t>
        </is>
      </c>
      <c r="G195" s="83" t="inlineStr">
        <is>
          <t>Ч</t>
        </is>
      </c>
      <c r="H195" s="146" t="inlineStr">
        <is>
          <t>х</t>
        </is>
      </c>
      <c r="I195" s="83" t="inlineStr">
        <is>
          <t>В</t>
        </is>
      </c>
      <c r="J195" s="83" t="inlineStr">
        <is>
          <t>х</t>
        </is>
      </c>
      <c r="K195" s="116" t="inlineStr">
        <is>
          <t>K196</t>
        </is>
      </c>
      <c r="N195" s="239">
        <f>IF(D195="","",IF(LEFT(D195,1)="0",0,1))</f>
        <v/>
      </c>
      <c r="O195" s="80">
        <f>ROUND(R195*S195*T195/1000000,2)</f>
        <v/>
      </c>
      <c r="P195" s="160">
        <f>IF(O195="","",
IF(O195&lt;1,"0,1-0,9 литров",
IF(O195&lt;2,"1-1,9 литра",
IF(O195&lt;3,"2-2,9 литра",
IF(O195&lt;4,"3-3,9 литра",
IF(O195&lt;6,"4-5,9 литра",IF(O195&lt;8,"6-7,9 литра",IF(O195&lt;10,"8-9,9 литров",IF(O195&lt;15,"10-14,9 литров",IF(O195&lt;20,"15-19,9 литров",IF(O195&lt;30,"20-29 литров",IF(O195&lt;50,"30-49 литров",IF(O195&lt;60,"50-59 литров",IF(O195&lt;70,"60-69 литров",IF(O195&lt;80,"70-79 литров",IF(O195&lt;90,"80-89 литров",IF(O195&lt;100,"90-99 литров",IF(O195&lt;200,"100-200 литров","200+ литров"))))))))))))))))))</f>
        <v/>
      </c>
      <c r="Q195" s="101">
        <f>IF(O195="","",IF(O195&lt;1,"&lt;1 л",IF(O195&lt;2,"1-2 л",IF(O195&lt;3,"2-3 л",IF(O195&lt;5,"3-5 л",IF(O195&lt;10,"5-10 л",IF(O195&lt;20,"10-20 л",IF(O195&lt;50,"20-50 л",IF(O195&lt;100,"50-100 л","100+ л")))))))))</f>
        <v/>
      </c>
      <c r="R195" s="162">
        <f>IF(E195="","",--LEFT(E195,FIND("х",E195)-1))</f>
        <v/>
      </c>
      <c r="S195" s="162">
        <f>IF(E195="","",--MID(E195,FIND("х",E195)+1,FIND("х",E195,FIND("х",E195)+1)-FIND("х",E195)-1))</f>
        <v/>
      </c>
      <c r="T195" s="162">
        <f>IF(E195="","",--RIGHT(E195,LEN(E195)-FIND("х",E195,FIND("х",E195)+1)))</f>
        <v/>
      </c>
      <c r="U195" s="66">
        <f>(2*(R195+S195)+60)*(S195+T195+8)/1000000</f>
        <v/>
      </c>
      <c r="V195" s="66">
        <f>IF(OR(AND(R195&gt;=2*S195,R195&gt;=2*T195),AND(S195&gt;=2*R195,S195&gt;=2*T195),AND(T195&gt;=2*R195,T195&gt;=2*S195)),"Длинные","")</f>
        <v/>
      </c>
      <c r="W195" s="66">
        <f>IF(OR(AND(R195&lt;=S195/2,R195&lt;=T195/2),AND(S195&lt;=R195/2,S195&lt;=T195/2),AND(T195&lt;=R195/2,T195&lt;=S195/2)),"Плоские","")</f>
        <v/>
      </c>
      <c r="X195" s="160">
        <f>IF(LARGE($R195:$T195,1)="","",IF(LARGE($R195:$T195,1)&lt;=99,"10-99 мм",IF(LARGE($R195:$T195,1)&lt;=199,"100-199 мм",IF(LARGE($R195:$T195,1)&lt;=299,"200-299 мм",IF(LARGE($R195:$T195,1)&lt;=399,"300-399 мм",IF(LARGE($R195:$T195,1)&lt;=499,"400-499 мм",IF(LARGE($R195:$T195,1)&lt;=599,"500-599 мм",IF(LARGE($R195:$T195,1)&lt;=699,"600-699 мм",IF(LARGE($R195:$T195,1)&lt;=999,"700-999 мм","1000+ мм")))))))))</f>
        <v/>
      </c>
      <c r="Y195" s="160">
        <f>IF(LARGE($R195:$T195,2)="","",IF(LARGE($R195:$T195,2)&lt;=99,"10-99 мм",IF(LARGE($R195:$T195,2)&lt;=199,"100-199 мм",IF(LARGE($R195:$T195,2)&lt;=299,"200-299 мм",IF(LARGE($R195:$T195,2)&lt;=399,"300-399 мм",IF(LARGE($R195:$T195,2)&lt;=499,"400-499 мм",IF(LARGE($R195:$T195,2)&lt;=599,"500-599 мм",IF(LARGE($R195:$T195,2)&lt;=699,"600-699 мм",IF(LARGE($R195:$T195,2)&lt;=999,"700-999 мм","1000+ мм")))))))))</f>
        <v/>
      </c>
      <c r="Z195" s="160">
        <f>IF(SMALL($R195:$T195,1)="","",IF(SMALL($R195:$T195,1)&lt;=99,"10-99 мм",IF(SMALL($R195:$T195,1)&lt;=199,"100-199 мм",IF(SMALL($R195:$T195,1)&lt;=299,"200-299 мм",IF(SMALL($R195:$T195,1)&lt;=399,"300-399 мм",IF(SMALL($R195:$T195,1)&lt;=499,"400-499 мм",IF(SMALL($R195:$T195,1)&lt;=599,"500-599 мм",IF(SMALL($R195:$T195,1)&lt;=699,"600-699 мм",IF(SMALL($R195:$T195,1)&lt;=999,"700-999 мм","1000+ мм")))))))))</f>
        <v/>
      </c>
      <c r="AA195" s="101">
        <f>IF(G195="","",IF(G195="Л","Лист гофрокартона",IF(G195="КД","Крышка-дно",IF(G195="С","Самосборные",IF(G195="Ч","Четырехклапанные",IF(G195="А","Архивные","Неизвестно"))))))</f>
        <v/>
      </c>
      <c r="AB195" s="66" t="n">
        <v>1.73</v>
      </c>
      <c r="AC195" s="101">
        <f>IF(O195="","",IF(O195&lt;=1,"0-1 литров",IF(O195&lt;=3,"2-3 литра",IF(O195&lt;=5,"4-5 литра",IF(O195&lt;=7,"6-7 литра",IF(O195&lt;=9,"8-9 литров",IF(O195&lt;=14,"10-14 литров",IF(O195&lt;=19,"15-19 литров",IF(O195&lt;=29,"20-29 литров",IF(O195&lt;=49,"30-49 литров",IF(O195&lt;=59,"50-59 литров",IF(O195&lt;=70,"60-69 литров",IF(O195&lt;=79,"70-79 литров",IF(O195&lt;=89,"80-89 литров",IF(O195&lt;=99,"90-99 литров",IF(O195&lt;=200,"100-200 литров","200+ литров"))))))))))))))))</f>
        <v/>
      </c>
    </row>
    <row r="196">
      <c r="A196" s="64" t="n">
        <v>0.23</v>
      </c>
      <c r="B196" s="65">
        <f>A196*1.2</f>
        <v/>
      </c>
      <c r="C196" s="109" t="n">
        <v>196</v>
      </c>
      <c r="D196" s="116" t="inlineStr">
        <is>
          <t>У</t>
        </is>
      </c>
      <c r="E196" s="88" t="inlineStr">
        <is>
          <t>125х110х60</t>
        </is>
      </c>
      <c r="G196" s="83" t="inlineStr">
        <is>
          <t>С</t>
        </is>
      </c>
      <c r="H196" s="146" t="inlineStr">
        <is>
          <t>х</t>
        </is>
      </c>
      <c r="I196" s="83" t="inlineStr">
        <is>
          <t>В</t>
        </is>
      </c>
      <c r="J196" s="83" t="inlineStr">
        <is>
          <t>х</t>
        </is>
      </c>
      <c r="K196" s="116" t="inlineStr">
        <is>
          <t>K197</t>
        </is>
      </c>
      <c r="N196" s="239">
        <f>IF(D196="","",IF(LEFT(D196,1)="0",0,1))</f>
        <v/>
      </c>
      <c r="O196" s="80">
        <f>ROUND(R196*S196*T196/1000000,2)</f>
        <v/>
      </c>
      <c r="P196" s="160">
        <f>IF(O196="","",
IF(O196&lt;1,"0,1-0,9 литров",
IF(O196&lt;2,"1-1,9 литра",
IF(O196&lt;3,"2-2,9 литра",
IF(O196&lt;4,"3-3,9 литра",
IF(O196&lt;6,"4-5,9 литра",IF(O196&lt;8,"6-7,9 литра",IF(O196&lt;10,"8-9,9 литров",IF(O196&lt;15,"10-14,9 литров",IF(O196&lt;20,"15-19,9 литров",IF(O196&lt;30,"20-29 литров",IF(O196&lt;50,"30-49 литров",IF(O196&lt;60,"50-59 литров",IF(O196&lt;70,"60-69 литров",IF(O196&lt;80,"70-79 литров",IF(O196&lt;90,"80-89 литров",IF(O196&lt;100,"90-99 литров",IF(O196&lt;200,"100-200 литров","200+ литров"))))))))))))))))))</f>
        <v/>
      </c>
      <c r="Q196" s="101">
        <f>IF(O196="","",IF(O196&lt;1,"&lt;1 л",IF(O196&lt;2,"1-2 л",IF(O196&lt;3,"2-3 л",IF(O196&lt;5,"3-5 л",IF(O196&lt;10,"5-10 л",IF(O196&lt;20,"10-20 л",IF(O196&lt;50,"20-50 л",IF(O196&lt;100,"50-100 л","100+ л")))))))))</f>
        <v/>
      </c>
      <c r="R196" s="162">
        <f>IF(E196="","",--LEFT(E196,FIND("х",E196)-1))</f>
        <v/>
      </c>
      <c r="S196" s="162">
        <f>IF(E196="","",--MID(E196,FIND("х",E196)+1,FIND("х",E196,FIND("х",E196)+1)-FIND("х",E196)-1))</f>
        <v/>
      </c>
      <c r="T196" s="162">
        <f>IF(E196="","",--RIGHT(E196,LEN(E196)-FIND("х",E196,FIND("х",E196)+1)))</f>
        <v/>
      </c>
      <c r="U196" s="66">
        <f>(2*(R196+S196)+60)*(S196+T196+8)/1000000</f>
        <v/>
      </c>
      <c r="V196" s="66">
        <f>IF(OR(AND(R196&gt;=2*S196,R196&gt;=2*T196),AND(S196&gt;=2*R196,S196&gt;=2*T196),AND(T196&gt;=2*R196,T196&gt;=2*S196)),"Длинные","")</f>
        <v/>
      </c>
      <c r="W196" s="66">
        <f>IF(OR(AND(R196&lt;=S196/2,R196&lt;=T196/2),AND(S196&lt;=R196/2,S196&lt;=T196/2),AND(T196&lt;=R196/2,T196&lt;=S196/2)),"Плоские","")</f>
        <v/>
      </c>
      <c r="X196" s="160">
        <f>IF(LARGE($R196:$T196,1)="","",IF(LARGE($R196:$T196,1)&lt;=99,"10-99 мм",IF(LARGE($R196:$T196,1)&lt;=199,"100-199 мм",IF(LARGE($R196:$T196,1)&lt;=299,"200-299 мм",IF(LARGE($R196:$T196,1)&lt;=399,"300-399 мм",IF(LARGE($R196:$T196,1)&lt;=499,"400-499 мм",IF(LARGE($R196:$T196,1)&lt;=599,"500-599 мм",IF(LARGE($R196:$T196,1)&lt;=699,"600-699 мм",IF(LARGE($R196:$T196,1)&lt;=999,"700-999 мм","1000+ мм")))))))))</f>
        <v/>
      </c>
      <c r="Y196" s="160">
        <f>IF(LARGE($R196:$T196,2)="","",IF(LARGE($R196:$T196,2)&lt;=99,"10-99 мм",IF(LARGE($R196:$T196,2)&lt;=199,"100-199 мм",IF(LARGE($R196:$T196,2)&lt;=299,"200-299 мм",IF(LARGE($R196:$T196,2)&lt;=399,"300-399 мм",IF(LARGE($R196:$T196,2)&lt;=499,"400-499 мм",IF(LARGE($R196:$T196,2)&lt;=599,"500-599 мм",IF(LARGE($R196:$T196,2)&lt;=699,"600-699 мм",IF(LARGE($R196:$T196,2)&lt;=999,"700-999 мм","1000+ мм")))))))))</f>
        <v/>
      </c>
      <c r="Z196" s="160">
        <f>IF(SMALL($R196:$T196,1)="","",IF(SMALL($R196:$T196,1)&lt;=99,"10-99 мм",IF(SMALL($R196:$T196,1)&lt;=199,"100-199 мм",IF(SMALL($R196:$T196,1)&lt;=299,"200-299 мм",IF(SMALL($R196:$T196,1)&lt;=399,"300-399 мм",IF(SMALL($R196:$T196,1)&lt;=499,"400-499 мм",IF(SMALL($R196:$T196,1)&lt;=599,"500-599 мм",IF(SMALL($R196:$T196,1)&lt;=699,"600-699 мм",IF(SMALL($R196:$T196,1)&lt;=999,"700-999 мм","1000+ мм")))))))))</f>
        <v/>
      </c>
      <c r="AA196" s="101">
        <f>IF(G196="","",IF(G196="Л","Лист гофрокартона",IF(G196="КД","Крышка-дно",IF(G196="С","Самосборные",IF(G196="Ч","Четырехклапанные",IF(G196="А","Архивные","Неизвестно"))))))</f>
        <v/>
      </c>
      <c r="AB196" s="66" t="n">
        <v>1.73</v>
      </c>
      <c r="AC196" s="101">
        <f>IF(O196="","",IF(O196&lt;=1,"0-1 литров",IF(O196&lt;=3,"2-3 литра",IF(O196&lt;=5,"4-5 литра",IF(O196&lt;=7,"6-7 литра",IF(O196&lt;=9,"8-9 литров",IF(O196&lt;=14,"10-14 литров",IF(O196&lt;=19,"15-19 литров",IF(O196&lt;=29,"20-29 литров",IF(O196&lt;=49,"30-49 литров",IF(O196&lt;=59,"50-59 литров",IF(O196&lt;=70,"60-69 литров",IF(O196&lt;=79,"70-79 литров",IF(O196&lt;=89,"80-89 литров",IF(O196&lt;=99,"90-99 литров",IF(O196&lt;=200,"100-200 литров","200+ литров"))))))))))))))))</f>
        <v/>
      </c>
    </row>
    <row r="197">
      <c r="A197" s="64" t="n">
        <v>0.19</v>
      </c>
      <c r="B197" s="65">
        <f>A197*1.2</f>
        <v/>
      </c>
      <c r="C197" s="109" t="n">
        <v>197</v>
      </c>
      <c r="D197" s="116" t="inlineStr">
        <is>
          <t>У</t>
        </is>
      </c>
      <c r="E197" s="88" t="inlineStr">
        <is>
          <t>120х80х30</t>
        </is>
      </c>
      <c r="G197" s="83" t="inlineStr">
        <is>
          <t>С</t>
        </is>
      </c>
      <c r="H197" s="146" t="inlineStr">
        <is>
          <t>х</t>
        </is>
      </c>
      <c r="I197" s="83" t="inlineStr">
        <is>
          <t>Е</t>
        </is>
      </c>
      <c r="J197" s="83" t="inlineStr">
        <is>
          <t>х</t>
        </is>
      </c>
      <c r="K197" s="116" t="inlineStr">
        <is>
          <t>K198</t>
        </is>
      </c>
      <c r="N197" s="239">
        <f>IF(D197="","",IF(LEFT(D197,1)="0",0,1))</f>
        <v/>
      </c>
      <c r="O197" s="80">
        <f>ROUND(R197*S197*T197/1000000,2)</f>
        <v/>
      </c>
      <c r="P197" s="160">
        <f>IF(O197="","",
IF(O197&lt;1,"0,1-0,9 литров",
IF(O197&lt;2,"1-1,9 литра",
IF(O197&lt;3,"2-2,9 литра",
IF(O197&lt;4,"3-3,9 литра",
IF(O197&lt;6,"4-5,9 литра",IF(O197&lt;8,"6-7,9 литра",IF(O197&lt;10,"8-9,9 литров",IF(O197&lt;15,"10-14,9 литров",IF(O197&lt;20,"15-19,9 литров",IF(O197&lt;30,"20-29 литров",IF(O197&lt;50,"30-49 литров",IF(O197&lt;60,"50-59 литров",IF(O197&lt;70,"60-69 литров",IF(O197&lt;80,"70-79 литров",IF(O197&lt;90,"80-89 литров",IF(O197&lt;100,"90-99 литров",IF(O197&lt;200,"100-200 литров","200+ литров"))))))))))))))))))</f>
        <v/>
      </c>
      <c r="Q197" s="101">
        <f>IF(O197="","",IF(O197&lt;1,"&lt;1 л",IF(O197&lt;2,"1-2 л",IF(O197&lt;3,"2-3 л",IF(O197&lt;5,"3-5 л",IF(O197&lt;10,"5-10 л",IF(O197&lt;20,"10-20 л",IF(O197&lt;50,"20-50 л",IF(O197&lt;100,"50-100 л","100+ л")))))))))</f>
        <v/>
      </c>
      <c r="R197" s="162">
        <f>IF(E197="","",--LEFT(E197,FIND("х",E197)-1))</f>
        <v/>
      </c>
      <c r="S197" s="162">
        <f>IF(E197="","",--MID(E197,FIND("х",E197)+1,FIND("х",E197,FIND("х",E197)+1)-FIND("х",E197)-1))</f>
        <v/>
      </c>
      <c r="T197" s="162">
        <f>IF(E197="","",--RIGHT(E197,LEN(E197)-FIND("х",E197,FIND("х",E197)+1)))</f>
        <v/>
      </c>
      <c r="U197" s="66">
        <f>(2*(R197+S197)+60)*(S197+T197+8)/1000000</f>
        <v/>
      </c>
      <c r="V197" s="66">
        <f>IF(OR(AND(R197&gt;=2*S197,R197&gt;=2*T197),AND(S197&gt;=2*R197,S197&gt;=2*T197),AND(T197&gt;=2*R197,T197&gt;=2*S197)),"Длинные","")</f>
        <v/>
      </c>
      <c r="W197" s="66">
        <f>IF(OR(AND(R197&lt;=S197/2,R197&lt;=T197/2),AND(S197&lt;=R197/2,S197&lt;=T197/2),AND(T197&lt;=R197/2,T197&lt;=S197/2)),"Плоские","")</f>
        <v/>
      </c>
      <c r="X197" s="160">
        <f>IF(LARGE($R197:$T197,1)="","",IF(LARGE($R197:$T197,1)&lt;=99,"10-99 мм",IF(LARGE($R197:$T197,1)&lt;=199,"100-199 мм",IF(LARGE($R197:$T197,1)&lt;=299,"200-299 мм",IF(LARGE($R197:$T197,1)&lt;=399,"300-399 мм",IF(LARGE($R197:$T197,1)&lt;=499,"400-499 мм",IF(LARGE($R197:$T197,1)&lt;=599,"500-599 мм",IF(LARGE($R197:$T197,1)&lt;=699,"600-699 мм",IF(LARGE($R197:$T197,1)&lt;=999,"700-999 мм","1000+ мм")))))))))</f>
        <v/>
      </c>
      <c r="Y197" s="160">
        <f>IF(LARGE($R197:$T197,2)="","",IF(LARGE($R197:$T197,2)&lt;=99,"10-99 мм",IF(LARGE($R197:$T197,2)&lt;=199,"100-199 мм",IF(LARGE($R197:$T197,2)&lt;=299,"200-299 мм",IF(LARGE($R197:$T197,2)&lt;=399,"300-399 мм",IF(LARGE($R197:$T197,2)&lt;=499,"400-499 мм",IF(LARGE($R197:$T197,2)&lt;=599,"500-599 мм",IF(LARGE($R197:$T197,2)&lt;=699,"600-699 мм",IF(LARGE($R197:$T197,2)&lt;=999,"700-999 мм","1000+ мм")))))))))</f>
        <v/>
      </c>
      <c r="Z197" s="160">
        <f>IF(SMALL($R197:$T197,1)="","",IF(SMALL($R197:$T197,1)&lt;=99,"10-99 мм",IF(SMALL($R197:$T197,1)&lt;=199,"100-199 мм",IF(SMALL($R197:$T197,1)&lt;=299,"200-299 мм",IF(SMALL($R197:$T197,1)&lt;=399,"300-399 мм",IF(SMALL($R197:$T197,1)&lt;=499,"400-499 мм",IF(SMALL($R197:$T197,1)&lt;=599,"500-599 мм",IF(SMALL($R197:$T197,1)&lt;=699,"600-699 мм",IF(SMALL($R197:$T197,1)&lt;=999,"700-999 мм","1000+ мм")))))))))</f>
        <v/>
      </c>
      <c r="AA197" s="101">
        <f>IF(G197="","",IF(G197="Л","Лист гофрокартона",IF(G197="КД","Крышка-дно",IF(G197="С","Самосборные",IF(G197="Ч","Четырехклапанные",IF(G197="А","Архивные","Неизвестно"))))))</f>
        <v/>
      </c>
      <c r="AB197" s="66" t="n">
        <v>1.73</v>
      </c>
      <c r="AC197" s="101">
        <f>IF(O197="","",IF(O197&lt;=1,"0-1 литров",IF(O197&lt;=3,"2-3 литра",IF(O197&lt;=5,"4-5 литра",IF(O197&lt;=7,"6-7 литра",IF(O197&lt;=9,"8-9 литров",IF(O197&lt;=14,"10-14 литров",IF(O197&lt;=19,"15-19 литров",IF(O197&lt;=29,"20-29 литров",IF(O197&lt;=49,"30-49 литров",IF(O197&lt;=59,"50-59 литров",IF(O197&lt;=70,"60-69 литров",IF(O197&lt;=79,"70-79 литров",IF(O197&lt;=89,"80-89 литров",IF(O197&lt;=99,"90-99 литров",IF(O197&lt;=200,"100-200 литров","200+ литров"))))))))))))))))</f>
        <v/>
      </c>
    </row>
    <row r="198">
      <c r="A198" s="64" t="n">
        <v>0.09</v>
      </c>
      <c r="B198" s="65">
        <f>A198*1.2</f>
        <v/>
      </c>
      <c r="C198" s="109" t="n">
        <v>198</v>
      </c>
      <c r="D198" s="116" t="inlineStr">
        <is>
          <t>У</t>
        </is>
      </c>
      <c r="E198" s="88" t="inlineStr">
        <is>
          <t>130х70х40</t>
        </is>
      </c>
      <c r="G198" s="83" t="inlineStr">
        <is>
          <t>Ч</t>
        </is>
      </c>
      <c r="H198" s="146" t="inlineStr">
        <is>
          <t>х</t>
        </is>
      </c>
      <c r="I198" s="83" t="inlineStr">
        <is>
          <t>В</t>
        </is>
      </c>
      <c r="J198" s="83" t="inlineStr">
        <is>
          <t>х</t>
        </is>
      </c>
      <c r="K198" s="116" t="inlineStr">
        <is>
          <t>K199</t>
        </is>
      </c>
      <c r="N198" s="239">
        <f>IF(D198="","",IF(LEFT(D198,1)="0",0,1))</f>
        <v/>
      </c>
      <c r="O198" s="80">
        <f>ROUND(R198*S198*T198/1000000,2)</f>
        <v/>
      </c>
      <c r="P198" s="160">
        <f>IF(O198="","",
IF(O198&lt;1,"0,1-0,9 литров",
IF(O198&lt;2,"1-1,9 литра",
IF(O198&lt;3,"2-2,9 литра",
IF(O198&lt;4,"3-3,9 литра",
IF(O198&lt;6,"4-5,9 литра",IF(O198&lt;8,"6-7,9 литра",IF(O198&lt;10,"8-9,9 литров",IF(O198&lt;15,"10-14,9 литров",IF(O198&lt;20,"15-19,9 литров",IF(O198&lt;30,"20-29 литров",IF(O198&lt;50,"30-49 литров",IF(O198&lt;60,"50-59 литров",IF(O198&lt;70,"60-69 литров",IF(O198&lt;80,"70-79 литров",IF(O198&lt;90,"80-89 литров",IF(O198&lt;100,"90-99 литров",IF(O198&lt;200,"100-200 литров","200+ литров"))))))))))))))))))</f>
        <v/>
      </c>
      <c r="Q198" s="101">
        <f>IF(O198="","",IF(O198&lt;1,"&lt;1 л",IF(O198&lt;2,"1-2 л",IF(O198&lt;3,"2-3 л",IF(O198&lt;5,"3-5 л",IF(O198&lt;10,"5-10 л",IF(O198&lt;20,"10-20 л",IF(O198&lt;50,"20-50 л",IF(O198&lt;100,"50-100 л","100+ л")))))))))</f>
        <v/>
      </c>
      <c r="R198" s="162">
        <f>IF(E198="","",--LEFT(E198,FIND("х",E198)-1))</f>
        <v/>
      </c>
      <c r="S198" s="162">
        <f>IF(E198="","",--MID(E198,FIND("х",E198)+1,FIND("х",E198,FIND("х",E198)+1)-FIND("х",E198)-1))</f>
        <v/>
      </c>
      <c r="T198" s="162">
        <f>IF(E198="","",--RIGHT(E198,LEN(E198)-FIND("х",E198,FIND("х",E198)+1)))</f>
        <v/>
      </c>
      <c r="U198" s="66">
        <f>(2*(R198+S198)+60)*(S198+T198+8)/1000000</f>
        <v/>
      </c>
      <c r="V198" s="66">
        <f>IF(OR(AND(R198&gt;=2*S198,R198&gt;=2*T198),AND(S198&gt;=2*R198,S198&gt;=2*T198),AND(T198&gt;=2*R198,T198&gt;=2*S198)),"Длинные","")</f>
        <v/>
      </c>
      <c r="W198" s="66">
        <f>IF(OR(AND(R198&lt;=S198/2,R198&lt;=T198/2),AND(S198&lt;=R198/2,S198&lt;=T198/2),AND(T198&lt;=R198/2,T198&lt;=S198/2)),"Плоские","")</f>
        <v/>
      </c>
      <c r="X198" s="160">
        <f>IF(LARGE($R198:$T198,1)="","",IF(LARGE($R198:$T198,1)&lt;=99,"10-99 мм",IF(LARGE($R198:$T198,1)&lt;=199,"100-199 мм",IF(LARGE($R198:$T198,1)&lt;=299,"200-299 мм",IF(LARGE($R198:$T198,1)&lt;=399,"300-399 мм",IF(LARGE($R198:$T198,1)&lt;=499,"400-499 мм",IF(LARGE($R198:$T198,1)&lt;=599,"500-599 мм",IF(LARGE($R198:$T198,1)&lt;=699,"600-699 мм",IF(LARGE($R198:$T198,1)&lt;=999,"700-999 мм","1000+ мм")))))))))</f>
        <v/>
      </c>
      <c r="Y198" s="160">
        <f>IF(LARGE($R198:$T198,2)="","",IF(LARGE($R198:$T198,2)&lt;=99,"10-99 мм",IF(LARGE($R198:$T198,2)&lt;=199,"100-199 мм",IF(LARGE($R198:$T198,2)&lt;=299,"200-299 мм",IF(LARGE($R198:$T198,2)&lt;=399,"300-399 мм",IF(LARGE($R198:$T198,2)&lt;=499,"400-499 мм",IF(LARGE($R198:$T198,2)&lt;=599,"500-599 мм",IF(LARGE($R198:$T198,2)&lt;=699,"600-699 мм",IF(LARGE($R198:$T198,2)&lt;=999,"700-999 мм","1000+ мм")))))))))</f>
        <v/>
      </c>
      <c r="Z198" s="160">
        <f>IF(SMALL($R198:$T198,1)="","",IF(SMALL($R198:$T198,1)&lt;=99,"10-99 мм",IF(SMALL($R198:$T198,1)&lt;=199,"100-199 мм",IF(SMALL($R198:$T198,1)&lt;=299,"200-299 мм",IF(SMALL($R198:$T198,1)&lt;=399,"300-399 мм",IF(SMALL($R198:$T198,1)&lt;=499,"400-499 мм",IF(SMALL($R198:$T198,1)&lt;=599,"500-599 мм",IF(SMALL($R198:$T198,1)&lt;=699,"600-699 мм",IF(SMALL($R198:$T198,1)&lt;=999,"700-999 мм","1000+ мм")))))))))</f>
        <v/>
      </c>
      <c r="AA198" s="101">
        <f>IF(G198="","",IF(G198="Л","Лист гофрокартона",IF(G198="КД","Крышка-дно",IF(G198="С","Самосборные",IF(G198="Ч","Четырехклапанные",IF(G198="А","Архивные","Неизвестно"))))))</f>
        <v/>
      </c>
      <c r="AB198" s="66" t="n">
        <v>1.73</v>
      </c>
      <c r="AC198" s="101">
        <f>IF(O198="","",IF(O198&lt;=1,"0-1 литров",IF(O198&lt;=3,"2-3 литра",IF(O198&lt;=5,"4-5 литра",IF(O198&lt;=7,"6-7 литра",IF(O198&lt;=9,"8-9 литров",IF(O198&lt;=14,"10-14 литров",IF(O198&lt;=19,"15-19 литров",IF(O198&lt;=29,"20-29 литров",IF(O198&lt;=49,"30-49 литров",IF(O198&lt;=59,"50-59 литров",IF(O198&lt;=70,"60-69 литров",IF(O198&lt;=79,"70-79 литров",IF(O198&lt;=89,"80-89 литров",IF(O198&lt;=99,"90-99 литров",IF(O198&lt;=200,"100-200 литров","200+ литров"))))))))))))))))</f>
        <v/>
      </c>
    </row>
    <row r="199">
      <c r="A199" s="64" t="n">
        <v>0.5600000000000001</v>
      </c>
      <c r="B199" s="65">
        <f>A199*1.2</f>
        <v/>
      </c>
      <c r="C199" s="109" t="n">
        <v>199</v>
      </c>
      <c r="D199" s="116" t="inlineStr">
        <is>
          <t>У</t>
        </is>
      </c>
      <c r="E199" s="88" t="inlineStr">
        <is>
          <t>240х240х80</t>
        </is>
      </c>
      <c r="G199" s="83" t="inlineStr">
        <is>
          <t>Ч</t>
        </is>
      </c>
      <c r="H199" s="146" t="inlineStr">
        <is>
          <t>х</t>
        </is>
      </c>
      <c r="I199" s="83" t="inlineStr">
        <is>
          <t>В</t>
        </is>
      </c>
      <c r="J199" s="83" t="inlineStr">
        <is>
          <t>х</t>
        </is>
      </c>
      <c r="K199" s="116" t="inlineStr">
        <is>
          <t>K200</t>
        </is>
      </c>
      <c r="N199" s="239">
        <f>IF(D199="","",IF(LEFT(D199,1)="0",0,1))</f>
        <v/>
      </c>
      <c r="O199" s="80">
        <f>ROUND(R199*S199*T199/1000000,2)</f>
        <v/>
      </c>
      <c r="P199" s="160">
        <f>IF(O199="","",
IF(O199&lt;1,"0,1-0,9 литров",
IF(O199&lt;2,"1-1,9 литра",
IF(O199&lt;3,"2-2,9 литра",
IF(O199&lt;4,"3-3,9 литра",
IF(O199&lt;6,"4-5,9 литра",IF(O199&lt;8,"6-7,9 литра",IF(O199&lt;10,"8-9,9 литров",IF(O199&lt;15,"10-14,9 литров",IF(O199&lt;20,"15-19,9 литров",IF(O199&lt;30,"20-29 литров",IF(O199&lt;50,"30-49 литров",IF(O199&lt;60,"50-59 литров",IF(O199&lt;70,"60-69 литров",IF(O199&lt;80,"70-79 литров",IF(O199&lt;90,"80-89 литров",IF(O199&lt;100,"90-99 литров",IF(O199&lt;200,"100-200 литров","200+ литров"))))))))))))))))))</f>
        <v/>
      </c>
      <c r="Q199" s="101">
        <f>IF(O199="","",IF(O199&lt;1,"&lt;1 л",IF(O199&lt;2,"1-2 л",IF(O199&lt;3,"2-3 л",IF(O199&lt;5,"3-5 л",IF(O199&lt;10,"5-10 л",IF(O199&lt;20,"10-20 л",IF(O199&lt;50,"20-50 л",IF(O199&lt;100,"50-100 л","100+ л")))))))))</f>
        <v/>
      </c>
      <c r="R199" s="162">
        <f>IF(E199="","",--LEFT(E199,FIND("х",E199)-1))</f>
        <v/>
      </c>
      <c r="S199" s="162">
        <f>IF(E199="","",--MID(E199,FIND("х",E199)+1,FIND("х",E199,FIND("х",E199)+1)-FIND("х",E199)-1))</f>
        <v/>
      </c>
      <c r="T199" s="162">
        <f>IF(E199="","",--RIGHT(E199,LEN(E199)-FIND("х",E199,FIND("х",E199)+1)))</f>
        <v/>
      </c>
      <c r="U199" s="66">
        <f>(2*(R199+S199)+60)*(S199+T199+8)/1000000</f>
        <v/>
      </c>
      <c r="V199" s="66">
        <f>IF(OR(AND(R199&gt;=2*S199,R199&gt;=2*T199),AND(S199&gt;=2*R199,S199&gt;=2*T199),AND(T199&gt;=2*R199,T199&gt;=2*S199)),"Длинные","")</f>
        <v/>
      </c>
      <c r="W199" s="66">
        <f>IF(OR(AND(R199&lt;=S199/2,R199&lt;=T199/2),AND(S199&lt;=R199/2,S199&lt;=T199/2),AND(T199&lt;=R199/2,T199&lt;=S199/2)),"Плоские","")</f>
        <v/>
      </c>
      <c r="X199" s="160">
        <f>IF(LARGE($R199:$T199,1)="","",IF(LARGE($R199:$T199,1)&lt;=99,"10-99 мм",IF(LARGE($R199:$T199,1)&lt;=199,"100-199 мм",IF(LARGE($R199:$T199,1)&lt;=299,"200-299 мм",IF(LARGE($R199:$T199,1)&lt;=399,"300-399 мм",IF(LARGE($R199:$T199,1)&lt;=499,"400-499 мм",IF(LARGE($R199:$T199,1)&lt;=599,"500-599 мм",IF(LARGE($R199:$T199,1)&lt;=699,"600-699 мм",IF(LARGE($R199:$T199,1)&lt;=999,"700-999 мм","1000+ мм")))))))))</f>
        <v/>
      </c>
      <c r="Y199" s="160">
        <f>IF(LARGE($R199:$T199,2)="","",IF(LARGE($R199:$T199,2)&lt;=99,"10-99 мм",IF(LARGE($R199:$T199,2)&lt;=199,"100-199 мм",IF(LARGE($R199:$T199,2)&lt;=299,"200-299 мм",IF(LARGE($R199:$T199,2)&lt;=399,"300-399 мм",IF(LARGE($R199:$T199,2)&lt;=499,"400-499 мм",IF(LARGE($R199:$T199,2)&lt;=599,"500-599 мм",IF(LARGE($R199:$T199,2)&lt;=699,"600-699 мм",IF(LARGE($R199:$T199,2)&lt;=999,"700-999 мм","1000+ мм")))))))))</f>
        <v/>
      </c>
      <c r="Z199" s="160">
        <f>IF(SMALL($R199:$T199,1)="","",IF(SMALL($R199:$T199,1)&lt;=99,"10-99 мм",IF(SMALL($R199:$T199,1)&lt;=199,"100-199 мм",IF(SMALL($R199:$T199,1)&lt;=299,"200-299 мм",IF(SMALL($R199:$T199,1)&lt;=399,"300-399 мм",IF(SMALL($R199:$T199,1)&lt;=499,"400-499 мм",IF(SMALL($R199:$T199,1)&lt;=599,"500-599 мм",IF(SMALL($R199:$T199,1)&lt;=699,"600-699 мм",IF(SMALL($R199:$T199,1)&lt;=999,"700-999 мм","1000+ мм")))))))))</f>
        <v/>
      </c>
      <c r="AA199" s="101">
        <f>IF(G199="","",IF(G199="Л","Лист гофрокартона",IF(G199="КД","Крышка-дно",IF(G199="С","Самосборные",IF(G199="Ч","Четырехклапанные",IF(G199="А","Архивные","Неизвестно"))))))</f>
        <v/>
      </c>
      <c r="AB199" s="66" t="n">
        <v>1.73</v>
      </c>
      <c r="AC199" s="101">
        <f>IF(O199="","",IF(O199&lt;=1,"0-1 литров",IF(O199&lt;=3,"2-3 литра",IF(O199&lt;=5,"4-5 литра",IF(O199&lt;=7,"6-7 литра",IF(O199&lt;=9,"8-9 литров",IF(O199&lt;=14,"10-14 литров",IF(O199&lt;=19,"15-19 литров",IF(O199&lt;=29,"20-29 литров",IF(O199&lt;=49,"30-49 литров",IF(O199&lt;=59,"50-59 литров",IF(O199&lt;=70,"60-69 литров",IF(O199&lt;=79,"70-79 литров",IF(O199&lt;=89,"80-89 литров",IF(O199&lt;=99,"90-99 литров",IF(O199&lt;=200,"100-200 литров","200+ литров"))))))))))))))))</f>
        <v/>
      </c>
    </row>
    <row r="200">
      <c r="A200" s="64" t="n">
        <v>0.21</v>
      </c>
      <c r="B200" s="65">
        <f>A200*1.2</f>
        <v/>
      </c>
      <c r="C200" s="109" t="n">
        <v>200</v>
      </c>
      <c r="D200" s="116" t="inlineStr">
        <is>
          <t>У</t>
        </is>
      </c>
      <c r="E200" s="88" t="inlineStr">
        <is>
          <t>185х125х20</t>
        </is>
      </c>
      <c r="G200" s="83" t="inlineStr">
        <is>
          <t>С</t>
        </is>
      </c>
      <c r="H200" s="146" t="inlineStr">
        <is>
          <t>0427</t>
        </is>
      </c>
      <c r="I200" s="83" t="inlineStr">
        <is>
          <t>Е</t>
        </is>
      </c>
      <c r="J200" s="83" t="inlineStr">
        <is>
          <t>У</t>
        </is>
      </c>
      <c r="K200" s="116" t="inlineStr">
        <is>
          <t>K201</t>
        </is>
      </c>
      <c r="N200" s="239">
        <f>IF(D200="","",IF(LEFT(D200,1)="0",0,1))</f>
        <v/>
      </c>
      <c r="O200" s="80">
        <f>ROUND(R200*S200*T200/1000000,2)</f>
        <v/>
      </c>
      <c r="P200" s="160">
        <f>IF(O200="","",
IF(O200&lt;1,"0,1-0,9 литров",
IF(O200&lt;2,"1-1,9 литра",
IF(O200&lt;3,"2-2,9 литра",
IF(O200&lt;4,"3-3,9 литра",
IF(O200&lt;6,"4-5,9 литра",IF(O200&lt;8,"6-7,9 литра",IF(O200&lt;10,"8-9,9 литров",IF(O200&lt;15,"10-14,9 литров",IF(O200&lt;20,"15-19,9 литров",IF(O200&lt;30,"20-29 литров",IF(O200&lt;50,"30-49 литров",IF(O200&lt;60,"50-59 литров",IF(O200&lt;70,"60-69 литров",IF(O200&lt;80,"70-79 литров",IF(O200&lt;90,"80-89 литров",IF(O200&lt;100,"90-99 литров",IF(O200&lt;200,"100-200 литров","200+ литров"))))))))))))))))))</f>
        <v/>
      </c>
      <c r="Q200" s="101">
        <f>IF(O200="","",IF(O200&lt;1,"&lt;1 л",IF(O200&lt;2,"1-2 л",IF(O200&lt;3,"2-3 л",IF(O200&lt;5,"3-5 л",IF(O200&lt;10,"5-10 л",IF(O200&lt;20,"10-20 л",IF(O200&lt;50,"20-50 л",IF(O200&lt;100,"50-100 л","100+ л")))))))))</f>
        <v/>
      </c>
      <c r="R200" s="162">
        <f>IF(E200="","",--LEFT(E200,FIND("х",E200)-1))</f>
        <v/>
      </c>
      <c r="S200" s="162">
        <f>IF(E200="","",--MID(E200,FIND("х",E200)+1,FIND("х",E200,FIND("х",E200)+1)-FIND("х",E200)-1))</f>
        <v/>
      </c>
      <c r="T200" s="162">
        <f>IF(E200="","",--RIGHT(E200,LEN(E200)-FIND("х",E200,FIND("х",E200)+1)))</f>
        <v/>
      </c>
      <c r="U200" s="66">
        <f>(2*(R200+S200)+60)*(S200+T200+8)/1000000</f>
        <v/>
      </c>
      <c r="V200" s="66">
        <f>IF(OR(AND(R200&gt;=2*S200,R200&gt;=2*T200),AND(S200&gt;=2*R200,S200&gt;=2*T200),AND(T200&gt;=2*R200,T200&gt;=2*S200)),"Длинные","")</f>
        <v/>
      </c>
      <c r="W200" s="66">
        <f>IF(OR(AND(R200&lt;=S200/2,R200&lt;=T200/2),AND(S200&lt;=R200/2,S200&lt;=T200/2),AND(T200&lt;=R200/2,T200&lt;=S200/2)),"Плоские","")</f>
        <v/>
      </c>
      <c r="X200" s="160">
        <f>IF(LARGE($R200:$T200,1)="","",IF(LARGE($R200:$T200,1)&lt;=99,"10-99 мм",IF(LARGE($R200:$T200,1)&lt;=199,"100-199 мм",IF(LARGE($R200:$T200,1)&lt;=299,"200-299 мм",IF(LARGE($R200:$T200,1)&lt;=399,"300-399 мм",IF(LARGE($R200:$T200,1)&lt;=499,"400-499 мм",IF(LARGE($R200:$T200,1)&lt;=599,"500-599 мм",IF(LARGE($R200:$T200,1)&lt;=699,"600-699 мм",IF(LARGE($R200:$T200,1)&lt;=999,"700-999 мм","1000+ мм")))))))))</f>
        <v/>
      </c>
      <c r="Y200" s="160">
        <f>IF(LARGE($R200:$T200,2)="","",IF(LARGE($R200:$T200,2)&lt;=99,"10-99 мм",IF(LARGE($R200:$T200,2)&lt;=199,"100-199 мм",IF(LARGE($R200:$T200,2)&lt;=299,"200-299 мм",IF(LARGE($R200:$T200,2)&lt;=399,"300-399 мм",IF(LARGE($R200:$T200,2)&lt;=499,"400-499 мм",IF(LARGE($R200:$T200,2)&lt;=599,"500-599 мм",IF(LARGE($R200:$T200,2)&lt;=699,"600-699 мм",IF(LARGE($R200:$T200,2)&lt;=999,"700-999 мм","1000+ мм")))))))))</f>
        <v/>
      </c>
      <c r="Z200" s="160">
        <f>IF(SMALL($R200:$T200,1)="","",IF(SMALL($R200:$T200,1)&lt;=99,"10-99 мм",IF(SMALL($R200:$T200,1)&lt;=199,"100-199 мм",IF(SMALL($R200:$T200,1)&lt;=299,"200-299 мм",IF(SMALL($R200:$T200,1)&lt;=399,"300-399 мм",IF(SMALL($R200:$T200,1)&lt;=499,"400-499 мм",IF(SMALL($R200:$T200,1)&lt;=599,"500-599 мм",IF(SMALL($R200:$T200,1)&lt;=699,"600-699 мм",IF(SMALL($R200:$T200,1)&lt;=999,"700-999 мм","1000+ мм")))))))))</f>
        <v/>
      </c>
      <c r="AA200" s="101">
        <f>IF(G200="","",IF(G200="Л","Лист гофрокартона",IF(G200="КД","Крышка-дно",IF(G200="С","Самосборные",IF(G200="Ч","Четырехклапанные",IF(G200="А","Архивные","Неизвестно"))))))</f>
        <v/>
      </c>
      <c r="AB200" s="66" t="n">
        <v>1.73</v>
      </c>
      <c r="AC200" s="101">
        <f>IF(O200="","",IF(O200&lt;=1,"0-1 литров",IF(O200&lt;=3,"2-3 литра",IF(O200&lt;=5,"4-5 литра",IF(O200&lt;=7,"6-7 литра",IF(O200&lt;=9,"8-9 литров",IF(O200&lt;=14,"10-14 литров",IF(O200&lt;=19,"15-19 литров",IF(O200&lt;=29,"20-29 литров",IF(O200&lt;=49,"30-49 литров",IF(O200&lt;=59,"50-59 литров",IF(O200&lt;=70,"60-69 литров",IF(O200&lt;=79,"70-79 литров",IF(O200&lt;=89,"80-89 литров",IF(O200&lt;=99,"90-99 литров",IF(O200&lt;=200,"100-200 литров","200+ литров"))))))))))))))))</f>
        <v/>
      </c>
    </row>
    <row r="201">
      <c r="A201" s="64" t="n">
        <v>1.36</v>
      </c>
      <c r="B201" s="65">
        <f>A201*1.2</f>
        <v/>
      </c>
      <c r="C201" s="109" t="n">
        <v>201</v>
      </c>
      <c r="D201" s="116" t="inlineStr">
        <is>
          <t>У</t>
        </is>
      </c>
      <c r="E201" s="88" t="inlineStr">
        <is>
          <t>540х325х100</t>
        </is>
      </c>
      <c r="G201" s="83" t="inlineStr">
        <is>
          <t>Ч</t>
        </is>
      </c>
      <c r="H201" s="146" t="inlineStr">
        <is>
          <t>0201</t>
        </is>
      </c>
      <c r="I201" s="83" t="inlineStr">
        <is>
          <t>В</t>
        </is>
      </c>
      <c r="J201" s="83" t="inlineStr">
        <is>
          <t>У</t>
        </is>
      </c>
      <c r="K201" s="116" t="inlineStr">
        <is>
          <t>K202</t>
        </is>
      </c>
      <c r="N201" s="239">
        <f>IF(D201="","",IF(LEFT(D201,1)="0",0,1))</f>
        <v/>
      </c>
      <c r="O201" s="80">
        <f>ROUND(R201*S201*T201/1000000,2)</f>
        <v/>
      </c>
      <c r="P201" s="160">
        <f>IF(O201="","",
IF(O201&lt;1,"0,1-0,9 литров",
IF(O201&lt;2,"1-1,9 литра",
IF(O201&lt;3,"2-2,9 литра",
IF(O201&lt;4,"3-3,9 литра",
IF(O201&lt;6,"4-5,9 литра",IF(O201&lt;8,"6-7,9 литра",IF(O201&lt;10,"8-9,9 литров",IF(O201&lt;15,"10-14,9 литров",IF(O201&lt;20,"15-19,9 литров",IF(O201&lt;30,"20-29 литров",IF(O201&lt;50,"30-49 литров",IF(O201&lt;60,"50-59 литров",IF(O201&lt;70,"60-69 литров",IF(O201&lt;80,"70-79 литров",IF(O201&lt;90,"80-89 литров",IF(O201&lt;100,"90-99 литров",IF(O201&lt;200,"100-200 литров","200+ литров"))))))))))))))))))</f>
        <v/>
      </c>
      <c r="Q201" s="101">
        <f>IF(O201="","",IF(O201&lt;1,"&lt;1 л",IF(O201&lt;2,"1-2 л",IF(O201&lt;3,"2-3 л",IF(O201&lt;5,"3-5 л",IF(O201&lt;10,"5-10 л",IF(O201&lt;20,"10-20 л",IF(O201&lt;50,"20-50 л",IF(O201&lt;100,"50-100 л","100+ л")))))))))</f>
        <v/>
      </c>
      <c r="R201" s="162">
        <f>IF(E201="","",--LEFT(E201,FIND("х",E201)-1))</f>
        <v/>
      </c>
      <c r="S201" s="162">
        <f>IF(E201="","",--MID(E201,FIND("х",E201)+1,FIND("х",E201,FIND("х",E201)+1)-FIND("х",E201)-1))</f>
        <v/>
      </c>
      <c r="T201" s="162">
        <f>IF(E201="","",--RIGHT(E201,LEN(E201)-FIND("х",E201,FIND("х",E201)+1)))</f>
        <v/>
      </c>
      <c r="U201" s="66">
        <f>(2*(R201+S201)+60)*(S201+T201+8)/1000000</f>
        <v/>
      </c>
      <c r="V201" s="66">
        <f>IF(OR(AND(R201&gt;=2*S201,R201&gt;=2*T201),AND(S201&gt;=2*R201,S201&gt;=2*T201),AND(T201&gt;=2*R201,T201&gt;=2*S201)),"Длинные","")</f>
        <v/>
      </c>
      <c r="W201" s="66">
        <f>IF(OR(AND(R201&lt;=S201/2,R201&lt;=T201/2),AND(S201&lt;=R201/2,S201&lt;=T201/2),AND(T201&lt;=R201/2,T201&lt;=S201/2)),"Плоские","")</f>
        <v/>
      </c>
      <c r="X201" s="160">
        <f>IF(LARGE($R201:$T201,1)="","",IF(LARGE($R201:$T201,1)&lt;=99,"10-99 мм",IF(LARGE($R201:$T201,1)&lt;=199,"100-199 мм",IF(LARGE($R201:$T201,1)&lt;=299,"200-299 мм",IF(LARGE($R201:$T201,1)&lt;=399,"300-399 мм",IF(LARGE($R201:$T201,1)&lt;=499,"400-499 мм",IF(LARGE($R201:$T201,1)&lt;=599,"500-599 мм",IF(LARGE($R201:$T201,1)&lt;=699,"600-699 мм",IF(LARGE($R201:$T201,1)&lt;=999,"700-999 мм","1000+ мм")))))))))</f>
        <v/>
      </c>
      <c r="Y201" s="160">
        <f>IF(LARGE($R201:$T201,2)="","",IF(LARGE($R201:$T201,2)&lt;=99,"10-99 мм",IF(LARGE($R201:$T201,2)&lt;=199,"100-199 мм",IF(LARGE($R201:$T201,2)&lt;=299,"200-299 мм",IF(LARGE($R201:$T201,2)&lt;=399,"300-399 мм",IF(LARGE($R201:$T201,2)&lt;=499,"400-499 мм",IF(LARGE($R201:$T201,2)&lt;=599,"500-599 мм",IF(LARGE($R201:$T201,2)&lt;=699,"600-699 мм",IF(LARGE($R201:$T201,2)&lt;=999,"700-999 мм","1000+ мм")))))))))</f>
        <v/>
      </c>
      <c r="Z201" s="160">
        <f>IF(SMALL($R201:$T201,1)="","",IF(SMALL($R201:$T201,1)&lt;=99,"10-99 мм",IF(SMALL($R201:$T201,1)&lt;=199,"100-199 мм",IF(SMALL($R201:$T201,1)&lt;=299,"200-299 мм",IF(SMALL($R201:$T201,1)&lt;=399,"300-399 мм",IF(SMALL($R201:$T201,1)&lt;=499,"400-499 мм",IF(SMALL($R201:$T201,1)&lt;=599,"500-599 мм",IF(SMALL($R201:$T201,1)&lt;=699,"600-699 мм",IF(SMALL($R201:$T201,1)&lt;=999,"700-999 мм","1000+ мм")))))))))</f>
        <v/>
      </c>
      <c r="AA201" s="101">
        <f>IF(G201="","",IF(G201="Л","Лист гофрокартона",IF(G201="КД","Крышка-дно",IF(G201="С","Самосборные",IF(G201="Ч","Четырехклапанные",IF(G201="А","Архивные","Неизвестно"))))))</f>
        <v/>
      </c>
      <c r="AB201" s="66" t="n">
        <v>1.73</v>
      </c>
      <c r="AC201" s="101">
        <f>IF(O201="","",IF(O201&lt;=1,"0-1 литров",IF(O201&lt;=3,"2-3 литра",IF(O201&lt;=5,"4-5 литра",IF(O201&lt;=7,"6-7 литра",IF(O201&lt;=9,"8-9 литров",IF(O201&lt;=14,"10-14 литров",IF(O201&lt;=19,"15-19 литров",IF(O201&lt;=29,"20-29 литров",IF(O201&lt;=49,"30-49 литров",IF(O201&lt;=59,"50-59 литров",IF(O201&lt;=70,"60-69 литров",IF(O201&lt;=79,"70-79 литров",IF(O201&lt;=89,"80-89 литров",IF(O201&lt;=99,"90-99 литров",IF(O201&lt;=200,"100-200 литров","200+ литров"))))))))))))))))</f>
        <v/>
      </c>
    </row>
    <row r="202">
      <c r="A202" s="64" t="n">
        <v>0.54</v>
      </c>
      <c r="B202" s="65">
        <f>A202*1.2</f>
        <v/>
      </c>
      <c r="C202" s="109" t="n">
        <v>202</v>
      </c>
      <c r="D202" s="116" t="inlineStr">
        <is>
          <t>У</t>
        </is>
      </c>
      <c r="E202" s="88" t="inlineStr">
        <is>
          <t>314х164х57</t>
        </is>
      </c>
      <c r="G202" s="83" t="inlineStr">
        <is>
          <t>С</t>
        </is>
      </c>
      <c r="H202" s="146" t="inlineStr">
        <is>
          <t>0427</t>
        </is>
      </c>
      <c r="I202" s="83" t="inlineStr">
        <is>
          <t>В</t>
        </is>
      </c>
      <c r="J202" s="83" t="inlineStr">
        <is>
          <t>ОП</t>
        </is>
      </c>
      <c r="K202" s="116" t="inlineStr">
        <is>
          <t>K203</t>
        </is>
      </c>
      <c r="N202" s="239">
        <f>IF(D202="","",IF(LEFT(D202,1)="0",0,1))</f>
        <v/>
      </c>
      <c r="O202" s="80">
        <f>ROUND(R202*S202*T202/1000000,2)</f>
        <v/>
      </c>
      <c r="P202" s="160">
        <f>IF(O202="","",
IF(O202&lt;1,"0,1-0,9 литров",
IF(O202&lt;2,"1-1,9 литра",
IF(O202&lt;3,"2-2,9 литра",
IF(O202&lt;4,"3-3,9 литра",
IF(O202&lt;6,"4-5,9 литра",IF(O202&lt;8,"6-7,9 литра",IF(O202&lt;10,"8-9,9 литров",IF(O202&lt;15,"10-14,9 литров",IF(O202&lt;20,"15-19,9 литров",IF(O202&lt;30,"20-29 литров",IF(O202&lt;50,"30-49 литров",IF(O202&lt;60,"50-59 литров",IF(O202&lt;70,"60-69 литров",IF(O202&lt;80,"70-79 литров",IF(O202&lt;90,"80-89 литров",IF(O202&lt;100,"90-99 литров",IF(O202&lt;200,"100-200 литров","200+ литров"))))))))))))))))))</f>
        <v/>
      </c>
      <c r="Q202" s="101">
        <f>IF(O202="","",IF(O202&lt;1,"&lt;1 л",IF(O202&lt;2,"1-2 л",IF(O202&lt;3,"2-3 л",IF(O202&lt;5,"3-5 л",IF(O202&lt;10,"5-10 л",IF(O202&lt;20,"10-20 л",IF(O202&lt;50,"20-50 л",IF(O202&lt;100,"50-100 л","100+ л")))))))))</f>
        <v/>
      </c>
      <c r="R202" s="162">
        <f>IF(E202="","",--LEFT(E202,FIND("х",E202)-1))</f>
        <v/>
      </c>
      <c r="S202" s="162">
        <f>IF(E202="","",--MID(E202,FIND("х",E202)+1,FIND("х",E202,FIND("х",E202)+1)-FIND("х",E202)-1))</f>
        <v/>
      </c>
      <c r="T202" s="162">
        <f>IF(E202="","",--RIGHT(E202,LEN(E202)-FIND("х",E202,FIND("х",E202)+1)))</f>
        <v/>
      </c>
      <c r="U202" s="66">
        <f>(2*(R202+S202)+60)*(S202+T202+8)/1000000</f>
        <v/>
      </c>
      <c r="V202" s="66">
        <f>IF(OR(AND(R202&gt;=2*S202,R202&gt;=2*T202),AND(S202&gt;=2*R202,S202&gt;=2*T202),AND(T202&gt;=2*R202,T202&gt;=2*S202)),"Длинные","")</f>
        <v/>
      </c>
      <c r="W202" s="66">
        <f>IF(OR(AND(R202&lt;=S202/2,R202&lt;=T202/2),AND(S202&lt;=R202/2,S202&lt;=T202/2),AND(T202&lt;=R202/2,T202&lt;=S202/2)),"Плоские","")</f>
        <v/>
      </c>
      <c r="X202" s="160">
        <f>IF(LARGE($R202:$T202,1)="","",IF(LARGE($R202:$T202,1)&lt;=99,"10-99 мм",IF(LARGE($R202:$T202,1)&lt;=199,"100-199 мм",IF(LARGE($R202:$T202,1)&lt;=299,"200-299 мм",IF(LARGE($R202:$T202,1)&lt;=399,"300-399 мм",IF(LARGE($R202:$T202,1)&lt;=499,"400-499 мм",IF(LARGE($R202:$T202,1)&lt;=599,"500-599 мм",IF(LARGE($R202:$T202,1)&lt;=699,"600-699 мм",IF(LARGE($R202:$T202,1)&lt;=999,"700-999 мм","1000+ мм")))))))))</f>
        <v/>
      </c>
      <c r="Y202" s="160">
        <f>IF(LARGE($R202:$T202,2)="","",IF(LARGE($R202:$T202,2)&lt;=99,"10-99 мм",IF(LARGE($R202:$T202,2)&lt;=199,"100-199 мм",IF(LARGE($R202:$T202,2)&lt;=299,"200-299 мм",IF(LARGE($R202:$T202,2)&lt;=399,"300-399 мм",IF(LARGE($R202:$T202,2)&lt;=499,"400-499 мм",IF(LARGE($R202:$T202,2)&lt;=599,"500-599 мм",IF(LARGE($R202:$T202,2)&lt;=699,"600-699 мм",IF(LARGE($R202:$T202,2)&lt;=999,"700-999 мм","1000+ мм")))))))))</f>
        <v/>
      </c>
      <c r="Z202" s="160">
        <f>IF(SMALL($R202:$T202,1)="","",IF(SMALL($R202:$T202,1)&lt;=99,"10-99 мм",IF(SMALL($R202:$T202,1)&lt;=199,"100-199 мм",IF(SMALL($R202:$T202,1)&lt;=299,"200-299 мм",IF(SMALL($R202:$T202,1)&lt;=399,"300-399 мм",IF(SMALL($R202:$T202,1)&lt;=499,"400-499 мм",IF(SMALL($R202:$T202,1)&lt;=599,"500-599 мм",IF(SMALL($R202:$T202,1)&lt;=699,"600-699 мм",IF(SMALL($R202:$T202,1)&lt;=999,"700-999 мм","1000+ мм")))))))))</f>
        <v/>
      </c>
      <c r="AA202" s="101">
        <f>IF(G202="","",IF(G202="Л","Лист гофрокартона",IF(G202="КД","Крышка-дно",IF(G202="С","Самосборные",IF(G202="Ч","Четырехклапанные",IF(G202="А","Архивные","Неизвестно"))))))</f>
        <v/>
      </c>
      <c r="AB202" s="66" t="n">
        <v>1.73</v>
      </c>
      <c r="AC202" s="101">
        <f>IF(O202="","",IF(O202&lt;=1,"0-1 литров",IF(O202&lt;=3,"2-3 литра",IF(O202&lt;=5,"4-5 литра",IF(O202&lt;=7,"6-7 литра",IF(O202&lt;=9,"8-9 литров",IF(O202&lt;=14,"10-14 литров",IF(O202&lt;=19,"15-19 литров",IF(O202&lt;=29,"20-29 литров",IF(O202&lt;=49,"30-49 литров",IF(O202&lt;=59,"50-59 литров",IF(O202&lt;=70,"60-69 литров",IF(O202&lt;=79,"70-79 литров",IF(O202&lt;=89,"80-89 литров",IF(O202&lt;=99,"90-99 литров",IF(O202&lt;=200,"100-200 литров","200+ литров"))))))))))))))))</f>
        <v/>
      </c>
    </row>
    <row r="203">
      <c r="A203" s="64" t="n">
        <v>0.36</v>
      </c>
      <c r="B203" s="65">
        <f>A203*1.2</f>
        <v/>
      </c>
      <c r="C203" s="109" t="n">
        <v>203</v>
      </c>
      <c r="D203" s="116" t="inlineStr">
        <is>
          <t>У</t>
        </is>
      </c>
      <c r="E203" s="88" t="inlineStr">
        <is>
          <t>187х124х140</t>
        </is>
      </c>
      <c r="G203" s="83" t="inlineStr">
        <is>
          <t>С</t>
        </is>
      </c>
      <c r="H203" s="146" t="inlineStr">
        <is>
          <t>0215</t>
        </is>
      </c>
      <c r="I203" s="83" t="inlineStr">
        <is>
          <t>Е</t>
        </is>
      </c>
      <c r="J203" s="83" t="inlineStr">
        <is>
          <t>ОП</t>
        </is>
      </c>
      <c r="K203" s="116" t="inlineStr">
        <is>
          <t>K204</t>
        </is>
      </c>
      <c r="N203" s="239">
        <f>IF(D203="","",IF(LEFT(D203,1)="0",0,1))</f>
        <v/>
      </c>
      <c r="O203" s="80">
        <f>ROUND(R203*S203*T203/1000000,2)</f>
        <v/>
      </c>
      <c r="P203" s="160">
        <f>IF(O203="","",
IF(O203&lt;1,"0,1-0,9 литров",
IF(O203&lt;2,"1-1,9 литра",
IF(O203&lt;3,"2-2,9 литра",
IF(O203&lt;4,"3-3,9 литра",
IF(O203&lt;6,"4-5,9 литра",IF(O203&lt;8,"6-7,9 литра",IF(O203&lt;10,"8-9,9 литров",IF(O203&lt;15,"10-14,9 литров",IF(O203&lt;20,"15-19,9 литров",IF(O203&lt;30,"20-29 литров",IF(O203&lt;50,"30-49 литров",IF(O203&lt;60,"50-59 литров",IF(O203&lt;70,"60-69 литров",IF(O203&lt;80,"70-79 литров",IF(O203&lt;90,"80-89 литров",IF(O203&lt;100,"90-99 литров",IF(O203&lt;200,"100-200 литров","200+ литров"))))))))))))))))))</f>
        <v/>
      </c>
      <c r="Q203" s="101">
        <f>IF(O203="","",IF(O203&lt;1,"&lt;1 л",IF(O203&lt;2,"1-2 л",IF(O203&lt;3,"2-3 л",IF(O203&lt;5,"3-5 л",IF(O203&lt;10,"5-10 л",IF(O203&lt;20,"10-20 л",IF(O203&lt;50,"20-50 л",IF(O203&lt;100,"50-100 л","100+ л")))))))))</f>
        <v/>
      </c>
      <c r="R203" s="162">
        <f>IF(E203="","",--LEFT(E203,FIND("х",E203)-1))</f>
        <v/>
      </c>
      <c r="S203" s="162">
        <f>IF(E203="","",--MID(E203,FIND("х",E203)+1,FIND("х",E203,FIND("х",E203)+1)-FIND("х",E203)-1))</f>
        <v/>
      </c>
      <c r="T203" s="162">
        <f>IF(E203="","",--RIGHT(E203,LEN(E203)-FIND("х",E203,FIND("х",E203)+1)))</f>
        <v/>
      </c>
      <c r="U203" s="66">
        <f>(2*(R203+S203)+60)*(S203+T203+8)/1000000</f>
        <v/>
      </c>
      <c r="V203" s="66">
        <f>IF(OR(AND(R203&gt;=2*S203,R203&gt;=2*T203),AND(S203&gt;=2*R203,S203&gt;=2*T203),AND(T203&gt;=2*R203,T203&gt;=2*S203)),"Длинные","")</f>
        <v/>
      </c>
      <c r="W203" s="66">
        <f>IF(OR(AND(R203&lt;=S203/2,R203&lt;=T203/2),AND(S203&lt;=R203/2,S203&lt;=T203/2),AND(T203&lt;=R203/2,T203&lt;=S203/2)),"Плоские","")</f>
        <v/>
      </c>
      <c r="X203" s="160">
        <f>IF(LARGE($R203:$T203,1)="","",IF(LARGE($R203:$T203,1)&lt;=99,"10-99 мм",IF(LARGE($R203:$T203,1)&lt;=199,"100-199 мм",IF(LARGE($R203:$T203,1)&lt;=299,"200-299 мм",IF(LARGE($R203:$T203,1)&lt;=399,"300-399 мм",IF(LARGE($R203:$T203,1)&lt;=499,"400-499 мм",IF(LARGE($R203:$T203,1)&lt;=599,"500-599 мм",IF(LARGE($R203:$T203,1)&lt;=699,"600-699 мм",IF(LARGE($R203:$T203,1)&lt;=999,"700-999 мм","1000+ мм")))))))))</f>
        <v/>
      </c>
      <c r="Y203" s="160">
        <f>IF(LARGE($R203:$T203,2)="","",IF(LARGE($R203:$T203,2)&lt;=99,"10-99 мм",IF(LARGE($R203:$T203,2)&lt;=199,"100-199 мм",IF(LARGE($R203:$T203,2)&lt;=299,"200-299 мм",IF(LARGE($R203:$T203,2)&lt;=399,"300-399 мм",IF(LARGE($R203:$T203,2)&lt;=499,"400-499 мм",IF(LARGE($R203:$T203,2)&lt;=599,"500-599 мм",IF(LARGE($R203:$T203,2)&lt;=699,"600-699 мм",IF(LARGE($R203:$T203,2)&lt;=999,"700-999 мм","1000+ мм")))))))))</f>
        <v/>
      </c>
      <c r="Z203" s="160">
        <f>IF(SMALL($R203:$T203,1)="","",IF(SMALL($R203:$T203,1)&lt;=99,"10-99 мм",IF(SMALL($R203:$T203,1)&lt;=199,"100-199 мм",IF(SMALL($R203:$T203,1)&lt;=299,"200-299 мм",IF(SMALL($R203:$T203,1)&lt;=399,"300-399 мм",IF(SMALL($R203:$T203,1)&lt;=499,"400-499 мм",IF(SMALL($R203:$T203,1)&lt;=599,"500-599 мм",IF(SMALL($R203:$T203,1)&lt;=699,"600-699 мм",IF(SMALL($R203:$T203,1)&lt;=999,"700-999 мм","1000+ мм")))))))))</f>
        <v/>
      </c>
      <c r="AA203" s="101">
        <f>IF(G203="","",IF(G203="Л","Лист гофрокартона",IF(G203="КД","Крышка-дно",IF(G203="С","Самосборные",IF(G203="Ч","Четырехклапанные",IF(G203="А","Архивные","Неизвестно"))))))</f>
        <v/>
      </c>
      <c r="AB203" s="66" t="n">
        <v>1.73</v>
      </c>
      <c r="AC203" s="101">
        <f>IF(O203="","",IF(O203&lt;=1,"0-1 литров",IF(O203&lt;=3,"2-3 литра",IF(O203&lt;=5,"4-5 литра",IF(O203&lt;=7,"6-7 литра",IF(O203&lt;=9,"8-9 литров",IF(O203&lt;=14,"10-14 литров",IF(O203&lt;=19,"15-19 литров",IF(O203&lt;=29,"20-29 литров",IF(O203&lt;=49,"30-49 литров",IF(O203&lt;=59,"50-59 литров",IF(O203&lt;=70,"60-69 литров",IF(O203&lt;=79,"70-79 литров",IF(O203&lt;=89,"80-89 литров",IF(O203&lt;=99,"90-99 литров",IF(O203&lt;=200,"100-200 литров","200+ литров"))))))))))))))))</f>
        <v/>
      </c>
    </row>
    <row r="204">
      <c r="A204" s="64" t="n">
        <v>0.67</v>
      </c>
      <c r="B204" s="65">
        <f>A204*1.2</f>
        <v/>
      </c>
      <c r="C204" s="109" t="n">
        <v>204</v>
      </c>
      <c r="D204" s="116" t="inlineStr">
        <is>
          <t>У</t>
        </is>
      </c>
      <c r="E204" s="88" t="inlineStr">
        <is>
          <t>354х184х65</t>
        </is>
      </c>
      <c r="G204" s="83" t="inlineStr">
        <is>
          <t>С</t>
        </is>
      </c>
      <c r="H204" s="146" t="inlineStr">
        <is>
          <t>0427</t>
        </is>
      </c>
      <c r="I204" s="83" t="inlineStr">
        <is>
          <t>В</t>
        </is>
      </c>
      <c r="J204" s="83" t="inlineStr">
        <is>
          <t>У</t>
        </is>
      </c>
      <c r="K204" s="116" t="inlineStr">
        <is>
          <t>K205</t>
        </is>
      </c>
      <c r="N204" s="239">
        <f>IF(D204="","",IF(LEFT(D204,1)="0",0,1))</f>
        <v/>
      </c>
      <c r="O204" s="80">
        <f>ROUND(R204*S204*T204/1000000,2)</f>
        <v/>
      </c>
      <c r="P204" s="160">
        <f>IF(O204="","",
IF(O204&lt;1,"0,1-0,9 литров",
IF(O204&lt;2,"1-1,9 литра",
IF(O204&lt;3,"2-2,9 литра",
IF(O204&lt;4,"3-3,9 литра",
IF(O204&lt;6,"4-5,9 литра",IF(O204&lt;8,"6-7,9 литра",IF(O204&lt;10,"8-9,9 литров",IF(O204&lt;15,"10-14,9 литров",IF(O204&lt;20,"15-19,9 литров",IF(O204&lt;30,"20-29 литров",IF(O204&lt;50,"30-49 литров",IF(O204&lt;60,"50-59 литров",IF(O204&lt;70,"60-69 литров",IF(O204&lt;80,"70-79 литров",IF(O204&lt;90,"80-89 литров",IF(O204&lt;100,"90-99 литров",IF(O204&lt;200,"100-200 литров","200+ литров"))))))))))))))))))</f>
        <v/>
      </c>
      <c r="Q204" s="101">
        <f>IF(O204="","",IF(O204&lt;1,"&lt;1 л",IF(O204&lt;2,"1-2 л",IF(O204&lt;3,"2-3 л",IF(O204&lt;5,"3-5 л",IF(O204&lt;10,"5-10 л",IF(O204&lt;20,"10-20 л",IF(O204&lt;50,"20-50 л",IF(O204&lt;100,"50-100 л","100+ л")))))))))</f>
        <v/>
      </c>
      <c r="R204" s="162">
        <f>IF(E204="","",--LEFT(E204,FIND("х",E204)-1))</f>
        <v/>
      </c>
      <c r="S204" s="162">
        <f>IF(E204="","",--MID(E204,FIND("х",E204)+1,FIND("х",E204,FIND("х",E204)+1)-FIND("х",E204)-1))</f>
        <v/>
      </c>
      <c r="T204" s="162">
        <f>IF(E204="","",--RIGHT(E204,LEN(E204)-FIND("х",E204,FIND("х",E204)+1)))</f>
        <v/>
      </c>
      <c r="U204" s="66">
        <f>(2*(R204+S204)+60)*(S204+T204+8)/1000000</f>
        <v/>
      </c>
      <c r="V204" s="66">
        <f>IF(OR(AND(R204&gt;=2*S204,R204&gt;=2*T204),AND(S204&gt;=2*R204,S204&gt;=2*T204),AND(T204&gt;=2*R204,T204&gt;=2*S204)),"Длинные","")</f>
        <v/>
      </c>
      <c r="W204" s="66">
        <f>IF(OR(AND(R204&lt;=S204/2,R204&lt;=T204/2),AND(S204&lt;=R204/2,S204&lt;=T204/2),AND(T204&lt;=R204/2,T204&lt;=S204/2)),"Плоские","")</f>
        <v/>
      </c>
      <c r="X204" s="160">
        <f>IF(LARGE($R204:$T204,1)="","",IF(LARGE($R204:$T204,1)&lt;=99,"10-99 мм",IF(LARGE($R204:$T204,1)&lt;=199,"100-199 мм",IF(LARGE($R204:$T204,1)&lt;=299,"200-299 мм",IF(LARGE($R204:$T204,1)&lt;=399,"300-399 мм",IF(LARGE($R204:$T204,1)&lt;=499,"400-499 мм",IF(LARGE($R204:$T204,1)&lt;=599,"500-599 мм",IF(LARGE($R204:$T204,1)&lt;=699,"600-699 мм",IF(LARGE($R204:$T204,1)&lt;=999,"700-999 мм","1000+ мм")))))))))</f>
        <v/>
      </c>
      <c r="Y204" s="160">
        <f>IF(LARGE($R204:$T204,2)="","",IF(LARGE($R204:$T204,2)&lt;=99,"10-99 мм",IF(LARGE($R204:$T204,2)&lt;=199,"100-199 мм",IF(LARGE($R204:$T204,2)&lt;=299,"200-299 мм",IF(LARGE($R204:$T204,2)&lt;=399,"300-399 мм",IF(LARGE($R204:$T204,2)&lt;=499,"400-499 мм",IF(LARGE($R204:$T204,2)&lt;=599,"500-599 мм",IF(LARGE($R204:$T204,2)&lt;=699,"600-699 мм",IF(LARGE($R204:$T204,2)&lt;=999,"700-999 мм","1000+ мм")))))))))</f>
        <v/>
      </c>
      <c r="Z204" s="160">
        <f>IF(SMALL($R204:$T204,1)="","",IF(SMALL($R204:$T204,1)&lt;=99,"10-99 мм",IF(SMALL($R204:$T204,1)&lt;=199,"100-199 мм",IF(SMALL($R204:$T204,1)&lt;=299,"200-299 мм",IF(SMALL($R204:$T204,1)&lt;=399,"300-399 мм",IF(SMALL($R204:$T204,1)&lt;=499,"400-499 мм",IF(SMALL($R204:$T204,1)&lt;=599,"500-599 мм",IF(SMALL($R204:$T204,1)&lt;=699,"600-699 мм",IF(SMALL($R204:$T204,1)&lt;=999,"700-999 мм","1000+ мм")))))))))</f>
        <v/>
      </c>
      <c r="AA204" s="101">
        <f>IF(G204="","",IF(G204="Л","Лист гофрокартона",IF(G204="КД","Крышка-дно",IF(G204="С","Самосборные",IF(G204="Ч","Четырехклапанные",IF(G204="А","Архивные","Неизвестно"))))))</f>
        <v/>
      </c>
      <c r="AB204" s="66" t="n">
        <v>1.73</v>
      </c>
      <c r="AC204" s="101">
        <f>IF(O204="","",IF(O204&lt;=1,"0-1 литров",IF(O204&lt;=3,"2-3 литра",IF(O204&lt;=5,"4-5 литра",IF(O204&lt;=7,"6-7 литра",IF(O204&lt;=9,"8-9 литров",IF(O204&lt;=14,"10-14 литров",IF(O204&lt;=19,"15-19 литров",IF(O204&lt;=29,"20-29 литров",IF(O204&lt;=49,"30-49 литров",IF(O204&lt;=59,"50-59 литров",IF(O204&lt;=70,"60-69 литров",IF(O204&lt;=79,"70-79 литров",IF(O204&lt;=89,"80-89 литров",IF(O204&lt;=99,"90-99 литров",IF(O204&lt;=200,"100-200 литров","200+ литров"))))))))))))))))</f>
        <v/>
      </c>
    </row>
    <row r="205">
      <c r="A205" s="64" t="n">
        <v>1.18</v>
      </c>
      <c r="B205" s="65">
        <f>A205*1.2</f>
        <v/>
      </c>
      <c r="C205" s="109" t="n">
        <v>205</v>
      </c>
      <c r="D205" s="116" t="inlineStr">
        <is>
          <t>У</t>
        </is>
      </c>
      <c r="E205" s="88" t="inlineStr">
        <is>
          <t>480х300х70</t>
        </is>
      </c>
      <c r="G205" s="83" t="inlineStr">
        <is>
          <t>С</t>
        </is>
      </c>
      <c r="H205" s="146" t="inlineStr">
        <is>
          <t>0427</t>
        </is>
      </c>
      <c r="I205" s="83" t="inlineStr">
        <is>
          <t>В</t>
        </is>
      </c>
      <c r="J205" s="83" t="inlineStr">
        <is>
          <t>ОП</t>
        </is>
      </c>
      <c r="K205" s="116" t="inlineStr">
        <is>
          <t>K206</t>
        </is>
      </c>
      <c r="N205" s="239">
        <f>IF(D205="","",IF(LEFT(D205,1)="0",0,1))</f>
        <v/>
      </c>
      <c r="O205" s="80">
        <f>ROUND(R205*S205*T205/1000000,2)</f>
        <v/>
      </c>
      <c r="P205" s="160">
        <f>IF(O205="","",
IF(O205&lt;1,"0,1-0,9 литров",
IF(O205&lt;2,"1-1,9 литра",
IF(O205&lt;3,"2-2,9 литра",
IF(O205&lt;4,"3-3,9 литра",
IF(O205&lt;6,"4-5,9 литра",IF(O205&lt;8,"6-7,9 литра",IF(O205&lt;10,"8-9,9 литров",IF(O205&lt;15,"10-14,9 литров",IF(O205&lt;20,"15-19,9 литров",IF(O205&lt;30,"20-29 литров",IF(O205&lt;50,"30-49 литров",IF(O205&lt;60,"50-59 литров",IF(O205&lt;70,"60-69 литров",IF(O205&lt;80,"70-79 литров",IF(O205&lt;90,"80-89 литров",IF(O205&lt;100,"90-99 литров",IF(O205&lt;200,"100-200 литров","200+ литров"))))))))))))))))))</f>
        <v/>
      </c>
      <c r="Q205" s="101">
        <f>IF(O205="","",IF(O205&lt;1,"&lt;1 л",IF(O205&lt;2,"1-2 л",IF(O205&lt;3,"2-3 л",IF(O205&lt;5,"3-5 л",IF(O205&lt;10,"5-10 л",IF(O205&lt;20,"10-20 л",IF(O205&lt;50,"20-50 л",IF(O205&lt;100,"50-100 л","100+ л")))))))))</f>
        <v/>
      </c>
      <c r="R205" s="162">
        <f>IF(E205="","",--LEFT(E205,FIND("х",E205)-1))</f>
        <v/>
      </c>
      <c r="S205" s="162">
        <f>IF(E205="","",--MID(E205,FIND("х",E205)+1,FIND("х",E205,FIND("х",E205)+1)-FIND("х",E205)-1))</f>
        <v/>
      </c>
      <c r="T205" s="162">
        <f>IF(E205="","",--RIGHT(E205,LEN(E205)-FIND("х",E205,FIND("х",E205)+1)))</f>
        <v/>
      </c>
      <c r="U205" s="66">
        <f>(2*(R205+S205)+60)*(S205+T205+8)/1000000</f>
        <v/>
      </c>
      <c r="V205" s="66">
        <f>IF(OR(AND(R205&gt;=2*S205,R205&gt;=2*T205),AND(S205&gt;=2*R205,S205&gt;=2*T205),AND(T205&gt;=2*R205,T205&gt;=2*S205)),"Длинные","")</f>
        <v/>
      </c>
      <c r="W205" s="66">
        <f>IF(OR(AND(R205&lt;=S205/2,R205&lt;=T205/2),AND(S205&lt;=R205/2,S205&lt;=T205/2),AND(T205&lt;=R205/2,T205&lt;=S205/2)),"Плоские","")</f>
        <v/>
      </c>
      <c r="X205" s="160">
        <f>IF(LARGE($R205:$T205,1)="","",IF(LARGE($R205:$T205,1)&lt;=99,"10-99 мм",IF(LARGE($R205:$T205,1)&lt;=199,"100-199 мм",IF(LARGE($R205:$T205,1)&lt;=299,"200-299 мм",IF(LARGE($R205:$T205,1)&lt;=399,"300-399 мм",IF(LARGE($R205:$T205,1)&lt;=499,"400-499 мм",IF(LARGE($R205:$T205,1)&lt;=599,"500-599 мм",IF(LARGE($R205:$T205,1)&lt;=699,"600-699 мм",IF(LARGE($R205:$T205,1)&lt;=999,"700-999 мм","1000+ мм")))))))))</f>
        <v/>
      </c>
      <c r="Y205" s="160">
        <f>IF(LARGE($R205:$T205,2)="","",IF(LARGE($R205:$T205,2)&lt;=99,"10-99 мм",IF(LARGE($R205:$T205,2)&lt;=199,"100-199 мм",IF(LARGE($R205:$T205,2)&lt;=299,"200-299 мм",IF(LARGE($R205:$T205,2)&lt;=399,"300-399 мм",IF(LARGE($R205:$T205,2)&lt;=499,"400-499 мм",IF(LARGE($R205:$T205,2)&lt;=599,"500-599 мм",IF(LARGE($R205:$T205,2)&lt;=699,"600-699 мм",IF(LARGE($R205:$T205,2)&lt;=999,"700-999 мм","1000+ мм")))))))))</f>
        <v/>
      </c>
      <c r="Z205" s="160">
        <f>IF(SMALL($R205:$T205,1)="","",IF(SMALL($R205:$T205,1)&lt;=99,"10-99 мм",IF(SMALL($R205:$T205,1)&lt;=199,"100-199 мм",IF(SMALL($R205:$T205,1)&lt;=299,"200-299 мм",IF(SMALL($R205:$T205,1)&lt;=399,"300-399 мм",IF(SMALL($R205:$T205,1)&lt;=499,"400-499 мм",IF(SMALL($R205:$T205,1)&lt;=599,"500-599 мм",IF(SMALL($R205:$T205,1)&lt;=699,"600-699 мм",IF(SMALL($R205:$T205,1)&lt;=999,"700-999 мм","1000+ мм")))))))))</f>
        <v/>
      </c>
      <c r="AA205" s="101">
        <f>IF(G205="","",IF(G205="Л","Лист гофрокартона",IF(G205="КД","Крышка-дно",IF(G205="С","Самосборные",IF(G205="Ч","Четырехклапанные",IF(G205="А","Архивные","Неизвестно"))))))</f>
        <v/>
      </c>
      <c r="AB205" s="66" t="n">
        <v>1.73</v>
      </c>
      <c r="AC205" s="101">
        <f>IF(O205="","",IF(O205&lt;=1,"0-1 литров",IF(O205&lt;=3,"2-3 литра",IF(O205&lt;=5,"4-5 литра",IF(O205&lt;=7,"6-7 литра",IF(O205&lt;=9,"8-9 литров",IF(O205&lt;=14,"10-14 литров",IF(O205&lt;=19,"15-19 литров",IF(O205&lt;=29,"20-29 литров",IF(O205&lt;=49,"30-49 литров",IF(O205&lt;=59,"50-59 литров",IF(O205&lt;=70,"60-69 литров",IF(O205&lt;=79,"70-79 литров",IF(O205&lt;=89,"80-89 литров",IF(O205&lt;=99,"90-99 литров",IF(O205&lt;=200,"100-200 литров","200+ литров"))))))))))))))))</f>
        <v/>
      </c>
    </row>
    <row r="206">
      <c r="A206" s="64" t="n">
        <v>1.31</v>
      </c>
      <c r="B206" s="65">
        <f>A206*1.2</f>
        <v/>
      </c>
      <c r="C206" s="109" t="n">
        <v>206</v>
      </c>
      <c r="D206" s="116" t="inlineStr">
        <is>
          <t>У</t>
        </is>
      </c>
      <c r="E206" s="88" t="inlineStr">
        <is>
          <t>342х242х192</t>
        </is>
      </c>
      <c r="G206" s="83" t="inlineStr">
        <is>
          <t>Ч</t>
        </is>
      </c>
      <c r="H206" s="146" t="inlineStr">
        <is>
          <t>0201</t>
        </is>
      </c>
      <c r="I206" s="83" t="inlineStr">
        <is>
          <t>В</t>
        </is>
      </c>
      <c r="J206" s="83" t="inlineStr">
        <is>
          <t>У</t>
        </is>
      </c>
      <c r="K206" s="116" t="inlineStr">
        <is>
          <t>K207</t>
        </is>
      </c>
      <c r="N206" s="239">
        <f>IF(D206="","",IF(LEFT(D206,1)="0",0,1))</f>
        <v/>
      </c>
      <c r="O206" s="80">
        <f>ROUND(R206*S206*T206/1000000,2)</f>
        <v/>
      </c>
      <c r="P206" s="160">
        <f>IF(O206="","",
IF(O206&lt;1,"0,1-0,9 литров",
IF(O206&lt;2,"1-1,9 литра",
IF(O206&lt;3,"2-2,9 литра",
IF(O206&lt;4,"3-3,9 литра",
IF(O206&lt;6,"4-5,9 литра",IF(O206&lt;8,"6-7,9 литра",IF(O206&lt;10,"8-9,9 литров",IF(O206&lt;15,"10-14,9 литров",IF(O206&lt;20,"15-19,9 литров",IF(O206&lt;30,"20-29 литров",IF(O206&lt;50,"30-49 литров",IF(O206&lt;60,"50-59 литров",IF(O206&lt;70,"60-69 литров",IF(O206&lt;80,"70-79 литров",IF(O206&lt;90,"80-89 литров",IF(O206&lt;100,"90-99 литров",IF(O206&lt;200,"100-200 литров","200+ литров"))))))))))))))))))</f>
        <v/>
      </c>
      <c r="Q206" s="101">
        <f>IF(O206="","",IF(O206&lt;1,"&lt;1 л",IF(O206&lt;2,"1-2 л",IF(O206&lt;3,"2-3 л",IF(O206&lt;5,"3-5 л",IF(O206&lt;10,"5-10 л",IF(O206&lt;20,"10-20 л",IF(O206&lt;50,"20-50 л",IF(O206&lt;100,"50-100 л","100+ л")))))))))</f>
        <v/>
      </c>
      <c r="R206" s="162">
        <f>IF(E206="","",--LEFT(E206,FIND("х",E206)-1))</f>
        <v/>
      </c>
      <c r="S206" s="162">
        <f>IF(E206="","",--MID(E206,FIND("х",E206)+1,FIND("х",E206,FIND("х",E206)+1)-FIND("х",E206)-1))</f>
        <v/>
      </c>
      <c r="T206" s="162">
        <f>IF(E206="","",--RIGHT(E206,LEN(E206)-FIND("х",E206,FIND("х",E206)+1)))</f>
        <v/>
      </c>
      <c r="U206" s="66">
        <f>(2*(R206+S206)+60)*(S206+T206+8)/1000000</f>
        <v/>
      </c>
      <c r="V206" s="66">
        <f>IF(OR(AND(R206&gt;=2*S206,R206&gt;=2*T206),AND(S206&gt;=2*R206,S206&gt;=2*T206),AND(T206&gt;=2*R206,T206&gt;=2*S206)),"Длинные","")</f>
        <v/>
      </c>
      <c r="W206" s="66">
        <f>IF(OR(AND(R206&lt;=S206/2,R206&lt;=T206/2),AND(S206&lt;=R206/2,S206&lt;=T206/2),AND(T206&lt;=R206/2,T206&lt;=S206/2)),"Плоские","")</f>
        <v/>
      </c>
      <c r="X206" s="160">
        <f>IF(LARGE($R206:$T206,1)="","",IF(LARGE($R206:$T206,1)&lt;=99,"10-99 мм",IF(LARGE($R206:$T206,1)&lt;=199,"100-199 мм",IF(LARGE($R206:$T206,1)&lt;=299,"200-299 мм",IF(LARGE($R206:$T206,1)&lt;=399,"300-399 мм",IF(LARGE($R206:$T206,1)&lt;=499,"400-499 мм",IF(LARGE($R206:$T206,1)&lt;=599,"500-599 мм",IF(LARGE($R206:$T206,1)&lt;=699,"600-699 мм",IF(LARGE($R206:$T206,1)&lt;=999,"700-999 мм","1000+ мм")))))))))</f>
        <v/>
      </c>
      <c r="Y206" s="160">
        <f>IF(LARGE($R206:$T206,2)="","",IF(LARGE($R206:$T206,2)&lt;=99,"10-99 мм",IF(LARGE($R206:$T206,2)&lt;=199,"100-199 мм",IF(LARGE($R206:$T206,2)&lt;=299,"200-299 мм",IF(LARGE($R206:$T206,2)&lt;=399,"300-399 мм",IF(LARGE($R206:$T206,2)&lt;=499,"400-499 мм",IF(LARGE($R206:$T206,2)&lt;=599,"500-599 мм",IF(LARGE($R206:$T206,2)&lt;=699,"600-699 мм",IF(LARGE($R206:$T206,2)&lt;=999,"700-999 мм","1000+ мм")))))))))</f>
        <v/>
      </c>
      <c r="Z206" s="160">
        <f>IF(SMALL($R206:$T206,1)="","",IF(SMALL($R206:$T206,1)&lt;=99,"10-99 мм",IF(SMALL($R206:$T206,1)&lt;=199,"100-199 мм",IF(SMALL($R206:$T206,1)&lt;=299,"200-299 мм",IF(SMALL($R206:$T206,1)&lt;=399,"300-399 мм",IF(SMALL($R206:$T206,1)&lt;=499,"400-499 мм",IF(SMALL($R206:$T206,1)&lt;=599,"500-599 мм",IF(SMALL($R206:$T206,1)&lt;=699,"600-699 мм",IF(SMALL($R206:$T206,1)&lt;=999,"700-999 мм","1000+ мм")))))))))</f>
        <v/>
      </c>
      <c r="AA206" s="101">
        <f>IF(G206="","",IF(G206="Л","Лист гофрокартона",IF(G206="КД","Крышка-дно",IF(G206="С","Самосборные",IF(G206="Ч","Четырехклапанные",IF(G206="А","Архивные","Неизвестно"))))))</f>
        <v/>
      </c>
      <c r="AB206" s="66" t="n">
        <v>1.73</v>
      </c>
      <c r="AC206" s="101">
        <f>IF(O206="","",IF(O206&lt;=1,"0-1 литров",IF(O206&lt;=3,"2-3 литра",IF(O206&lt;=5,"4-5 литра",IF(O206&lt;=7,"6-7 литра",IF(O206&lt;=9,"8-9 литров",IF(O206&lt;=14,"10-14 литров",IF(O206&lt;=19,"15-19 литров",IF(O206&lt;=29,"20-29 литров",IF(O206&lt;=49,"30-49 литров",IF(O206&lt;=59,"50-59 литров",IF(O206&lt;=70,"60-69 литров",IF(O206&lt;=79,"70-79 литров",IF(O206&lt;=89,"80-89 литров",IF(O206&lt;=99,"90-99 литров",IF(O206&lt;=200,"100-200 литров","200+ литров"))))))))))))))))</f>
        <v/>
      </c>
    </row>
    <row r="207">
      <c r="A207" s="64" t="n">
        <v>1.49</v>
      </c>
      <c r="B207" s="65">
        <f>A207*1.2</f>
        <v/>
      </c>
      <c r="C207" s="109" t="n">
        <v>207</v>
      </c>
      <c r="D207" s="116" t="inlineStr">
        <is>
          <t>У</t>
        </is>
      </c>
      <c r="E207" s="88" t="inlineStr">
        <is>
          <t>429х357х175</t>
        </is>
      </c>
      <c r="G207" s="83" t="inlineStr">
        <is>
          <t>Ч</t>
        </is>
      </c>
      <c r="H207" s="146" t="inlineStr">
        <is>
          <t>х</t>
        </is>
      </c>
      <c r="I207" s="83" t="inlineStr">
        <is>
          <t>В</t>
        </is>
      </c>
      <c r="J207" s="83" t="inlineStr">
        <is>
          <t>У</t>
        </is>
      </c>
      <c r="K207" s="116" t="inlineStr">
        <is>
          <t>K208</t>
        </is>
      </c>
      <c r="N207" s="239">
        <f>IF(D207="","",IF(LEFT(D207,1)="0",0,1))</f>
        <v/>
      </c>
      <c r="O207" s="80">
        <f>ROUND(R207*S207*T207/1000000,2)</f>
        <v/>
      </c>
      <c r="P207" s="160">
        <f>IF(O207="","",
IF(O207&lt;1,"0,1-0,9 литров",
IF(O207&lt;2,"1-1,9 литра",
IF(O207&lt;3,"2-2,9 литра",
IF(O207&lt;4,"3-3,9 литра",
IF(O207&lt;6,"4-5,9 литра",IF(O207&lt;8,"6-7,9 литра",IF(O207&lt;10,"8-9,9 литров",IF(O207&lt;15,"10-14,9 литров",IF(O207&lt;20,"15-19,9 литров",IF(O207&lt;30,"20-29 литров",IF(O207&lt;50,"30-49 литров",IF(O207&lt;60,"50-59 литров",IF(O207&lt;70,"60-69 литров",IF(O207&lt;80,"70-79 литров",IF(O207&lt;90,"80-89 литров",IF(O207&lt;100,"90-99 литров",IF(O207&lt;200,"100-200 литров","200+ литров"))))))))))))))))))</f>
        <v/>
      </c>
      <c r="Q207" s="101">
        <f>IF(O207="","",IF(O207&lt;1,"&lt;1 л",IF(O207&lt;2,"1-2 л",IF(O207&lt;3,"2-3 л",IF(O207&lt;5,"3-5 л",IF(O207&lt;10,"5-10 л",IF(O207&lt;20,"10-20 л",IF(O207&lt;50,"20-50 л",IF(O207&lt;100,"50-100 л","100+ л")))))))))</f>
        <v/>
      </c>
      <c r="R207" s="162">
        <f>IF(E207="","",--LEFT(E207,FIND("х",E207)-1))</f>
        <v/>
      </c>
      <c r="S207" s="162">
        <f>IF(E207="","",--MID(E207,FIND("х",E207)+1,FIND("х",E207,FIND("х",E207)+1)-FIND("х",E207)-1))</f>
        <v/>
      </c>
      <c r="T207" s="162">
        <f>IF(E207="","",--RIGHT(E207,LEN(E207)-FIND("х",E207,FIND("х",E207)+1)))</f>
        <v/>
      </c>
      <c r="U207" s="66">
        <f>(2*(R207+S207)+60)*(S207+T207+8)/1000000</f>
        <v/>
      </c>
      <c r="V207" s="66">
        <f>IF(OR(AND(R207&gt;=2*S207,R207&gt;=2*T207),AND(S207&gt;=2*R207,S207&gt;=2*T207),AND(T207&gt;=2*R207,T207&gt;=2*S207)),"Длинные","")</f>
        <v/>
      </c>
      <c r="W207" s="66">
        <f>IF(OR(AND(R207&lt;=S207/2,R207&lt;=T207/2),AND(S207&lt;=R207/2,S207&lt;=T207/2),AND(T207&lt;=R207/2,T207&lt;=S207/2)),"Плоские","")</f>
        <v/>
      </c>
      <c r="X207" s="160">
        <f>IF(LARGE($R207:$T207,1)="","",IF(LARGE($R207:$T207,1)&lt;=99,"10-99 мм",IF(LARGE($R207:$T207,1)&lt;=199,"100-199 мм",IF(LARGE($R207:$T207,1)&lt;=299,"200-299 мм",IF(LARGE($R207:$T207,1)&lt;=399,"300-399 мм",IF(LARGE($R207:$T207,1)&lt;=499,"400-499 мм",IF(LARGE($R207:$T207,1)&lt;=599,"500-599 мм",IF(LARGE($R207:$T207,1)&lt;=699,"600-699 мм",IF(LARGE($R207:$T207,1)&lt;=999,"700-999 мм","1000+ мм")))))))))</f>
        <v/>
      </c>
      <c r="Y207" s="160">
        <f>IF(LARGE($R207:$T207,2)="","",IF(LARGE($R207:$T207,2)&lt;=99,"10-99 мм",IF(LARGE($R207:$T207,2)&lt;=199,"100-199 мм",IF(LARGE($R207:$T207,2)&lt;=299,"200-299 мм",IF(LARGE($R207:$T207,2)&lt;=399,"300-399 мм",IF(LARGE($R207:$T207,2)&lt;=499,"400-499 мм",IF(LARGE($R207:$T207,2)&lt;=599,"500-599 мм",IF(LARGE($R207:$T207,2)&lt;=699,"600-699 мм",IF(LARGE($R207:$T207,2)&lt;=999,"700-999 мм","1000+ мм")))))))))</f>
        <v/>
      </c>
      <c r="Z207" s="160">
        <f>IF(SMALL($R207:$T207,1)="","",IF(SMALL($R207:$T207,1)&lt;=99,"10-99 мм",IF(SMALL($R207:$T207,1)&lt;=199,"100-199 мм",IF(SMALL($R207:$T207,1)&lt;=299,"200-299 мм",IF(SMALL($R207:$T207,1)&lt;=399,"300-399 мм",IF(SMALL($R207:$T207,1)&lt;=499,"400-499 мм",IF(SMALL($R207:$T207,1)&lt;=599,"500-599 мм",IF(SMALL($R207:$T207,1)&lt;=699,"600-699 мм",IF(SMALL($R207:$T207,1)&lt;=999,"700-999 мм","1000+ мм")))))))))</f>
        <v/>
      </c>
      <c r="AA207" s="101">
        <f>IF(G207="","",IF(G207="Л","Лист гофрокартона",IF(G207="КД","Крышка-дно",IF(G207="С","Самосборные",IF(G207="Ч","Четырехклапанные",IF(G207="А","Архивные","Неизвестно"))))))</f>
        <v/>
      </c>
      <c r="AB207" s="66" t="n">
        <v>1.73</v>
      </c>
      <c r="AC207" s="101">
        <f>IF(O207="","",IF(O207&lt;=1,"0-1 литров",IF(O207&lt;=3,"2-3 литра",IF(O207&lt;=5,"4-5 литра",IF(O207&lt;=7,"6-7 литра",IF(O207&lt;=9,"8-9 литров",IF(O207&lt;=14,"10-14 литров",IF(O207&lt;=19,"15-19 литров",IF(O207&lt;=29,"20-29 литров",IF(O207&lt;=49,"30-49 литров",IF(O207&lt;=59,"50-59 литров",IF(O207&lt;=70,"60-69 литров",IF(O207&lt;=79,"70-79 литров",IF(O207&lt;=89,"80-89 литров",IF(O207&lt;=99,"90-99 литров",IF(O207&lt;=200,"100-200 литров","200+ литров"))))))))))))))))</f>
        <v/>
      </c>
    </row>
    <row r="208">
      <c r="A208" s="64" t="n">
        <v>1.64</v>
      </c>
      <c r="B208" s="65">
        <f>A208*1.2</f>
        <v/>
      </c>
      <c r="C208" s="109" t="n">
        <v>208</v>
      </c>
      <c r="D208" s="116" t="inlineStr">
        <is>
          <t>У</t>
        </is>
      </c>
      <c r="E208" s="88" t="inlineStr">
        <is>
          <t>385х383х216</t>
        </is>
      </c>
      <c r="G208" s="83" t="inlineStr">
        <is>
          <t>Ч</t>
        </is>
      </c>
      <c r="H208" s="146" t="inlineStr">
        <is>
          <t>х</t>
        </is>
      </c>
      <c r="I208" s="83" t="inlineStr">
        <is>
          <t>В</t>
        </is>
      </c>
      <c r="J208" s="83" t="inlineStr">
        <is>
          <t>У</t>
        </is>
      </c>
      <c r="K208" s="116" t="inlineStr">
        <is>
          <t>K209</t>
        </is>
      </c>
      <c r="N208" s="239">
        <f>IF(D208="","",IF(LEFT(D208,1)="0",0,1))</f>
        <v/>
      </c>
      <c r="O208" s="80">
        <f>ROUND(R208*S208*T208/1000000,2)</f>
        <v/>
      </c>
      <c r="P208" s="160">
        <f>IF(O208="","",
IF(O208&lt;1,"0,1-0,9 литров",
IF(O208&lt;2,"1-1,9 литра",
IF(O208&lt;3,"2-2,9 литра",
IF(O208&lt;4,"3-3,9 литра",
IF(O208&lt;6,"4-5,9 литра",IF(O208&lt;8,"6-7,9 литра",IF(O208&lt;10,"8-9,9 литров",IF(O208&lt;15,"10-14,9 литров",IF(O208&lt;20,"15-19,9 литров",IF(O208&lt;30,"20-29 литров",IF(O208&lt;50,"30-49 литров",IF(O208&lt;60,"50-59 литров",IF(O208&lt;70,"60-69 литров",IF(O208&lt;80,"70-79 литров",IF(O208&lt;90,"80-89 литров",IF(O208&lt;100,"90-99 литров",IF(O208&lt;200,"100-200 литров","200+ литров"))))))))))))))))))</f>
        <v/>
      </c>
      <c r="Q208" s="101">
        <f>IF(O208="","",IF(O208&lt;1,"&lt;1 л",IF(O208&lt;2,"1-2 л",IF(O208&lt;3,"2-3 л",IF(O208&lt;5,"3-5 л",IF(O208&lt;10,"5-10 л",IF(O208&lt;20,"10-20 л",IF(O208&lt;50,"20-50 л",IF(O208&lt;100,"50-100 л","100+ л")))))))))</f>
        <v/>
      </c>
      <c r="R208" s="162">
        <f>IF(E208="","",--LEFT(E208,FIND("х",E208)-1))</f>
        <v/>
      </c>
      <c r="S208" s="162">
        <f>IF(E208="","",--MID(E208,FIND("х",E208)+1,FIND("х",E208,FIND("х",E208)+1)-FIND("х",E208)-1))</f>
        <v/>
      </c>
      <c r="T208" s="162">
        <f>IF(E208="","",--RIGHT(E208,LEN(E208)-FIND("х",E208,FIND("х",E208)+1)))</f>
        <v/>
      </c>
      <c r="U208" s="66">
        <f>(2*(R208+S208)+60)*(S208+T208+8)/1000000</f>
        <v/>
      </c>
      <c r="V208" s="66">
        <f>IF(OR(AND(R208&gt;=2*S208,R208&gt;=2*T208),AND(S208&gt;=2*R208,S208&gt;=2*T208),AND(T208&gt;=2*R208,T208&gt;=2*S208)),"Длинные","")</f>
        <v/>
      </c>
      <c r="W208" s="66">
        <f>IF(OR(AND(R208&lt;=S208/2,R208&lt;=T208/2),AND(S208&lt;=R208/2,S208&lt;=T208/2),AND(T208&lt;=R208/2,T208&lt;=S208/2)),"Плоские","")</f>
        <v/>
      </c>
      <c r="X208" s="160">
        <f>IF(LARGE($R208:$T208,1)="","",IF(LARGE($R208:$T208,1)&lt;=99,"10-99 мм",IF(LARGE($R208:$T208,1)&lt;=199,"100-199 мм",IF(LARGE($R208:$T208,1)&lt;=299,"200-299 мм",IF(LARGE($R208:$T208,1)&lt;=399,"300-399 мм",IF(LARGE($R208:$T208,1)&lt;=499,"400-499 мм",IF(LARGE($R208:$T208,1)&lt;=599,"500-599 мм",IF(LARGE($R208:$T208,1)&lt;=699,"600-699 мм",IF(LARGE($R208:$T208,1)&lt;=999,"700-999 мм","1000+ мм")))))))))</f>
        <v/>
      </c>
      <c r="Y208" s="160">
        <f>IF(LARGE($R208:$T208,2)="","",IF(LARGE($R208:$T208,2)&lt;=99,"10-99 мм",IF(LARGE($R208:$T208,2)&lt;=199,"100-199 мм",IF(LARGE($R208:$T208,2)&lt;=299,"200-299 мм",IF(LARGE($R208:$T208,2)&lt;=399,"300-399 мм",IF(LARGE($R208:$T208,2)&lt;=499,"400-499 мм",IF(LARGE($R208:$T208,2)&lt;=599,"500-599 мм",IF(LARGE($R208:$T208,2)&lt;=699,"600-699 мм",IF(LARGE($R208:$T208,2)&lt;=999,"700-999 мм","1000+ мм")))))))))</f>
        <v/>
      </c>
      <c r="Z208" s="160">
        <f>IF(SMALL($R208:$T208,1)="","",IF(SMALL($R208:$T208,1)&lt;=99,"10-99 мм",IF(SMALL($R208:$T208,1)&lt;=199,"100-199 мм",IF(SMALL($R208:$T208,1)&lt;=299,"200-299 мм",IF(SMALL($R208:$T208,1)&lt;=399,"300-399 мм",IF(SMALL($R208:$T208,1)&lt;=499,"400-499 мм",IF(SMALL($R208:$T208,1)&lt;=599,"500-599 мм",IF(SMALL($R208:$T208,1)&lt;=699,"600-699 мм",IF(SMALL($R208:$T208,1)&lt;=999,"700-999 мм","1000+ мм")))))))))</f>
        <v/>
      </c>
      <c r="AA208" s="101">
        <f>IF(G208="","",IF(G208="Л","Лист гофрокартона",IF(G208="КД","Крышка-дно",IF(G208="С","Самосборные",IF(G208="Ч","Четырехклапанные",IF(G208="А","Архивные","Неизвестно"))))))</f>
        <v/>
      </c>
      <c r="AB208" s="66" t="n">
        <v>1.73</v>
      </c>
      <c r="AC208" s="101">
        <f>IF(O208="","",IF(O208&lt;=1,"0-1 литров",IF(O208&lt;=3,"2-3 литра",IF(O208&lt;=5,"4-5 литра",IF(O208&lt;=7,"6-7 литра",IF(O208&lt;=9,"8-9 литров",IF(O208&lt;=14,"10-14 литров",IF(O208&lt;=19,"15-19 литров",IF(O208&lt;=29,"20-29 литров",IF(O208&lt;=49,"30-49 литров",IF(O208&lt;=59,"50-59 литров",IF(O208&lt;=70,"60-69 литров",IF(O208&lt;=79,"70-79 литров",IF(O208&lt;=89,"80-89 литров",IF(O208&lt;=99,"90-99 литров",IF(O208&lt;=200,"100-200 литров","200+ литров"))))))))))))))))</f>
        <v/>
      </c>
    </row>
    <row r="209">
      <c r="A209" s="64" t="n">
        <v>0.28</v>
      </c>
      <c r="B209" s="65">
        <f>A209*1.2</f>
        <v/>
      </c>
      <c r="C209" s="109" t="n">
        <v>209</v>
      </c>
      <c r="D209" s="116" t="inlineStr">
        <is>
          <t>У</t>
        </is>
      </c>
      <c r="E209" s="88" t="inlineStr">
        <is>
          <t>115х100х80</t>
        </is>
      </c>
      <c r="G209" s="83" t="inlineStr">
        <is>
          <t>КД</t>
        </is>
      </c>
      <c r="H209" s="146" t="inlineStr">
        <is>
          <t>0330</t>
        </is>
      </c>
      <c r="I209" s="83" t="inlineStr">
        <is>
          <t>Е</t>
        </is>
      </c>
      <c r="J209" s="83" t="inlineStr">
        <is>
          <t>У</t>
        </is>
      </c>
      <c r="K209" s="116" t="inlineStr">
        <is>
          <t>K210</t>
        </is>
      </c>
      <c r="N209" s="239">
        <f>IF(D209="","",IF(LEFT(D209,1)="0",0,1))</f>
        <v/>
      </c>
      <c r="O209" s="80">
        <f>ROUND(R209*S209*T209/1000000,2)</f>
        <v/>
      </c>
      <c r="P209" s="160">
        <f>IF(O209="","",
IF(O209&lt;1,"0,1-0,9 литров",
IF(O209&lt;2,"1-1,9 литра",
IF(O209&lt;3,"2-2,9 литра",
IF(O209&lt;4,"3-3,9 литра",
IF(O209&lt;6,"4-5,9 литра",IF(O209&lt;8,"6-7,9 литра",IF(O209&lt;10,"8-9,9 литров",IF(O209&lt;15,"10-14,9 литров",IF(O209&lt;20,"15-19,9 литров",IF(O209&lt;30,"20-29 литров",IF(O209&lt;50,"30-49 литров",IF(O209&lt;60,"50-59 литров",IF(O209&lt;70,"60-69 литров",IF(O209&lt;80,"70-79 литров",IF(O209&lt;90,"80-89 литров",IF(O209&lt;100,"90-99 литров",IF(O209&lt;200,"100-200 литров","200+ литров"))))))))))))))))))</f>
        <v/>
      </c>
      <c r="Q209" s="101">
        <f>IF(O209="","",IF(O209&lt;1,"&lt;1 л",IF(O209&lt;2,"1-2 л",IF(O209&lt;3,"2-3 л",IF(O209&lt;5,"3-5 л",IF(O209&lt;10,"5-10 л",IF(O209&lt;20,"10-20 л",IF(O209&lt;50,"20-50 л",IF(O209&lt;100,"50-100 л","100+ л")))))))))</f>
        <v/>
      </c>
      <c r="R209" s="162">
        <f>IF(E209="","",--LEFT(E209,FIND("х",E209)-1))</f>
        <v/>
      </c>
      <c r="S209" s="162">
        <f>IF(E209="","",--MID(E209,FIND("х",E209)+1,FIND("х",E209,FIND("х",E209)+1)-FIND("х",E209)-1))</f>
        <v/>
      </c>
      <c r="T209" s="162">
        <f>IF(E209="","",--RIGHT(E209,LEN(E209)-FIND("х",E209,FIND("х",E209)+1)))</f>
        <v/>
      </c>
      <c r="U209" s="66">
        <f>(2*(R209+S209)+60)*(S209+T209+8)/1000000</f>
        <v/>
      </c>
      <c r="V209" s="66">
        <f>IF(OR(AND(R209&gt;=2*S209,R209&gt;=2*T209),AND(S209&gt;=2*R209,S209&gt;=2*T209),AND(T209&gt;=2*R209,T209&gt;=2*S209)),"Длинные","")</f>
        <v/>
      </c>
      <c r="W209" s="66">
        <f>IF(OR(AND(R209&lt;=S209/2,R209&lt;=T209/2),AND(S209&lt;=R209/2,S209&lt;=T209/2),AND(T209&lt;=R209/2,T209&lt;=S209/2)),"Плоские","")</f>
        <v/>
      </c>
      <c r="X209" s="160">
        <f>IF(LARGE($R209:$T209,1)="","",IF(LARGE($R209:$T209,1)&lt;=99,"10-99 мм",IF(LARGE($R209:$T209,1)&lt;=199,"100-199 мм",IF(LARGE($R209:$T209,1)&lt;=299,"200-299 мм",IF(LARGE($R209:$T209,1)&lt;=399,"300-399 мм",IF(LARGE($R209:$T209,1)&lt;=499,"400-499 мм",IF(LARGE($R209:$T209,1)&lt;=599,"500-599 мм",IF(LARGE($R209:$T209,1)&lt;=699,"600-699 мм",IF(LARGE($R209:$T209,1)&lt;=999,"700-999 мм","1000+ мм")))))))))</f>
        <v/>
      </c>
      <c r="Y209" s="160">
        <f>IF(LARGE($R209:$T209,2)="","",IF(LARGE($R209:$T209,2)&lt;=99,"10-99 мм",IF(LARGE($R209:$T209,2)&lt;=199,"100-199 мм",IF(LARGE($R209:$T209,2)&lt;=299,"200-299 мм",IF(LARGE($R209:$T209,2)&lt;=399,"300-399 мм",IF(LARGE($R209:$T209,2)&lt;=499,"400-499 мм",IF(LARGE($R209:$T209,2)&lt;=599,"500-599 мм",IF(LARGE($R209:$T209,2)&lt;=699,"600-699 мм",IF(LARGE($R209:$T209,2)&lt;=999,"700-999 мм","1000+ мм")))))))))</f>
        <v/>
      </c>
      <c r="Z209" s="160">
        <f>IF(SMALL($R209:$T209,1)="","",IF(SMALL($R209:$T209,1)&lt;=99,"10-99 мм",IF(SMALL($R209:$T209,1)&lt;=199,"100-199 мм",IF(SMALL($R209:$T209,1)&lt;=299,"200-299 мм",IF(SMALL($R209:$T209,1)&lt;=399,"300-399 мм",IF(SMALL($R209:$T209,1)&lt;=499,"400-499 мм",IF(SMALL($R209:$T209,1)&lt;=599,"500-599 мм",IF(SMALL($R209:$T209,1)&lt;=699,"600-699 мм",IF(SMALL($R209:$T209,1)&lt;=999,"700-999 мм","1000+ мм")))))))))</f>
        <v/>
      </c>
      <c r="AA209" s="101">
        <f>IF(G209="","",IF(G209="Л","Лист гофрокартона",IF(G209="КД","Крышка-дно",IF(G209="С","Самосборные",IF(G209="Ч","Четырехклапанные",IF(G209="А","Архивные","Неизвестно"))))))</f>
        <v/>
      </c>
      <c r="AB209" s="66" t="n">
        <v>1.73</v>
      </c>
      <c r="AC209" s="101">
        <f>IF(O209="","",IF(O209&lt;=1,"0-1 литров",IF(O209&lt;=3,"2-3 литра",IF(O209&lt;=5,"4-5 литра",IF(O209&lt;=7,"6-7 литра",IF(O209&lt;=9,"8-9 литров",IF(O209&lt;=14,"10-14 литров",IF(O209&lt;=19,"15-19 литров",IF(O209&lt;=29,"20-29 литров",IF(O209&lt;=49,"30-49 литров",IF(O209&lt;=59,"50-59 литров",IF(O209&lt;=70,"60-69 литров",IF(O209&lt;=79,"70-79 литров",IF(O209&lt;=89,"80-89 литров",IF(O209&lt;=99,"90-99 литров",IF(O209&lt;=200,"100-200 литров","200+ литров"))))))))))))))))</f>
        <v/>
      </c>
    </row>
    <row r="210">
      <c r="A210" s="64" t="n">
        <v>0.8100000000000001</v>
      </c>
      <c r="B210" s="65">
        <f>A210*1.2</f>
        <v/>
      </c>
      <c r="C210" s="109" t="n">
        <v>210</v>
      </c>
      <c r="D210" s="116" t="inlineStr">
        <is>
          <t>У</t>
        </is>
      </c>
      <c r="E210" s="88" t="inlineStr">
        <is>
          <t>235х225х117</t>
        </is>
      </c>
      <c r="G210" s="83" t="inlineStr">
        <is>
          <t>КД</t>
        </is>
      </c>
      <c r="H210" s="146" t="inlineStr">
        <is>
          <t>0330</t>
        </is>
      </c>
      <c r="I210" s="83" t="inlineStr">
        <is>
          <t>Е</t>
        </is>
      </c>
      <c r="J210" s="83" t="inlineStr">
        <is>
          <t>У</t>
        </is>
      </c>
      <c r="K210" s="116" t="inlineStr">
        <is>
          <t>K211</t>
        </is>
      </c>
      <c r="N210" s="239">
        <f>IF(D210="","",IF(LEFT(D210,1)="0",0,1))</f>
        <v/>
      </c>
      <c r="O210" s="80">
        <f>ROUND(R210*S210*T210/1000000,2)</f>
        <v/>
      </c>
      <c r="P210" s="160">
        <f>IF(O210="","",
IF(O210&lt;1,"0,1-0,9 литров",
IF(O210&lt;2,"1-1,9 литра",
IF(O210&lt;3,"2-2,9 литра",
IF(O210&lt;4,"3-3,9 литра",
IF(O210&lt;6,"4-5,9 литра",IF(O210&lt;8,"6-7,9 литра",IF(O210&lt;10,"8-9,9 литров",IF(O210&lt;15,"10-14,9 литров",IF(O210&lt;20,"15-19,9 литров",IF(O210&lt;30,"20-29 литров",IF(O210&lt;50,"30-49 литров",IF(O210&lt;60,"50-59 литров",IF(O210&lt;70,"60-69 литров",IF(O210&lt;80,"70-79 литров",IF(O210&lt;90,"80-89 литров",IF(O210&lt;100,"90-99 литров",IF(O210&lt;200,"100-200 литров","200+ литров"))))))))))))))))))</f>
        <v/>
      </c>
      <c r="Q210" s="101">
        <f>IF(O210="","",IF(O210&lt;1,"&lt;1 л",IF(O210&lt;2,"1-2 л",IF(O210&lt;3,"2-3 л",IF(O210&lt;5,"3-5 л",IF(O210&lt;10,"5-10 л",IF(O210&lt;20,"10-20 л",IF(O210&lt;50,"20-50 л",IF(O210&lt;100,"50-100 л","100+ л")))))))))</f>
        <v/>
      </c>
      <c r="R210" s="162">
        <f>IF(E210="","",--LEFT(E210,FIND("х",E210)-1))</f>
        <v/>
      </c>
      <c r="S210" s="162">
        <f>IF(E210="","",--MID(E210,FIND("х",E210)+1,FIND("х",E210,FIND("х",E210)+1)-FIND("х",E210)-1))</f>
        <v/>
      </c>
      <c r="T210" s="162">
        <f>IF(E210="","",--RIGHT(E210,LEN(E210)-FIND("х",E210,FIND("х",E210)+1)))</f>
        <v/>
      </c>
      <c r="U210" s="66">
        <f>(2*(R210+S210)+60)*(S210+T210+8)/1000000</f>
        <v/>
      </c>
      <c r="V210" s="66">
        <f>IF(OR(AND(R210&gt;=2*S210,R210&gt;=2*T210),AND(S210&gt;=2*R210,S210&gt;=2*T210),AND(T210&gt;=2*R210,T210&gt;=2*S210)),"Длинные","")</f>
        <v/>
      </c>
      <c r="W210" s="66">
        <f>IF(OR(AND(R210&lt;=S210/2,R210&lt;=T210/2),AND(S210&lt;=R210/2,S210&lt;=T210/2),AND(T210&lt;=R210/2,T210&lt;=S210/2)),"Плоские","")</f>
        <v/>
      </c>
      <c r="X210" s="160">
        <f>IF(LARGE($R210:$T210,1)="","",IF(LARGE($R210:$T210,1)&lt;=99,"10-99 мм",IF(LARGE($R210:$T210,1)&lt;=199,"100-199 мм",IF(LARGE($R210:$T210,1)&lt;=299,"200-299 мм",IF(LARGE($R210:$T210,1)&lt;=399,"300-399 мм",IF(LARGE($R210:$T210,1)&lt;=499,"400-499 мм",IF(LARGE($R210:$T210,1)&lt;=599,"500-599 мм",IF(LARGE($R210:$T210,1)&lt;=699,"600-699 мм",IF(LARGE($R210:$T210,1)&lt;=999,"700-999 мм","1000+ мм")))))))))</f>
        <v/>
      </c>
      <c r="Y210" s="160">
        <f>IF(LARGE($R210:$T210,2)="","",IF(LARGE($R210:$T210,2)&lt;=99,"10-99 мм",IF(LARGE($R210:$T210,2)&lt;=199,"100-199 мм",IF(LARGE($R210:$T210,2)&lt;=299,"200-299 мм",IF(LARGE($R210:$T210,2)&lt;=399,"300-399 мм",IF(LARGE($R210:$T210,2)&lt;=499,"400-499 мм",IF(LARGE($R210:$T210,2)&lt;=599,"500-599 мм",IF(LARGE($R210:$T210,2)&lt;=699,"600-699 мм",IF(LARGE($R210:$T210,2)&lt;=999,"700-999 мм","1000+ мм")))))))))</f>
        <v/>
      </c>
      <c r="Z210" s="160">
        <f>IF(SMALL($R210:$T210,1)="","",IF(SMALL($R210:$T210,1)&lt;=99,"10-99 мм",IF(SMALL($R210:$T210,1)&lt;=199,"100-199 мм",IF(SMALL($R210:$T210,1)&lt;=299,"200-299 мм",IF(SMALL($R210:$T210,1)&lt;=399,"300-399 мм",IF(SMALL($R210:$T210,1)&lt;=499,"400-499 мм",IF(SMALL($R210:$T210,1)&lt;=599,"500-599 мм",IF(SMALL($R210:$T210,1)&lt;=699,"600-699 мм",IF(SMALL($R210:$T210,1)&lt;=999,"700-999 мм","1000+ мм")))))))))</f>
        <v/>
      </c>
      <c r="AA210" s="101">
        <f>IF(G210="","",IF(G210="Л","Лист гофрокартона",IF(G210="КД","Крышка-дно",IF(G210="С","Самосборные",IF(G210="Ч","Четырехклапанные",IF(G210="А","Архивные","Неизвестно"))))))</f>
        <v/>
      </c>
      <c r="AB210" s="66" t="n">
        <v>1.73</v>
      </c>
      <c r="AC210" s="101">
        <f>IF(O210="","",IF(O210&lt;=1,"0-1 литров",IF(O210&lt;=3,"2-3 литра",IF(O210&lt;=5,"4-5 литра",IF(O210&lt;=7,"6-7 литра",IF(O210&lt;=9,"8-9 литров",IF(O210&lt;=14,"10-14 литров",IF(O210&lt;=19,"15-19 литров",IF(O210&lt;=29,"20-29 литров",IF(O210&lt;=49,"30-49 литров",IF(O210&lt;=59,"50-59 литров",IF(O210&lt;=70,"60-69 литров",IF(O210&lt;=79,"70-79 литров",IF(O210&lt;=89,"80-89 литров",IF(O210&lt;=99,"90-99 литров",IF(O210&lt;=200,"100-200 литров","200+ литров"))))))))))))))))</f>
        <v/>
      </c>
    </row>
    <row r="211">
      <c r="A211" s="64" t="n">
        <v>0.38</v>
      </c>
      <c r="B211" s="65">
        <f>A211*1.2</f>
        <v/>
      </c>
      <c r="C211" s="109" t="n">
        <v>211</v>
      </c>
      <c r="D211" s="116" t="inlineStr">
        <is>
          <t>У</t>
        </is>
      </c>
      <c r="E211" s="88" t="inlineStr">
        <is>
          <t>185х145х57</t>
        </is>
      </c>
      <c r="G211" s="83" t="inlineStr">
        <is>
          <t>С</t>
        </is>
      </c>
      <c r="H211" s="146" t="inlineStr">
        <is>
          <t>0427</t>
        </is>
      </c>
      <c r="I211" s="83" t="inlineStr">
        <is>
          <t>Е</t>
        </is>
      </c>
      <c r="J211" s="83" t="inlineStr">
        <is>
          <t>У</t>
        </is>
      </c>
      <c r="K211" s="116" t="inlineStr">
        <is>
          <t>K212</t>
        </is>
      </c>
      <c r="N211" s="239">
        <f>IF(D211="","",IF(LEFT(D211,1)="0",0,1))</f>
        <v/>
      </c>
      <c r="O211" s="80">
        <f>ROUND(R211*S211*T211/1000000,2)</f>
        <v/>
      </c>
      <c r="P211" s="160">
        <f>IF(O211="","",
IF(O211&lt;1,"0,1-0,9 литров",
IF(O211&lt;2,"1-1,9 литра",
IF(O211&lt;3,"2-2,9 литра",
IF(O211&lt;4,"3-3,9 литра",
IF(O211&lt;6,"4-5,9 литра",IF(O211&lt;8,"6-7,9 литра",IF(O211&lt;10,"8-9,9 литров",IF(O211&lt;15,"10-14,9 литров",IF(O211&lt;20,"15-19,9 литров",IF(O211&lt;30,"20-29 литров",IF(O211&lt;50,"30-49 литров",IF(O211&lt;60,"50-59 литров",IF(O211&lt;70,"60-69 литров",IF(O211&lt;80,"70-79 литров",IF(O211&lt;90,"80-89 литров",IF(O211&lt;100,"90-99 литров",IF(O211&lt;200,"100-200 литров","200+ литров"))))))))))))))))))</f>
        <v/>
      </c>
      <c r="Q211" s="101">
        <f>IF(O211="","",IF(O211&lt;1,"&lt;1 л",IF(O211&lt;2,"1-2 л",IF(O211&lt;3,"2-3 л",IF(O211&lt;5,"3-5 л",IF(O211&lt;10,"5-10 л",IF(O211&lt;20,"10-20 л",IF(O211&lt;50,"20-50 л",IF(O211&lt;100,"50-100 л","100+ л")))))))))</f>
        <v/>
      </c>
      <c r="R211" s="162">
        <f>IF(E211="","",--LEFT(E211,FIND("х",E211)-1))</f>
        <v/>
      </c>
      <c r="S211" s="162">
        <f>IF(E211="","",--MID(E211,FIND("х",E211)+1,FIND("х",E211,FIND("х",E211)+1)-FIND("х",E211)-1))</f>
        <v/>
      </c>
      <c r="T211" s="162">
        <f>IF(E211="","",--RIGHT(E211,LEN(E211)-FIND("х",E211,FIND("х",E211)+1)))</f>
        <v/>
      </c>
      <c r="U211" s="66">
        <f>(2*(R211+S211)+60)*(S211+T211+8)/1000000</f>
        <v/>
      </c>
      <c r="V211" s="66">
        <f>IF(OR(AND(R211&gt;=2*S211,R211&gt;=2*T211),AND(S211&gt;=2*R211,S211&gt;=2*T211),AND(T211&gt;=2*R211,T211&gt;=2*S211)),"Длинные","")</f>
        <v/>
      </c>
      <c r="W211" s="66">
        <f>IF(OR(AND(R211&lt;=S211/2,R211&lt;=T211/2),AND(S211&lt;=R211/2,S211&lt;=T211/2),AND(T211&lt;=R211/2,T211&lt;=S211/2)),"Плоские","")</f>
        <v/>
      </c>
      <c r="X211" s="160">
        <f>IF(LARGE($R211:$T211,1)="","",IF(LARGE($R211:$T211,1)&lt;=99,"10-99 мм",IF(LARGE($R211:$T211,1)&lt;=199,"100-199 мм",IF(LARGE($R211:$T211,1)&lt;=299,"200-299 мм",IF(LARGE($R211:$T211,1)&lt;=399,"300-399 мм",IF(LARGE($R211:$T211,1)&lt;=499,"400-499 мм",IF(LARGE($R211:$T211,1)&lt;=599,"500-599 мм",IF(LARGE($R211:$T211,1)&lt;=699,"600-699 мм",IF(LARGE($R211:$T211,1)&lt;=999,"700-999 мм","1000+ мм")))))))))</f>
        <v/>
      </c>
      <c r="Y211" s="160">
        <f>IF(LARGE($R211:$T211,2)="","",IF(LARGE($R211:$T211,2)&lt;=99,"10-99 мм",IF(LARGE($R211:$T211,2)&lt;=199,"100-199 мм",IF(LARGE($R211:$T211,2)&lt;=299,"200-299 мм",IF(LARGE($R211:$T211,2)&lt;=399,"300-399 мм",IF(LARGE($R211:$T211,2)&lt;=499,"400-499 мм",IF(LARGE($R211:$T211,2)&lt;=599,"500-599 мм",IF(LARGE($R211:$T211,2)&lt;=699,"600-699 мм",IF(LARGE($R211:$T211,2)&lt;=999,"700-999 мм","1000+ мм")))))))))</f>
        <v/>
      </c>
      <c r="Z211" s="160">
        <f>IF(SMALL($R211:$T211,1)="","",IF(SMALL($R211:$T211,1)&lt;=99,"10-99 мм",IF(SMALL($R211:$T211,1)&lt;=199,"100-199 мм",IF(SMALL($R211:$T211,1)&lt;=299,"200-299 мм",IF(SMALL($R211:$T211,1)&lt;=399,"300-399 мм",IF(SMALL($R211:$T211,1)&lt;=499,"400-499 мм",IF(SMALL($R211:$T211,1)&lt;=599,"500-599 мм",IF(SMALL($R211:$T211,1)&lt;=699,"600-699 мм",IF(SMALL($R211:$T211,1)&lt;=999,"700-999 мм","1000+ мм")))))))))</f>
        <v/>
      </c>
      <c r="AA211" s="101">
        <f>IF(G211="","",IF(G211="Л","Лист гофрокартона",IF(G211="КД","Крышка-дно",IF(G211="С","Самосборные",IF(G211="Ч","Четырехклапанные",IF(G211="А","Архивные","Неизвестно"))))))</f>
        <v/>
      </c>
      <c r="AB211" s="66" t="n">
        <v>1.73</v>
      </c>
      <c r="AC211" s="101">
        <f>IF(O211="","",IF(O211&lt;=1,"0-1 литров",IF(O211&lt;=3,"2-3 литра",IF(O211&lt;=5,"4-5 литра",IF(O211&lt;=7,"6-7 литра",IF(O211&lt;=9,"8-9 литров",IF(O211&lt;=14,"10-14 литров",IF(O211&lt;=19,"15-19 литров",IF(O211&lt;=29,"20-29 литров",IF(O211&lt;=49,"30-49 литров",IF(O211&lt;=59,"50-59 литров",IF(O211&lt;=70,"60-69 литров",IF(O211&lt;=79,"70-79 литров",IF(O211&lt;=89,"80-89 литров",IF(O211&lt;=99,"90-99 литров",IF(O211&lt;=200,"100-200 литров","200+ литров"))))))))))))))))</f>
        <v/>
      </c>
    </row>
    <row r="212">
      <c r="A212" s="64" t="n">
        <v>0.55</v>
      </c>
      <c r="B212" s="65">
        <f>A212*1.2</f>
        <v/>
      </c>
      <c r="C212" s="109" t="n">
        <v>212</v>
      </c>
      <c r="D212" s="116" t="inlineStr">
        <is>
          <t>У</t>
        </is>
      </c>
      <c r="E212" s="88" t="inlineStr">
        <is>
          <t>280х190х55</t>
        </is>
      </c>
      <c r="G212" s="83" t="inlineStr">
        <is>
          <t>С</t>
        </is>
      </c>
      <c r="H212" s="146" t="inlineStr">
        <is>
          <t>0427</t>
        </is>
      </c>
      <c r="I212" s="83" t="inlineStr">
        <is>
          <t>Е</t>
        </is>
      </c>
      <c r="J212" s="83" t="inlineStr">
        <is>
          <t>У</t>
        </is>
      </c>
      <c r="K212" s="116" t="inlineStr">
        <is>
          <t>K213</t>
        </is>
      </c>
      <c r="N212" s="239">
        <f>IF(D212="","",IF(LEFT(D212,1)="0",0,1))</f>
        <v/>
      </c>
      <c r="O212" s="80">
        <f>ROUND(R212*S212*T212/1000000,2)</f>
        <v/>
      </c>
      <c r="P212" s="160">
        <f>IF(O212="","",
IF(O212&lt;1,"0,1-0,9 литров",
IF(O212&lt;2,"1-1,9 литра",
IF(O212&lt;3,"2-2,9 литра",
IF(O212&lt;4,"3-3,9 литра",
IF(O212&lt;6,"4-5,9 литра",IF(O212&lt;8,"6-7,9 литра",IF(O212&lt;10,"8-9,9 литров",IF(O212&lt;15,"10-14,9 литров",IF(O212&lt;20,"15-19,9 литров",IF(O212&lt;30,"20-29 литров",IF(O212&lt;50,"30-49 литров",IF(O212&lt;60,"50-59 литров",IF(O212&lt;70,"60-69 литров",IF(O212&lt;80,"70-79 литров",IF(O212&lt;90,"80-89 литров",IF(O212&lt;100,"90-99 литров",IF(O212&lt;200,"100-200 литров","200+ литров"))))))))))))))))))</f>
        <v/>
      </c>
      <c r="Q212" s="101">
        <f>IF(O212="","",IF(O212&lt;1,"&lt;1 л",IF(O212&lt;2,"1-2 л",IF(O212&lt;3,"2-3 л",IF(O212&lt;5,"3-5 л",IF(O212&lt;10,"5-10 л",IF(O212&lt;20,"10-20 л",IF(O212&lt;50,"20-50 л",IF(O212&lt;100,"50-100 л","100+ л")))))))))</f>
        <v/>
      </c>
      <c r="R212" s="162">
        <f>IF(E212="","",--LEFT(E212,FIND("х",E212)-1))</f>
        <v/>
      </c>
      <c r="S212" s="162">
        <f>IF(E212="","",--MID(E212,FIND("х",E212)+1,FIND("х",E212,FIND("х",E212)+1)-FIND("х",E212)-1))</f>
        <v/>
      </c>
      <c r="T212" s="162">
        <f>IF(E212="","",--RIGHT(E212,LEN(E212)-FIND("х",E212,FIND("х",E212)+1)))</f>
        <v/>
      </c>
      <c r="U212" s="66">
        <f>(2*(R212+S212)+60)*(S212+T212+8)/1000000</f>
        <v/>
      </c>
      <c r="V212" s="66">
        <f>IF(OR(AND(R212&gt;=2*S212,R212&gt;=2*T212),AND(S212&gt;=2*R212,S212&gt;=2*T212),AND(T212&gt;=2*R212,T212&gt;=2*S212)),"Длинные","")</f>
        <v/>
      </c>
      <c r="W212" s="66">
        <f>IF(OR(AND(R212&lt;=S212/2,R212&lt;=T212/2),AND(S212&lt;=R212/2,S212&lt;=T212/2),AND(T212&lt;=R212/2,T212&lt;=S212/2)),"Плоские","")</f>
        <v/>
      </c>
      <c r="X212" s="160">
        <f>IF(LARGE($R212:$T212,1)="","",IF(LARGE($R212:$T212,1)&lt;=99,"10-99 мм",IF(LARGE($R212:$T212,1)&lt;=199,"100-199 мм",IF(LARGE($R212:$T212,1)&lt;=299,"200-299 мм",IF(LARGE($R212:$T212,1)&lt;=399,"300-399 мм",IF(LARGE($R212:$T212,1)&lt;=499,"400-499 мм",IF(LARGE($R212:$T212,1)&lt;=599,"500-599 мм",IF(LARGE($R212:$T212,1)&lt;=699,"600-699 мм",IF(LARGE($R212:$T212,1)&lt;=999,"700-999 мм","1000+ мм")))))))))</f>
        <v/>
      </c>
      <c r="Y212" s="160">
        <f>IF(LARGE($R212:$T212,2)="","",IF(LARGE($R212:$T212,2)&lt;=99,"10-99 мм",IF(LARGE($R212:$T212,2)&lt;=199,"100-199 мм",IF(LARGE($R212:$T212,2)&lt;=299,"200-299 мм",IF(LARGE($R212:$T212,2)&lt;=399,"300-399 мм",IF(LARGE($R212:$T212,2)&lt;=499,"400-499 мм",IF(LARGE($R212:$T212,2)&lt;=599,"500-599 мм",IF(LARGE($R212:$T212,2)&lt;=699,"600-699 мм",IF(LARGE($R212:$T212,2)&lt;=999,"700-999 мм","1000+ мм")))))))))</f>
        <v/>
      </c>
      <c r="Z212" s="160">
        <f>IF(SMALL($R212:$T212,1)="","",IF(SMALL($R212:$T212,1)&lt;=99,"10-99 мм",IF(SMALL($R212:$T212,1)&lt;=199,"100-199 мм",IF(SMALL($R212:$T212,1)&lt;=299,"200-299 мм",IF(SMALL($R212:$T212,1)&lt;=399,"300-399 мм",IF(SMALL($R212:$T212,1)&lt;=499,"400-499 мм",IF(SMALL($R212:$T212,1)&lt;=599,"500-599 мм",IF(SMALL($R212:$T212,1)&lt;=699,"600-699 мм",IF(SMALL($R212:$T212,1)&lt;=999,"700-999 мм","1000+ мм")))))))))</f>
        <v/>
      </c>
      <c r="AA212" s="101">
        <f>IF(G212="","",IF(G212="Л","Лист гофрокартона",IF(G212="КД","Крышка-дно",IF(G212="С","Самосборные",IF(G212="Ч","Четырехклапанные",IF(G212="А","Архивные","Неизвестно"))))))</f>
        <v/>
      </c>
      <c r="AB212" s="66" t="n">
        <v>1.73</v>
      </c>
      <c r="AC212" s="101">
        <f>IF(O212="","",IF(O212&lt;=1,"0-1 литров",IF(O212&lt;=3,"2-3 литра",IF(O212&lt;=5,"4-5 литра",IF(O212&lt;=7,"6-7 литра",IF(O212&lt;=9,"8-9 литров",IF(O212&lt;=14,"10-14 литров",IF(O212&lt;=19,"15-19 литров",IF(O212&lt;=29,"20-29 литров",IF(O212&lt;=49,"30-49 литров",IF(O212&lt;=59,"50-59 литров",IF(O212&lt;=70,"60-69 литров",IF(O212&lt;=79,"70-79 литров",IF(O212&lt;=89,"80-89 литров",IF(O212&lt;=99,"90-99 литров",IF(O212&lt;=200,"100-200 литров","200+ литров"))))))))))))))))</f>
        <v/>
      </c>
    </row>
    <row r="213">
      <c r="A213" s="64" t="n">
        <v>0.88</v>
      </c>
      <c r="B213" s="65">
        <f>A213*1.2</f>
        <v/>
      </c>
      <c r="C213" s="109" t="n">
        <v>213</v>
      </c>
      <c r="D213" s="116" t="inlineStr">
        <is>
          <t>У</t>
        </is>
      </c>
      <c r="E213" s="88" t="inlineStr">
        <is>
          <t>290х225х90</t>
        </is>
      </c>
      <c r="G213" s="83" t="inlineStr">
        <is>
          <t>С</t>
        </is>
      </c>
      <c r="H213" s="146" t="inlineStr">
        <is>
          <t>0427</t>
        </is>
      </c>
      <c r="I213" s="83" t="inlineStr">
        <is>
          <t>E</t>
        </is>
      </c>
      <c r="J213" s="83" t="inlineStr">
        <is>
          <t>У</t>
        </is>
      </c>
      <c r="K213" s="116" t="inlineStr">
        <is>
          <t>K214</t>
        </is>
      </c>
      <c r="N213" s="239">
        <f>IF(D213="","",IF(LEFT(D213,1)="0",0,1))</f>
        <v/>
      </c>
      <c r="O213" s="80">
        <f>ROUND(R213*S213*T213/1000000,2)</f>
        <v/>
      </c>
      <c r="P213" s="160">
        <f>IF(O213="","",
IF(O213&lt;1,"0,1-0,9 литров",
IF(O213&lt;2,"1-1,9 литра",
IF(O213&lt;3,"2-2,9 литра",
IF(O213&lt;4,"3-3,9 литра",
IF(O213&lt;6,"4-5,9 литра",IF(O213&lt;8,"6-7,9 литра",IF(O213&lt;10,"8-9,9 литров",IF(O213&lt;15,"10-14,9 литров",IF(O213&lt;20,"15-19,9 литров",IF(O213&lt;30,"20-29 литров",IF(O213&lt;50,"30-49 литров",IF(O213&lt;60,"50-59 литров",IF(O213&lt;70,"60-69 литров",IF(O213&lt;80,"70-79 литров",IF(O213&lt;90,"80-89 литров",IF(O213&lt;100,"90-99 литров",IF(O213&lt;200,"100-200 литров","200+ литров"))))))))))))))))))</f>
        <v/>
      </c>
      <c r="Q213" s="101">
        <f>IF(O213="","",IF(O213&lt;1,"&lt;1 л",IF(O213&lt;2,"1-2 л",IF(O213&lt;3,"2-3 л",IF(O213&lt;5,"3-5 л",IF(O213&lt;10,"5-10 л",IF(O213&lt;20,"10-20 л",IF(O213&lt;50,"20-50 л",IF(O213&lt;100,"50-100 л","100+ л")))))))))</f>
        <v/>
      </c>
      <c r="R213" s="162">
        <f>IF(E213="","",--LEFT(E213,FIND("х",E213)-1))</f>
        <v/>
      </c>
      <c r="S213" s="162">
        <f>IF(E213="","",--MID(E213,FIND("х",E213)+1,FIND("х",E213,FIND("х",E213)+1)-FIND("х",E213)-1))</f>
        <v/>
      </c>
      <c r="T213" s="162">
        <f>IF(E213="","",--RIGHT(E213,LEN(E213)-FIND("х",E213,FIND("х",E213)+1)))</f>
        <v/>
      </c>
      <c r="U213" s="66">
        <f>(2*(R213+S213)+60)*(S213+T213+8)/1000000</f>
        <v/>
      </c>
      <c r="V213" s="66">
        <f>IF(OR(AND(R213&gt;=2*S213,R213&gt;=2*T213),AND(S213&gt;=2*R213,S213&gt;=2*T213),AND(T213&gt;=2*R213,T213&gt;=2*S213)),"Длинные","")</f>
        <v/>
      </c>
      <c r="W213" s="66">
        <f>IF(OR(AND(R213&lt;=S213/2,R213&lt;=T213/2),AND(S213&lt;=R213/2,S213&lt;=T213/2),AND(T213&lt;=R213/2,T213&lt;=S213/2)),"Плоские","")</f>
        <v/>
      </c>
      <c r="X213" s="160">
        <f>IF(LARGE($R213:$T213,1)="","",IF(LARGE($R213:$T213,1)&lt;=99,"10-99 мм",IF(LARGE($R213:$T213,1)&lt;=199,"100-199 мм",IF(LARGE($R213:$T213,1)&lt;=299,"200-299 мм",IF(LARGE($R213:$T213,1)&lt;=399,"300-399 мм",IF(LARGE($R213:$T213,1)&lt;=499,"400-499 мм",IF(LARGE($R213:$T213,1)&lt;=599,"500-599 мм",IF(LARGE($R213:$T213,1)&lt;=699,"600-699 мм",IF(LARGE($R213:$T213,1)&lt;=999,"700-999 мм","1000+ мм")))))))))</f>
        <v/>
      </c>
      <c r="Y213" s="160">
        <f>IF(LARGE($R213:$T213,2)="","",IF(LARGE($R213:$T213,2)&lt;=99,"10-99 мм",IF(LARGE($R213:$T213,2)&lt;=199,"100-199 мм",IF(LARGE($R213:$T213,2)&lt;=299,"200-299 мм",IF(LARGE($R213:$T213,2)&lt;=399,"300-399 мм",IF(LARGE($R213:$T213,2)&lt;=499,"400-499 мм",IF(LARGE($R213:$T213,2)&lt;=599,"500-599 мм",IF(LARGE($R213:$T213,2)&lt;=699,"600-699 мм",IF(LARGE($R213:$T213,2)&lt;=999,"700-999 мм","1000+ мм")))))))))</f>
        <v/>
      </c>
      <c r="Z213" s="160">
        <f>IF(SMALL($R213:$T213,1)="","",IF(SMALL($R213:$T213,1)&lt;=99,"10-99 мм",IF(SMALL($R213:$T213,1)&lt;=199,"100-199 мм",IF(SMALL($R213:$T213,1)&lt;=299,"200-299 мм",IF(SMALL($R213:$T213,1)&lt;=399,"300-399 мм",IF(SMALL($R213:$T213,1)&lt;=499,"400-499 мм",IF(SMALL($R213:$T213,1)&lt;=599,"500-599 мм",IF(SMALL($R213:$T213,1)&lt;=699,"600-699 мм",IF(SMALL($R213:$T213,1)&lt;=999,"700-999 мм","1000+ мм")))))))))</f>
        <v/>
      </c>
      <c r="AA213" s="101">
        <f>IF(G213="","",IF(G213="Л","Лист гофрокартона",IF(G213="КД","Крышка-дно",IF(G213="С","Самосборные",IF(G213="Ч","Четырехклапанные",IF(G213="А","Архивные","Неизвестно"))))))</f>
        <v/>
      </c>
      <c r="AB213" s="66" t="n">
        <v>1.73</v>
      </c>
      <c r="AC213" s="101">
        <f>IF(O213="","",IF(O213&lt;=1,"0-1 литров",IF(O213&lt;=3,"2-3 литра",IF(O213&lt;=5,"4-5 литра",IF(O213&lt;=7,"6-7 литра",IF(O213&lt;=9,"8-9 литров",IF(O213&lt;=14,"10-14 литров",IF(O213&lt;=19,"15-19 литров",IF(O213&lt;=29,"20-29 литров",IF(O213&lt;=49,"30-49 литров",IF(O213&lt;=59,"50-59 литров",IF(O213&lt;=70,"60-69 литров",IF(O213&lt;=79,"70-79 литров",IF(O213&lt;=89,"80-89 литров",IF(O213&lt;=99,"90-99 литров",IF(O213&lt;=200,"100-200 литров","200+ литров"))))))))))))))))</f>
        <v/>
      </c>
    </row>
    <row r="214">
      <c r="A214" s="64" t="n">
        <v>0.19</v>
      </c>
      <c r="B214" s="65">
        <f>A214*1.2</f>
        <v/>
      </c>
      <c r="C214" s="109" t="n">
        <v>214</v>
      </c>
      <c r="D214" s="116" t="inlineStr">
        <is>
          <t>У</t>
        </is>
      </c>
      <c r="E214" s="88" t="inlineStr">
        <is>
          <t>110х98х45</t>
        </is>
      </c>
      <c r="G214" s="83" t="inlineStr">
        <is>
          <t>С</t>
        </is>
      </c>
      <c r="H214" s="146" t="inlineStr">
        <is>
          <t>0427</t>
        </is>
      </c>
      <c r="I214" s="83" t="inlineStr">
        <is>
          <t>Е</t>
        </is>
      </c>
      <c r="J214" s="83" t="inlineStr">
        <is>
          <t>У</t>
        </is>
      </c>
      <c r="K214" s="116" t="inlineStr">
        <is>
          <t>K215</t>
        </is>
      </c>
      <c r="N214" s="239">
        <f>IF(D214="","",IF(LEFT(D214,1)="0",0,1))</f>
        <v/>
      </c>
      <c r="O214" s="80">
        <f>ROUND(R214*S214*T214/1000000,2)</f>
        <v/>
      </c>
      <c r="P214" s="160">
        <f>IF(O214="","",
IF(O214&lt;1,"0,1-0,9 литров",
IF(O214&lt;2,"1-1,9 литра",
IF(O214&lt;3,"2-2,9 литра",
IF(O214&lt;4,"3-3,9 литра",
IF(O214&lt;6,"4-5,9 литра",IF(O214&lt;8,"6-7,9 литра",IF(O214&lt;10,"8-9,9 литров",IF(O214&lt;15,"10-14,9 литров",IF(O214&lt;20,"15-19,9 литров",IF(O214&lt;30,"20-29 литров",IF(O214&lt;50,"30-49 литров",IF(O214&lt;60,"50-59 литров",IF(O214&lt;70,"60-69 литров",IF(O214&lt;80,"70-79 литров",IF(O214&lt;90,"80-89 литров",IF(O214&lt;100,"90-99 литров",IF(O214&lt;200,"100-200 литров","200+ литров"))))))))))))))))))</f>
        <v/>
      </c>
      <c r="Q214" s="101">
        <f>IF(O214="","",IF(O214&lt;1,"&lt;1 л",IF(O214&lt;2,"1-2 л",IF(O214&lt;3,"2-3 л",IF(O214&lt;5,"3-5 л",IF(O214&lt;10,"5-10 л",IF(O214&lt;20,"10-20 л",IF(O214&lt;50,"20-50 л",IF(O214&lt;100,"50-100 л","100+ л")))))))))</f>
        <v/>
      </c>
      <c r="R214" s="162">
        <f>IF(E214="","",--LEFT(E214,FIND("х",E214)-1))</f>
        <v/>
      </c>
      <c r="S214" s="162">
        <f>IF(E214="","",--MID(E214,FIND("х",E214)+1,FIND("х",E214,FIND("х",E214)+1)-FIND("х",E214)-1))</f>
        <v/>
      </c>
      <c r="T214" s="162">
        <f>IF(E214="","",--RIGHT(E214,LEN(E214)-FIND("х",E214,FIND("х",E214)+1)))</f>
        <v/>
      </c>
      <c r="U214" s="66">
        <f>(2*(R214+S214)+60)*(S214+T214+8)/1000000</f>
        <v/>
      </c>
      <c r="V214" s="66">
        <f>IF(OR(AND(R214&gt;=2*S214,R214&gt;=2*T214),AND(S214&gt;=2*R214,S214&gt;=2*T214),AND(T214&gt;=2*R214,T214&gt;=2*S214)),"Длинные","")</f>
        <v/>
      </c>
      <c r="W214" s="66">
        <f>IF(OR(AND(R214&lt;=S214/2,R214&lt;=T214/2),AND(S214&lt;=R214/2,S214&lt;=T214/2),AND(T214&lt;=R214/2,T214&lt;=S214/2)),"Плоские","")</f>
        <v/>
      </c>
      <c r="X214" s="160">
        <f>IF(LARGE($R214:$T214,1)="","",IF(LARGE($R214:$T214,1)&lt;=99,"10-99 мм",IF(LARGE($R214:$T214,1)&lt;=199,"100-199 мм",IF(LARGE($R214:$T214,1)&lt;=299,"200-299 мм",IF(LARGE($R214:$T214,1)&lt;=399,"300-399 мм",IF(LARGE($R214:$T214,1)&lt;=499,"400-499 мм",IF(LARGE($R214:$T214,1)&lt;=599,"500-599 мм",IF(LARGE($R214:$T214,1)&lt;=699,"600-699 мм",IF(LARGE($R214:$T214,1)&lt;=999,"700-999 мм","1000+ мм")))))))))</f>
        <v/>
      </c>
      <c r="Y214" s="160">
        <f>IF(LARGE($R214:$T214,2)="","",IF(LARGE($R214:$T214,2)&lt;=99,"10-99 мм",IF(LARGE($R214:$T214,2)&lt;=199,"100-199 мм",IF(LARGE($R214:$T214,2)&lt;=299,"200-299 мм",IF(LARGE($R214:$T214,2)&lt;=399,"300-399 мм",IF(LARGE($R214:$T214,2)&lt;=499,"400-499 мм",IF(LARGE($R214:$T214,2)&lt;=599,"500-599 мм",IF(LARGE($R214:$T214,2)&lt;=699,"600-699 мм",IF(LARGE($R214:$T214,2)&lt;=999,"700-999 мм","1000+ мм")))))))))</f>
        <v/>
      </c>
      <c r="Z214" s="160">
        <f>IF(SMALL($R214:$T214,1)="","",IF(SMALL($R214:$T214,1)&lt;=99,"10-99 мм",IF(SMALL($R214:$T214,1)&lt;=199,"100-199 мм",IF(SMALL($R214:$T214,1)&lt;=299,"200-299 мм",IF(SMALL($R214:$T214,1)&lt;=399,"300-399 мм",IF(SMALL($R214:$T214,1)&lt;=499,"400-499 мм",IF(SMALL($R214:$T214,1)&lt;=599,"500-599 мм",IF(SMALL($R214:$T214,1)&lt;=699,"600-699 мм",IF(SMALL($R214:$T214,1)&lt;=999,"700-999 мм","1000+ мм")))))))))</f>
        <v/>
      </c>
      <c r="AA214" s="101">
        <f>IF(G214="","",IF(G214="Л","Лист гофрокартона",IF(G214="КД","Крышка-дно",IF(G214="С","Самосборные",IF(G214="Ч","Четырехклапанные",IF(G214="А","Архивные","Неизвестно"))))))</f>
        <v/>
      </c>
      <c r="AB214" s="66" t="n">
        <v>1.73</v>
      </c>
      <c r="AC214" s="101">
        <f>IF(O214="","",IF(O214&lt;=1,"0-1 литров",IF(O214&lt;=3,"2-3 литра",IF(O214&lt;=5,"4-5 литра",IF(O214&lt;=7,"6-7 литра",IF(O214&lt;=9,"8-9 литров",IF(O214&lt;=14,"10-14 литров",IF(O214&lt;=19,"15-19 литров",IF(O214&lt;=29,"20-29 литров",IF(O214&lt;=49,"30-49 литров",IF(O214&lt;=59,"50-59 литров",IF(O214&lt;=70,"60-69 литров",IF(O214&lt;=79,"70-79 литров",IF(O214&lt;=89,"80-89 литров",IF(O214&lt;=99,"90-99 литров",IF(O214&lt;=200,"100-200 литров","200+ литров"))))))))))))))))</f>
        <v/>
      </c>
    </row>
    <row r="215" ht="20.6" customHeight="1" s="55">
      <c r="A215" s="64" t="n">
        <v>0.38</v>
      </c>
      <c r="B215" s="65">
        <f>A215*1.2</f>
        <v/>
      </c>
      <c r="C215" s="109" t="n">
        <v>215</v>
      </c>
      <c r="D215" s="78" t="inlineStr">
        <is>
          <t>0-У без разм на сайте</t>
        </is>
      </c>
      <c r="E215" s="88" t="inlineStr">
        <is>
          <t>95х95х275</t>
        </is>
      </c>
      <c r="F215" s="213" t="inlineStr">
        <is>
          <t xml:space="preserve"> без размещения на сайте</t>
        </is>
      </c>
      <c r="G215" s="83" t="inlineStr">
        <is>
          <t>С</t>
        </is>
      </c>
      <c r="H215" s="146" t="inlineStr">
        <is>
          <t>0215</t>
        </is>
      </c>
      <c r="I215" s="83" t="inlineStr">
        <is>
          <t>В</t>
        </is>
      </c>
      <c r="J215" s="83" t="inlineStr">
        <is>
          <t>ОП</t>
        </is>
      </c>
      <c r="K215" s="116" t="inlineStr">
        <is>
          <t>K0</t>
        </is>
      </c>
      <c r="N215" s="239">
        <f>IF(D215="","",IF(LEFT(D215,1)="0",0,1))</f>
        <v/>
      </c>
      <c r="O215" s="80">
        <f>ROUND(R215*S215*T215/1000000,2)</f>
        <v/>
      </c>
      <c r="P215" s="160">
        <f>IF(O215="","",
IF(O215&lt;1,"0,1-0,9 литров",
IF(O215&lt;2,"1-1,9 литра",
IF(O215&lt;3,"2-2,9 литра",
IF(O215&lt;4,"3-3,9 литра",
IF(O215&lt;6,"4-5,9 литра",IF(O215&lt;8,"6-7,9 литра",IF(O215&lt;10,"8-9,9 литров",IF(O215&lt;15,"10-14,9 литров",IF(O215&lt;20,"15-19,9 литров",IF(O215&lt;30,"20-29 литров",IF(O215&lt;50,"30-49 литров",IF(O215&lt;60,"50-59 литров",IF(O215&lt;70,"60-69 литров",IF(O215&lt;80,"70-79 литров",IF(O215&lt;90,"80-89 литров",IF(O215&lt;100,"90-99 литров",IF(O215&lt;200,"100-200 литров","200+ литров"))))))))))))))))))</f>
        <v/>
      </c>
      <c r="Q215" s="101">
        <f>IF(O215="","",IF(O215&lt;1,"&lt;1 л",IF(O215&lt;2,"1-2 л",IF(O215&lt;3,"2-3 л",IF(O215&lt;5,"3-5 л",IF(O215&lt;10,"5-10 л",IF(O215&lt;20,"10-20 л",IF(O215&lt;50,"20-50 л",IF(O215&lt;100,"50-100 л","100+ л")))))))))</f>
        <v/>
      </c>
      <c r="R215" s="162">
        <f>IF(E215="","",--LEFT(E215,FIND("х",E215)-1))</f>
        <v/>
      </c>
      <c r="S215" s="162">
        <f>IF(E215="","",--MID(E215,FIND("х",E215)+1,FIND("х",E215,FIND("х",E215)+1)-FIND("х",E215)-1))</f>
        <v/>
      </c>
      <c r="T215" s="162">
        <f>IF(E215="","",--RIGHT(E215,LEN(E215)-FIND("х",E215,FIND("х",E215)+1)))</f>
        <v/>
      </c>
      <c r="U215" s="66">
        <f>(2*(R215+S215)+60)*(S215+T215+8)/1000000</f>
        <v/>
      </c>
      <c r="V215" s="66">
        <f>IF(OR(AND(R215&gt;=2*S215,R215&gt;=2*T215),AND(S215&gt;=2*R215,S215&gt;=2*T215),AND(T215&gt;=2*R215,T215&gt;=2*S215)),"Длинные","")</f>
        <v/>
      </c>
      <c r="W215" s="66">
        <f>IF(OR(AND(R215&lt;=S215/2,R215&lt;=T215/2),AND(S215&lt;=R215/2,S215&lt;=T215/2),AND(T215&lt;=R215/2,T215&lt;=S215/2)),"Плоские","")</f>
        <v/>
      </c>
      <c r="X215" s="160">
        <f>IF(LARGE($R215:$T215,1)="","",IF(LARGE($R215:$T215,1)&lt;=99,"10-99 мм",IF(LARGE($R215:$T215,1)&lt;=199,"100-199 мм",IF(LARGE($R215:$T215,1)&lt;=299,"200-299 мм",IF(LARGE($R215:$T215,1)&lt;=399,"300-399 мм",IF(LARGE($R215:$T215,1)&lt;=499,"400-499 мм",IF(LARGE($R215:$T215,1)&lt;=599,"500-599 мм",IF(LARGE($R215:$T215,1)&lt;=699,"600-699 мм",IF(LARGE($R215:$T215,1)&lt;=999,"700-999 мм","1000+ мм")))))))))</f>
        <v/>
      </c>
      <c r="Y215" s="160">
        <f>IF(LARGE($R215:$T215,2)="","",IF(LARGE($R215:$T215,2)&lt;=99,"10-99 мм",IF(LARGE($R215:$T215,2)&lt;=199,"100-199 мм",IF(LARGE($R215:$T215,2)&lt;=299,"200-299 мм",IF(LARGE($R215:$T215,2)&lt;=399,"300-399 мм",IF(LARGE($R215:$T215,2)&lt;=499,"400-499 мм",IF(LARGE($R215:$T215,2)&lt;=599,"500-599 мм",IF(LARGE($R215:$T215,2)&lt;=699,"600-699 мм",IF(LARGE($R215:$T215,2)&lt;=999,"700-999 мм","1000+ мм")))))))))</f>
        <v/>
      </c>
      <c r="Z215" s="160">
        <f>IF(SMALL($R215:$T215,1)="","",IF(SMALL($R215:$T215,1)&lt;=99,"10-99 мм",IF(SMALL($R215:$T215,1)&lt;=199,"100-199 мм",IF(SMALL($R215:$T215,1)&lt;=299,"200-299 мм",IF(SMALL($R215:$T215,1)&lt;=399,"300-399 мм",IF(SMALL($R215:$T215,1)&lt;=499,"400-499 мм",IF(SMALL($R215:$T215,1)&lt;=599,"500-599 мм",IF(SMALL($R215:$T215,1)&lt;=699,"600-699 мм",IF(SMALL($R215:$T215,1)&lt;=999,"700-999 мм","1000+ мм")))))))))</f>
        <v/>
      </c>
      <c r="AA215" s="101">
        <f>IF(G215="","",IF(G215="Л","Лист гофрокартона",IF(G215="КД","Крышка-дно",IF(G215="С","Самосборные",IF(G215="Ч","Четырехклапанные",IF(G215="А","Архивные","Неизвестно"))))))</f>
        <v/>
      </c>
      <c r="AB215" s="66" t="n">
        <v>1.73</v>
      </c>
      <c r="AC215" s="101">
        <f>IF(O215="","",IF(O215&lt;=1,"0-1 литров",IF(O215&lt;=3,"2-3 литра",IF(O215&lt;=5,"4-5 литра",IF(O215&lt;=7,"6-7 литра",IF(O215&lt;=9,"8-9 литров",IF(O215&lt;=14,"10-14 литров",IF(O215&lt;=19,"15-19 литров",IF(O215&lt;=29,"20-29 литров",IF(O215&lt;=49,"30-49 литров",IF(O215&lt;=59,"50-59 литров",IF(O215&lt;=70,"60-69 литров",IF(O215&lt;=79,"70-79 литров",IF(O215&lt;=89,"80-89 литров",IF(O215&lt;=99,"90-99 литров",IF(O215&lt;=200,"100-200 литров","200+ литров"))))))))))))))))</f>
        <v/>
      </c>
    </row>
    <row r="216">
      <c r="A216" s="64" t="n">
        <v>0.48</v>
      </c>
      <c r="B216" s="65">
        <f>A216*1.2</f>
        <v/>
      </c>
      <c r="C216" s="109" t="n">
        <v>216</v>
      </c>
      <c r="D216" s="116" t="inlineStr">
        <is>
          <t>У</t>
        </is>
      </c>
      <c r="E216" s="88" t="inlineStr">
        <is>
          <t>300х220х40</t>
        </is>
      </c>
      <c r="G216" s="83" t="inlineStr">
        <is>
          <t>С</t>
        </is>
      </c>
      <c r="H216" s="146" t="inlineStr">
        <is>
          <t>0427</t>
        </is>
      </c>
      <c r="I216" s="83" t="inlineStr">
        <is>
          <t>Е</t>
        </is>
      </c>
      <c r="J216" s="83" t="inlineStr">
        <is>
          <t>ОП</t>
        </is>
      </c>
      <c r="K216" s="116" t="inlineStr">
        <is>
          <t>K216</t>
        </is>
      </c>
      <c r="N216" s="239">
        <f>IF(D216="","",IF(LEFT(D216,1)="0",0,1))</f>
        <v/>
      </c>
      <c r="O216" s="80">
        <f>ROUND(R216*S216*T216/1000000,2)</f>
        <v/>
      </c>
      <c r="P216" s="160">
        <f>IF(O216="","",
IF(O216&lt;1,"0,1-0,9 литров",
IF(O216&lt;2,"1-1,9 литра",
IF(O216&lt;3,"2-2,9 литра",
IF(O216&lt;4,"3-3,9 литра",
IF(O216&lt;6,"4-5,9 литра",IF(O216&lt;8,"6-7,9 литра",IF(O216&lt;10,"8-9,9 литров",IF(O216&lt;15,"10-14,9 литров",IF(O216&lt;20,"15-19,9 литров",IF(O216&lt;30,"20-29 литров",IF(O216&lt;50,"30-49 литров",IF(O216&lt;60,"50-59 литров",IF(O216&lt;70,"60-69 литров",IF(O216&lt;80,"70-79 литров",IF(O216&lt;90,"80-89 литров",IF(O216&lt;100,"90-99 литров",IF(O216&lt;200,"100-200 литров","200+ литров"))))))))))))))))))</f>
        <v/>
      </c>
      <c r="Q216" s="101">
        <f>IF(O216="","",IF(O216&lt;1,"&lt;1 л",IF(O216&lt;2,"1-2 л",IF(O216&lt;3,"2-3 л",IF(O216&lt;5,"3-5 л",IF(O216&lt;10,"5-10 л",IF(O216&lt;20,"10-20 л",IF(O216&lt;50,"20-50 л",IF(O216&lt;100,"50-100 л","100+ л")))))))))</f>
        <v/>
      </c>
      <c r="R216" s="162">
        <f>IF(E216="","",--LEFT(E216,FIND("х",E216)-1))</f>
        <v/>
      </c>
      <c r="S216" s="162">
        <f>IF(E216="","",--MID(E216,FIND("х",E216)+1,FIND("х",E216,FIND("х",E216)+1)-FIND("х",E216)-1))</f>
        <v/>
      </c>
      <c r="T216" s="162">
        <f>IF(E216="","",--RIGHT(E216,LEN(E216)-FIND("х",E216,FIND("х",E216)+1)))</f>
        <v/>
      </c>
      <c r="U216" s="66">
        <f>(2*(R216+S216)+60)*(S216+T216+8)/1000000</f>
        <v/>
      </c>
      <c r="V216" s="66">
        <f>IF(OR(AND(R216&gt;=2*S216,R216&gt;=2*T216),AND(S216&gt;=2*R216,S216&gt;=2*T216),AND(T216&gt;=2*R216,T216&gt;=2*S216)),"Длинные","")</f>
        <v/>
      </c>
      <c r="W216" s="66">
        <f>IF(OR(AND(R216&lt;=S216/2,R216&lt;=T216/2),AND(S216&lt;=R216/2,S216&lt;=T216/2),AND(T216&lt;=R216/2,T216&lt;=S216/2)),"Плоские","")</f>
        <v/>
      </c>
      <c r="X216" s="160">
        <f>IF(LARGE($R216:$T216,1)="","",IF(LARGE($R216:$T216,1)&lt;=99,"10-99 мм",IF(LARGE($R216:$T216,1)&lt;=199,"100-199 мм",IF(LARGE($R216:$T216,1)&lt;=299,"200-299 мм",IF(LARGE($R216:$T216,1)&lt;=399,"300-399 мм",IF(LARGE($R216:$T216,1)&lt;=499,"400-499 мм",IF(LARGE($R216:$T216,1)&lt;=599,"500-599 мм",IF(LARGE($R216:$T216,1)&lt;=699,"600-699 мм",IF(LARGE($R216:$T216,1)&lt;=999,"700-999 мм","1000+ мм")))))))))</f>
        <v/>
      </c>
      <c r="Y216" s="160">
        <f>IF(LARGE($R216:$T216,2)="","",IF(LARGE($R216:$T216,2)&lt;=99,"10-99 мм",IF(LARGE($R216:$T216,2)&lt;=199,"100-199 мм",IF(LARGE($R216:$T216,2)&lt;=299,"200-299 мм",IF(LARGE($R216:$T216,2)&lt;=399,"300-399 мм",IF(LARGE($R216:$T216,2)&lt;=499,"400-499 мм",IF(LARGE($R216:$T216,2)&lt;=599,"500-599 мм",IF(LARGE($R216:$T216,2)&lt;=699,"600-699 мм",IF(LARGE($R216:$T216,2)&lt;=999,"700-999 мм","1000+ мм")))))))))</f>
        <v/>
      </c>
      <c r="Z216" s="160">
        <f>IF(SMALL($R216:$T216,1)="","",IF(SMALL($R216:$T216,1)&lt;=99,"10-99 мм",IF(SMALL($R216:$T216,1)&lt;=199,"100-199 мм",IF(SMALL($R216:$T216,1)&lt;=299,"200-299 мм",IF(SMALL($R216:$T216,1)&lt;=399,"300-399 мм",IF(SMALL($R216:$T216,1)&lt;=499,"400-499 мм",IF(SMALL($R216:$T216,1)&lt;=599,"500-599 мм",IF(SMALL($R216:$T216,1)&lt;=699,"600-699 мм",IF(SMALL($R216:$T216,1)&lt;=999,"700-999 мм","1000+ мм")))))))))</f>
        <v/>
      </c>
      <c r="AA216" s="101">
        <f>IF(G216="","",IF(G216="Л","Лист гофрокартона",IF(G216="КД","Крышка-дно",IF(G216="С","Самосборные",IF(G216="Ч","Четырехклапанные",IF(G216="А","Архивные","Неизвестно"))))))</f>
        <v/>
      </c>
      <c r="AB216" s="66" t="n">
        <v>1.73</v>
      </c>
      <c r="AC216" s="101">
        <f>IF(O216="","",IF(O216&lt;=1,"0-1 литров",IF(O216&lt;=3,"2-3 литра",IF(O216&lt;=5,"4-5 литра",IF(O216&lt;=7,"6-7 литра",IF(O216&lt;=9,"8-9 литров",IF(O216&lt;=14,"10-14 литров",IF(O216&lt;=19,"15-19 литров",IF(O216&lt;=29,"20-29 литров",IF(O216&lt;=49,"30-49 литров",IF(O216&lt;=59,"50-59 литров",IF(O216&lt;=70,"60-69 литров",IF(O216&lt;=79,"70-79 литров",IF(O216&lt;=89,"80-89 литров",IF(O216&lt;=99,"90-99 литров",IF(O216&lt;=200,"100-200 литров","200+ литров"))))))))))))))))</f>
        <v/>
      </c>
    </row>
    <row r="217">
      <c r="A217" s="64" t="n">
        <v>1.42</v>
      </c>
      <c r="B217" s="65">
        <f>A217*1.2</f>
        <v/>
      </c>
      <c r="C217" s="109" t="n">
        <v>217</v>
      </c>
      <c r="D217" s="77" t="inlineStr">
        <is>
          <t>0-А</t>
        </is>
      </c>
      <c r="E217" s="88" t="inlineStr">
        <is>
          <t>516х463х48</t>
        </is>
      </c>
      <c r="F217" s="213" t="inlineStr">
        <is>
          <t>516х463х48</t>
        </is>
      </c>
      <c r="G217" s="83" t="inlineStr">
        <is>
          <t>С</t>
        </is>
      </c>
      <c r="H217" s="146" t="inlineStr">
        <is>
          <t>0427</t>
        </is>
      </c>
      <c r="I217" s="83" t="inlineStr">
        <is>
          <t>В</t>
        </is>
      </c>
      <c r="J217" s="83" t="inlineStr">
        <is>
          <t>А</t>
        </is>
      </c>
      <c r="K217" s="116" t="inlineStr">
        <is>
          <t>K1003</t>
        </is>
      </c>
      <c r="N217" s="239">
        <f>IF(D217="","",IF(LEFT(D217,1)="0",0,1))</f>
        <v/>
      </c>
      <c r="O217" s="80">
        <f>ROUND(R217*S217*T217/1000000,2)</f>
        <v/>
      </c>
      <c r="P217" s="160">
        <f>IF(O217="","",
IF(O217&lt;1,"0,1-0,9 литров",
IF(O217&lt;2,"1-1,9 литра",
IF(O217&lt;3,"2-2,9 литра",
IF(O217&lt;4,"3-3,9 литра",
IF(O217&lt;6,"4-5,9 литра",IF(O217&lt;8,"6-7,9 литра",IF(O217&lt;10,"8-9,9 литров",IF(O217&lt;15,"10-14,9 литров",IF(O217&lt;20,"15-19,9 литров",IF(O217&lt;30,"20-29 литров",IF(O217&lt;50,"30-49 литров",IF(O217&lt;60,"50-59 литров",IF(O217&lt;70,"60-69 литров",IF(O217&lt;80,"70-79 литров",IF(O217&lt;90,"80-89 литров",IF(O217&lt;100,"90-99 литров",IF(O217&lt;200,"100-200 литров","200+ литров"))))))))))))))))))</f>
        <v/>
      </c>
      <c r="Q217" s="101">
        <f>IF(O217="","",IF(O217&lt;1,"&lt;1 л",IF(O217&lt;2,"1-2 л",IF(O217&lt;3,"2-3 л",IF(O217&lt;5,"3-5 л",IF(O217&lt;10,"5-10 л",IF(O217&lt;20,"10-20 л",IF(O217&lt;50,"20-50 л",IF(O217&lt;100,"50-100 л","100+ л")))))))))</f>
        <v/>
      </c>
      <c r="R217" s="162">
        <f>IF(E217="","",--LEFT(E217,FIND("х",E217)-1))</f>
        <v/>
      </c>
      <c r="S217" s="162">
        <f>IF(E217="","",--MID(E217,FIND("х",E217)+1,FIND("х",E217,FIND("х",E217)+1)-FIND("х",E217)-1))</f>
        <v/>
      </c>
      <c r="T217" s="162">
        <f>IF(E217="","",--RIGHT(E217,LEN(E217)-FIND("х",E217,FIND("х",E217)+1)))</f>
        <v/>
      </c>
      <c r="U217" s="66">
        <f>(2*(R217+S217)+60)*(S217+T217+8)/1000000</f>
        <v/>
      </c>
      <c r="V217" s="66">
        <f>IF(OR(AND(R217&gt;=2*S217,R217&gt;=2*T217),AND(S217&gt;=2*R217,S217&gt;=2*T217),AND(T217&gt;=2*R217,T217&gt;=2*S217)),"Длинные","")</f>
        <v/>
      </c>
      <c r="W217" s="66">
        <f>IF(OR(AND(R217&lt;=S217/2,R217&lt;=T217/2),AND(S217&lt;=R217/2,S217&lt;=T217/2),AND(T217&lt;=R217/2,T217&lt;=S217/2)),"Плоские","")</f>
        <v/>
      </c>
      <c r="X217" s="160">
        <f>IF(LARGE($R217:$T217,1)="","",IF(LARGE($R217:$T217,1)&lt;=99,"10-99 мм",IF(LARGE($R217:$T217,1)&lt;=199,"100-199 мм",IF(LARGE($R217:$T217,1)&lt;=299,"200-299 мм",IF(LARGE($R217:$T217,1)&lt;=399,"300-399 мм",IF(LARGE($R217:$T217,1)&lt;=499,"400-499 мм",IF(LARGE($R217:$T217,1)&lt;=599,"500-599 мм",IF(LARGE($R217:$T217,1)&lt;=699,"600-699 мм",IF(LARGE($R217:$T217,1)&lt;=999,"700-999 мм","1000+ мм")))))))))</f>
        <v/>
      </c>
      <c r="Y217" s="160">
        <f>IF(LARGE($R217:$T217,2)="","",IF(LARGE($R217:$T217,2)&lt;=99,"10-99 мм",IF(LARGE($R217:$T217,2)&lt;=199,"100-199 мм",IF(LARGE($R217:$T217,2)&lt;=299,"200-299 мм",IF(LARGE($R217:$T217,2)&lt;=399,"300-399 мм",IF(LARGE($R217:$T217,2)&lt;=499,"400-499 мм",IF(LARGE($R217:$T217,2)&lt;=599,"500-599 мм",IF(LARGE($R217:$T217,2)&lt;=699,"600-699 мм",IF(LARGE($R217:$T217,2)&lt;=999,"700-999 мм","1000+ мм")))))))))</f>
        <v/>
      </c>
      <c r="Z217" s="160">
        <f>IF(SMALL($R217:$T217,1)="","",IF(SMALL($R217:$T217,1)&lt;=99,"10-99 мм",IF(SMALL($R217:$T217,1)&lt;=199,"100-199 мм",IF(SMALL($R217:$T217,1)&lt;=299,"200-299 мм",IF(SMALL($R217:$T217,1)&lt;=399,"300-399 мм",IF(SMALL($R217:$T217,1)&lt;=499,"400-499 мм",IF(SMALL($R217:$T217,1)&lt;=599,"500-599 мм",IF(SMALL($R217:$T217,1)&lt;=699,"600-699 мм",IF(SMALL($R217:$T217,1)&lt;=999,"700-999 мм","1000+ мм")))))))))</f>
        <v/>
      </c>
      <c r="AA217" s="101">
        <f>IF(G217="","",IF(G217="Л","Лист гофрокартона",IF(G217="КД","Крышка-дно",IF(G217="С","Самосборные",IF(G217="Ч","Четырехклапанные",IF(G217="А","Архивные","Неизвестно"))))))</f>
        <v/>
      </c>
      <c r="AB217" s="66" t="n">
        <v>1.73</v>
      </c>
      <c r="AC217" s="101">
        <f>IF(O217="","",IF(O217&lt;=1,"0-1 литров",IF(O217&lt;=3,"2-3 литра",IF(O217&lt;=5,"4-5 литра",IF(O217&lt;=7,"6-7 литра",IF(O217&lt;=9,"8-9 литров",IF(O217&lt;=14,"10-14 литров",IF(O217&lt;=19,"15-19 литров",IF(O217&lt;=29,"20-29 литров",IF(O217&lt;=49,"30-49 литров",IF(O217&lt;=59,"50-59 литров",IF(O217&lt;=70,"60-69 литров",IF(O217&lt;=79,"70-79 литров",IF(O217&lt;=89,"80-89 литров",IF(O217&lt;=99,"90-99 литров",IF(O217&lt;=200,"100-200 литров","200+ литров"))))))))))))))))</f>
        <v/>
      </c>
    </row>
    <row r="218">
      <c r="A218" s="64" t="n">
        <v>0.28</v>
      </c>
      <c r="B218" s="65">
        <f>A218*1.2</f>
        <v/>
      </c>
      <c r="C218" s="109" t="n">
        <v>218</v>
      </c>
      <c r="D218" s="116" t="inlineStr">
        <is>
          <t>У</t>
        </is>
      </c>
      <c r="E218" s="88" t="inlineStr">
        <is>
          <t>120х120х180</t>
        </is>
      </c>
      <c r="G218" s="83" t="inlineStr">
        <is>
          <t>Ч</t>
        </is>
      </c>
      <c r="H218" s="146" t="inlineStr">
        <is>
          <t>0201</t>
        </is>
      </c>
      <c r="I218" s="83" t="inlineStr">
        <is>
          <t>В</t>
        </is>
      </c>
      <c r="J218" s="83" t="inlineStr">
        <is>
          <t>У</t>
        </is>
      </c>
      <c r="K218" s="116" t="inlineStr">
        <is>
          <t>K217</t>
        </is>
      </c>
      <c r="N218" s="239">
        <f>IF(D218="","",IF(LEFT(D218,1)="0",0,1))</f>
        <v/>
      </c>
      <c r="O218" s="80">
        <f>ROUND(R218*S218*T218/1000000,2)</f>
        <v/>
      </c>
      <c r="P218" s="160">
        <f>IF(O218="","",
IF(O218&lt;1,"0,1-0,9 литров",
IF(O218&lt;2,"1-1,9 литра",
IF(O218&lt;3,"2-2,9 литра",
IF(O218&lt;4,"3-3,9 литра",
IF(O218&lt;6,"4-5,9 литра",IF(O218&lt;8,"6-7,9 литра",IF(O218&lt;10,"8-9,9 литров",IF(O218&lt;15,"10-14,9 литров",IF(O218&lt;20,"15-19,9 литров",IF(O218&lt;30,"20-29 литров",IF(O218&lt;50,"30-49 литров",IF(O218&lt;60,"50-59 литров",IF(O218&lt;70,"60-69 литров",IF(O218&lt;80,"70-79 литров",IF(O218&lt;90,"80-89 литров",IF(O218&lt;100,"90-99 литров",IF(O218&lt;200,"100-200 литров","200+ литров"))))))))))))))))))</f>
        <v/>
      </c>
      <c r="Q218" s="101">
        <f>IF(O218="","",IF(O218&lt;1,"&lt;1 л",IF(O218&lt;2,"1-2 л",IF(O218&lt;3,"2-3 л",IF(O218&lt;5,"3-5 л",IF(O218&lt;10,"5-10 л",IF(O218&lt;20,"10-20 л",IF(O218&lt;50,"20-50 л",IF(O218&lt;100,"50-100 л","100+ л")))))))))</f>
        <v/>
      </c>
      <c r="R218" s="162">
        <f>IF(E218="","",--LEFT(E218,FIND("х",E218)-1))</f>
        <v/>
      </c>
      <c r="S218" s="162">
        <f>IF(E218="","",--MID(E218,FIND("х",E218)+1,FIND("х",E218,FIND("х",E218)+1)-FIND("х",E218)-1))</f>
        <v/>
      </c>
      <c r="T218" s="162">
        <f>IF(E218="","",--RIGHT(E218,LEN(E218)-FIND("х",E218,FIND("х",E218)+1)))</f>
        <v/>
      </c>
      <c r="U218" s="66">
        <f>(2*(R218+S218)+60)*(S218+T218+8)/1000000</f>
        <v/>
      </c>
      <c r="V218" s="66">
        <f>IF(OR(AND(R218&gt;=2*S218,R218&gt;=2*T218),AND(S218&gt;=2*R218,S218&gt;=2*T218),AND(T218&gt;=2*R218,T218&gt;=2*S218)),"Длинные","")</f>
        <v/>
      </c>
      <c r="W218" s="66">
        <f>IF(OR(AND(R218&lt;=S218/2,R218&lt;=T218/2),AND(S218&lt;=R218/2,S218&lt;=T218/2),AND(T218&lt;=R218/2,T218&lt;=S218/2)),"Плоские","")</f>
        <v/>
      </c>
      <c r="X218" s="160">
        <f>IF(LARGE($R218:$T218,1)="","",IF(LARGE($R218:$T218,1)&lt;=99,"10-99 мм",IF(LARGE($R218:$T218,1)&lt;=199,"100-199 мм",IF(LARGE($R218:$T218,1)&lt;=299,"200-299 мм",IF(LARGE($R218:$T218,1)&lt;=399,"300-399 мм",IF(LARGE($R218:$T218,1)&lt;=499,"400-499 мм",IF(LARGE($R218:$T218,1)&lt;=599,"500-599 мм",IF(LARGE($R218:$T218,1)&lt;=699,"600-699 мм",IF(LARGE($R218:$T218,1)&lt;=999,"700-999 мм","1000+ мм")))))))))</f>
        <v/>
      </c>
      <c r="Y218" s="160">
        <f>IF(LARGE($R218:$T218,2)="","",IF(LARGE($R218:$T218,2)&lt;=99,"10-99 мм",IF(LARGE($R218:$T218,2)&lt;=199,"100-199 мм",IF(LARGE($R218:$T218,2)&lt;=299,"200-299 мм",IF(LARGE($R218:$T218,2)&lt;=399,"300-399 мм",IF(LARGE($R218:$T218,2)&lt;=499,"400-499 мм",IF(LARGE($R218:$T218,2)&lt;=599,"500-599 мм",IF(LARGE($R218:$T218,2)&lt;=699,"600-699 мм",IF(LARGE($R218:$T218,2)&lt;=999,"700-999 мм","1000+ мм")))))))))</f>
        <v/>
      </c>
      <c r="Z218" s="160">
        <f>IF(SMALL($R218:$T218,1)="","",IF(SMALL($R218:$T218,1)&lt;=99,"10-99 мм",IF(SMALL($R218:$T218,1)&lt;=199,"100-199 мм",IF(SMALL($R218:$T218,1)&lt;=299,"200-299 мм",IF(SMALL($R218:$T218,1)&lt;=399,"300-399 мм",IF(SMALL($R218:$T218,1)&lt;=499,"400-499 мм",IF(SMALL($R218:$T218,1)&lt;=599,"500-599 мм",IF(SMALL($R218:$T218,1)&lt;=699,"600-699 мм",IF(SMALL($R218:$T218,1)&lt;=999,"700-999 мм","1000+ мм")))))))))</f>
        <v/>
      </c>
      <c r="AA218" s="101">
        <f>IF(G218="","",IF(G218="Л","Лист гофрокартона",IF(G218="КД","Крышка-дно",IF(G218="С","Самосборные",IF(G218="Ч","Четырехклапанные",IF(G218="А","Архивные","Неизвестно"))))))</f>
        <v/>
      </c>
      <c r="AB218" s="66" t="n">
        <v>1.73</v>
      </c>
      <c r="AC218" s="101">
        <f>IF(O218="","",IF(O218&lt;=1,"0-1 литров",IF(O218&lt;=3,"2-3 литра",IF(O218&lt;=5,"4-5 литра",IF(O218&lt;=7,"6-7 литра",IF(O218&lt;=9,"8-9 литров",IF(O218&lt;=14,"10-14 литров",IF(O218&lt;=19,"15-19 литров",IF(O218&lt;=29,"20-29 литров",IF(O218&lt;=49,"30-49 литров",IF(O218&lt;=59,"50-59 литров",IF(O218&lt;=70,"60-69 литров",IF(O218&lt;=79,"70-79 литров",IF(O218&lt;=89,"80-89 литров",IF(O218&lt;=99,"90-99 литров",IF(O218&lt;=200,"100-200 литров","200+ литров"))))))))))))))))</f>
        <v/>
      </c>
    </row>
    <row r="219">
      <c r="A219" s="64" t="n">
        <v>2.6</v>
      </c>
      <c r="B219" s="65">
        <f>A219*1.2</f>
        <v/>
      </c>
      <c r="C219" s="109" t="n">
        <v>219</v>
      </c>
      <c r="D219" s="116" t="inlineStr">
        <is>
          <t>У</t>
        </is>
      </c>
      <c r="E219" s="88" t="inlineStr">
        <is>
          <t>730х415х200</t>
        </is>
      </c>
      <c r="G219" s="83" t="inlineStr">
        <is>
          <t>Ч</t>
        </is>
      </c>
      <c r="H219" s="146" t="inlineStr">
        <is>
          <t>0201</t>
        </is>
      </c>
      <c r="I219" s="83" t="inlineStr">
        <is>
          <t>В</t>
        </is>
      </c>
      <c r="J219" s="83" t="inlineStr">
        <is>
          <t>У</t>
        </is>
      </c>
      <c r="K219" s="116" t="inlineStr">
        <is>
          <t>K218</t>
        </is>
      </c>
      <c r="N219" s="239">
        <f>IF(D219="","",IF(LEFT(D219,1)="0",0,1))</f>
        <v/>
      </c>
      <c r="O219" s="80">
        <f>ROUND(R219*S219*T219/1000000,2)</f>
        <v/>
      </c>
      <c r="P219" s="160">
        <f>IF(O219="","",
IF(O219&lt;1,"0,1-0,9 литров",
IF(O219&lt;2,"1-1,9 литра",
IF(O219&lt;3,"2-2,9 литра",
IF(O219&lt;4,"3-3,9 литра",
IF(O219&lt;6,"4-5,9 литра",IF(O219&lt;8,"6-7,9 литра",IF(O219&lt;10,"8-9,9 литров",IF(O219&lt;15,"10-14,9 литров",IF(O219&lt;20,"15-19,9 литров",IF(O219&lt;30,"20-29 литров",IF(O219&lt;50,"30-49 литров",IF(O219&lt;60,"50-59 литров",IF(O219&lt;70,"60-69 литров",IF(O219&lt;80,"70-79 литров",IF(O219&lt;90,"80-89 литров",IF(O219&lt;100,"90-99 литров",IF(O219&lt;200,"100-200 литров","200+ литров"))))))))))))))))))</f>
        <v/>
      </c>
      <c r="Q219" s="101">
        <f>IF(O219="","",IF(O219&lt;1,"&lt;1 л",IF(O219&lt;2,"1-2 л",IF(O219&lt;3,"2-3 л",IF(O219&lt;5,"3-5 л",IF(O219&lt;10,"5-10 л",IF(O219&lt;20,"10-20 л",IF(O219&lt;50,"20-50 л",IF(O219&lt;100,"50-100 л","100+ л")))))))))</f>
        <v/>
      </c>
      <c r="R219" s="162">
        <f>IF(E219="","",--LEFT(E219,FIND("х",E219)-1))</f>
        <v/>
      </c>
      <c r="S219" s="162">
        <f>IF(E219="","",--MID(E219,FIND("х",E219)+1,FIND("х",E219,FIND("х",E219)+1)-FIND("х",E219)-1))</f>
        <v/>
      </c>
      <c r="T219" s="162">
        <f>IF(E219="","",--RIGHT(E219,LEN(E219)-FIND("х",E219,FIND("х",E219)+1)))</f>
        <v/>
      </c>
      <c r="U219" s="66">
        <f>(2*(R219+S219)+60)*(S219+T219+8)/1000000</f>
        <v/>
      </c>
      <c r="V219" s="66">
        <f>IF(OR(AND(R219&gt;=2*S219,R219&gt;=2*T219),AND(S219&gt;=2*R219,S219&gt;=2*T219),AND(T219&gt;=2*R219,T219&gt;=2*S219)),"Длинные","")</f>
        <v/>
      </c>
      <c r="W219" s="66">
        <f>IF(OR(AND(R219&lt;=S219/2,R219&lt;=T219/2),AND(S219&lt;=R219/2,S219&lt;=T219/2),AND(T219&lt;=R219/2,T219&lt;=S219/2)),"Плоские","")</f>
        <v/>
      </c>
      <c r="X219" s="160">
        <f>IF(LARGE($R219:$T219,1)="","",IF(LARGE($R219:$T219,1)&lt;=99,"10-99 мм",IF(LARGE($R219:$T219,1)&lt;=199,"100-199 мм",IF(LARGE($R219:$T219,1)&lt;=299,"200-299 мм",IF(LARGE($R219:$T219,1)&lt;=399,"300-399 мм",IF(LARGE($R219:$T219,1)&lt;=499,"400-499 мм",IF(LARGE($R219:$T219,1)&lt;=599,"500-599 мм",IF(LARGE($R219:$T219,1)&lt;=699,"600-699 мм",IF(LARGE($R219:$T219,1)&lt;=999,"700-999 мм","1000+ мм")))))))))</f>
        <v/>
      </c>
      <c r="Y219" s="160">
        <f>IF(LARGE($R219:$T219,2)="","",IF(LARGE($R219:$T219,2)&lt;=99,"10-99 мм",IF(LARGE($R219:$T219,2)&lt;=199,"100-199 мм",IF(LARGE($R219:$T219,2)&lt;=299,"200-299 мм",IF(LARGE($R219:$T219,2)&lt;=399,"300-399 мм",IF(LARGE($R219:$T219,2)&lt;=499,"400-499 мм",IF(LARGE($R219:$T219,2)&lt;=599,"500-599 мм",IF(LARGE($R219:$T219,2)&lt;=699,"600-699 мм",IF(LARGE($R219:$T219,2)&lt;=999,"700-999 мм","1000+ мм")))))))))</f>
        <v/>
      </c>
      <c r="Z219" s="160">
        <f>IF(SMALL($R219:$T219,1)="","",IF(SMALL($R219:$T219,1)&lt;=99,"10-99 мм",IF(SMALL($R219:$T219,1)&lt;=199,"100-199 мм",IF(SMALL($R219:$T219,1)&lt;=299,"200-299 мм",IF(SMALL($R219:$T219,1)&lt;=399,"300-399 мм",IF(SMALL($R219:$T219,1)&lt;=499,"400-499 мм",IF(SMALL($R219:$T219,1)&lt;=599,"500-599 мм",IF(SMALL($R219:$T219,1)&lt;=699,"600-699 мм",IF(SMALL($R219:$T219,1)&lt;=999,"700-999 мм","1000+ мм")))))))))</f>
        <v/>
      </c>
      <c r="AA219" s="101">
        <f>IF(G219="","",IF(G219="Л","Лист гофрокартона",IF(G219="КД","Крышка-дно",IF(G219="С","Самосборные",IF(G219="Ч","Четырехклапанные",IF(G219="А","Архивные","Неизвестно"))))))</f>
        <v/>
      </c>
      <c r="AB219" s="66" t="n">
        <v>1.73</v>
      </c>
      <c r="AC219" s="101">
        <f>IF(O219="","",IF(O219&lt;=1,"0-1 литров",IF(O219&lt;=3,"2-3 литра",IF(O219&lt;=5,"4-5 литра",IF(O219&lt;=7,"6-7 литра",IF(O219&lt;=9,"8-9 литров",IF(O219&lt;=14,"10-14 литров",IF(O219&lt;=19,"15-19 литров",IF(O219&lt;=29,"20-29 литров",IF(O219&lt;=49,"30-49 литров",IF(O219&lt;=59,"50-59 литров",IF(O219&lt;=70,"60-69 литров",IF(O219&lt;=79,"70-79 литров",IF(O219&lt;=89,"80-89 литров",IF(O219&lt;=99,"90-99 литров",IF(O219&lt;=200,"100-200 литров","200+ литров"))))))))))))))))</f>
        <v/>
      </c>
    </row>
    <row r="220">
      <c r="A220" s="64" t="n">
        <v>0.16</v>
      </c>
      <c r="B220" s="65">
        <f>A220*1.2</f>
        <v/>
      </c>
      <c r="C220" s="109" t="n">
        <v>220</v>
      </c>
      <c r="D220" s="116" t="inlineStr">
        <is>
          <t>У</t>
        </is>
      </c>
      <c r="E220" s="88" t="inlineStr">
        <is>
          <t>50х50х210</t>
        </is>
      </c>
      <c r="G220" s="83" t="inlineStr">
        <is>
          <t>С</t>
        </is>
      </c>
      <c r="H220" s="146" t="inlineStr">
        <is>
          <t>0215</t>
        </is>
      </c>
      <c r="I220" s="83" t="inlineStr">
        <is>
          <t>Е</t>
        </is>
      </c>
      <c r="J220" s="83" t="inlineStr">
        <is>
          <t>ОП</t>
        </is>
      </c>
      <c r="K220" s="116" t="inlineStr">
        <is>
          <t>K219</t>
        </is>
      </c>
      <c r="L220" s="103" t="inlineStr">
        <is>
          <t>Sale</t>
        </is>
      </c>
      <c r="M220" s="239" t="inlineStr">
        <is>
          <t>sale</t>
        </is>
      </c>
      <c r="N220" s="239">
        <f>IF(D220="","",IF(LEFT(D220,1)="0",0,1))</f>
        <v/>
      </c>
      <c r="O220" s="80">
        <f>ROUND(R220*S220*T220/1000000,2)</f>
        <v/>
      </c>
      <c r="P220" s="160">
        <f>IF(O220="","",
IF(O220&lt;1,"0,1-0,9 литров",
IF(O220&lt;2,"1-1,9 литра",
IF(O220&lt;3,"2-2,9 литра",
IF(O220&lt;4,"3-3,9 литра",
IF(O220&lt;6,"4-5,9 литра",IF(O220&lt;8,"6-7,9 литра",IF(O220&lt;10,"8-9,9 литров",IF(O220&lt;15,"10-14,9 литров",IF(O220&lt;20,"15-19,9 литров",IF(O220&lt;30,"20-29 литров",IF(O220&lt;50,"30-49 литров",IF(O220&lt;60,"50-59 литров",IF(O220&lt;70,"60-69 литров",IF(O220&lt;80,"70-79 литров",IF(O220&lt;90,"80-89 литров",IF(O220&lt;100,"90-99 литров",IF(O220&lt;200,"100-200 литров","200+ литров"))))))))))))))))))</f>
        <v/>
      </c>
      <c r="Q220" s="101">
        <f>IF(O220="","",IF(O220&lt;1,"&lt;1 л",IF(O220&lt;2,"1-2 л",IF(O220&lt;3,"2-3 л",IF(O220&lt;5,"3-5 л",IF(O220&lt;10,"5-10 л",IF(O220&lt;20,"10-20 л",IF(O220&lt;50,"20-50 л",IF(O220&lt;100,"50-100 л","100+ л")))))))))</f>
        <v/>
      </c>
      <c r="R220" s="162">
        <f>IF(E220="","",--LEFT(E220,FIND("х",E220)-1))</f>
        <v/>
      </c>
      <c r="S220" s="162">
        <f>IF(E220="","",--MID(E220,FIND("х",E220)+1,FIND("х",E220,FIND("х",E220)+1)-FIND("х",E220)-1))</f>
        <v/>
      </c>
      <c r="T220" s="162">
        <f>IF(E220="","",--RIGHT(E220,LEN(E220)-FIND("х",E220,FIND("х",E220)+1)))</f>
        <v/>
      </c>
      <c r="U220" s="66">
        <f>(2*(R220+S220)+60)*(S220+T220+8)/1000000</f>
        <v/>
      </c>
      <c r="V220" s="66">
        <f>IF(OR(AND(R220&gt;=2*S220,R220&gt;=2*T220),AND(S220&gt;=2*R220,S220&gt;=2*T220),AND(T220&gt;=2*R220,T220&gt;=2*S220)),"Длинные","")</f>
        <v/>
      </c>
      <c r="W220" s="66">
        <f>IF(OR(AND(R220&lt;=S220/2,R220&lt;=T220/2),AND(S220&lt;=R220/2,S220&lt;=T220/2),AND(T220&lt;=R220/2,T220&lt;=S220/2)),"Плоские","")</f>
        <v/>
      </c>
      <c r="X220" s="160">
        <f>IF(LARGE($R220:$T220,1)="","",IF(LARGE($R220:$T220,1)&lt;=99,"10-99 мм",IF(LARGE($R220:$T220,1)&lt;=199,"100-199 мм",IF(LARGE($R220:$T220,1)&lt;=299,"200-299 мм",IF(LARGE($R220:$T220,1)&lt;=399,"300-399 мм",IF(LARGE($R220:$T220,1)&lt;=499,"400-499 мм",IF(LARGE($R220:$T220,1)&lt;=599,"500-599 мм",IF(LARGE($R220:$T220,1)&lt;=699,"600-699 мм",IF(LARGE($R220:$T220,1)&lt;=999,"700-999 мм","1000+ мм")))))))))</f>
        <v/>
      </c>
      <c r="Y220" s="160">
        <f>IF(LARGE($R220:$T220,2)="","",IF(LARGE($R220:$T220,2)&lt;=99,"10-99 мм",IF(LARGE($R220:$T220,2)&lt;=199,"100-199 мм",IF(LARGE($R220:$T220,2)&lt;=299,"200-299 мм",IF(LARGE($R220:$T220,2)&lt;=399,"300-399 мм",IF(LARGE($R220:$T220,2)&lt;=499,"400-499 мм",IF(LARGE($R220:$T220,2)&lt;=599,"500-599 мм",IF(LARGE($R220:$T220,2)&lt;=699,"600-699 мм",IF(LARGE($R220:$T220,2)&lt;=999,"700-999 мм","1000+ мм")))))))))</f>
        <v/>
      </c>
      <c r="Z220" s="160">
        <f>IF(SMALL($R220:$T220,1)="","",IF(SMALL($R220:$T220,1)&lt;=99,"10-99 мм",IF(SMALL($R220:$T220,1)&lt;=199,"100-199 мм",IF(SMALL($R220:$T220,1)&lt;=299,"200-299 мм",IF(SMALL($R220:$T220,1)&lt;=399,"300-399 мм",IF(SMALL($R220:$T220,1)&lt;=499,"400-499 мм",IF(SMALL($R220:$T220,1)&lt;=599,"500-599 мм",IF(SMALL($R220:$T220,1)&lt;=699,"600-699 мм",IF(SMALL($R220:$T220,1)&lt;=999,"700-999 мм","1000+ мм")))))))))</f>
        <v/>
      </c>
      <c r="AA220" s="101">
        <f>IF(G220="","",IF(G220="Л","Лист гофрокартона",IF(G220="КД","Крышка-дно",IF(G220="С","Самосборные",IF(G220="Ч","Четырехклапанные",IF(G220="А","Архивные","Неизвестно"))))))</f>
        <v/>
      </c>
      <c r="AB220" s="66" t="n">
        <v>1.73</v>
      </c>
      <c r="AC220" s="101">
        <f>IF(O220="","",IF(O220&lt;=1,"0-1 литров",IF(O220&lt;=3,"2-3 литра",IF(O220&lt;=5,"4-5 литра",IF(O220&lt;=7,"6-7 литра",IF(O220&lt;=9,"8-9 литров",IF(O220&lt;=14,"10-14 литров",IF(O220&lt;=19,"15-19 литров",IF(O220&lt;=29,"20-29 литров",IF(O220&lt;=49,"30-49 литров",IF(O220&lt;=59,"50-59 литров",IF(O220&lt;=70,"60-69 литров",IF(O220&lt;=79,"70-79 литров",IF(O220&lt;=89,"80-89 литров",IF(O220&lt;=99,"90-99 литров",IF(O220&lt;=200,"100-200 литров","200+ литров"))))))))))))))))</f>
        <v/>
      </c>
    </row>
    <row r="221">
      <c r="A221" s="64" t="n">
        <v>0.24</v>
      </c>
      <c r="B221" s="65">
        <f>A221*1.2</f>
        <v/>
      </c>
      <c r="C221" s="109" t="n">
        <v>221</v>
      </c>
      <c r="D221" s="116" t="inlineStr">
        <is>
          <t>У</t>
        </is>
      </c>
      <c r="E221" s="88" t="inlineStr">
        <is>
          <t>125х125х127</t>
        </is>
      </c>
      <c r="G221" s="83" t="inlineStr">
        <is>
          <t>Ч</t>
        </is>
      </c>
      <c r="H221" s="146" t="inlineStr">
        <is>
          <t>0201</t>
        </is>
      </c>
      <c r="I221" s="83" t="inlineStr">
        <is>
          <t>В</t>
        </is>
      </c>
      <c r="J221" s="83" t="inlineStr">
        <is>
          <t>ОП</t>
        </is>
      </c>
      <c r="K221" s="116" t="inlineStr">
        <is>
          <t>K220</t>
        </is>
      </c>
      <c r="N221" s="239">
        <f>IF(D221="","",IF(LEFT(D221,1)="0",0,1))</f>
        <v/>
      </c>
      <c r="O221" s="80">
        <f>ROUND(R221*S221*T221/1000000,2)</f>
        <v/>
      </c>
      <c r="P221" s="160">
        <f>IF(O221="","",
IF(O221&lt;1,"0,1-0,9 литров",
IF(O221&lt;2,"1-1,9 литра",
IF(O221&lt;3,"2-2,9 литра",
IF(O221&lt;4,"3-3,9 литра",
IF(O221&lt;6,"4-5,9 литра",IF(O221&lt;8,"6-7,9 литра",IF(O221&lt;10,"8-9,9 литров",IF(O221&lt;15,"10-14,9 литров",IF(O221&lt;20,"15-19,9 литров",IF(O221&lt;30,"20-29 литров",IF(O221&lt;50,"30-49 литров",IF(O221&lt;60,"50-59 литров",IF(O221&lt;70,"60-69 литров",IF(O221&lt;80,"70-79 литров",IF(O221&lt;90,"80-89 литров",IF(O221&lt;100,"90-99 литров",IF(O221&lt;200,"100-200 литров","200+ литров"))))))))))))))))))</f>
        <v/>
      </c>
      <c r="Q221" s="101">
        <f>IF(O221="","",IF(O221&lt;1,"&lt;1 л",IF(O221&lt;2,"1-2 л",IF(O221&lt;3,"2-3 л",IF(O221&lt;5,"3-5 л",IF(O221&lt;10,"5-10 л",IF(O221&lt;20,"10-20 л",IF(O221&lt;50,"20-50 л",IF(O221&lt;100,"50-100 л","100+ л")))))))))</f>
        <v/>
      </c>
      <c r="R221" s="162">
        <f>IF(E221="","",--LEFT(E221,FIND("х",E221)-1))</f>
        <v/>
      </c>
      <c r="S221" s="162">
        <f>IF(E221="","",--MID(E221,FIND("х",E221)+1,FIND("х",E221,FIND("х",E221)+1)-FIND("х",E221)-1))</f>
        <v/>
      </c>
      <c r="T221" s="162">
        <f>IF(E221="","",--RIGHT(E221,LEN(E221)-FIND("х",E221,FIND("х",E221)+1)))</f>
        <v/>
      </c>
      <c r="U221" s="66">
        <f>(2*(R221+S221)+60)*(S221+T221+8)/1000000</f>
        <v/>
      </c>
      <c r="V221" s="66">
        <f>IF(OR(AND(R221&gt;=2*S221,R221&gt;=2*T221),AND(S221&gt;=2*R221,S221&gt;=2*T221),AND(T221&gt;=2*R221,T221&gt;=2*S221)),"Длинные","")</f>
        <v/>
      </c>
      <c r="W221" s="66">
        <f>IF(OR(AND(R221&lt;=S221/2,R221&lt;=T221/2),AND(S221&lt;=R221/2,S221&lt;=T221/2),AND(T221&lt;=R221/2,T221&lt;=S221/2)),"Плоские","")</f>
        <v/>
      </c>
      <c r="X221" s="160">
        <f>IF(LARGE($R221:$T221,1)="","",IF(LARGE($R221:$T221,1)&lt;=99,"10-99 мм",IF(LARGE($R221:$T221,1)&lt;=199,"100-199 мм",IF(LARGE($R221:$T221,1)&lt;=299,"200-299 мм",IF(LARGE($R221:$T221,1)&lt;=399,"300-399 мм",IF(LARGE($R221:$T221,1)&lt;=499,"400-499 мм",IF(LARGE($R221:$T221,1)&lt;=599,"500-599 мм",IF(LARGE($R221:$T221,1)&lt;=699,"600-699 мм",IF(LARGE($R221:$T221,1)&lt;=999,"700-999 мм","1000+ мм")))))))))</f>
        <v/>
      </c>
      <c r="Y221" s="160">
        <f>IF(LARGE($R221:$T221,2)="","",IF(LARGE($R221:$T221,2)&lt;=99,"10-99 мм",IF(LARGE($R221:$T221,2)&lt;=199,"100-199 мм",IF(LARGE($R221:$T221,2)&lt;=299,"200-299 мм",IF(LARGE($R221:$T221,2)&lt;=399,"300-399 мм",IF(LARGE($R221:$T221,2)&lt;=499,"400-499 мм",IF(LARGE($R221:$T221,2)&lt;=599,"500-599 мм",IF(LARGE($R221:$T221,2)&lt;=699,"600-699 мм",IF(LARGE($R221:$T221,2)&lt;=999,"700-999 мм","1000+ мм")))))))))</f>
        <v/>
      </c>
      <c r="Z221" s="160">
        <f>IF(SMALL($R221:$T221,1)="","",IF(SMALL($R221:$T221,1)&lt;=99,"10-99 мм",IF(SMALL($R221:$T221,1)&lt;=199,"100-199 мм",IF(SMALL($R221:$T221,1)&lt;=299,"200-299 мм",IF(SMALL($R221:$T221,1)&lt;=399,"300-399 мм",IF(SMALL($R221:$T221,1)&lt;=499,"400-499 мм",IF(SMALL($R221:$T221,1)&lt;=599,"500-599 мм",IF(SMALL($R221:$T221,1)&lt;=699,"600-699 мм",IF(SMALL($R221:$T221,1)&lt;=999,"700-999 мм","1000+ мм")))))))))</f>
        <v/>
      </c>
      <c r="AA221" s="101">
        <f>IF(G221="","",IF(G221="Л","Лист гофрокартона",IF(G221="КД","Крышка-дно",IF(G221="С","Самосборные",IF(G221="Ч","Четырехклапанные",IF(G221="А","Архивные","Неизвестно"))))))</f>
        <v/>
      </c>
      <c r="AB221" s="66" t="n">
        <v>1.73</v>
      </c>
      <c r="AC221" s="101">
        <f>IF(O221="","",IF(O221&lt;=1,"0-1 литров",IF(O221&lt;=3,"2-3 литра",IF(O221&lt;=5,"4-5 литра",IF(O221&lt;=7,"6-7 литра",IF(O221&lt;=9,"8-9 литров",IF(O221&lt;=14,"10-14 литров",IF(O221&lt;=19,"15-19 литров",IF(O221&lt;=29,"20-29 литров",IF(O221&lt;=49,"30-49 литров",IF(O221&lt;=59,"50-59 литров",IF(O221&lt;=70,"60-69 литров",IF(O221&lt;=79,"70-79 литров",IF(O221&lt;=89,"80-89 литров",IF(O221&lt;=99,"90-99 литров",IF(O221&lt;=200,"100-200 литров","200+ литров"))))))))))))))))</f>
        <v/>
      </c>
    </row>
    <row r="222">
      <c r="A222" s="64" t="n">
        <v>0.83</v>
      </c>
      <c r="B222" s="65">
        <f>A222*1.2</f>
        <v/>
      </c>
      <c r="C222" s="109" t="n">
        <v>222</v>
      </c>
      <c r="D222" s="77" t="inlineStr">
        <is>
          <t>К</t>
        </is>
      </c>
      <c r="E222" s="88" t="inlineStr">
        <is>
          <t>550х260х25</t>
        </is>
      </c>
      <c r="G222" s="83" t="inlineStr">
        <is>
          <t>С</t>
        </is>
      </c>
      <c r="H222" s="146" t="inlineStr">
        <is>
          <t>0426</t>
        </is>
      </c>
      <c r="I222" s="83" t="inlineStr">
        <is>
          <t>В</t>
        </is>
      </c>
      <c r="J222" s="83" t="inlineStr">
        <is>
          <t>ОП</t>
        </is>
      </c>
      <c r="K222" s="116" t="inlineStr">
        <is>
          <t>K1004</t>
        </is>
      </c>
      <c r="N222" s="239">
        <f>IF(D222="","",IF(LEFT(D222,1)="0",0,1))</f>
        <v/>
      </c>
      <c r="O222" s="80">
        <f>ROUND(R222*S222*T222/1000000,2)</f>
        <v/>
      </c>
      <c r="P222" s="160">
        <f>IF(O222="","",
IF(O222&lt;1,"0,1-0,9 литров",
IF(O222&lt;2,"1-1,9 литра",
IF(O222&lt;3,"2-2,9 литра",
IF(O222&lt;4,"3-3,9 литра",
IF(O222&lt;6,"4-5,9 литра",IF(O222&lt;8,"6-7,9 литра",IF(O222&lt;10,"8-9,9 литров",IF(O222&lt;15,"10-14,9 литров",IF(O222&lt;20,"15-19,9 литров",IF(O222&lt;30,"20-29 литров",IF(O222&lt;50,"30-49 литров",IF(O222&lt;60,"50-59 литров",IF(O222&lt;70,"60-69 литров",IF(O222&lt;80,"70-79 литров",IF(O222&lt;90,"80-89 литров",IF(O222&lt;100,"90-99 литров",IF(O222&lt;200,"100-200 литров","200+ литров"))))))))))))))))))</f>
        <v/>
      </c>
      <c r="Q222" s="101">
        <f>IF(O222="","",IF(O222&lt;1,"&lt;1 л",IF(O222&lt;2,"1-2 л",IF(O222&lt;3,"2-3 л",IF(O222&lt;5,"3-5 л",IF(O222&lt;10,"5-10 л",IF(O222&lt;20,"10-20 л",IF(O222&lt;50,"20-50 л",IF(O222&lt;100,"50-100 л","100+ л")))))))))</f>
        <v/>
      </c>
      <c r="R222" s="162">
        <f>IF(E222="","",--LEFT(E222,FIND("х",E222)-1))</f>
        <v/>
      </c>
      <c r="S222" s="162">
        <f>IF(E222="","",--MID(E222,FIND("х",E222)+1,FIND("х",E222,FIND("х",E222)+1)-FIND("х",E222)-1))</f>
        <v/>
      </c>
      <c r="T222" s="162">
        <f>IF(E222="","",--RIGHT(E222,LEN(E222)-FIND("х",E222,FIND("х",E222)+1)))</f>
        <v/>
      </c>
      <c r="U222" s="66">
        <f>(2*(R222+S222)+60)*(S222+T222+8)/1000000</f>
        <v/>
      </c>
      <c r="V222" s="66">
        <f>IF(OR(AND(R222&gt;=2*S222,R222&gt;=2*T222),AND(S222&gt;=2*R222,S222&gt;=2*T222),AND(T222&gt;=2*R222,T222&gt;=2*S222)),"Длинные","")</f>
        <v/>
      </c>
      <c r="W222" s="66">
        <f>IF(OR(AND(R222&lt;=S222/2,R222&lt;=T222/2),AND(S222&lt;=R222/2,S222&lt;=T222/2),AND(T222&lt;=R222/2,T222&lt;=S222/2)),"Плоские","")</f>
        <v/>
      </c>
      <c r="X222" s="160">
        <f>IF(LARGE($R222:$T222,1)="","",IF(LARGE($R222:$T222,1)&lt;=99,"10-99 мм",IF(LARGE($R222:$T222,1)&lt;=199,"100-199 мм",IF(LARGE($R222:$T222,1)&lt;=299,"200-299 мм",IF(LARGE($R222:$T222,1)&lt;=399,"300-399 мм",IF(LARGE($R222:$T222,1)&lt;=499,"400-499 мм",IF(LARGE($R222:$T222,1)&lt;=599,"500-599 мм",IF(LARGE($R222:$T222,1)&lt;=699,"600-699 мм",IF(LARGE($R222:$T222,1)&lt;=999,"700-999 мм","1000+ мм")))))))))</f>
        <v/>
      </c>
      <c r="Y222" s="160">
        <f>IF(LARGE($R222:$T222,2)="","",IF(LARGE($R222:$T222,2)&lt;=99,"10-99 мм",IF(LARGE($R222:$T222,2)&lt;=199,"100-199 мм",IF(LARGE($R222:$T222,2)&lt;=299,"200-299 мм",IF(LARGE($R222:$T222,2)&lt;=399,"300-399 мм",IF(LARGE($R222:$T222,2)&lt;=499,"400-499 мм",IF(LARGE($R222:$T222,2)&lt;=599,"500-599 мм",IF(LARGE($R222:$T222,2)&lt;=699,"600-699 мм",IF(LARGE($R222:$T222,2)&lt;=999,"700-999 мм","1000+ мм")))))))))</f>
        <v/>
      </c>
      <c r="Z222" s="160">
        <f>IF(SMALL($R222:$T222,1)="","",IF(SMALL($R222:$T222,1)&lt;=99,"10-99 мм",IF(SMALL($R222:$T222,1)&lt;=199,"100-199 мм",IF(SMALL($R222:$T222,1)&lt;=299,"200-299 мм",IF(SMALL($R222:$T222,1)&lt;=399,"300-399 мм",IF(SMALL($R222:$T222,1)&lt;=499,"400-499 мм",IF(SMALL($R222:$T222,1)&lt;=599,"500-599 мм",IF(SMALL($R222:$T222,1)&lt;=699,"600-699 мм",IF(SMALL($R222:$T222,1)&lt;=999,"700-999 мм","1000+ мм")))))))))</f>
        <v/>
      </c>
      <c r="AA222" s="101">
        <f>IF(G222="","",IF(G222="Л","Лист гофрокартона",IF(G222="КД","Крышка-дно",IF(G222="С","Самосборные",IF(G222="Ч","Четырехклапанные",IF(G222="А","Архивные","Неизвестно"))))))</f>
        <v/>
      </c>
      <c r="AB222" s="66" t="n">
        <v>1.73</v>
      </c>
      <c r="AC222" s="101">
        <f>IF(O222="","",IF(O222&lt;=1,"0-1 литров",IF(O222&lt;=3,"2-3 литра",IF(O222&lt;=5,"4-5 литра",IF(O222&lt;=7,"6-7 литра",IF(O222&lt;=9,"8-9 литров",IF(O222&lt;=14,"10-14 литров",IF(O222&lt;=19,"15-19 литров",IF(O222&lt;=29,"20-29 литров",IF(O222&lt;=49,"30-49 литров",IF(O222&lt;=59,"50-59 литров",IF(O222&lt;=70,"60-69 литров",IF(O222&lt;=79,"70-79 литров",IF(O222&lt;=89,"80-89 литров",IF(O222&lt;=99,"90-99 литров",IF(O222&lt;=200,"100-200 литров","200+ литров"))))))))))))))))</f>
        <v/>
      </c>
    </row>
    <row r="223">
      <c r="A223" s="64" t="n">
        <v>0.45</v>
      </c>
      <c r="B223" s="65">
        <f>A223*1.2</f>
        <v/>
      </c>
      <c r="C223" s="109" t="n">
        <v>223</v>
      </c>
      <c r="D223" s="116" t="inlineStr">
        <is>
          <t>У</t>
        </is>
      </c>
      <c r="E223" s="88" t="inlineStr">
        <is>
          <t>310х220х10</t>
        </is>
      </c>
      <c r="G223" s="83" t="inlineStr">
        <is>
          <t>С</t>
        </is>
      </c>
      <c r="H223" s="146" t="inlineStr">
        <is>
          <t>0409</t>
        </is>
      </c>
      <c r="I223" s="83" t="inlineStr">
        <is>
          <t>Е</t>
        </is>
      </c>
      <c r="J223" s="83" t="inlineStr">
        <is>
          <t>ОП</t>
        </is>
      </c>
      <c r="K223" s="116" t="inlineStr">
        <is>
          <t>K221</t>
        </is>
      </c>
      <c r="N223" s="239">
        <f>IF(D223="","",IF(LEFT(D223,1)="0",0,1))</f>
        <v/>
      </c>
      <c r="O223" s="80">
        <f>ROUND(R223*S223*T223/1000000,2)</f>
        <v/>
      </c>
      <c r="P223" s="160">
        <f>IF(O223="","",
IF(O223&lt;1,"0,1-0,9 литров",
IF(O223&lt;2,"1-1,9 литра",
IF(O223&lt;3,"2-2,9 литра",
IF(O223&lt;4,"3-3,9 литра",
IF(O223&lt;6,"4-5,9 литра",IF(O223&lt;8,"6-7,9 литра",IF(O223&lt;10,"8-9,9 литров",IF(O223&lt;15,"10-14,9 литров",IF(O223&lt;20,"15-19,9 литров",IF(O223&lt;30,"20-29 литров",IF(O223&lt;50,"30-49 литров",IF(O223&lt;60,"50-59 литров",IF(O223&lt;70,"60-69 литров",IF(O223&lt;80,"70-79 литров",IF(O223&lt;90,"80-89 литров",IF(O223&lt;100,"90-99 литров",IF(O223&lt;200,"100-200 литров","200+ литров"))))))))))))))))))</f>
        <v/>
      </c>
      <c r="Q223" s="101">
        <f>IF(O223="","",IF(O223&lt;1,"&lt;1 л",IF(O223&lt;2,"1-2 л",IF(O223&lt;3,"2-3 л",IF(O223&lt;5,"3-5 л",IF(O223&lt;10,"5-10 л",IF(O223&lt;20,"10-20 л",IF(O223&lt;50,"20-50 л",IF(O223&lt;100,"50-100 л","100+ л")))))))))</f>
        <v/>
      </c>
      <c r="R223" s="162">
        <f>IF(E223="","",--LEFT(E223,FIND("х",E223)-1))</f>
        <v/>
      </c>
      <c r="S223" s="162">
        <f>IF(E223="","",--MID(E223,FIND("х",E223)+1,FIND("х",E223,FIND("х",E223)+1)-FIND("х",E223)-1))</f>
        <v/>
      </c>
      <c r="T223" s="162">
        <f>IF(E223="","",--RIGHT(E223,LEN(E223)-FIND("х",E223,FIND("х",E223)+1)))</f>
        <v/>
      </c>
      <c r="U223" s="66">
        <f>(2*(R223+S223)+60)*(S223+T223+8)/1000000</f>
        <v/>
      </c>
      <c r="V223" s="66">
        <f>IF(OR(AND(R223&gt;=2*S223,R223&gt;=2*T223),AND(S223&gt;=2*R223,S223&gt;=2*T223),AND(T223&gt;=2*R223,T223&gt;=2*S223)),"Длинные","")</f>
        <v/>
      </c>
      <c r="W223" s="66">
        <f>IF(OR(AND(R223&lt;=S223/2,R223&lt;=T223/2),AND(S223&lt;=R223/2,S223&lt;=T223/2),AND(T223&lt;=R223/2,T223&lt;=S223/2)),"Плоские","")</f>
        <v/>
      </c>
      <c r="X223" s="160">
        <f>IF(LARGE($R223:$T223,1)="","",IF(LARGE($R223:$T223,1)&lt;=99,"10-99 мм",IF(LARGE($R223:$T223,1)&lt;=199,"100-199 мм",IF(LARGE($R223:$T223,1)&lt;=299,"200-299 мм",IF(LARGE($R223:$T223,1)&lt;=399,"300-399 мм",IF(LARGE($R223:$T223,1)&lt;=499,"400-499 мм",IF(LARGE($R223:$T223,1)&lt;=599,"500-599 мм",IF(LARGE($R223:$T223,1)&lt;=699,"600-699 мм",IF(LARGE($R223:$T223,1)&lt;=999,"700-999 мм","1000+ мм")))))))))</f>
        <v/>
      </c>
      <c r="Y223" s="160">
        <f>IF(LARGE($R223:$T223,2)="","",IF(LARGE($R223:$T223,2)&lt;=99,"10-99 мм",IF(LARGE($R223:$T223,2)&lt;=199,"100-199 мм",IF(LARGE($R223:$T223,2)&lt;=299,"200-299 мм",IF(LARGE($R223:$T223,2)&lt;=399,"300-399 мм",IF(LARGE($R223:$T223,2)&lt;=499,"400-499 мм",IF(LARGE($R223:$T223,2)&lt;=599,"500-599 мм",IF(LARGE($R223:$T223,2)&lt;=699,"600-699 мм",IF(LARGE($R223:$T223,2)&lt;=999,"700-999 мм","1000+ мм")))))))))</f>
        <v/>
      </c>
      <c r="Z223" s="160">
        <f>IF(SMALL($R223:$T223,1)="","",IF(SMALL($R223:$T223,1)&lt;=99,"10-99 мм",IF(SMALL($R223:$T223,1)&lt;=199,"100-199 мм",IF(SMALL($R223:$T223,1)&lt;=299,"200-299 мм",IF(SMALL($R223:$T223,1)&lt;=399,"300-399 мм",IF(SMALL($R223:$T223,1)&lt;=499,"400-499 мм",IF(SMALL($R223:$T223,1)&lt;=599,"500-599 мм",IF(SMALL($R223:$T223,1)&lt;=699,"600-699 мм",IF(SMALL($R223:$T223,1)&lt;=999,"700-999 мм","1000+ мм")))))))))</f>
        <v/>
      </c>
      <c r="AA223" s="101">
        <f>IF(G223="","",IF(G223="Л","Лист гофрокартона",IF(G223="КД","Крышка-дно",IF(G223="С","Самосборные",IF(G223="Ч","Четырехклапанные",IF(G223="А","Архивные","Неизвестно"))))))</f>
        <v/>
      </c>
      <c r="AB223" s="66" t="n">
        <v>1.73</v>
      </c>
      <c r="AC223" s="101">
        <f>IF(O223="","",IF(O223&lt;=1,"0-1 литров",IF(O223&lt;=3,"2-3 литра",IF(O223&lt;=5,"4-5 литра",IF(O223&lt;=7,"6-7 литра",IF(O223&lt;=9,"8-9 литров",IF(O223&lt;=14,"10-14 литров",IF(O223&lt;=19,"15-19 литров",IF(O223&lt;=29,"20-29 литров",IF(O223&lt;=49,"30-49 литров",IF(O223&lt;=59,"50-59 литров",IF(O223&lt;=70,"60-69 литров",IF(O223&lt;=79,"70-79 литров",IF(O223&lt;=89,"80-89 литров",IF(O223&lt;=99,"90-99 литров",IF(O223&lt;=200,"100-200 литров","200+ литров"))))))))))))))))</f>
        <v/>
      </c>
    </row>
    <row r="224">
      <c r="A224" s="64" t="n">
        <v>10.67</v>
      </c>
      <c r="B224" s="65">
        <f>A224*1.2</f>
        <v/>
      </c>
      <c r="C224" s="109" t="n">
        <v>224</v>
      </c>
      <c r="D224" s="116" t="inlineStr">
        <is>
          <t>У</t>
        </is>
      </c>
      <c r="E224" s="88" t="inlineStr">
        <is>
          <t>1650х340х340</t>
        </is>
      </c>
      <c r="G224" s="83" t="inlineStr">
        <is>
          <t>С</t>
        </is>
      </c>
      <c r="H224" s="146" t="inlineStr">
        <is>
          <t>0470</t>
        </is>
      </c>
      <c r="I224" s="83" t="inlineStr">
        <is>
          <t>ВС</t>
        </is>
      </c>
      <c r="J224" s="83" t="inlineStr">
        <is>
          <t>ОП</t>
        </is>
      </c>
      <c r="K224" s="116" t="inlineStr">
        <is>
          <t>K222</t>
        </is>
      </c>
      <c r="N224" s="239">
        <f>IF(D224="","",IF(LEFT(D224,1)="0",0,1))</f>
        <v/>
      </c>
      <c r="O224" s="80">
        <f>ROUND(R224*S224*T224/1000000,2)</f>
        <v/>
      </c>
      <c r="P224" s="160">
        <f>IF(O224="","",
IF(O224&lt;1,"0,1-0,9 литров",
IF(O224&lt;2,"1-1,9 литра",
IF(O224&lt;3,"2-2,9 литра",
IF(O224&lt;4,"3-3,9 литра",
IF(O224&lt;6,"4-5,9 литра",IF(O224&lt;8,"6-7,9 литра",IF(O224&lt;10,"8-9,9 литров",IF(O224&lt;15,"10-14,9 литров",IF(O224&lt;20,"15-19,9 литров",IF(O224&lt;30,"20-29 литров",IF(O224&lt;50,"30-49 литров",IF(O224&lt;60,"50-59 литров",IF(O224&lt;70,"60-69 литров",IF(O224&lt;80,"70-79 литров",IF(O224&lt;90,"80-89 литров",IF(O224&lt;100,"90-99 литров",IF(O224&lt;200,"100-200 литров","200+ литров"))))))))))))))))))</f>
        <v/>
      </c>
      <c r="Q224" s="101">
        <f>IF(O224="","",IF(O224&lt;1,"&lt;1 л",IF(O224&lt;2,"1-2 л",IF(O224&lt;3,"2-3 л",IF(O224&lt;5,"3-5 л",IF(O224&lt;10,"5-10 л",IF(O224&lt;20,"10-20 л",IF(O224&lt;50,"20-50 л",IF(O224&lt;100,"50-100 л","100+ л")))))))))</f>
        <v/>
      </c>
      <c r="R224" s="162">
        <f>IF(E224="","",--LEFT(E224,FIND("х",E224)-1))</f>
        <v/>
      </c>
      <c r="S224" s="162">
        <f>IF(E224="","",--MID(E224,FIND("х",E224)+1,FIND("х",E224,FIND("х",E224)+1)-FIND("х",E224)-1))</f>
        <v/>
      </c>
      <c r="T224" s="162">
        <f>IF(E224="","",--RIGHT(E224,LEN(E224)-FIND("х",E224,FIND("х",E224)+1)))</f>
        <v/>
      </c>
      <c r="U224" s="66">
        <f>(2*(R224+S224)+60)*(S224+T224+8)/1000000</f>
        <v/>
      </c>
      <c r="V224" s="66">
        <f>IF(OR(AND(R224&gt;=2*S224,R224&gt;=2*T224),AND(S224&gt;=2*R224,S224&gt;=2*T224),AND(T224&gt;=2*R224,T224&gt;=2*S224)),"Длинные","")</f>
        <v/>
      </c>
      <c r="W224" s="66">
        <f>IF(OR(AND(R224&lt;=S224/2,R224&lt;=T224/2),AND(S224&lt;=R224/2,S224&lt;=T224/2),AND(T224&lt;=R224/2,T224&lt;=S224/2)),"Плоские","")</f>
        <v/>
      </c>
      <c r="X224" s="160">
        <f>IF(LARGE($R224:$T224,1)="","",IF(LARGE($R224:$T224,1)&lt;=99,"10-99 мм",IF(LARGE($R224:$T224,1)&lt;=199,"100-199 мм",IF(LARGE($R224:$T224,1)&lt;=299,"200-299 мм",IF(LARGE($R224:$T224,1)&lt;=399,"300-399 мм",IF(LARGE($R224:$T224,1)&lt;=499,"400-499 мм",IF(LARGE($R224:$T224,1)&lt;=599,"500-599 мм",IF(LARGE($R224:$T224,1)&lt;=699,"600-699 мм",IF(LARGE($R224:$T224,1)&lt;=999,"700-999 мм","1000+ мм")))))))))</f>
        <v/>
      </c>
      <c r="Y224" s="160">
        <f>IF(LARGE($R224:$T224,2)="","",IF(LARGE($R224:$T224,2)&lt;=99,"10-99 мм",IF(LARGE($R224:$T224,2)&lt;=199,"100-199 мм",IF(LARGE($R224:$T224,2)&lt;=299,"200-299 мм",IF(LARGE($R224:$T224,2)&lt;=399,"300-399 мм",IF(LARGE($R224:$T224,2)&lt;=499,"400-499 мм",IF(LARGE($R224:$T224,2)&lt;=599,"500-599 мм",IF(LARGE($R224:$T224,2)&lt;=699,"600-699 мм",IF(LARGE($R224:$T224,2)&lt;=999,"700-999 мм","1000+ мм")))))))))</f>
        <v/>
      </c>
      <c r="Z224" s="160">
        <f>IF(SMALL($R224:$T224,1)="","",IF(SMALL($R224:$T224,1)&lt;=99,"10-99 мм",IF(SMALL($R224:$T224,1)&lt;=199,"100-199 мм",IF(SMALL($R224:$T224,1)&lt;=299,"200-299 мм",IF(SMALL($R224:$T224,1)&lt;=399,"300-399 мм",IF(SMALL($R224:$T224,1)&lt;=499,"400-499 мм",IF(SMALL($R224:$T224,1)&lt;=599,"500-599 мм",IF(SMALL($R224:$T224,1)&lt;=699,"600-699 мм",IF(SMALL($R224:$T224,1)&lt;=999,"700-999 мм","1000+ мм")))))))))</f>
        <v/>
      </c>
      <c r="AA224" s="101">
        <f>IF(G224="","",IF(G224="Л","Лист гофрокартона",IF(G224="КД","Крышка-дно",IF(G224="С","Самосборные",IF(G224="Ч","Четырехклапанные",IF(G224="А","Архивные","Неизвестно"))))))</f>
        <v/>
      </c>
      <c r="AB224" s="66" t="n">
        <v>1.73</v>
      </c>
      <c r="AC224" s="101">
        <f>IF(O224="","",IF(O224&lt;=1,"0-1 литров",IF(O224&lt;=3,"2-3 литра",IF(O224&lt;=5,"4-5 литра",IF(O224&lt;=7,"6-7 литра",IF(O224&lt;=9,"8-9 литров",IF(O224&lt;=14,"10-14 литров",IF(O224&lt;=19,"15-19 литров",IF(O224&lt;=29,"20-29 литров",IF(O224&lt;=49,"30-49 литров",IF(O224&lt;=59,"50-59 литров",IF(O224&lt;=70,"60-69 литров",IF(O224&lt;=79,"70-79 литров",IF(O224&lt;=89,"80-89 литров",IF(O224&lt;=99,"90-99 литров",IF(O224&lt;=200,"100-200 литров","200+ литров"))))))))))))))))</f>
        <v/>
      </c>
    </row>
    <row r="225">
      <c r="A225" s="64" t="n">
        <v>0.21</v>
      </c>
      <c r="B225" s="65">
        <f>A225*1.2</f>
        <v/>
      </c>
      <c r="C225" s="109" t="n">
        <v>225</v>
      </c>
      <c r="D225" s="77" t="inlineStr">
        <is>
          <t>ТМ-
SALE</t>
        </is>
      </c>
      <c r="E225" s="88" t="inlineStr">
        <is>
          <t>100х70х50</t>
        </is>
      </c>
      <c r="G225" s="83" t="inlineStr">
        <is>
          <t>С</t>
        </is>
      </c>
      <c r="H225" s="146" t="inlineStr">
        <is>
          <t>0427</t>
        </is>
      </c>
      <c r="I225" s="83" t="inlineStr">
        <is>
          <t>В</t>
        </is>
      </c>
      <c r="J225" s="83" t="inlineStr">
        <is>
          <t>ТМ</t>
        </is>
      </c>
      <c r="K225" s="116" t="inlineStr">
        <is>
          <t>K1006</t>
        </is>
      </c>
      <c r="L225" s="103" t="inlineStr">
        <is>
          <t>Sale</t>
        </is>
      </c>
      <c r="M225" s="239" t="inlineStr">
        <is>
          <t>sale</t>
        </is>
      </c>
      <c r="N225" s="239">
        <f>IF(D225="","",IF(LEFT(D225,1)="0",0,1))</f>
        <v/>
      </c>
      <c r="O225" s="80">
        <f>ROUND(R225*S225*T225/1000000,2)</f>
        <v/>
      </c>
      <c r="P225" s="160">
        <f>IF(O225="","",
IF(O225&lt;1,"0,1-0,9 литров",
IF(O225&lt;2,"1-1,9 литра",
IF(O225&lt;3,"2-2,9 литра",
IF(O225&lt;4,"3-3,9 литра",
IF(O225&lt;6,"4-5,9 литра",IF(O225&lt;8,"6-7,9 литра",IF(O225&lt;10,"8-9,9 литров",IF(O225&lt;15,"10-14,9 литров",IF(O225&lt;20,"15-19,9 литров",IF(O225&lt;30,"20-29 литров",IF(O225&lt;50,"30-49 литров",IF(O225&lt;60,"50-59 литров",IF(O225&lt;70,"60-69 литров",IF(O225&lt;80,"70-79 литров",IF(O225&lt;90,"80-89 литров",IF(O225&lt;100,"90-99 литров",IF(O225&lt;200,"100-200 литров","200+ литров"))))))))))))))))))</f>
        <v/>
      </c>
      <c r="Q225" s="101">
        <f>IF(O225="","",IF(O225&lt;1,"&lt;1 л",IF(O225&lt;2,"1-2 л",IF(O225&lt;3,"2-3 л",IF(O225&lt;5,"3-5 л",IF(O225&lt;10,"5-10 л",IF(O225&lt;20,"10-20 л",IF(O225&lt;50,"20-50 л",IF(O225&lt;100,"50-100 л","100+ л")))))))))</f>
        <v/>
      </c>
      <c r="R225" s="162">
        <f>IF(E225="","",--LEFT(E225,FIND("х",E225)-1))</f>
        <v/>
      </c>
      <c r="S225" s="162">
        <f>IF(E225="","",--MID(E225,FIND("х",E225)+1,FIND("х",E225,FIND("х",E225)+1)-FIND("х",E225)-1))</f>
        <v/>
      </c>
      <c r="T225" s="162">
        <f>IF(E225="","",--RIGHT(E225,LEN(E225)-FIND("х",E225,FIND("х",E225)+1)))</f>
        <v/>
      </c>
      <c r="U225" s="66">
        <f>(2*(R225+S225)+60)*(S225+T225+8)/1000000</f>
        <v/>
      </c>
      <c r="V225" s="66">
        <f>IF(OR(AND(R225&gt;=2*S225,R225&gt;=2*T225),AND(S225&gt;=2*R225,S225&gt;=2*T225),AND(T225&gt;=2*R225,T225&gt;=2*S225)),"Длинные","")</f>
        <v/>
      </c>
      <c r="W225" s="66">
        <f>IF(OR(AND(R225&lt;=S225/2,R225&lt;=T225/2),AND(S225&lt;=R225/2,S225&lt;=T225/2),AND(T225&lt;=R225/2,T225&lt;=S225/2)),"Плоские","")</f>
        <v/>
      </c>
      <c r="X225" s="160">
        <f>IF(LARGE($R225:$T225,1)="","",IF(LARGE($R225:$T225,1)&lt;=99,"10-99 мм",IF(LARGE($R225:$T225,1)&lt;=199,"100-199 мм",IF(LARGE($R225:$T225,1)&lt;=299,"200-299 мм",IF(LARGE($R225:$T225,1)&lt;=399,"300-399 мм",IF(LARGE($R225:$T225,1)&lt;=499,"400-499 мм",IF(LARGE($R225:$T225,1)&lt;=599,"500-599 мм",IF(LARGE($R225:$T225,1)&lt;=699,"600-699 мм",IF(LARGE($R225:$T225,1)&lt;=999,"700-999 мм","1000+ мм")))))))))</f>
        <v/>
      </c>
      <c r="Y225" s="160">
        <f>IF(LARGE($R225:$T225,2)="","",IF(LARGE($R225:$T225,2)&lt;=99,"10-99 мм",IF(LARGE($R225:$T225,2)&lt;=199,"100-199 мм",IF(LARGE($R225:$T225,2)&lt;=299,"200-299 мм",IF(LARGE($R225:$T225,2)&lt;=399,"300-399 мм",IF(LARGE($R225:$T225,2)&lt;=499,"400-499 мм",IF(LARGE($R225:$T225,2)&lt;=599,"500-599 мм",IF(LARGE($R225:$T225,2)&lt;=699,"600-699 мм",IF(LARGE($R225:$T225,2)&lt;=999,"700-999 мм","1000+ мм")))))))))</f>
        <v/>
      </c>
      <c r="Z225" s="160">
        <f>IF(SMALL($R225:$T225,1)="","",IF(SMALL($R225:$T225,1)&lt;=99,"10-99 мм",IF(SMALL($R225:$T225,1)&lt;=199,"100-199 мм",IF(SMALL($R225:$T225,1)&lt;=299,"200-299 мм",IF(SMALL($R225:$T225,1)&lt;=399,"300-399 мм",IF(SMALL($R225:$T225,1)&lt;=499,"400-499 мм",IF(SMALL($R225:$T225,1)&lt;=599,"500-599 мм",IF(SMALL($R225:$T225,1)&lt;=699,"600-699 мм",IF(SMALL($R225:$T225,1)&lt;=999,"700-999 мм","1000+ мм")))))))))</f>
        <v/>
      </c>
      <c r="AA225" s="101">
        <f>IF(G225="","",IF(G225="Л","Лист гофрокартона",IF(G225="КД","Крышка-дно",IF(G225="С","Самосборные",IF(G225="Ч","Четырехклапанные",IF(G225="А","Архивные","Неизвестно"))))))</f>
        <v/>
      </c>
      <c r="AB225" s="66" t="n">
        <v>1.73</v>
      </c>
      <c r="AC225" s="101">
        <f>IF(O225="","",IF(O225&lt;=1,"0-1 литров",IF(O225&lt;=3,"2-3 литра",IF(O225&lt;=5,"4-5 литра",IF(O225&lt;=7,"6-7 литра",IF(O225&lt;=9,"8-9 литров",IF(O225&lt;=14,"10-14 литров",IF(O225&lt;=19,"15-19 литров",IF(O225&lt;=29,"20-29 литров",IF(O225&lt;=49,"30-49 литров",IF(O225&lt;=59,"50-59 литров",IF(O225&lt;=70,"60-69 литров",IF(O225&lt;=79,"70-79 литров",IF(O225&lt;=89,"80-89 литров",IF(O225&lt;=99,"90-99 литров",IF(O225&lt;=200,"100-200 литров","200+ литров"))))))))))))))))</f>
        <v/>
      </c>
    </row>
    <row r="226" customFormat="1" s="207">
      <c r="A226" s="64" t="n">
        <v>0.2</v>
      </c>
      <c r="B226" s="65">
        <f>A226*1.2</f>
        <v/>
      </c>
      <c r="C226" s="109" t="n">
        <v>226</v>
      </c>
      <c r="D226" s="116" t="inlineStr">
        <is>
          <t>У</t>
        </is>
      </c>
      <c r="E226" s="88" t="inlineStr">
        <is>
          <t>100х85х50</t>
        </is>
      </c>
      <c r="F226" s="213" t="n"/>
      <c r="G226" s="83" t="inlineStr">
        <is>
          <t>С</t>
        </is>
      </c>
      <c r="H226" s="146" t="inlineStr">
        <is>
          <t>0421</t>
        </is>
      </c>
      <c r="I226" s="83" t="inlineStr">
        <is>
          <t>В</t>
        </is>
      </c>
      <c r="J226" s="83" t="inlineStr">
        <is>
          <t>ОП</t>
        </is>
      </c>
      <c r="K226" s="116" t="inlineStr">
        <is>
          <t>K223</t>
        </is>
      </c>
      <c r="L226" s="103" t="n"/>
      <c r="M226" s="239" t="n"/>
      <c r="N226" s="239">
        <f>IF(D226="","",IF(LEFT(D226,1)="0",0,1))</f>
        <v/>
      </c>
      <c r="O226" s="80">
        <f>ROUND(R226*S226*T226/1000000,2)</f>
        <v/>
      </c>
      <c r="P226" s="160">
        <f>IF(O226="","",
IF(O226&lt;1,"0,1-0,9 литров",
IF(O226&lt;2,"1-1,9 литра",
IF(O226&lt;3,"2-2,9 литра",
IF(O226&lt;4,"3-3,9 литра",
IF(O226&lt;6,"4-5,9 литра",IF(O226&lt;8,"6-7,9 литра",IF(O226&lt;10,"8-9,9 литров",IF(O226&lt;15,"10-14,9 литров",IF(O226&lt;20,"15-19,9 литров",IF(O226&lt;30,"20-29 литров",IF(O226&lt;50,"30-49 литров",IF(O226&lt;60,"50-59 литров",IF(O226&lt;70,"60-69 литров",IF(O226&lt;80,"70-79 литров",IF(O226&lt;90,"80-89 литров",IF(O226&lt;100,"90-99 литров",IF(O226&lt;200,"100-200 литров","200+ литров"))))))))))))))))))</f>
        <v/>
      </c>
      <c r="Q226" s="101">
        <f>IF(O226="","",IF(O226&lt;1,"&lt;1 л",IF(O226&lt;2,"1-2 л",IF(O226&lt;3,"2-3 л",IF(O226&lt;5,"3-5 л",IF(O226&lt;10,"5-10 л",IF(O226&lt;20,"10-20 л",IF(O226&lt;50,"20-50 л",IF(O226&lt;100,"50-100 л","100+ л")))))))))</f>
        <v/>
      </c>
      <c r="R226" s="162">
        <f>IF(E226="","",--LEFT(E226,FIND("х",E226)-1))</f>
        <v/>
      </c>
      <c r="S226" s="162">
        <f>IF(E226="","",--MID(E226,FIND("х",E226)+1,FIND("х",E226,FIND("х",E226)+1)-FIND("х",E226)-1))</f>
        <v/>
      </c>
      <c r="T226" s="162">
        <f>IF(E226="","",--RIGHT(E226,LEN(E226)-FIND("х",E226,FIND("х",E226)+1)))</f>
        <v/>
      </c>
      <c r="U226" s="66">
        <f>(2*(R226+S226)+60)*(S226+T226+8)/1000000</f>
        <v/>
      </c>
      <c r="V226" s="66">
        <f>IF(OR(AND(R226&gt;=2*S226,R226&gt;=2*T226),AND(S226&gt;=2*R226,S226&gt;=2*T226),AND(T226&gt;=2*R226,T226&gt;=2*S226)),"Длинные","")</f>
        <v/>
      </c>
      <c r="W226" s="66">
        <f>IF(OR(AND(R226&lt;=S226/2,R226&lt;=T226/2),AND(S226&lt;=R226/2,S226&lt;=T226/2),AND(T226&lt;=R226/2,T226&lt;=S226/2)),"Плоские","")</f>
        <v/>
      </c>
      <c r="X226" s="160">
        <f>IF(LARGE($R226:$T226,1)="","",IF(LARGE($R226:$T226,1)&lt;=99,"10-99 мм",IF(LARGE($R226:$T226,1)&lt;=199,"100-199 мм",IF(LARGE($R226:$T226,1)&lt;=299,"200-299 мм",IF(LARGE($R226:$T226,1)&lt;=399,"300-399 мм",IF(LARGE($R226:$T226,1)&lt;=499,"400-499 мм",IF(LARGE($R226:$T226,1)&lt;=599,"500-599 мм",IF(LARGE($R226:$T226,1)&lt;=699,"600-699 мм",IF(LARGE($R226:$T226,1)&lt;=999,"700-999 мм","1000+ мм")))))))))</f>
        <v/>
      </c>
      <c r="Y226" s="160">
        <f>IF(LARGE($R226:$T226,2)="","",IF(LARGE($R226:$T226,2)&lt;=99,"10-99 мм",IF(LARGE($R226:$T226,2)&lt;=199,"100-199 мм",IF(LARGE($R226:$T226,2)&lt;=299,"200-299 мм",IF(LARGE($R226:$T226,2)&lt;=399,"300-399 мм",IF(LARGE($R226:$T226,2)&lt;=499,"400-499 мм",IF(LARGE($R226:$T226,2)&lt;=599,"500-599 мм",IF(LARGE($R226:$T226,2)&lt;=699,"600-699 мм",IF(LARGE($R226:$T226,2)&lt;=999,"700-999 мм","1000+ мм")))))))))</f>
        <v/>
      </c>
      <c r="Z226" s="160">
        <f>IF(SMALL($R226:$T226,1)="","",IF(SMALL($R226:$T226,1)&lt;=99,"10-99 мм",IF(SMALL($R226:$T226,1)&lt;=199,"100-199 мм",IF(SMALL($R226:$T226,1)&lt;=299,"200-299 мм",IF(SMALL($R226:$T226,1)&lt;=399,"300-399 мм",IF(SMALL($R226:$T226,1)&lt;=499,"400-499 мм",IF(SMALL($R226:$T226,1)&lt;=599,"500-599 мм",IF(SMALL($R226:$T226,1)&lt;=699,"600-699 мм",IF(SMALL($R226:$T226,1)&lt;=999,"700-999 мм","1000+ мм")))))))))</f>
        <v/>
      </c>
      <c r="AA226" s="101">
        <f>IF(G226="","",IF(G226="Л","Лист гофрокартона",IF(G226="КД","Крышка-дно",IF(G226="С","Самосборные",IF(G226="Ч","Четырехклапанные",IF(G226="А","Архивные","Неизвестно"))))))</f>
        <v/>
      </c>
      <c r="AB226" s="66" t="n">
        <v>1.73</v>
      </c>
      <c r="AC226" s="101">
        <f>IF(O226="","",IF(O226&lt;=1,"0-1 литров",IF(O226&lt;=3,"2-3 литра",IF(O226&lt;=5,"4-5 литра",IF(O226&lt;=7,"6-7 литра",IF(O226&lt;=9,"8-9 литров",IF(O226&lt;=14,"10-14 литров",IF(O226&lt;=19,"15-19 литров",IF(O226&lt;=29,"20-29 литров",IF(O226&lt;=49,"30-49 литров",IF(O226&lt;=59,"50-59 литров",IF(O226&lt;=70,"60-69 литров",IF(O226&lt;=79,"70-79 литров",IF(O226&lt;=89,"80-89 литров",IF(O226&lt;=99,"90-99 литров",IF(O226&lt;=200,"100-200 литров","200+ литров"))))))))))))))))</f>
        <v/>
      </c>
    </row>
    <row r="227" customFormat="1" s="207">
      <c r="A227" s="64" t="n">
        <v>0.13</v>
      </c>
      <c r="B227" s="65">
        <f>A227*1.2</f>
        <v/>
      </c>
      <c r="C227" s="109" t="n">
        <v>227</v>
      </c>
      <c r="D227" s="77" t="inlineStr">
        <is>
          <t>ТМ-
SALE</t>
        </is>
      </c>
      <c r="E227" s="88" t="inlineStr">
        <is>
          <t>110х60х30</t>
        </is>
      </c>
      <c r="F227" s="213" t="n"/>
      <c r="G227" s="83" t="inlineStr">
        <is>
          <t>С</t>
        </is>
      </c>
      <c r="H227" s="146" t="inlineStr">
        <is>
          <t>0427</t>
        </is>
      </c>
      <c r="I227" s="83" t="inlineStr">
        <is>
          <t>Е</t>
        </is>
      </c>
      <c r="J227" s="83" t="inlineStr">
        <is>
          <t>ТМ</t>
        </is>
      </c>
      <c r="K227" s="116" t="inlineStr">
        <is>
          <t>K1007</t>
        </is>
      </c>
      <c r="L227" s="103" t="inlineStr">
        <is>
          <t>Sale</t>
        </is>
      </c>
      <c r="M227" s="239" t="inlineStr">
        <is>
          <t>sale</t>
        </is>
      </c>
      <c r="N227" s="239">
        <f>IF(D227="","",IF(LEFT(D227,1)="0",0,1))</f>
        <v/>
      </c>
      <c r="O227" s="80">
        <f>ROUND(R227*S227*T227/1000000,2)</f>
        <v/>
      </c>
      <c r="P227" s="160">
        <f>IF(O227="","",
IF(O227&lt;1,"0,1-0,9 литров",
IF(O227&lt;2,"1-1,9 литра",
IF(O227&lt;3,"2-2,9 литра",
IF(O227&lt;4,"3-3,9 литра",
IF(O227&lt;6,"4-5,9 литра",IF(O227&lt;8,"6-7,9 литра",IF(O227&lt;10,"8-9,9 литров",IF(O227&lt;15,"10-14,9 литров",IF(O227&lt;20,"15-19,9 литров",IF(O227&lt;30,"20-29 литров",IF(O227&lt;50,"30-49 литров",IF(O227&lt;60,"50-59 литров",IF(O227&lt;70,"60-69 литров",IF(O227&lt;80,"70-79 литров",IF(O227&lt;90,"80-89 литров",IF(O227&lt;100,"90-99 литров",IF(O227&lt;200,"100-200 литров","200+ литров"))))))))))))))))))</f>
        <v/>
      </c>
      <c r="Q227" s="101">
        <f>IF(O227="","",IF(O227&lt;1,"&lt;1 л",IF(O227&lt;2,"1-2 л",IF(O227&lt;3,"2-3 л",IF(O227&lt;5,"3-5 л",IF(O227&lt;10,"5-10 л",IF(O227&lt;20,"10-20 л",IF(O227&lt;50,"20-50 л",IF(O227&lt;100,"50-100 л","100+ л")))))))))</f>
        <v/>
      </c>
      <c r="R227" s="162">
        <f>IF(E227="","",--LEFT(E227,FIND("х",E227)-1))</f>
        <v/>
      </c>
      <c r="S227" s="162">
        <f>IF(E227="","",--MID(E227,FIND("х",E227)+1,FIND("х",E227,FIND("х",E227)+1)-FIND("х",E227)-1))</f>
        <v/>
      </c>
      <c r="T227" s="162">
        <f>IF(E227="","",--RIGHT(E227,LEN(E227)-FIND("х",E227,FIND("х",E227)+1)))</f>
        <v/>
      </c>
      <c r="U227" s="66">
        <f>(2*(R227+S227)+60)*(S227+T227+8)/1000000</f>
        <v/>
      </c>
      <c r="V227" s="66">
        <f>IF(OR(AND(R227&gt;=2*S227,R227&gt;=2*T227),AND(S227&gt;=2*R227,S227&gt;=2*T227),AND(T227&gt;=2*R227,T227&gt;=2*S227)),"Длинные","")</f>
        <v/>
      </c>
      <c r="W227" s="66">
        <f>IF(OR(AND(R227&lt;=S227/2,R227&lt;=T227/2),AND(S227&lt;=R227/2,S227&lt;=T227/2),AND(T227&lt;=R227/2,T227&lt;=S227/2)),"Плоские","")</f>
        <v/>
      </c>
      <c r="X227" s="160">
        <f>IF(LARGE($R227:$T227,1)="","",IF(LARGE($R227:$T227,1)&lt;=99,"10-99 мм",IF(LARGE($R227:$T227,1)&lt;=199,"100-199 мм",IF(LARGE($R227:$T227,1)&lt;=299,"200-299 мм",IF(LARGE($R227:$T227,1)&lt;=399,"300-399 мм",IF(LARGE($R227:$T227,1)&lt;=499,"400-499 мм",IF(LARGE($R227:$T227,1)&lt;=599,"500-599 мм",IF(LARGE($R227:$T227,1)&lt;=699,"600-699 мм",IF(LARGE($R227:$T227,1)&lt;=999,"700-999 мм","1000+ мм")))))))))</f>
        <v/>
      </c>
      <c r="Y227" s="160">
        <f>IF(LARGE($R227:$T227,2)="","",IF(LARGE($R227:$T227,2)&lt;=99,"10-99 мм",IF(LARGE($R227:$T227,2)&lt;=199,"100-199 мм",IF(LARGE($R227:$T227,2)&lt;=299,"200-299 мм",IF(LARGE($R227:$T227,2)&lt;=399,"300-399 мм",IF(LARGE($R227:$T227,2)&lt;=499,"400-499 мм",IF(LARGE($R227:$T227,2)&lt;=599,"500-599 мм",IF(LARGE($R227:$T227,2)&lt;=699,"600-699 мм",IF(LARGE($R227:$T227,2)&lt;=999,"700-999 мм","1000+ мм")))))))))</f>
        <v/>
      </c>
      <c r="Z227" s="160">
        <f>IF(SMALL($R227:$T227,1)="","",IF(SMALL($R227:$T227,1)&lt;=99,"10-99 мм",IF(SMALL($R227:$T227,1)&lt;=199,"100-199 мм",IF(SMALL($R227:$T227,1)&lt;=299,"200-299 мм",IF(SMALL($R227:$T227,1)&lt;=399,"300-399 мм",IF(SMALL($R227:$T227,1)&lt;=499,"400-499 мм",IF(SMALL($R227:$T227,1)&lt;=599,"500-599 мм",IF(SMALL($R227:$T227,1)&lt;=699,"600-699 мм",IF(SMALL($R227:$T227,1)&lt;=999,"700-999 мм","1000+ мм")))))))))</f>
        <v/>
      </c>
      <c r="AA227" s="101">
        <f>IF(G227="","",IF(G227="Л","Лист гофрокартона",IF(G227="КД","Крышка-дно",IF(G227="С","Самосборные",IF(G227="Ч","Четырехклапанные",IF(G227="А","Архивные","Неизвестно"))))))</f>
        <v/>
      </c>
      <c r="AB227" s="66" t="n">
        <v>1.73</v>
      </c>
      <c r="AC227" s="101">
        <f>IF(O227="","",IF(O227&lt;=1,"0-1 литров",IF(O227&lt;=3,"2-3 литра",IF(O227&lt;=5,"4-5 литра",IF(O227&lt;=7,"6-7 литра",IF(O227&lt;=9,"8-9 литров",IF(O227&lt;=14,"10-14 литров",IF(O227&lt;=19,"15-19 литров",IF(O227&lt;=29,"20-29 литров",IF(O227&lt;=49,"30-49 литров",IF(O227&lt;=59,"50-59 литров",IF(O227&lt;=70,"60-69 литров",IF(O227&lt;=79,"70-79 литров",IF(O227&lt;=89,"80-89 литров",IF(O227&lt;=99,"90-99 литров",IF(O227&lt;=200,"100-200 литров","200+ литров"))))))))))))))))</f>
        <v/>
      </c>
    </row>
    <row r="228" customFormat="1" s="207">
      <c r="A228" s="64" t="n">
        <v>0.15</v>
      </c>
      <c r="B228" s="65">
        <f>A228*1.2</f>
        <v/>
      </c>
      <c r="C228" s="109" t="n">
        <v>228</v>
      </c>
      <c r="D228" s="77" t="inlineStr">
        <is>
          <t>0-ТМ</t>
        </is>
      </c>
      <c r="E228" s="88" t="inlineStr">
        <is>
          <t>120х90х25</t>
        </is>
      </c>
      <c r="F228" s="213" t="n"/>
      <c r="G228" s="83" t="inlineStr">
        <is>
          <t>С</t>
        </is>
      </c>
      <c r="H228" s="146" t="inlineStr">
        <is>
          <t>0427</t>
        </is>
      </c>
      <c r="I228" s="83" t="inlineStr">
        <is>
          <t>Е</t>
        </is>
      </c>
      <c r="J228" s="83" t="inlineStr">
        <is>
          <t>ТМ</t>
        </is>
      </c>
      <c r="K228" s="116" t="inlineStr">
        <is>
          <t>K1008</t>
        </is>
      </c>
      <c r="L228" s="103" t="inlineStr">
        <is>
          <t>Sale</t>
        </is>
      </c>
      <c r="M228" s="239" t="inlineStr">
        <is>
          <t>sale</t>
        </is>
      </c>
      <c r="N228" s="239">
        <f>IF(D228="","",IF(LEFT(D228,1)="0",0,1))</f>
        <v/>
      </c>
      <c r="O228" s="80">
        <f>ROUND(R228*S228*T228/1000000,2)</f>
        <v/>
      </c>
      <c r="P228" s="160">
        <f>IF(O228="","",
IF(O228&lt;1,"0,1-0,9 литров",
IF(O228&lt;2,"1-1,9 литра",
IF(O228&lt;3,"2-2,9 литра",
IF(O228&lt;4,"3-3,9 литра",
IF(O228&lt;6,"4-5,9 литра",IF(O228&lt;8,"6-7,9 литра",IF(O228&lt;10,"8-9,9 литров",IF(O228&lt;15,"10-14,9 литров",IF(O228&lt;20,"15-19,9 литров",IF(O228&lt;30,"20-29 литров",IF(O228&lt;50,"30-49 литров",IF(O228&lt;60,"50-59 литров",IF(O228&lt;70,"60-69 литров",IF(O228&lt;80,"70-79 литров",IF(O228&lt;90,"80-89 литров",IF(O228&lt;100,"90-99 литров",IF(O228&lt;200,"100-200 литров","200+ литров"))))))))))))))))))</f>
        <v/>
      </c>
      <c r="Q228" s="101">
        <f>IF(O228="","",IF(O228&lt;1,"&lt;1 л",IF(O228&lt;2,"1-2 л",IF(O228&lt;3,"2-3 л",IF(O228&lt;5,"3-5 л",IF(O228&lt;10,"5-10 л",IF(O228&lt;20,"10-20 л",IF(O228&lt;50,"20-50 л",IF(O228&lt;100,"50-100 л","100+ л")))))))))</f>
        <v/>
      </c>
      <c r="R228" s="162">
        <f>IF(E228="","",--LEFT(E228,FIND("х",E228)-1))</f>
        <v/>
      </c>
      <c r="S228" s="162">
        <f>IF(E228="","",--MID(E228,FIND("х",E228)+1,FIND("х",E228,FIND("х",E228)+1)-FIND("х",E228)-1))</f>
        <v/>
      </c>
      <c r="T228" s="162">
        <f>IF(E228="","",--RIGHT(E228,LEN(E228)-FIND("х",E228,FIND("х",E228)+1)))</f>
        <v/>
      </c>
      <c r="U228" s="66">
        <f>(2*(R228+S228)+60)*(S228+T228+8)/1000000</f>
        <v/>
      </c>
      <c r="V228" s="66">
        <f>IF(OR(AND(R228&gt;=2*S228,R228&gt;=2*T228),AND(S228&gt;=2*R228,S228&gt;=2*T228),AND(T228&gt;=2*R228,T228&gt;=2*S228)),"Длинные","")</f>
        <v/>
      </c>
      <c r="W228" s="66">
        <f>IF(OR(AND(R228&lt;=S228/2,R228&lt;=T228/2),AND(S228&lt;=R228/2,S228&lt;=T228/2),AND(T228&lt;=R228/2,T228&lt;=S228/2)),"Плоские","")</f>
        <v/>
      </c>
      <c r="X228" s="160">
        <f>IF(LARGE($R228:$T228,1)="","",IF(LARGE($R228:$T228,1)&lt;=99,"10-99 мм",IF(LARGE($R228:$T228,1)&lt;=199,"100-199 мм",IF(LARGE($R228:$T228,1)&lt;=299,"200-299 мм",IF(LARGE($R228:$T228,1)&lt;=399,"300-399 мм",IF(LARGE($R228:$T228,1)&lt;=499,"400-499 мм",IF(LARGE($R228:$T228,1)&lt;=599,"500-599 мм",IF(LARGE($R228:$T228,1)&lt;=699,"600-699 мм",IF(LARGE($R228:$T228,1)&lt;=999,"700-999 мм","1000+ мм")))))))))</f>
        <v/>
      </c>
      <c r="Y228" s="160">
        <f>IF(LARGE($R228:$T228,2)="","",IF(LARGE($R228:$T228,2)&lt;=99,"10-99 мм",IF(LARGE($R228:$T228,2)&lt;=199,"100-199 мм",IF(LARGE($R228:$T228,2)&lt;=299,"200-299 мм",IF(LARGE($R228:$T228,2)&lt;=399,"300-399 мм",IF(LARGE($R228:$T228,2)&lt;=499,"400-499 мм",IF(LARGE($R228:$T228,2)&lt;=599,"500-599 мм",IF(LARGE($R228:$T228,2)&lt;=699,"600-699 мм",IF(LARGE($R228:$T228,2)&lt;=999,"700-999 мм","1000+ мм")))))))))</f>
        <v/>
      </c>
      <c r="Z228" s="160">
        <f>IF(SMALL($R228:$T228,1)="","",IF(SMALL($R228:$T228,1)&lt;=99,"10-99 мм",IF(SMALL($R228:$T228,1)&lt;=199,"100-199 мм",IF(SMALL($R228:$T228,1)&lt;=299,"200-299 мм",IF(SMALL($R228:$T228,1)&lt;=399,"300-399 мм",IF(SMALL($R228:$T228,1)&lt;=499,"400-499 мм",IF(SMALL($R228:$T228,1)&lt;=599,"500-599 мм",IF(SMALL($R228:$T228,1)&lt;=699,"600-699 мм",IF(SMALL($R228:$T228,1)&lt;=999,"700-999 мм","1000+ мм")))))))))</f>
        <v/>
      </c>
      <c r="AA228" s="101">
        <f>IF(G228="","",IF(G228="Л","Лист гофрокартона",IF(G228="КД","Крышка-дно",IF(G228="С","Самосборные",IF(G228="Ч","Четырехклапанные",IF(G228="А","Архивные","Неизвестно"))))))</f>
        <v/>
      </c>
      <c r="AB228" s="66" t="n">
        <v>1.73</v>
      </c>
      <c r="AC228" s="101">
        <f>IF(O228="","",IF(O228&lt;=1,"0-1 литров",IF(O228&lt;=3,"2-3 литра",IF(O228&lt;=5,"4-5 литра",IF(O228&lt;=7,"6-7 литра",IF(O228&lt;=9,"8-9 литров",IF(O228&lt;=14,"10-14 литров",IF(O228&lt;=19,"15-19 литров",IF(O228&lt;=29,"20-29 литров",IF(O228&lt;=49,"30-49 литров",IF(O228&lt;=59,"50-59 литров",IF(O228&lt;=70,"60-69 литров",IF(O228&lt;=79,"70-79 литров",IF(O228&lt;=89,"80-89 литров",IF(O228&lt;=99,"90-99 литров",IF(O228&lt;=200,"100-200 литров","200+ литров"))))))))))))))))</f>
        <v/>
      </c>
    </row>
    <row r="229" customFormat="1" s="207">
      <c r="A229" s="64" t="n">
        <v>0.55</v>
      </c>
      <c r="B229" s="65">
        <f>A229*1.2</f>
        <v/>
      </c>
      <c r="C229" s="109" t="n">
        <v>229</v>
      </c>
      <c r="D229" s="77" t="inlineStr">
        <is>
          <t>0-ТМ</t>
        </is>
      </c>
      <c r="E229" s="88" t="inlineStr">
        <is>
          <t>180х125х125</t>
        </is>
      </c>
      <c r="F229" s="213" t="n"/>
      <c r="G229" s="83" t="inlineStr">
        <is>
          <t>С</t>
        </is>
      </c>
      <c r="H229" s="146" t="inlineStr">
        <is>
          <t>0471</t>
        </is>
      </c>
      <c r="I229" s="83" t="inlineStr">
        <is>
          <t>В</t>
        </is>
      </c>
      <c r="J229" s="83" t="inlineStr">
        <is>
          <t>ТМ</t>
        </is>
      </c>
      <c r="K229" s="116" t="inlineStr">
        <is>
          <t>K1010</t>
        </is>
      </c>
      <c r="L229" s="103" t="inlineStr">
        <is>
          <t>Sale</t>
        </is>
      </c>
      <c r="M229" s="239" t="inlineStr">
        <is>
          <t>sale</t>
        </is>
      </c>
      <c r="N229" s="239">
        <f>IF(D229="","",IF(LEFT(D229,1)="0",0,1))</f>
        <v/>
      </c>
      <c r="O229" s="80">
        <f>ROUND(R229*S229*T229/1000000,2)</f>
        <v/>
      </c>
      <c r="P229" s="160">
        <f>IF(O229="","",
IF(O229&lt;1,"0,1-0,9 литров",
IF(O229&lt;2,"1-1,9 литра",
IF(O229&lt;3,"2-2,9 литра",
IF(O229&lt;4,"3-3,9 литра",
IF(O229&lt;6,"4-5,9 литра",IF(O229&lt;8,"6-7,9 литра",IF(O229&lt;10,"8-9,9 литров",IF(O229&lt;15,"10-14,9 литров",IF(O229&lt;20,"15-19,9 литров",IF(O229&lt;30,"20-29 литров",IF(O229&lt;50,"30-49 литров",IF(O229&lt;60,"50-59 литров",IF(O229&lt;70,"60-69 литров",IF(O229&lt;80,"70-79 литров",IF(O229&lt;90,"80-89 литров",IF(O229&lt;100,"90-99 литров",IF(O229&lt;200,"100-200 литров","200+ литров"))))))))))))))))))</f>
        <v/>
      </c>
      <c r="Q229" s="101">
        <f>IF(O229="","",IF(O229&lt;1,"&lt;1 л",IF(O229&lt;2,"1-2 л",IF(O229&lt;3,"2-3 л",IF(O229&lt;5,"3-5 л",IF(O229&lt;10,"5-10 л",IF(O229&lt;20,"10-20 л",IF(O229&lt;50,"20-50 л",IF(O229&lt;100,"50-100 л","100+ л")))))))))</f>
        <v/>
      </c>
      <c r="R229" s="162">
        <f>IF(E229="","",--LEFT(E229,FIND("х",E229)-1))</f>
        <v/>
      </c>
      <c r="S229" s="162">
        <f>IF(E229="","",--MID(E229,FIND("х",E229)+1,FIND("х",E229,FIND("х",E229)+1)-FIND("х",E229)-1))</f>
        <v/>
      </c>
      <c r="T229" s="162">
        <f>IF(E229="","",--RIGHT(E229,LEN(E229)-FIND("х",E229,FIND("х",E229)+1)))</f>
        <v/>
      </c>
      <c r="U229" s="66">
        <f>(2*(R229+S229)+60)*(S229+T229+8)/1000000</f>
        <v/>
      </c>
      <c r="V229" s="66">
        <f>IF(OR(AND(R229&gt;=2*S229,R229&gt;=2*T229),AND(S229&gt;=2*R229,S229&gt;=2*T229),AND(T229&gt;=2*R229,T229&gt;=2*S229)),"Длинные","")</f>
        <v/>
      </c>
      <c r="W229" s="66">
        <f>IF(OR(AND(R229&lt;=S229/2,R229&lt;=T229/2),AND(S229&lt;=R229/2,S229&lt;=T229/2),AND(T229&lt;=R229/2,T229&lt;=S229/2)),"Плоские","")</f>
        <v/>
      </c>
      <c r="X229" s="160">
        <f>IF(LARGE($R229:$T229,1)="","",IF(LARGE($R229:$T229,1)&lt;=99,"10-99 мм",IF(LARGE($R229:$T229,1)&lt;=199,"100-199 мм",IF(LARGE($R229:$T229,1)&lt;=299,"200-299 мм",IF(LARGE($R229:$T229,1)&lt;=399,"300-399 мм",IF(LARGE($R229:$T229,1)&lt;=499,"400-499 мм",IF(LARGE($R229:$T229,1)&lt;=599,"500-599 мм",IF(LARGE($R229:$T229,1)&lt;=699,"600-699 мм",IF(LARGE($R229:$T229,1)&lt;=999,"700-999 мм","1000+ мм")))))))))</f>
        <v/>
      </c>
      <c r="Y229" s="160">
        <f>IF(LARGE($R229:$T229,2)="","",IF(LARGE($R229:$T229,2)&lt;=99,"10-99 мм",IF(LARGE($R229:$T229,2)&lt;=199,"100-199 мм",IF(LARGE($R229:$T229,2)&lt;=299,"200-299 мм",IF(LARGE($R229:$T229,2)&lt;=399,"300-399 мм",IF(LARGE($R229:$T229,2)&lt;=499,"400-499 мм",IF(LARGE($R229:$T229,2)&lt;=599,"500-599 мм",IF(LARGE($R229:$T229,2)&lt;=699,"600-699 мм",IF(LARGE($R229:$T229,2)&lt;=999,"700-999 мм","1000+ мм")))))))))</f>
        <v/>
      </c>
      <c r="Z229" s="160">
        <f>IF(SMALL($R229:$T229,1)="","",IF(SMALL($R229:$T229,1)&lt;=99,"10-99 мм",IF(SMALL($R229:$T229,1)&lt;=199,"100-199 мм",IF(SMALL($R229:$T229,1)&lt;=299,"200-299 мм",IF(SMALL($R229:$T229,1)&lt;=399,"300-399 мм",IF(SMALL($R229:$T229,1)&lt;=499,"400-499 мм",IF(SMALL($R229:$T229,1)&lt;=599,"500-599 мм",IF(SMALL($R229:$T229,1)&lt;=699,"600-699 мм",IF(SMALL($R229:$T229,1)&lt;=999,"700-999 мм","1000+ мм")))))))))</f>
        <v/>
      </c>
      <c r="AA229" s="101">
        <f>IF(G229="","",IF(G229="Л","Лист гофрокартона",IF(G229="КД","Крышка-дно",IF(G229="С","Самосборные",IF(G229="Ч","Четырехклапанные",IF(G229="А","Архивные","Неизвестно"))))))</f>
        <v/>
      </c>
      <c r="AB229" s="66" t="n">
        <v>1.73</v>
      </c>
      <c r="AC229" s="101">
        <f>IF(O229="","",IF(O229&lt;=1,"0-1 литров",IF(O229&lt;=3,"2-3 литра",IF(O229&lt;=5,"4-5 литра",IF(O229&lt;=7,"6-7 литра",IF(O229&lt;=9,"8-9 литров",IF(O229&lt;=14,"10-14 литров",IF(O229&lt;=19,"15-19 литров",IF(O229&lt;=29,"20-29 литров",IF(O229&lt;=49,"30-49 литров",IF(O229&lt;=59,"50-59 литров",IF(O229&lt;=70,"60-69 литров",IF(O229&lt;=79,"70-79 литров",IF(O229&lt;=89,"80-89 литров",IF(O229&lt;=99,"90-99 литров",IF(O229&lt;=200,"100-200 литров","200+ литров"))))))))))))))))</f>
        <v/>
      </c>
    </row>
    <row r="230" customFormat="1" s="207">
      <c r="A230" s="64" t="n">
        <v>0.28</v>
      </c>
      <c r="B230" s="65">
        <f>A230*1.2</f>
        <v/>
      </c>
      <c r="C230" s="109" t="n">
        <v>230</v>
      </c>
      <c r="D230" s="116" t="inlineStr">
        <is>
          <t>У</t>
        </is>
      </c>
      <c r="E230" s="88" t="inlineStr">
        <is>
          <t>190х130х35</t>
        </is>
      </c>
      <c r="F230" s="213" t="n"/>
      <c r="G230" s="83" t="inlineStr">
        <is>
          <t>С</t>
        </is>
      </c>
      <c r="H230" s="146" t="inlineStr">
        <is>
          <t>0427</t>
        </is>
      </c>
      <c r="I230" s="83" t="inlineStr">
        <is>
          <t>В</t>
        </is>
      </c>
      <c r="J230" s="83" t="inlineStr">
        <is>
          <t>ОП</t>
        </is>
      </c>
      <c r="K230" s="116" t="inlineStr">
        <is>
          <t>K224</t>
        </is>
      </c>
      <c r="L230" s="103" t="n"/>
      <c r="M230" s="239" t="n"/>
      <c r="N230" s="239">
        <f>IF(D230="","",IF(LEFT(D230,1)="0",0,1))</f>
        <v/>
      </c>
      <c r="O230" s="80">
        <f>ROUND(R230*S230*T230/1000000,2)</f>
        <v/>
      </c>
      <c r="P230" s="160">
        <f>IF(O230="","",
IF(O230&lt;1,"0,1-0,9 литров",
IF(O230&lt;2,"1-1,9 литра",
IF(O230&lt;3,"2-2,9 литра",
IF(O230&lt;4,"3-3,9 литра",
IF(O230&lt;6,"4-5,9 литра",IF(O230&lt;8,"6-7,9 литра",IF(O230&lt;10,"8-9,9 литров",IF(O230&lt;15,"10-14,9 литров",IF(O230&lt;20,"15-19,9 литров",IF(O230&lt;30,"20-29 литров",IF(O230&lt;50,"30-49 литров",IF(O230&lt;60,"50-59 литров",IF(O230&lt;70,"60-69 литров",IF(O230&lt;80,"70-79 литров",IF(O230&lt;90,"80-89 литров",IF(O230&lt;100,"90-99 литров",IF(O230&lt;200,"100-200 литров","200+ литров"))))))))))))))))))</f>
        <v/>
      </c>
      <c r="Q230" s="101">
        <f>IF(O230="","",IF(O230&lt;1,"&lt;1 л",IF(O230&lt;2,"1-2 л",IF(O230&lt;3,"2-3 л",IF(O230&lt;5,"3-5 л",IF(O230&lt;10,"5-10 л",IF(O230&lt;20,"10-20 л",IF(O230&lt;50,"20-50 л",IF(O230&lt;100,"50-100 л","100+ л")))))))))</f>
        <v/>
      </c>
      <c r="R230" s="162">
        <f>IF(E230="","",--LEFT(E230,FIND("х",E230)-1))</f>
        <v/>
      </c>
      <c r="S230" s="162">
        <f>IF(E230="","",--MID(E230,FIND("х",E230)+1,FIND("х",E230,FIND("х",E230)+1)-FIND("х",E230)-1))</f>
        <v/>
      </c>
      <c r="T230" s="162">
        <f>IF(E230="","",--RIGHT(E230,LEN(E230)-FIND("х",E230,FIND("х",E230)+1)))</f>
        <v/>
      </c>
      <c r="U230" s="66">
        <f>(2*(R230+S230)+60)*(S230+T230+8)/1000000</f>
        <v/>
      </c>
      <c r="V230" s="66">
        <f>IF(OR(AND(R230&gt;=2*S230,R230&gt;=2*T230),AND(S230&gt;=2*R230,S230&gt;=2*T230),AND(T230&gt;=2*R230,T230&gt;=2*S230)),"Длинные","")</f>
        <v/>
      </c>
      <c r="W230" s="66">
        <f>IF(OR(AND(R230&lt;=S230/2,R230&lt;=T230/2),AND(S230&lt;=R230/2,S230&lt;=T230/2),AND(T230&lt;=R230/2,T230&lt;=S230/2)),"Плоские","")</f>
        <v/>
      </c>
      <c r="X230" s="160">
        <f>IF(LARGE($R230:$T230,1)="","",IF(LARGE($R230:$T230,1)&lt;=99,"10-99 мм",IF(LARGE($R230:$T230,1)&lt;=199,"100-199 мм",IF(LARGE($R230:$T230,1)&lt;=299,"200-299 мм",IF(LARGE($R230:$T230,1)&lt;=399,"300-399 мм",IF(LARGE($R230:$T230,1)&lt;=499,"400-499 мм",IF(LARGE($R230:$T230,1)&lt;=599,"500-599 мм",IF(LARGE($R230:$T230,1)&lt;=699,"600-699 мм",IF(LARGE($R230:$T230,1)&lt;=999,"700-999 мм","1000+ мм")))))))))</f>
        <v/>
      </c>
      <c r="Y230" s="160">
        <f>IF(LARGE($R230:$T230,2)="","",IF(LARGE($R230:$T230,2)&lt;=99,"10-99 мм",IF(LARGE($R230:$T230,2)&lt;=199,"100-199 мм",IF(LARGE($R230:$T230,2)&lt;=299,"200-299 мм",IF(LARGE($R230:$T230,2)&lt;=399,"300-399 мм",IF(LARGE($R230:$T230,2)&lt;=499,"400-499 мм",IF(LARGE($R230:$T230,2)&lt;=599,"500-599 мм",IF(LARGE($R230:$T230,2)&lt;=699,"600-699 мм",IF(LARGE($R230:$T230,2)&lt;=999,"700-999 мм","1000+ мм")))))))))</f>
        <v/>
      </c>
      <c r="Z230" s="160">
        <f>IF(SMALL($R230:$T230,1)="","",IF(SMALL($R230:$T230,1)&lt;=99,"10-99 мм",IF(SMALL($R230:$T230,1)&lt;=199,"100-199 мм",IF(SMALL($R230:$T230,1)&lt;=299,"200-299 мм",IF(SMALL($R230:$T230,1)&lt;=399,"300-399 мм",IF(SMALL($R230:$T230,1)&lt;=499,"400-499 мм",IF(SMALL($R230:$T230,1)&lt;=599,"500-599 мм",IF(SMALL($R230:$T230,1)&lt;=699,"600-699 мм",IF(SMALL($R230:$T230,1)&lt;=999,"700-999 мм","1000+ мм")))))))))</f>
        <v/>
      </c>
      <c r="AA230" s="101">
        <f>IF(G230="","",IF(G230="Л","Лист гофрокартона",IF(G230="КД","Крышка-дно",IF(G230="С","Самосборные",IF(G230="Ч","Четырехклапанные",IF(G230="А","Архивные","Неизвестно"))))))</f>
        <v/>
      </c>
      <c r="AB230" s="66" t="n">
        <v>1.73</v>
      </c>
      <c r="AC230" s="101">
        <f>IF(O230="","",IF(O230&lt;=1,"0-1 литров",IF(O230&lt;=3,"2-3 литра",IF(O230&lt;=5,"4-5 литра",IF(O230&lt;=7,"6-7 литра",IF(O230&lt;=9,"8-9 литров",IF(O230&lt;=14,"10-14 литров",IF(O230&lt;=19,"15-19 литров",IF(O230&lt;=29,"20-29 литров",IF(O230&lt;=49,"30-49 литров",IF(O230&lt;=59,"50-59 литров",IF(O230&lt;=70,"60-69 литров",IF(O230&lt;=79,"70-79 литров",IF(O230&lt;=89,"80-89 литров",IF(O230&lt;=99,"90-99 литров",IF(O230&lt;=200,"100-200 литров","200+ литров"))))))))))))))))</f>
        <v/>
      </c>
    </row>
    <row r="231" customFormat="1" s="207">
      <c r="A231" s="64" t="n">
        <v>0.48</v>
      </c>
      <c r="B231" s="65">
        <f>A231*1.2</f>
        <v/>
      </c>
      <c r="C231" s="109" t="n">
        <v>231</v>
      </c>
      <c r="D231" s="116" t="inlineStr">
        <is>
          <t>У</t>
        </is>
      </c>
      <c r="E231" s="88" t="inlineStr">
        <is>
          <t>200х150х65</t>
        </is>
      </c>
      <c r="F231" s="213" t="n"/>
      <c r="G231" s="83" t="inlineStr">
        <is>
          <t>С</t>
        </is>
      </c>
      <c r="H231" s="146" t="inlineStr">
        <is>
          <t>0427</t>
        </is>
      </c>
      <c r="I231" s="83" t="inlineStr">
        <is>
          <t>В</t>
        </is>
      </c>
      <c r="J231" s="83" t="inlineStr">
        <is>
          <t>ОП</t>
        </is>
      </c>
      <c r="K231" s="116" t="inlineStr">
        <is>
          <t>K225</t>
        </is>
      </c>
      <c r="L231" s="103" t="n"/>
      <c r="M231" s="239" t="n"/>
      <c r="N231" s="239">
        <f>IF(D231="","",IF(LEFT(D231,1)="0",0,1))</f>
        <v/>
      </c>
      <c r="O231" s="80">
        <f>ROUND(R231*S231*T231/1000000,2)</f>
        <v/>
      </c>
      <c r="P231" s="160">
        <f>IF(O231="","",
IF(O231&lt;1,"0,1-0,9 литров",
IF(O231&lt;2,"1-1,9 литра",
IF(O231&lt;3,"2-2,9 литра",
IF(O231&lt;4,"3-3,9 литра",
IF(O231&lt;6,"4-5,9 литра",IF(O231&lt;8,"6-7,9 литра",IF(O231&lt;10,"8-9,9 литров",IF(O231&lt;15,"10-14,9 литров",IF(O231&lt;20,"15-19,9 литров",IF(O231&lt;30,"20-29 литров",IF(O231&lt;50,"30-49 литров",IF(O231&lt;60,"50-59 литров",IF(O231&lt;70,"60-69 литров",IF(O231&lt;80,"70-79 литров",IF(O231&lt;90,"80-89 литров",IF(O231&lt;100,"90-99 литров",IF(O231&lt;200,"100-200 литров","200+ литров"))))))))))))))))))</f>
        <v/>
      </c>
      <c r="Q231" s="101">
        <f>IF(O231="","",IF(O231&lt;1,"&lt;1 л",IF(O231&lt;2,"1-2 л",IF(O231&lt;3,"2-3 л",IF(O231&lt;5,"3-5 л",IF(O231&lt;10,"5-10 л",IF(O231&lt;20,"10-20 л",IF(O231&lt;50,"20-50 л",IF(O231&lt;100,"50-100 л","100+ л")))))))))</f>
        <v/>
      </c>
      <c r="R231" s="162">
        <f>IF(E231="","",--LEFT(E231,FIND("х",E231)-1))</f>
        <v/>
      </c>
      <c r="S231" s="162">
        <f>IF(E231="","",--MID(E231,FIND("х",E231)+1,FIND("х",E231,FIND("х",E231)+1)-FIND("х",E231)-1))</f>
        <v/>
      </c>
      <c r="T231" s="162">
        <f>IF(E231="","",--RIGHT(E231,LEN(E231)-FIND("х",E231,FIND("х",E231)+1)))</f>
        <v/>
      </c>
      <c r="U231" s="66">
        <f>(2*(R231+S231)+60)*(S231+T231+8)/1000000</f>
        <v/>
      </c>
      <c r="V231" s="66">
        <f>IF(OR(AND(R231&gt;=2*S231,R231&gt;=2*T231),AND(S231&gt;=2*R231,S231&gt;=2*T231),AND(T231&gt;=2*R231,T231&gt;=2*S231)),"Длинные","")</f>
        <v/>
      </c>
      <c r="W231" s="66">
        <f>IF(OR(AND(R231&lt;=S231/2,R231&lt;=T231/2),AND(S231&lt;=R231/2,S231&lt;=T231/2),AND(T231&lt;=R231/2,T231&lt;=S231/2)),"Плоские","")</f>
        <v/>
      </c>
      <c r="X231" s="160">
        <f>IF(LARGE($R231:$T231,1)="","",IF(LARGE($R231:$T231,1)&lt;=99,"10-99 мм",IF(LARGE($R231:$T231,1)&lt;=199,"100-199 мм",IF(LARGE($R231:$T231,1)&lt;=299,"200-299 мм",IF(LARGE($R231:$T231,1)&lt;=399,"300-399 мм",IF(LARGE($R231:$T231,1)&lt;=499,"400-499 мм",IF(LARGE($R231:$T231,1)&lt;=599,"500-599 мм",IF(LARGE($R231:$T231,1)&lt;=699,"600-699 мм",IF(LARGE($R231:$T231,1)&lt;=999,"700-999 мм","1000+ мм")))))))))</f>
        <v/>
      </c>
      <c r="Y231" s="160">
        <f>IF(LARGE($R231:$T231,2)="","",IF(LARGE($R231:$T231,2)&lt;=99,"10-99 мм",IF(LARGE($R231:$T231,2)&lt;=199,"100-199 мм",IF(LARGE($R231:$T231,2)&lt;=299,"200-299 мм",IF(LARGE($R231:$T231,2)&lt;=399,"300-399 мм",IF(LARGE($R231:$T231,2)&lt;=499,"400-499 мм",IF(LARGE($R231:$T231,2)&lt;=599,"500-599 мм",IF(LARGE($R231:$T231,2)&lt;=699,"600-699 мм",IF(LARGE($R231:$T231,2)&lt;=999,"700-999 мм","1000+ мм")))))))))</f>
        <v/>
      </c>
      <c r="Z231" s="160">
        <f>IF(SMALL($R231:$T231,1)="","",IF(SMALL($R231:$T231,1)&lt;=99,"10-99 мм",IF(SMALL($R231:$T231,1)&lt;=199,"100-199 мм",IF(SMALL($R231:$T231,1)&lt;=299,"200-299 мм",IF(SMALL($R231:$T231,1)&lt;=399,"300-399 мм",IF(SMALL($R231:$T231,1)&lt;=499,"400-499 мм",IF(SMALL($R231:$T231,1)&lt;=599,"500-599 мм",IF(SMALL($R231:$T231,1)&lt;=699,"600-699 мм",IF(SMALL($R231:$T231,1)&lt;=999,"700-999 мм","1000+ мм")))))))))</f>
        <v/>
      </c>
      <c r="AA231" s="101">
        <f>IF(G231="","",IF(G231="Л","Лист гофрокартона",IF(G231="КД","Крышка-дно",IF(G231="С","Самосборные",IF(G231="Ч","Четырехклапанные",IF(G231="А","Архивные","Неизвестно"))))))</f>
        <v/>
      </c>
      <c r="AB231" s="66" t="n">
        <v>1.73</v>
      </c>
      <c r="AC231" s="101">
        <f>IF(O231="","",IF(O231&lt;=1,"0-1 литров",IF(O231&lt;=3,"2-3 литра",IF(O231&lt;=5,"4-5 литра",IF(O231&lt;=7,"6-7 литра",IF(O231&lt;=9,"8-9 литров",IF(O231&lt;=14,"10-14 литров",IF(O231&lt;=19,"15-19 литров",IF(O231&lt;=29,"20-29 литров",IF(O231&lt;=49,"30-49 литров",IF(O231&lt;=59,"50-59 литров",IF(O231&lt;=70,"60-69 литров",IF(O231&lt;=79,"70-79 литров",IF(O231&lt;=89,"80-89 литров",IF(O231&lt;=99,"90-99 литров",IF(O231&lt;=200,"100-200 литров","200+ литров"))))))))))))))))</f>
        <v/>
      </c>
    </row>
    <row r="232" customFormat="1" s="207">
      <c r="A232" s="64" t="n">
        <v>0.99</v>
      </c>
      <c r="B232" s="65">
        <f>A232*1.2</f>
        <v/>
      </c>
      <c r="C232" s="109" t="n">
        <v>232</v>
      </c>
      <c r="D232" s="77" t="inlineStr">
        <is>
          <t>ТМ-
SALE</t>
        </is>
      </c>
      <c r="E232" s="88" t="inlineStr">
        <is>
          <t>210х160х125</t>
        </is>
      </c>
      <c r="F232" s="213" t="n"/>
      <c r="G232" s="83" t="inlineStr">
        <is>
          <t>С</t>
        </is>
      </c>
      <c r="H232" s="146" t="inlineStr">
        <is>
          <t>0427</t>
        </is>
      </c>
      <c r="I232" s="83" t="inlineStr">
        <is>
          <t>В</t>
        </is>
      </c>
      <c r="J232" s="83" t="inlineStr">
        <is>
          <t>ТМ</t>
        </is>
      </c>
      <c r="K232" s="116" t="inlineStr">
        <is>
          <t>K1011</t>
        </is>
      </c>
      <c r="L232" s="103" t="inlineStr">
        <is>
          <t>Sale</t>
        </is>
      </c>
      <c r="M232" s="239" t="inlineStr">
        <is>
          <t>sale</t>
        </is>
      </c>
      <c r="N232" s="239">
        <f>IF(D232="","",IF(LEFT(D232,1)="0",0,1))</f>
        <v/>
      </c>
      <c r="O232" s="80">
        <f>ROUND(R232*S232*T232/1000000,2)</f>
        <v/>
      </c>
      <c r="P232" s="160">
        <f>IF(O232="","",
IF(O232&lt;1,"0,1-0,9 литров",
IF(O232&lt;2,"1-1,9 литра",
IF(O232&lt;3,"2-2,9 литра",
IF(O232&lt;4,"3-3,9 литра",
IF(O232&lt;6,"4-5,9 литра",IF(O232&lt;8,"6-7,9 литра",IF(O232&lt;10,"8-9,9 литров",IF(O232&lt;15,"10-14,9 литров",IF(O232&lt;20,"15-19,9 литров",IF(O232&lt;30,"20-29 литров",IF(O232&lt;50,"30-49 литров",IF(O232&lt;60,"50-59 литров",IF(O232&lt;70,"60-69 литров",IF(O232&lt;80,"70-79 литров",IF(O232&lt;90,"80-89 литров",IF(O232&lt;100,"90-99 литров",IF(O232&lt;200,"100-200 литров","200+ литров"))))))))))))))))))</f>
        <v/>
      </c>
      <c r="Q232" s="101">
        <f>IF(O232="","",IF(O232&lt;1,"&lt;1 л",IF(O232&lt;2,"1-2 л",IF(O232&lt;3,"2-3 л",IF(O232&lt;5,"3-5 л",IF(O232&lt;10,"5-10 л",IF(O232&lt;20,"10-20 л",IF(O232&lt;50,"20-50 л",IF(O232&lt;100,"50-100 л","100+ л")))))))))</f>
        <v/>
      </c>
      <c r="R232" s="162">
        <f>IF(E232="","",--LEFT(E232,FIND("х",E232)-1))</f>
        <v/>
      </c>
      <c r="S232" s="162">
        <f>IF(E232="","",--MID(E232,FIND("х",E232)+1,FIND("х",E232,FIND("х",E232)+1)-FIND("х",E232)-1))</f>
        <v/>
      </c>
      <c r="T232" s="162">
        <f>IF(E232="","",--RIGHT(E232,LEN(E232)-FIND("х",E232,FIND("х",E232)+1)))</f>
        <v/>
      </c>
      <c r="U232" s="66">
        <f>(2*(R232+S232)+60)*(S232+T232+8)/1000000</f>
        <v/>
      </c>
      <c r="V232" s="66">
        <f>IF(OR(AND(R232&gt;=2*S232,R232&gt;=2*T232),AND(S232&gt;=2*R232,S232&gt;=2*T232),AND(T232&gt;=2*R232,T232&gt;=2*S232)),"Длинные","")</f>
        <v/>
      </c>
      <c r="W232" s="66">
        <f>IF(OR(AND(R232&lt;=S232/2,R232&lt;=T232/2),AND(S232&lt;=R232/2,S232&lt;=T232/2),AND(T232&lt;=R232/2,T232&lt;=S232/2)),"Плоские","")</f>
        <v/>
      </c>
      <c r="X232" s="160">
        <f>IF(LARGE($R232:$T232,1)="","",IF(LARGE($R232:$T232,1)&lt;=99,"10-99 мм",IF(LARGE($R232:$T232,1)&lt;=199,"100-199 мм",IF(LARGE($R232:$T232,1)&lt;=299,"200-299 мм",IF(LARGE($R232:$T232,1)&lt;=399,"300-399 мм",IF(LARGE($R232:$T232,1)&lt;=499,"400-499 мм",IF(LARGE($R232:$T232,1)&lt;=599,"500-599 мм",IF(LARGE($R232:$T232,1)&lt;=699,"600-699 мм",IF(LARGE($R232:$T232,1)&lt;=999,"700-999 мм","1000+ мм")))))))))</f>
        <v/>
      </c>
      <c r="Y232" s="160">
        <f>IF(LARGE($R232:$T232,2)="","",IF(LARGE($R232:$T232,2)&lt;=99,"10-99 мм",IF(LARGE($R232:$T232,2)&lt;=199,"100-199 мм",IF(LARGE($R232:$T232,2)&lt;=299,"200-299 мм",IF(LARGE($R232:$T232,2)&lt;=399,"300-399 мм",IF(LARGE($R232:$T232,2)&lt;=499,"400-499 мм",IF(LARGE($R232:$T232,2)&lt;=599,"500-599 мм",IF(LARGE($R232:$T232,2)&lt;=699,"600-699 мм",IF(LARGE($R232:$T232,2)&lt;=999,"700-999 мм","1000+ мм")))))))))</f>
        <v/>
      </c>
      <c r="Z232" s="160">
        <f>IF(SMALL($R232:$T232,1)="","",IF(SMALL($R232:$T232,1)&lt;=99,"10-99 мм",IF(SMALL($R232:$T232,1)&lt;=199,"100-199 мм",IF(SMALL($R232:$T232,1)&lt;=299,"200-299 мм",IF(SMALL($R232:$T232,1)&lt;=399,"300-399 мм",IF(SMALL($R232:$T232,1)&lt;=499,"400-499 мм",IF(SMALL($R232:$T232,1)&lt;=599,"500-599 мм",IF(SMALL($R232:$T232,1)&lt;=699,"600-699 мм",IF(SMALL($R232:$T232,1)&lt;=999,"700-999 мм","1000+ мм")))))))))</f>
        <v/>
      </c>
      <c r="AA232" s="101">
        <f>IF(G232="","",IF(G232="Л","Лист гофрокартона",IF(G232="КД","Крышка-дно",IF(G232="С","Самосборные",IF(G232="Ч","Четырехклапанные",IF(G232="А","Архивные","Неизвестно"))))))</f>
        <v/>
      </c>
      <c r="AB232" s="66" t="n">
        <v>1.73</v>
      </c>
      <c r="AC232" s="101">
        <f>IF(O232="","",IF(O232&lt;=1,"0-1 литров",IF(O232&lt;=3,"2-3 литра",IF(O232&lt;=5,"4-5 литра",IF(O232&lt;=7,"6-7 литра",IF(O232&lt;=9,"8-9 литров",IF(O232&lt;=14,"10-14 литров",IF(O232&lt;=19,"15-19 литров",IF(O232&lt;=29,"20-29 литров",IF(O232&lt;=49,"30-49 литров",IF(O232&lt;=59,"50-59 литров",IF(O232&lt;=70,"60-69 литров",IF(O232&lt;=79,"70-79 литров",IF(O232&lt;=89,"80-89 литров",IF(O232&lt;=99,"90-99 литров",IF(O232&lt;=200,"100-200 литров","200+ литров"))))))))))))))))</f>
        <v/>
      </c>
    </row>
    <row r="233" customFormat="1" s="207">
      <c r="A233" s="64" t="n">
        <v>1.02</v>
      </c>
      <c r="B233" s="65">
        <f>A233*1.2</f>
        <v/>
      </c>
      <c r="C233" s="109" t="n">
        <v>233</v>
      </c>
      <c r="D233" s="77" t="inlineStr">
        <is>
          <t>ТМ-
SALE</t>
        </is>
      </c>
      <c r="E233" s="88" t="inlineStr">
        <is>
          <t>214х186х175</t>
        </is>
      </c>
      <c r="F233" s="213" t="n"/>
      <c r="G233" s="83" t="inlineStr">
        <is>
          <t>С</t>
        </is>
      </c>
      <c r="H233" s="146" t="inlineStr">
        <is>
          <t>0471</t>
        </is>
      </c>
      <c r="I233" s="83" t="inlineStr">
        <is>
          <t>В</t>
        </is>
      </c>
      <c r="J233" s="83" t="inlineStr">
        <is>
          <t>ТМ</t>
        </is>
      </c>
      <c r="K233" s="116" t="inlineStr">
        <is>
          <t>K1012</t>
        </is>
      </c>
      <c r="L233" s="103" t="inlineStr">
        <is>
          <t>Sale</t>
        </is>
      </c>
      <c r="M233" s="239" t="inlineStr">
        <is>
          <t>sale</t>
        </is>
      </c>
      <c r="N233" s="239">
        <f>IF(D233="","",IF(LEFT(D233,1)="0",0,1))</f>
        <v/>
      </c>
      <c r="O233" s="80">
        <f>ROUND(R233*S233*T233/1000000,2)</f>
        <v/>
      </c>
      <c r="P233" s="160">
        <f>IF(O233="","",
IF(O233&lt;1,"0,1-0,9 литров",
IF(O233&lt;2,"1-1,9 литра",
IF(O233&lt;3,"2-2,9 литра",
IF(O233&lt;4,"3-3,9 литра",
IF(O233&lt;6,"4-5,9 литра",IF(O233&lt;8,"6-7,9 литра",IF(O233&lt;10,"8-9,9 литров",IF(O233&lt;15,"10-14,9 литров",IF(O233&lt;20,"15-19,9 литров",IF(O233&lt;30,"20-29 литров",IF(O233&lt;50,"30-49 литров",IF(O233&lt;60,"50-59 литров",IF(O233&lt;70,"60-69 литров",IF(O233&lt;80,"70-79 литров",IF(O233&lt;90,"80-89 литров",IF(O233&lt;100,"90-99 литров",IF(O233&lt;200,"100-200 литров","200+ литров"))))))))))))))))))</f>
        <v/>
      </c>
      <c r="Q233" s="101">
        <f>IF(O233="","",IF(O233&lt;1,"&lt;1 л",IF(O233&lt;2,"1-2 л",IF(O233&lt;3,"2-3 л",IF(O233&lt;5,"3-5 л",IF(O233&lt;10,"5-10 л",IF(O233&lt;20,"10-20 л",IF(O233&lt;50,"20-50 л",IF(O233&lt;100,"50-100 л","100+ л")))))))))</f>
        <v/>
      </c>
      <c r="R233" s="162">
        <f>IF(E233="","",--LEFT(E233,FIND("х",E233)-1))</f>
        <v/>
      </c>
      <c r="S233" s="162">
        <f>IF(E233="","",--MID(E233,FIND("х",E233)+1,FIND("х",E233,FIND("х",E233)+1)-FIND("х",E233)-1))</f>
        <v/>
      </c>
      <c r="T233" s="162">
        <f>IF(E233="","",--RIGHT(E233,LEN(E233)-FIND("х",E233,FIND("х",E233)+1)))</f>
        <v/>
      </c>
      <c r="U233" s="66">
        <f>(2*(R233+S233)+60)*(S233+T233+8)/1000000</f>
        <v/>
      </c>
      <c r="V233" s="66">
        <f>IF(OR(AND(R233&gt;=2*S233,R233&gt;=2*T233),AND(S233&gt;=2*R233,S233&gt;=2*T233),AND(T233&gt;=2*R233,T233&gt;=2*S233)),"Длинные","")</f>
        <v/>
      </c>
      <c r="W233" s="66">
        <f>IF(OR(AND(R233&lt;=S233/2,R233&lt;=T233/2),AND(S233&lt;=R233/2,S233&lt;=T233/2),AND(T233&lt;=R233/2,T233&lt;=S233/2)),"Плоские","")</f>
        <v/>
      </c>
      <c r="X233" s="160">
        <f>IF(LARGE($R233:$T233,1)="","",IF(LARGE($R233:$T233,1)&lt;=99,"10-99 мм",IF(LARGE($R233:$T233,1)&lt;=199,"100-199 мм",IF(LARGE($R233:$T233,1)&lt;=299,"200-299 мм",IF(LARGE($R233:$T233,1)&lt;=399,"300-399 мм",IF(LARGE($R233:$T233,1)&lt;=499,"400-499 мм",IF(LARGE($R233:$T233,1)&lt;=599,"500-599 мм",IF(LARGE($R233:$T233,1)&lt;=699,"600-699 мм",IF(LARGE($R233:$T233,1)&lt;=999,"700-999 мм","1000+ мм")))))))))</f>
        <v/>
      </c>
      <c r="Y233" s="160">
        <f>IF(LARGE($R233:$T233,2)="","",IF(LARGE($R233:$T233,2)&lt;=99,"10-99 мм",IF(LARGE($R233:$T233,2)&lt;=199,"100-199 мм",IF(LARGE($R233:$T233,2)&lt;=299,"200-299 мм",IF(LARGE($R233:$T233,2)&lt;=399,"300-399 мм",IF(LARGE($R233:$T233,2)&lt;=499,"400-499 мм",IF(LARGE($R233:$T233,2)&lt;=599,"500-599 мм",IF(LARGE($R233:$T233,2)&lt;=699,"600-699 мм",IF(LARGE($R233:$T233,2)&lt;=999,"700-999 мм","1000+ мм")))))))))</f>
        <v/>
      </c>
      <c r="Z233" s="160">
        <f>IF(SMALL($R233:$T233,1)="","",IF(SMALL($R233:$T233,1)&lt;=99,"10-99 мм",IF(SMALL($R233:$T233,1)&lt;=199,"100-199 мм",IF(SMALL($R233:$T233,1)&lt;=299,"200-299 мм",IF(SMALL($R233:$T233,1)&lt;=399,"300-399 мм",IF(SMALL($R233:$T233,1)&lt;=499,"400-499 мм",IF(SMALL($R233:$T233,1)&lt;=599,"500-599 мм",IF(SMALL($R233:$T233,1)&lt;=699,"600-699 мм",IF(SMALL($R233:$T233,1)&lt;=999,"700-999 мм","1000+ мм")))))))))</f>
        <v/>
      </c>
      <c r="AA233" s="101">
        <f>IF(G233="","",IF(G233="Л","Лист гофрокартона",IF(G233="КД","Крышка-дно",IF(G233="С","Самосборные",IF(G233="Ч","Четырехклапанные",IF(G233="А","Архивные","Неизвестно"))))))</f>
        <v/>
      </c>
      <c r="AB233" s="66" t="n">
        <v>1.73</v>
      </c>
      <c r="AC233" s="101">
        <f>IF(O233="","",IF(O233&lt;=1,"0-1 литров",IF(O233&lt;=3,"2-3 литра",IF(O233&lt;=5,"4-5 литра",IF(O233&lt;=7,"6-7 литра",IF(O233&lt;=9,"8-9 литров",IF(O233&lt;=14,"10-14 литров",IF(O233&lt;=19,"15-19 литров",IF(O233&lt;=29,"20-29 литров",IF(O233&lt;=49,"30-49 литров",IF(O233&lt;=59,"50-59 литров",IF(O233&lt;=70,"60-69 литров",IF(O233&lt;=79,"70-79 литров",IF(O233&lt;=89,"80-89 литров",IF(O233&lt;=99,"90-99 литров",IF(O233&lt;=200,"100-200 литров","200+ литров"))))))))))))))))</f>
        <v/>
      </c>
    </row>
    <row r="234" customFormat="1" s="207">
      <c r="A234" s="64" t="n">
        <v>0.52</v>
      </c>
      <c r="B234" s="65">
        <f>A234*1.2</f>
        <v/>
      </c>
      <c r="C234" s="109" t="n">
        <v>234</v>
      </c>
      <c r="D234" s="77" t="inlineStr">
        <is>
          <t>0-ТМ</t>
        </is>
      </c>
      <c r="E234" s="113" t="n"/>
      <c r="F234" s="213" t="inlineStr">
        <is>
          <t>225х111х117</t>
        </is>
      </c>
      <c r="G234" s="83" t="inlineStr">
        <is>
          <t>С</t>
        </is>
      </c>
      <c r="H234" s="146" t="inlineStr">
        <is>
          <t>0471</t>
        </is>
      </c>
      <c r="I234" s="83" t="inlineStr">
        <is>
          <t>В</t>
        </is>
      </c>
      <c r="J234" s="83" t="inlineStr">
        <is>
          <t>ТМ</t>
        </is>
      </c>
      <c r="K234" s="116" t="inlineStr">
        <is>
          <t>K1013</t>
        </is>
      </c>
      <c r="L234" s="103" t="inlineStr">
        <is>
          <t>Sale</t>
        </is>
      </c>
      <c r="M234" s="239" t="inlineStr">
        <is>
          <t>sale</t>
        </is>
      </c>
      <c r="N234" s="239">
        <f>IF(D234="","",IF(LEFT(D234,1)="0",0,1))</f>
        <v/>
      </c>
      <c r="O234" s="80">
        <f>ROUND(R234*S234*T234/1000000,2)</f>
        <v/>
      </c>
      <c r="P234" s="160">
        <f>IF(O234="","",
IF(O234&lt;1,"0,1-0,9 литров",
IF(O234&lt;2,"1-1,9 литра",
IF(O234&lt;3,"2-2,9 литра",
IF(O234&lt;4,"3-3,9 литра",
IF(O234&lt;6,"4-5,9 литра",IF(O234&lt;8,"6-7,9 литра",IF(O234&lt;10,"8-9,9 литров",IF(O234&lt;15,"10-14,9 литров",IF(O234&lt;20,"15-19,9 литров",IF(O234&lt;30,"20-29 литров",IF(O234&lt;50,"30-49 литров",IF(O234&lt;60,"50-59 литров",IF(O234&lt;70,"60-69 литров",IF(O234&lt;80,"70-79 литров",IF(O234&lt;90,"80-89 литров",IF(O234&lt;100,"90-99 литров",IF(O234&lt;200,"100-200 литров","200+ литров"))))))))))))))))))</f>
        <v/>
      </c>
      <c r="Q234" s="101">
        <f>IF(O234="","",IF(O234&lt;1,"&lt;1 л",IF(O234&lt;2,"1-2 л",IF(O234&lt;3,"2-3 л",IF(O234&lt;5,"3-5 л",IF(O234&lt;10,"5-10 л",IF(O234&lt;20,"10-20 л",IF(O234&lt;50,"20-50 л",IF(O234&lt;100,"50-100 л","100+ л")))))))))</f>
        <v/>
      </c>
      <c r="R234" s="162">
        <f>IF(E234="","",--LEFT(E234,FIND("х",E234)-1))</f>
        <v/>
      </c>
      <c r="S234" s="162">
        <f>IF(E234="","",--MID(E234,FIND("х",E234)+1,FIND("х",E234,FIND("х",E234)+1)-FIND("х",E234)-1))</f>
        <v/>
      </c>
      <c r="T234" s="162">
        <f>IF(E234="","",--RIGHT(E234,LEN(E234)-FIND("х",E234,FIND("х",E234)+1)))</f>
        <v/>
      </c>
      <c r="U234" s="66">
        <f>(2*(R234+S234)+60)*(S234+T234+8)/1000000</f>
        <v/>
      </c>
      <c r="V234" s="66">
        <f>IF(OR(AND(R234&gt;=2*S234,R234&gt;=2*T234),AND(S234&gt;=2*R234,S234&gt;=2*T234),AND(T234&gt;=2*R234,T234&gt;=2*S234)),"Длинные","")</f>
        <v/>
      </c>
      <c r="W234" s="66">
        <f>IF(OR(AND(R234&lt;=S234/2,R234&lt;=T234/2),AND(S234&lt;=R234/2,S234&lt;=T234/2),AND(T234&lt;=R234/2,T234&lt;=S234/2)),"Плоские","")</f>
        <v/>
      </c>
      <c r="X234" s="160">
        <f>IF(LARGE($R234:$T234,1)="","",IF(LARGE($R234:$T234,1)&lt;=99,"10-99 мм",IF(LARGE($R234:$T234,1)&lt;=199,"100-199 мм",IF(LARGE($R234:$T234,1)&lt;=299,"200-299 мм",IF(LARGE($R234:$T234,1)&lt;=399,"300-399 мм",IF(LARGE($R234:$T234,1)&lt;=499,"400-499 мм",IF(LARGE($R234:$T234,1)&lt;=599,"500-599 мм",IF(LARGE($R234:$T234,1)&lt;=699,"600-699 мм",IF(LARGE($R234:$T234,1)&lt;=999,"700-999 мм","1000+ мм")))))))))</f>
        <v/>
      </c>
      <c r="Y234" s="160">
        <f>IF(LARGE($R234:$T234,2)="","",IF(LARGE($R234:$T234,2)&lt;=99,"10-99 мм",IF(LARGE($R234:$T234,2)&lt;=199,"100-199 мм",IF(LARGE($R234:$T234,2)&lt;=299,"200-299 мм",IF(LARGE($R234:$T234,2)&lt;=399,"300-399 мм",IF(LARGE($R234:$T234,2)&lt;=499,"400-499 мм",IF(LARGE($R234:$T234,2)&lt;=599,"500-599 мм",IF(LARGE($R234:$T234,2)&lt;=699,"600-699 мм",IF(LARGE($R234:$T234,2)&lt;=999,"700-999 мм","1000+ мм")))))))))</f>
        <v/>
      </c>
      <c r="Z234" s="160">
        <f>IF(SMALL($R234:$T234,1)="","",IF(SMALL($R234:$T234,1)&lt;=99,"10-99 мм",IF(SMALL($R234:$T234,1)&lt;=199,"100-199 мм",IF(SMALL($R234:$T234,1)&lt;=299,"200-299 мм",IF(SMALL($R234:$T234,1)&lt;=399,"300-399 мм",IF(SMALL($R234:$T234,1)&lt;=499,"400-499 мм",IF(SMALL($R234:$T234,1)&lt;=599,"500-599 мм",IF(SMALL($R234:$T234,1)&lt;=699,"600-699 мм",IF(SMALL($R234:$T234,1)&lt;=999,"700-999 мм","1000+ мм")))))))))</f>
        <v/>
      </c>
      <c r="AA234" s="101">
        <f>IF(G234="","",IF(G234="Л","Лист гофрокартона",IF(G234="КД","Крышка-дно",IF(G234="С","Самосборные",IF(G234="Ч","Четырехклапанные",IF(G234="А","Архивные","Неизвестно"))))))</f>
        <v/>
      </c>
      <c r="AB234" s="66" t="n">
        <v>1.73</v>
      </c>
      <c r="AC234" s="101">
        <f>IF(O234="","",IF(O234&lt;=1,"0-1 литров",IF(O234&lt;=3,"2-3 литра",IF(O234&lt;=5,"4-5 литра",IF(O234&lt;=7,"6-7 литра",IF(O234&lt;=9,"8-9 литров",IF(O234&lt;=14,"10-14 литров",IF(O234&lt;=19,"15-19 литров",IF(O234&lt;=29,"20-29 литров",IF(O234&lt;=49,"30-49 литров",IF(O234&lt;=59,"50-59 литров",IF(O234&lt;=70,"60-69 литров",IF(O234&lt;=79,"70-79 литров",IF(O234&lt;=89,"80-89 литров",IF(O234&lt;=99,"90-99 литров",IF(O234&lt;=200,"100-200 литров","200+ литров"))))))))))))))))</f>
        <v/>
      </c>
    </row>
    <row r="235" ht="13.75" customFormat="1" customHeight="1" s="207">
      <c r="A235" s="64" t="n">
        <v>0.23</v>
      </c>
      <c r="B235" s="65">
        <f>A235*1.2</f>
        <v/>
      </c>
      <c r="C235" s="109" t="n">
        <v>235</v>
      </c>
      <c r="D235" s="116" t="inlineStr">
        <is>
          <t>У</t>
        </is>
      </c>
      <c r="E235" s="88" t="inlineStr">
        <is>
          <t>230х65х50</t>
        </is>
      </c>
      <c r="F235" s="213" t="inlineStr">
        <is>
          <t>230х65х45 ТМ была</t>
        </is>
      </c>
      <c r="G235" s="83" t="inlineStr">
        <is>
          <t>С</t>
        </is>
      </c>
      <c r="H235" s="146" t="inlineStr">
        <is>
          <t>0427</t>
        </is>
      </c>
      <c r="I235" s="83" t="inlineStr">
        <is>
          <t>В</t>
        </is>
      </c>
      <c r="J235" s="83" t="inlineStr">
        <is>
          <t>ОП</t>
        </is>
      </c>
      <c r="K235" s="116" t="inlineStr">
        <is>
          <t>K226</t>
        </is>
      </c>
      <c r="L235" s="103" t="n"/>
      <c r="M235" s="239" t="n"/>
      <c r="N235" s="239">
        <f>IF(D235="","",IF(LEFT(D235,1)="0",0,1))</f>
        <v/>
      </c>
      <c r="O235" s="80">
        <f>ROUND(R235*S235*T235/1000000,2)</f>
        <v/>
      </c>
      <c r="P235" s="160">
        <f>IF(O235="","",
IF(O235&lt;1,"0,1-0,9 литров",
IF(O235&lt;2,"1-1,9 литра",
IF(O235&lt;3,"2-2,9 литра",
IF(O235&lt;4,"3-3,9 литра",
IF(O235&lt;6,"4-5,9 литра",IF(O235&lt;8,"6-7,9 литра",IF(O235&lt;10,"8-9,9 литров",IF(O235&lt;15,"10-14,9 литров",IF(O235&lt;20,"15-19,9 литров",IF(O235&lt;30,"20-29 литров",IF(O235&lt;50,"30-49 литров",IF(O235&lt;60,"50-59 литров",IF(O235&lt;70,"60-69 литров",IF(O235&lt;80,"70-79 литров",IF(O235&lt;90,"80-89 литров",IF(O235&lt;100,"90-99 литров",IF(O235&lt;200,"100-200 литров","200+ литров"))))))))))))))))))</f>
        <v/>
      </c>
      <c r="Q235" s="101">
        <f>IF(O235="","",IF(O235&lt;1,"&lt;1 л",IF(O235&lt;2,"1-2 л",IF(O235&lt;3,"2-3 л",IF(O235&lt;5,"3-5 л",IF(O235&lt;10,"5-10 л",IF(O235&lt;20,"10-20 л",IF(O235&lt;50,"20-50 л",IF(O235&lt;100,"50-100 л","100+ л")))))))))</f>
        <v/>
      </c>
      <c r="R235" s="162">
        <f>IF(E235="","",--LEFT(E235,FIND("х",E235)-1))</f>
        <v/>
      </c>
      <c r="S235" s="162">
        <f>IF(E235="","",--MID(E235,FIND("х",E235)+1,FIND("х",E235,FIND("х",E235)+1)-FIND("х",E235)-1))</f>
        <v/>
      </c>
      <c r="T235" s="162">
        <f>IF(E235="","",--RIGHT(E235,LEN(E235)-FIND("х",E235,FIND("х",E235)+1)))</f>
        <v/>
      </c>
      <c r="U235" s="66">
        <f>(2*(R235+S235)+60)*(S235+T235+8)/1000000</f>
        <v/>
      </c>
      <c r="V235" s="66">
        <f>IF(OR(AND(R235&gt;=2*S235,R235&gt;=2*T235),AND(S235&gt;=2*R235,S235&gt;=2*T235),AND(T235&gt;=2*R235,T235&gt;=2*S235)),"Длинные","")</f>
        <v/>
      </c>
      <c r="W235" s="66">
        <f>IF(OR(AND(R235&lt;=S235/2,R235&lt;=T235/2),AND(S235&lt;=R235/2,S235&lt;=T235/2),AND(T235&lt;=R235/2,T235&lt;=S235/2)),"Плоские","")</f>
        <v/>
      </c>
      <c r="X235" s="160">
        <f>IF(LARGE($R235:$T235,1)="","",IF(LARGE($R235:$T235,1)&lt;=99,"10-99 мм",IF(LARGE($R235:$T235,1)&lt;=199,"100-199 мм",IF(LARGE($R235:$T235,1)&lt;=299,"200-299 мм",IF(LARGE($R235:$T235,1)&lt;=399,"300-399 мм",IF(LARGE($R235:$T235,1)&lt;=499,"400-499 мм",IF(LARGE($R235:$T235,1)&lt;=599,"500-599 мм",IF(LARGE($R235:$T235,1)&lt;=699,"600-699 мм",IF(LARGE($R235:$T235,1)&lt;=999,"700-999 мм","1000+ мм")))))))))</f>
        <v/>
      </c>
      <c r="Y235" s="160">
        <f>IF(LARGE($R235:$T235,2)="","",IF(LARGE($R235:$T235,2)&lt;=99,"10-99 мм",IF(LARGE($R235:$T235,2)&lt;=199,"100-199 мм",IF(LARGE($R235:$T235,2)&lt;=299,"200-299 мм",IF(LARGE($R235:$T235,2)&lt;=399,"300-399 мм",IF(LARGE($R235:$T235,2)&lt;=499,"400-499 мм",IF(LARGE($R235:$T235,2)&lt;=599,"500-599 мм",IF(LARGE($R235:$T235,2)&lt;=699,"600-699 мм",IF(LARGE($R235:$T235,2)&lt;=999,"700-999 мм","1000+ мм")))))))))</f>
        <v/>
      </c>
      <c r="Z235" s="160">
        <f>IF(SMALL($R235:$T235,1)="","",IF(SMALL($R235:$T235,1)&lt;=99,"10-99 мм",IF(SMALL($R235:$T235,1)&lt;=199,"100-199 мм",IF(SMALL($R235:$T235,1)&lt;=299,"200-299 мм",IF(SMALL($R235:$T235,1)&lt;=399,"300-399 мм",IF(SMALL($R235:$T235,1)&lt;=499,"400-499 мм",IF(SMALL($R235:$T235,1)&lt;=599,"500-599 мм",IF(SMALL($R235:$T235,1)&lt;=699,"600-699 мм",IF(SMALL($R235:$T235,1)&lt;=999,"700-999 мм","1000+ мм")))))))))</f>
        <v/>
      </c>
      <c r="AA235" s="101">
        <f>IF(G235="","",IF(G235="Л","Лист гофрокартона",IF(G235="КД","Крышка-дно",IF(G235="С","Самосборные",IF(G235="Ч","Четырехклапанные",IF(G235="А","Архивные","Неизвестно"))))))</f>
        <v/>
      </c>
      <c r="AB235" s="66" t="n">
        <v>1.73</v>
      </c>
      <c r="AC235" s="101">
        <f>IF(O235="","",IF(O235&lt;=1,"0-1 литров",IF(O235&lt;=3,"2-3 литра",IF(O235&lt;=5,"4-5 литра",IF(O235&lt;=7,"6-7 литра",IF(O235&lt;=9,"8-9 литров",IF(O235&lt;=14,"10-14 литров",IF(O235&lt;=19,"15-19 литров",IF(O235&lt;=29,"20-29 литров",IF(O235&lt;=49,"30-49 литров",IF(O235&lt;=59,"50-59 литров",IF(O235&lt;=70,"60-69 литров",IF(O235&lt;=79,"70-79 литров",IF(O235&lt;=89,"80-89 литров",IF(O235&lt;=99,"90-99 литров",IF(O235&lt;=200,"100-200 литров","200+ литров"))))))))))))))))</f>
        <v/>
      </c>
    </row>
    <row r="236" customFormat="1" s="207">
      <c r="A236" s="64" t="n">
        <v>0.87</v>
      </c>
      <c r="B236" s="65">
        <f>A236*1.2</f>
        <v/>
      </c>
      <c r="C236" s="109" t="n">
        <v>236</v>
      </c>
      <c r="D236" s="77" t="inlineStr">
        <is>
          <t>ТМ-
SALE</t>
        </is>
      </c>
      <c r="E236" s="88" t="inlineStr">
        <is>
          <t>245х210х83</t>
        </is>
      </c>
      <c r="F236" s="213" t="n"/>
      <c r="G236" s="83" t="inlineStr">
        <is>
          <t>С</t>
        </is>
      </c>
      <c r="H236" s="146" t="inlineStr">
        <is>
          <t>0471</t>
        </is>
      </c>
      <c r="I236" s="83" t="inlineStr">
        <is>
          <t>В</t>
        </is>
      </c>
      <c r="J236" s="83" t="inlineStr">
        <is>
          <t>ТМ</t>
        </is>
      </c>
      <c r="K236" s="116" t="inlineStr">
        <is>
          <t>K1014</t>
        </is>
      </c>
      <c r="L236" s="103" t="inlineStr">
        <is>
          <t>Sale</t>
        </is>
      </c>
      <c r="M236" s="239" t="inlineStr">
        <is>
          <t>sale</t>
        </is>
      </c>
      <c r="N236" s="239">
        <f>IF(D236="","",IF(LEFT(D236,1)="0",0,1))</f>
        <v/>
      </c>
      <c r="O236" s="80">
        <f>ROUND(R236*S236*T236/1000000,2)</f>
        <v/>
      </c>
      <c r="P236" s="160">
        <f>IF(O236="","",
IF(O236&lt;1,"0,1-0,9 литров",
IF(O236&lt;2,"1-1,9 литра",
IF(O236&lt;3,"2-2,9 литра",
IF(O236&lt;4,"3-3,9 литра",
IF(O236&lt;6,"4-5,9 литра",IF(O236&lt;8,"6-7,9 литра",IF(O236&lt;10,"8-9,9 литров",IF(O236&lt;15,"10-14,9 литров",IF(O236&lt;20,"15-19,9 литров",IF(O236&lt;30,"20-29 литров",IF(O236&lt;50,"30-49 литров",IF(O236&lt;60,"50-59 литров",IF(O236&lt;70,"60-69 литров",IF(O236&lt;80,"70-79 литров",IF(O236&lt;90,"80-89 литров",IF(O236&lt;100,"90-99 литров",IF(O236&lt;200,"100-200 литров","200+ литров"))))))))))))))))))</f>
        <v/>
      </c>
      <c r="Q236" s="101">
        <f>IF(O236="","",IF(O236&lt;1,"&lt;1 л",IF(O236&lt;2,"1-2 л",IF(O236&lt;3,"2-3 л",IF(O236&lt;5,"3-5 л",IF(O236&lt;10,"5-10 л",IF(O236&lt;20,"10-20 л",IF(O236&lt;50,"20-50 л",IF(O236&lt;100,"50-100 л","100+ л")))))))))</f>
        <v/>
      </c>
      <c r="R236" s="162">
        <f>IF(E236="","",--LEFT(E236,FIND("х",E236)-1))</f>
        <v/>
      </c>
      <c r="S236" s="162">
        <f>IF(E236="","",--MID(E236,FIND("х",E236)+1,FIND("х",E236,FIND("х",E236)+1)-FIND("х",E236)-1))</f>
        <v/>
      </c>
      <c r="T236" s="162">
        <f>IF(E236="","",--RIGHT(E236,LEN(E236)-FIND("х",E236,FIND("х",E236)+1)))</f>
        <v/>
      </c>
      <c r="U236" s="66">
        <f>(2*(R236+S236)+60)*(S236+T236+8)/1000000</f>
        <v/>
      </c>
      <c r="V236" s="66">
        <f>IF(OR(AND(R236&gt;=2*S236,R236&gt;=2*T236),AND(S236&gt;=2*R236,S236&gt;=2*T236),AND(T236&gt;=2*R236,T236&gt;=2*S236)),"Длинные","")</f>
        <v/>
      </c>
      <c r="W236" s="66">
        <f>IF(OR(AND(R236&lt;=S236/2,R236&lt;=T236/2),AND(S236&lt;=R236/2,S236&lt;=T236/2),AND(T236&lt;=R236/2,T236&lt;=S236/2)),"Плоские","")</f>
        <v/>
      </c>
      <c r="X236" s="160">
        <f>IF(LARGE($R236:$T236,1)="","",IF(LARGE($R236:$T236,1)&lt;=99,"10-99 мм",IF(LARGE($R236:$T236,1)&lt;=199,"100-199 мм",IF(LARGE($R236:$T236,1)&lt;=299,"200-299 мм",IF(LARGE($R236:$T236,1)&lt;=399,"300-399 мм",IF(LARGE($R236:$T236,1)&lt;=499,"400-499 мм",IF(LARGE($R236:$T236,1)&lt;=599,"500-599 мм",IF(LARGE($R236:$T236,1)&lt;=699,"600-699 мм",IF(LARGE($R236:$T236,1)&lt;=999,"700-999 мм","1000+ мм")))))))))</f>
        <v/>
      </c>
      <c r="Y236" s="160">
        <f>IF(LARGE($R236:$T236,2)="","",IF(LARGE($R236:$T236,2)&lt;=99,"10-99 мм",IF(LARGE($R236:$T236,2)&lt;=199,"100-199 мм",IF(LARGE($R236:$T236,2)&lt;=299,"200-299 мм",IF(LARGE($R236:$T236,2)&lt;=399,"300-399 мм",IF(LARGE($R236:$T236,2)&lt;=499,"400-499 мм",IF(LARGE($R236:$T236,2)&lt;=599,"500-599 мм",IF(LARGE($R236:$T236,2)&lt;=699,"600-699 мм",IF(LARGE($R236:$T236,2)&lt;=999,"700-999 мм","1000+ мм")))))))))</f>
        <v/>
      </c>
      <c r="Z236" s="160">
        <f>IF(SMALL($R236:$T236,1)="","",IF(SMALL($R236:$T236,1)&lt;=99,"10-99 мм",IF(SMALL($R236:$T236,1)&lt;=199,"100-199 мм",IF(SMALL($R236:$T236,1)&lt;=299,"200-299 мм",IF(SMALL($R236:$T236,1)&lt;=399,"300-399 мм",IF(SMALL($R236:$T236,1)&lt;=499,"400-499 мм",IF(SMALL($R236:$T236,1)&lt;=599,"500-599 мм",IF(SMALL($R236:$T236,1)&lt;=699,"600-699 мм",IF(SMALL($R236:$T236,1)&lt;=999,"700-999 мм","1000+ мм")))))))))</f>
        <v/>
      </c>
      <c r="AA236" s="101">
        <f>IF(G236="","",IF(G236="Л","Лист гофрокартона",IF(G236="КД","Крышка-дно",IF(G236="С","Самосборные",IF(G236="Ч","Четырехклапанные",IF(G236="А","Архивные","Неизвестно"))))))</f>
        <v/>
      </c>
      <c r="AB236" s="66" t="n">
        <v>1.73</v>
      </c>
      <c r="AC236" s="101">
        <f>IF(O236="","",IF(O236&lt;=1,"0-1 литров",IF(O236&lt;=3,"2-3 литра",IF(O236&lt;=5,"4-5 литра",IF(O236&lt;=7,"6-7 литра",IF(O236&lt;=9,"8-9 литров",IF(O236&lt;=14,"10-14 литров",IF(O236&lt;=19,"15-19 литров",IF(O236&lt;=29,"20-29 литров",IF(O236&lt;=49,"30-49 литров",IF(O236&lt;=59,"50-59 литров",IF(O236&lt;=70,"60-69 литров",IF(O236&lt;=79,"70-79 литров",IF(O236&lt;=89,"80-89 литров",IF(O236&lt;=99,"90-99 литров",IF(O236&lt;=200,"100-200 литров","200+ литров"))))))))))))))))</f>
        <v/>
      </c>
    </row>
    <row r="237" customFormat="1" s="207">
      <c r="A237" s="64" t="n">
        <v>0.55</v>
      </c>
      <c r="B237" s="65">
        <f>A237*1.2</f>
        <v/>
      </c>
      <c r="C237" s="109" t="n">
        <v>237</v>
      </c>
      <c r="D237" s="77" t="inlineStr">
        <is>
          <t>ТМ-
SALE</t>
        </is>
      </c>
      <c r="E237" s="88" t="inlineStr">
        <is>
          <t>251х111х117</t>
        </is>
      </c>
      <c r="F237" s="213" t="n"/>
      <c r="G237" s="83" t="inlineStr">
        <is>
          <t>С</t>
        </is>
      </c>
      <c r="H237" s="146" t="inlineStr">
        <is>
          <t>0471</t>
        </is>
      </c>
      <c r="I237" s="83" t="inlineStr">
        <is>
          <t>В</t>
        </is>
      </c>
      <c r="J237" s="83" t="inlineStr">
        <is>
          <t>ТМ</t>
        </is>
      </c>
      <c r="K237" s="116" t="inlineStr">
        <is>
          <t>K1015</t>
        </is>
      </c>
      <c r="L237" s="103" t="inlineStr">
        <is>
          <t>Sale</t>
        </is>
      </c>
      <c r="M237" s="239" t="inlineStr">
        <is>
          <t>sale</t>
        </is>
      </c>
      <c r="N237" s="239">
        <f>IF(D237="","",IF(LEFT(D237,1)="0",0,1))</f>
        <v/>
      </c>
      <c r="O237" s="80">
        <f>ROUND(R237*S237*T237/1000000,2)</f>
        <v/>
      </c>
      <c r="P237" s="160">
        <f>IF(O237="","",
IF(O237&lt;1,"0,1-0,9 литров",
IF(O237&lt;2,"1-1,9 литра",
IF(O237&lt;3,"2-2,9 литра",
IF(O237&lt;4,"3-3,9 литра",
IF(O237&lt;6,"4-5,9 литра",IF(O237&lt;8,"6-7,9 литра",IF(O237&lt;10,"8-9,9 литров",IF(O237&lt;15,"10-14,9 литров",IF(O237&lt;20,"15-19,9 литров",IF(O237&lt;30,"20-29 литров",IF(O237&lt;50,"30-49 литров",IF(O237&lt;60,"50-59 литров",IF(O237&lt;70,"60-69 литров",IF(O237&lt;80,"70-79 литров",IF(O237&lt;90,"80-89 литров",IF(O237&lt;100,"90-99 литров",IF(O237&lt;200,"100-200 литров","200+ литров"))))))))))))))))))</f>
        <v/>
      </c>
      <c r="Q237" s="101">
        <f>IF(O237="","",IF(O237&lt;1,"&lt;1 л",IF(O237&lt;2,"1-2 л",IF(O237&lt;3,"2-3 л",IF(O237&lt;5,"3-5 л",IF(O237&lt;10,"5-10 л",IF(O237&lt;20,"10-20 л",IF(O237&lt;50,"20-50 л",IF(O237&lt;100,"50-100 л","100+ л")))))))))</f>
        <v/>
      </c>
      <c r="R237" s="162">
        <f>IF(E237="","",--LEFT(E237,FIND("х",E237)-1))</f>
        <v/>
      </c>
      <c r="S237" s="162">
        <f>IF(E237="","",--MID(E237,FIND("х",E237)+1,FIND("х",E237,FIND("х",E237)+1)-FIND("х",E237)-1))</f>
        <v/>
      </c>
      <c r="T237" s="162">
        <f>IF(E237="","",--RIGHT(E237,LEN(E237)-FIND("х",E237,FIND("х",E237)+1)))</f>
        <v/>
      </c>
      <c r="U237" s="66">
        <f>(2*(R237+S237)+60)*(S237+T237+8)/1000000</f>
        <v/>
      </c>
      <c r="V237" s="66">
        <f>IF(OR(AND(R237&gt;=2*S237,R237&gt;=2*T237),AND(S237&gt;=2*R237,S237&gt;=2*T237),AND(T237&gt;=2*R237,T237&gt;=2*S237)),"Длинные","")</f>
        <v/>
      </c>
      <c r="W237" s="66">
        <f>IF(OR(AND(R237&lt;=S237/2,R237&lt;=T237/2),AND(S237&lt;=R237/2,S237&lt;=T237/2),AND(T237&lt;=R237/2,T237&lt;=S237/2)),"Плоские","")</f>
        <v/>
      </c>
      <c r="X237" s="160">
        <f>IF(LARGE($R237:$T237,1)="","",IF(LARGE($R237:$T237,1)&lt;=99,"10-99 мм",IF(LARGE($R237:$T237,1)&lt;=199,"100-199 мм",IF(LARGE($R237:$T237,1)&lt;=299,"200-299 мм",IF(LARGE($R237:$T237,1)&lt;=399,"300-399 мм",IF(LARGE($R237:$T237,1)&lt;=499,"400-499 мм",IF(LARGE($R237:$T237,1)&lt;=599,"500-599 мм",IF(LARGE($R237:$T237,1)&lt;=699,"600-699 мм",IF(LARGE($R237:$T237,1)&lt;=999,"700-999 мм","1000+ мм")))))))))</f>
        <v/>
      </c>
      <c r="Y237" s="160">
        <f>IF(LARGE($R237:$T237,2)="","",IF(LARGE($R237:$T237,2)&lt;=99,"10-99 мм",IF(LARGE($R237:$T237,2)&lt;=199,"100-199 мм",IF(LARGE($R237:$T237,2)&lt;=299,"200-299 мм",IF(LARGE($R237:$T237,2)&lt;=399,"300-399 мм",IF(LARGE($R237:$T237,2)&lt;=499,"400-499 мм",IF(LARGE($R237:$T237,2)&lt;=599,"500-599 мм",IF(LARGE($R237:$T237,2)&lt;=699,"600-699 мм",IF(LARGE($R237:$T237,2)&lt;=999,"700-999 мм","1000+ мм")))))))))</f>
        <v/>
      </c>
      <c r="Z237" s="160">
        <f>IF(SMALL($R237:$T237,1)="","",IF(SMALL($R237:$T237,1)&lt;=99,"10-99 мм",IF(SMALL($R237:$T237,1)&lt;=199,"100-199 мм",IF(SMALL($R237:$T237,1)&lt;=299,"200-299 мм",IF(SMALL($R237:$T237,1)&lt;=399,"300-399 мм",IF(SMALL($R237:$T237,1)&lt;=499,"400-499 мм",IF(SMALL($R237:$T237,1)&lt;=599,"500-599 мм",IF(SMALL($R237:$T237,1)&lt;=699,"600-699 мм",IF(SMALL($R237:$T237,1)&lt;=999,"700-999 мм","1000+ мм")))))))))</f>
        <v/>
      </c>
      <c r="AA237" s="101">
        <f>IF(G237="","",IF(G237="Л","Лист гофрокартона",IF(G237="КД","Крышка-дно",IF(G237="С","Самосборные",IF(G237="Ч","Четырехклапанные",IF(G237="А","Архивные","Неизвестно"))))))</f>
        <v/>
      </c>
      <c r="AB237" s="66" t="n">
        <v>1.73</v>
      </c>
      <c r="AC237" s="101">
        <f>IF(O237="","",IF(O237&lt;=1,"0-1 литров",IF(O237&lt;=3,"2-3 литра",IF(O237&lt;=5,"4-5 литра",IF(O237&lt;=7,"6-7 литра",IF(O237&lt;=9,"8-9 литров",IF(O237&lt;=14,"10-14 литров",IF(O237&lt;=19,"15-19 литров",IF(O237&lt;=29,"20-29 литров",IF(O237&lt;=49,"30-49 литров",IF(O237&lt;=59,"50-59 литров",IF(O237&lt;=70,"60-69 литров",IF(O237&lt;=79,"70-79 литров",IF(O237&lt;=89,"80-89 литров",IF(O237&lt;=99,"90-99 литров",IF(O237&lt;=200,"100-200 литров","200+ литров"))))))))))))))))</f>
        <v/>
      </c>
    </row>
    <row r="238" customFormat="1" s="207">
      <c r="A238" s="64" t="n">
        <v>0.42</v>
      </c>
      <c r="B238" s="65">
        <f>A238*1.2</f>
        <v/>
      </c>
      <c r="C238" s="109" t="n">
        <v>238</v>
      </c>
      <c r="D238" s="77" t="inlineStr">
        <is>
          <t>0-ТМ</t>
        </is>
      </c>
      <c r="E238" s="113" t="n"/>
      <c r="F238" s="213" t="inlineStr">
        <is>
          <t>283х141х45</t>
        </is>
      </c>
      <c r="G238" s="83" t="inlineStr">
        <is>
          <t>С</t>
        </is>
      </c>
      <c r="H238" s="146" t="inlineStr">
        <is>
          <t>0427</t>
        </is>
      </c>
      <c r="I238" s="83" t="inlineStr">
        <is>
          <t>Е</t>
        </is>
      </c>
      <c r="J238" s="83" t="inlineStr">
        <is>
          <t>ТМ</t>
        </is>
      </c>
      <c r="K238" s="116" t="inlineStr">
        <is>
          <t>K1016</t>
        </is>
      </c>
      <c r="L238" s="103" t="inlineStr">
        <is>
          <t>Sale</t>
        </is>
      </c>
      <c r="M238" s="239" t="inlineStr">
        <is>
          <t>sale</t>
        </is>
      </c>
      <c r="N238" s="239">
        <f>IF(D238="","",IF(LEFT(D238,1)="0",0,1))</f>
        <v/>
      </c>
      <c r="O238" s="80">
        <f>ROUND(R238*S238*T238/1000000,2)</f>
        <v/>
      </c>
      <c r="P238" s="160">
        <f>IF(O238="","",
IF(O238&lt;1,"0,1-0,9 литров",
IF(O238&lt;2,"1-1,9 литра",
IF(O238&lt;3,"2-2,9 литра",
IF(O238&lt;4,"3-3,9 литра",
IF(O238&lt;6,"4-5,9 литра",IF(O238&lt;8,"6-7,9 литра",IF(O238&lt;10,"8-9,9 литров",IF(O238&lt;15,"10-14,9 литров",IF(O238&lt;20,"15-19,9 литров",IF(O238&lt;30,"20-29 литров",IF(O238&lt;50,"30-49 литров",IF(O238&lt;60,"50-59 литров",IF(O238&lt;70,"60-69 литров",IF(O238&lt;80,"70-79 литров",IF(O238&lt;90,"80-89 литров",IF(O238&lt;100,"90-99 литров",IF(O238&lt;200,"100-200 литров","200+ литров"))))))))))))))))))</f>
        <v/>
      </c>
      <c r="Q238" s="101">
        <f>IF(O238="","",IF(O238&lt;1,"&lt;1 л",IF(O238&lt;2,"1-2 л",IF(O238&lt;3,"2-3 л",IF(O238&lt;5,"3-5 л",IF(O238&lt;10,"5-10 л",IF(O238&lt;20,"10-20 л",IF(O238&lt;50,"20-50 л",IF(O238&lt;100,"50-100 л","100+ л")))))))))</f>
        <v/>
      </c>
      <c r="R238" s="162">
        <f>IF(E238="","",--LEFT(E238,FIND("х",E238)-1))</f>
        <v/>
      </c>
      <c r="S238" s="162">
        <f>IF(E238="","",--MID(E238,FIND("х",E238)+1,FIND("х",E238,FIND("х",E238)+1)-FIND("х",E238)-1))</f>
        <v/>
      </c>
      <c r="T238" s="162">
        <f>IF(E238="","",--RIGHT(E238,LEN(E238)-FIND("х",E238,FIND("х",E238)+1)))</f>
        <v/>
      </c>
      <c r="U238" s="66">
        <f>(2*(R238+S238)+60)*(S238+T238+8)/1000000</f>
        <v/>
      </c>
      <c r="V238" s="66">
        <f>IF(OR(AND(R238&gt;=2*S238,R238&gt;=2*T238),AND(S238&gt;=2*R238,S238&gt;=2*T238),AND(T238&gt;=2*R238,T238&gt;=2*S238)),"Длинные","")</f>
        <v/>
      </c>
      <c r="W238" s="66">
        <f>IF(OR(AND(R238&lt;=S238/2,R238&lt;=T238/2),AND(S238&lt;=R238/2,S238&lt;=T238/2),AND(T238&lt;=R238/2,T238&lt;=S238/2)),"Плоские","")</f>
        <v/>
      </c>
      <c r="X238" s="160">
        <f>IF(LARGE($R238:$T238,1)="","",IF(LARGE($R238:$T238,1)&lt;=99,"10-99 мм",IF(LARGE($R238:$T238,1)&lt;=199,"100-199 мм",IF(LARGE($R238:$T238,1)&lt;=299,"200-299 мм",IF(LARGE($R238:$T238,1)&lt;=399,"300-399 мм",IF(LARGE($R238:$T238,1)&lt;=499,"400-499 мм",IF(LARGE($R238:$T238,1)&lt;=599,"500-599 мм",IF(LARGE($R238:$T238,1)&lt;=699,"600-699 мм",IF(LARGE($R238:$T238,1)&lt;=999,"700-999 мм","1000+ мм")))))))))</f>
        <v/>
      </c>
      <c r="Y238" s="160">
        <f>IF(LARGE($R238:$T238,2)="","",IF(LARGE($R238:$T238,2)&lt;=99,"10-99 мм",IF(LARGE($R238:$T238,2)&lt;=199,"100-199 мм",IF(LARGE($R238:$T238,2)&lt;=299,"200-299 мм",IF(LARGE($R238:$T238,2)&lt;=399,"300-399 мм",IF(LARGE($R238:$T238,2)&lt;=499,"400-499 мм",IF(LARGE($R238:$T238,2)&lt;=599,"500-599 мм",IF(LARGE($R238:$T238,2)&lt;=699,"600-699 мм",IF(LARGE($R238:$T238,2)&lt;=999,"700-999 мм","1000+ мм")))))))))</f>
        <v/>
      </c>
      <c r="Z238" s="160">
        <f>IF(SMALL($R238:$T238,1)="","",IF(SMALL($R238:$T238,1)&lt;=99,"10-99 мм",IF(SMALL($R238:$T238,1)&lt;=199,"100-199 мм",IF(SMALL($R238:$T238,1)&lt;=299,"200-299 мм",IF(SMALL($R238:$T238,1)&lt;=399,"300-399 мм",IF(SMALL($R238:$T238,1)&lt;=499,"400-499 мм",IF(SMALL($R238:$T238,1)&lt;=599,"500-599 мм",IF(SMALL($R238:$T238,1)&lt;=699,"600-699 мм",IF(SMALL($R238:$T238,1)&lt;=999,"700-999 мм","1000+ мм")))))))))</f>
        <v/>
      </c>
      <c r="AA238" s="101">
        <f>IF(G238="","",IF(G238="Л","Лист гофрокартона",IF(G238="КД","Крышка-дно",IF(G238="С","Самосборные",IF(G238="Ч","Четырехклапанные",IF(G238="А","Архивные","Неизвестно"))))))</f>
        <v/>
      </c>
      <c r="AB238" s="66" t="n">
        <v>1.73</v>
      </c>
      <c r="AC238" s="101">
        <f>IF(O238="","",IF(O238&lt;=1,"0-1 литров",IF(O238&lt;=3,"2-3 литра",IF(O238&lt;=5,"4-5 литра",IF(O238&lt;=7,"6-7 литра",IF(O238&lt;=9,"8-9 литров",IF(O238&lt;=14,"10-14 литров",IF(O238&lt;=19,"15-19 литров",IF(O238&lt;=29,"20-29 литров",IF(O238&lt;=49,"30-49 литров",IF(O238&lt;=59,"50-59 литров",IF(O238&lt;=70,"60-69 литров",IF(O238&lt;=79,"70-79 литров",IF(O238&lt;=89,"80-89 литров",IF(O238&lt;=99,"90-99 литров",IF(O238&lt;=200,"100-200 литров","200+ литров"))))))))))))))))</f>
        <v/>
      </c>
    </row>
    <row r="239" customFormat="1" s="207">
      <c r="A239" s="64" t="n">
        <v>0.61</v>
      </c>
      <c r="B239" s="65">
        <f>A239*1.2</f>
        <v/>
      </c>
      <c r="C239" s="109" t="n">
        <v>239</v>
      </c>
      <c r="D239" s="77" t="inlineStr">
        <is>
          <t>ТМ-
SALE</t>
        </is>
      </c>
      <c r="E239" s="88" t="inlineStr">
        <is>
          <t>290х120х110</t>
        </is>
      </c>
      <c r="F239" s="213" t="n"/>
      <c r="G239" s="83" t="inlineStr">
        <is>
          <t>С</t>
        </is>
      </c>
      <c r="H239" s="146" t="inlineStr">
        <is>
          <t>0471</t>
        </is>
      </c>
      <c r="I239" s="83" t="inlineStr">
        <is>
          <t>В</t>
        </is>
      </c>
      <c r="J239" s="83" t="inlineStr">
        <is>
          <t>ТМ</t>
        </is>
      </c>
      <c r="K239" s="116" t="inlineStr">
        <is>
          <t>K1017</t>
        </is>
      </c>
      <c r="L239" s="103" t="inlineStr">
        <is>
          <t>Sale</t>
        </is>
      </c>
      <c r="M239" s="239" t="inlineStr">
        <is>
          <t>sale</t>
        </is>
      </c>
      <c r="N239" s="239">
        <f>IF(D239="","",IF(LEFT(D239,1)="0",0,1))</f>
        <v/>
      </c>
      <c r="O239" s="80">
        <f>ROUND(R239*S239*T239/1000000,2)</f>
        <v/>
      </c>
      <c r="P239" s="160">
        <f>IF(O239="","",
IF(O239&lt;1,"0,1-0,9 литров",
IF(O239&lt;2,"1-1,9 литра",
IF(O239&lt;3,"2-2,9 литра",
IF(O239&lt;4,"3-3,9 литра",
IF(O239&lt;6,"4-5,9 литра",IF(O239&lt;8,"6-7,9 литра",IF(O239&lt;10,"8-9,9 литров",IF(O239&lt;15,"10-14,9 литров",IF(O239&lt;20,"15-19,9 литров",IF(O239&lt;30,"20-29 литров",IF(O239&lt;50,"30-49 литров",IF(O239&lt;60,"50-59 литров",IF(O239&lt;70,"60-69 литров",IF(O239&lt;80,"70-79 литров",IF(O239&lt;90,"80-89 литров",IF(O239&lt;100,"90-99 литров",IF(O239&lt;200,"100-200 литров","200+ литров"))))))))))))))))))</f>
        <v/>
      </c>
      <c r="Q239" s="101">
        <f>IF(O239="","",IF(O239&lt;1,"&lt;1 л",IF(O239&lt;2,"1-2 л",IF(O239&lt;3,"2-3 л",IF(O239&lt;5,"3-5 л",IF(O239&lt;10,"5-10 л",IF(O239&lt;20,"10-20 л",IF(O239&lt;50,"20-50 л",IF(O239&lt;100,"50-100 л","100+ л")))))))))</f>
        <v/>
      </c>
      <c r="R239" s="162">
        <f>IF(E239="","",--LEFT(E239,FIND("х",E239)-1))</f>
        <v/>
      </c>
      <c r="S239" s="162">
        <f>IF(E239="","",--MID(E239,FIND("х",E239)+1,FIND("х",E239,FIND("х",E239)+1)-FIND("х",E239)-1))</f>
        <v/>
      </c>
      <c r="T239" s="162">
        <f>IF(E239="","",--RIGHT(E239,LEN(E239)-FIND("х",E239,FIND("х",E239)+1)))</f>
        <v/>
      </c>
      <c r="U239" s="66">
        <f>(2*(R239+S239)+60)*(S239+T239+8)/1000000</f>
        <v/>
      </c>
      <c r="V239" s="66">
        <f>IF(OR(AND(R239&gt;=2*S239,R239&gt;=2*T239),AND(S239&gt;=2*R239,S239&gt;=2*T239),AND(T239&gt;=2*R239,T239&gt;=2*S239)),"Длинные","")</f>
        <v/>
      </c>
      <c r="W239" s="66">
        <f>IF(OR(AND(R239&lt;=S239/2,R239&lt;=T239/2),AND(S239&lt;=R239/2,S239&lt;=T239/2),AND(T239&lt;=R239/2,T239&lt;=S239/2)),"Плоские","")</f>
        <v/>
      </c>
      <c r="X239" s="160">
        <f>IF(LARGE($R239:$T239,1)="","",IF(LARGE($R239:$T239,1)&lt;=99,"10-99 мм",IF(LARGE($R239:$T239,1)&lt;=199,"100-199 мм",IF(LARGE($R239:$T239,1)&lt;=299,"200-299 мм",IF(LARGE($R239:$T239,1)&lt;=399,"300-399 мм",IF(LARGE($R239:$T239,1)&lt;=499,"400-499 мм",IF(LARGE($R239:$T239,1)&lt;=599,"500-599 мм",IF(LARGE($R239:$T239,1)&lt;=699,"600-699 мм",IF(LARGE($R239:$T239,1)&lt;=999,"700-999 мм","1000+ мм")))))))))</f>
        <v/>
      </c>
      <c r="Y239" s="160">
        <f>IF(LARGE($R239:$T239,2)="","",IF(LARGE($R239:$T239,2)&lt;=99,"10-99 мм",IF(LARGE($R239:$T239,2)&lt;=199,"100-199 мм",IF(LARGE($R239:$T239,2)&lt;=299,"200-299 мм",IF(LARGE($R239:$T239,2)&lt;=399,"300-399 мм",IF(LARGE($R239:$T239,2)&lt;=499,"400-499 мм",IF(LARGE($R239:$T239,2)&lt;=599,"500-599 мм",IF(LARGE($R239:$T239,2)&lt;=699,"600-699 мм",IF(LARGE($R239:$T239,2)&lt;=999,"700-999 мм","1000+ мм")))))))))</f>
        <v/>
      </c>
      <c r="Z239" s="160">
        <f>IF(SMALL($R239:$T239,1)="","",IF(SMALL($R239:$T239,1)&lt;=99,"10-99 мм",IF(SMALL($R239:$T239,1)&lt;=199,"100-199 мм",IF(SMALL($R239:$T239,1)&lt;=299,"200-299 мм",IF(SMALL($R239:$T239,1)&lt;=399,"300-399 мм",IF(SMALL($R239:$T239,1)&lt;=499,"400-499 мм",IF(SMALL($R239:$T239,1)&lt;=599,"500-599 мм",IF(SMALL($R239:$T239,1)&lt;=699,"600-699 мм",IF(SMALL($R239:$T239,1)&lt;=999,"700-999 мм","1000+ мм")))))))))</f>
        <v/>
      </c>
      <c r="AA239" s="101">
        <f>IF(G239="","",IF(G239="Л","Лист гофрокартона",IF(G239="КД","Крышка-дно",IF(G239="С","Самосборные",IF(G239="Ч","Четырехклапанные",IF(G239="А","Архивные","Неизвестно"))))))</f>
        <v/>
      </c>
      <c r="AB239" s="66" t="n">
        <v>1.73</v>
      </c>
      <c r="AC239" s="101">
        <f>IF(O239="","",IF(O239&lt;=1,"0-1 литров",IF(O239&lt;=3,"2-3 литра",IF(O239&lt;=5,"4-5 литра",IF(O239&lt;=7,"6-7 литра",IF(O239&lt;=9,"8-9 литров",IF(O239&lt;=14,"10-14 литров",IF(O239&lt;=19,"15-19 литров",IF(O239&lt;=29,"20-29 литров",IF(O239&lt;=49,"30-49 литров",IF(O239&lt;=59,"50-59 литров",IF(O239&lt;=70,"60-69 литров",IF(O239&lt;=79,"70-79 литров",IF(O239&lt;=89,"80-89 литров",IF(O239&lt;=99,"90-99 литров",IF(O239&lt;=200,"100-200 литров","200+ литров"))))))))))))))))</f>
        <v/>
      </c>
    </row>
    <row r="240" customFormat="1" s="207">
      <c r="A240" s="64" t="n">
        <v>0.5</v>
      </c>
      <c r="B240" s="65">
        <f>A240*1.2</f>
        <v/>
      </c>
      <c r="C240" s="109" t="n">
        <v>240</v>
      </c>
      <c r="D240" s="77" t="inlineStr">
        <is>
          <t>0-ТМ</t>
        </is>
      </c>
      <c r="E240" s="88" t="inlineStr">
        <is>
          <t>320х230х40</t>
        </is>
      </c>
      <c r="F240" s="213" t="n"/>
      <c r="G240" s="83" t="inlineStr">
        <is>
          <t>С</t>
        </is>
      </c>
      <c r="H240" s="146" t="inlineStr">
        <is>
          <t>0426</t>
        </is>
      </c>
      <c r="I240" s="83" t="inlineStr">
        <is>
          <t>В</t>
        </is>
      </c>
      <c r="J240" s="83" t="inlineStr">
        <is>
          <t>ТМ</t>
        </is>
      </c>
      <c r="K240" s="116" t="inlineStr">
        <is>
          <t>K1018</t>
        </is>
      </c>
      <c r="L240" s="103" t="n"/>
      <c r="M240" s="239" t="inlineStr">
        <is>
          <t>sale</t>
        </is>
      </c>
      <c r="N240" s="239">
        <f>IF(D240="","",IF(LEFT(D240,1)="0",0,1))</f>
        <v/>
      </c>
      <c r="O240" s="80">
        <f>ROUND(R240*S240*T240/1000000,2)</f>
        <v/>
      </c>
      <c r="P240" s="160">
        <f>IF(O240="","",
IF(O240&lt;1,"0,1-0,9 литров",
IF(O240&lt;2,"1-1,9 литра",
IF(O240&lt;3,"2-2,9 литра",
IF(O240&lt;4,"3-3,9 литра",
IF(O240&lt;6,"4-5,9 литра",IF(O240&lt;8,"6-7,9 литра",IF(O240&lt;10,"8-9,9 литров",IF(O240&lt;15,"10-14,9 литров",IF(O240&lt;20,"15-19,9 литров",IF(O240&lt;30,"20-29 литров",IF(O240&lt;50,"30-49 литров",IF(O240&lt;60,"50-59 литров",IF(O240&lt;70,"60-69 литров",IF(O240&lt;80,"70-79 литров",IF(O240&lt;90,"80-89 литров",IF(O240&lt;100,"90-99 литров",IF(O240&lt;200,"100-200 литров","200+ литров"))))))))))))))))))</f>
        <v/>
      </c>
      <c r="Q240" s="101">
        <f>IF(O240="","",IF(O240&lt;1,"&lt;1 л",IF(O240&lt;2,"1-2 л",IF(O240&lt;3,"2-3 л",IF(O240&lt;5,"3-5 л",IF(O240&lt;10,"5-10 л",IF(O240&lt;20,"10-20 л",IF(O240&lt;50,"20-50 л",IF(O240&lt;100,"50-100 л","100+ л")))))))))</f>
        <v/>
      </c>
      <c r="R240" s="162">
        <f>IF(E240="","",--LEFT(E240,FIND("х",E240)-1))</f>
        <v/>
      </c>
      <c r="S240" s="162">
        <f>IF(E240="","",--MID(E240,FIND("х",E240)+1,FIND("х",E240,FIND("х",E240)+1)-FIND("х",E240)-1))</f>
        <v/>
      </c>
      <c r="T240" s="162">
        <f>IF(E240="","",--RIGHT(E240,LEN(E240)-FIND("х",E240,FIND("х",E240)+1)))</f>
        <v/>
      </c>
      <c r="U240" s="66">
        <f>(2*(R240+S240)+60)*(S240+T240+8)/1000000</f>
        <v/>
      </c>
      <c r="V240" s="66">
        <f>IF(OR(AND(R240&gt;=2*S240,R240&gt;=2*T240),AND(S240&gt;=2*R240,S240&gt;=2*T240),AND(T240&gt;=2*R240,T240&gt;=2*S240)),"Длинные","")</f>
        <v/>
      </c>
      <c r="W240" s="66">
        <f>IF(OR(AND(R240&lt;=S240/2,R240&lt;=T240/2),AND(S240&lt;=R240/2,S240&lt;=T240/2),AND(T240&lt;=R240/2,T240&lt;=S240/2)),"Плоские","")</f>
        <v/>
      </c>
      <c r="X240" s="160">
        <f>IF(LARGE($R240:$T240,1)="","",IF(LARGE($R240:$T240,1)&lt;=99,"10-99 мм",IF(LARGE($R240:$T240,1)&lt;=199,"100-199 мм",IF(LARGE($R240:$T240,1)&lt;=299,"200-299 мм",IF(LARGE($R240:$T240,1)&lt;=399,"300-399 мм",IF(LARGE($R240:$T240,1)&lt;=499,"400-499 мм",IF(LARGE($R240:$T240,1)&lt;=599,"500-599 мм",IF(LARGE($R240:$T240,1)&lt;=699,"600-699 мм",IF(LARGE($R240:$T240,1)&lt;=999,"700-999 мм","1000+ мм")))))))))</f>
        <v/>
      </c>
      <c r="Y240" s="160">
        <f>IF(LARGE($R240:$T240,2)="","",IF(LARGE($R240:$T240,2)&lt;=99,"10-99 мм",IF(LARGE($R240:$T240,2)&lt;=199,"100-199 мм",IF(LARGE($R240:$T240,2)&lt;=299,"200-299 мм",IF(LARGE($R240:$T240,2)&lt;=399,"300-399 мм",IF(LARGE($R240:$T240,2)&lt;=499,"400-499 мм",IF(LARGE($R240:$T240,2)&lt;=599,"500-599 мм",IF(LARGE($R240:$T240,2)&lt;=699,"600-699 мм",IF(LARGE($R240:$T240,2)&lt;=999,"700-999 мм","1000+ мм")))))))))</f>
        <v/>
      </c>
      <c r="Z240" s="160">
        <f>IF(SMALL($R240:$T240,1)="","",IF(SMALL($R240:$T240,1)&lt;=99,"10-99 мм",IF(SMALL($R240:$T240,1)&lt;=199,"100-199 мм",IF(SMALL($R240:$T240,1)&lt;=299,"200-299 мм",IF(SMALL($R240:$T240,1)&lt;=399,"300-399 мм",IF(SMALL($R240:$T240,1)&lt;=499,"400-499 мм",IF(SMALL($R240:$T240,1)&lt;=599,"500-599 мм",IF(SMALL($R240:$T240,1)&lt;=699,"600-699 мм",IF(SMALL($R240:$T240,1)&lt;=999,"700-999 мм","1000+ мм")))))))))</f>
        <v/>
      </c>
      <c r="AA240" s="101">
        <f>IF(G240="","",IF(G240="Л","Лист гофрокартона",IF(G240="КД","Крышка-дно",IF(G240="С","Самосборные",IF(G240="Ч","Четырехклапанные",IF(G240="А","Архивные","Неизвестно"))))))</f>
        <v/>
      </c>
      <c r="AB240" s="66" t="n">
        <v>1.73</v>
      </c>
      <c r="AC240" s="101">
        <f>IF(O240="","",IF(O240&lt;=1,"0-1 литров",IF(O240&lt;=3,"2-3 литра",IF(O240&lt;=5,"4-5 литра",IF(O240&lt;=7,"6-7 литра",IF(O240&lt;=9,"8-9 литров",IF(O240&lt;=14,"10-14 литров",IF(O240&lt;=19,"15-19 литров",IF(O240&lt;=29,"20-29 литров",IF(O240&lt;=49,"30-49 литров",IF(O240&lt;=59,"50-59 литров",IF(O240&lt;=70,"60-69 литров",IF(O240&lt;=79,"70-79 литров",IF(O240&lt;=89,"80-89 литров",IF(O240&lt;=99,"90-99 литров",IF(O240&lt;=200,"100-200 литров","200+ литров"))))))))))))))))</f>
        <v/>
      </c>
    </row>
    <row r="241" customFormat="1" s="207">
      <c r="A241" s="64" t="n">
        <v>0.31</v>
      </c>
      <c r="B241" s="65">
        <f>A241*1.2</f>
        <v/>
      </c>
      <c r="C241" s="109" t="n">
        <v>241</v>
      </c>
      <c r="D241" s="116" t="inlineStr">
        <is>
          <t>У</t>
        </is>
      </c>
      <c r="E241" s="88" t="inlineStr">
        <is>
          <t>100х100х55</t>
        </is>
      </c>
      <c r="F241" s="213" t="n"/>
      <c r="G241" s="83" t="inlineStr">
        <is>
          <t>С</t>
        </is>
      </c>
      <c r="H241" s="146" t="inlineStr">
        <is>
          <t>0427</t>
        </is>
      </c>
      <c r="I241" s="83" t="inlineStr">
        <is>
          <t>Е</t>
        </is>
      </c>
      <c r="J241" s="83" t="inlineStr">
        <is>
          <t>ОП</t>
        </is>
      </c>
      <c r="K241" s="116" t="inlineStr">
        <is>
          <t>K227</t>
        </is>
      </c>
      <c r="L241" s="103" t="n"/>
      <c r="M241" s="239" t="n"/>
      <c r="N241" s="239">
        <f>IF(D241="","",IF(LEFT(D241,1)="0",0,1))</f>
        <v/>
      </c>
      <c r="O241" s="80">
        <f>ROUND(R241*S241*T241/1000000,2)</f>
        <v/>
      </c>
      <c r="P241" s="160">
        <f>IF(O241="","",
IF(O241&lt;1,"0,1-0,9 литров",
IF(O241&lt;2,"1-1,9 литра",
IF(O241&lt;3,"2-2,9 литра",
IF(O241&lt;4,"3-3,9 литра",
IF(O241&lt;6,"4-5,9 литра",IF(O241&lt;8,"6-7,9 литра",IF(O241&lt;10,"8-9,9 литров",IF(O241&lt;15,"10-14,9 литров",IF(O241&lt;20,"15-19,9 литров",IF(O241&lt;30,"20-29 литров",IF(O241&lt;50,"30-49 литров",IF(O241&lt;60,"50-59 литров",IF(O241&lt;70,"60-69 литров",IF(O241&lt;80,"70-79 литров",IF(O241&lt;90,"80-89 литров",IF(O241&lt;100,"90-99 литров",IF(O241&lt;200,"100-200 литров","200+ литров"))))))))))))))))))</f>
        <v/>
      </c>
      <c r="Q241" s="101">
        <f>IF(O241="","",IF(O241&lt;1,"&lt;1 л",IF(O241&lt;2,"1-2 л",IF(O241&lt;3,"2-3 л",IF(O241&lt;5,"3-5 л",IF(O241&lt;10,"5-10 л",IF(O241&lt;20,"10-20 л",IF(O241&lt;50,"20-50 л",IF(O241&lt;100,"50-100 л","100+ л")))))))))</f>
        <v/>
      </c>
      <c r="R241" s="162">
        <f>IF(E241="","",--LEFT(E241,FIND("х",E241)-1))</f>
        <v/>
      </c>
      <c r="S241" s="162">
        <f>IF(E241="","",--MID(E241,FIND("х",E241)+1,FIND("х",E241,FIND("х",E241)+1)-FIND("х",E241)-1))</f>
        <v/>
      </c>
      <c r="T241" s="162">
        <f>IF(E241="","",--RIGHT(E241,LEN(E241)-FIND("х",E241,FIND("х",E241)+1)))</f>
        <v/>
      </c>
      <c r="U241" s="66">
        <f>(2*(R241+S241)+60)*(S241+T241+8)/1000000</f>
        <v/>
      </c>
      <c r="V241" s="66">
        <f>IF(OR(AND(R241&gt;=2*S241,R241&gt;=2*T241),AND(S241&gt;=2*R241,S241&gt;=2*T241),AND(T241&gt;=2*R241,T241&gt;=2*S241)),"Длинные","")</f>
        <v/>
      </c>
      <c r="W241" s="66">
        <f>IF(OR(AND(R241&lt;=S241/2,R241&lt;=T241/2),AND(S241&lt;=R241/2,S241&lt;=T241/2),AND(T241&lt;=R241/2,T241&lt;=S241/2)),"Плоские","")</f>
        <v/>
      </c>
      <c r="X241" s="160">
        <f>IF(LARGE($R241:$T241,1)="","",IF(LARGE($R241:$T241,1)&lt;=99,"10-99 мм",IF(LARGE($R241:$T241,1)&lt;=199,"100-199 мм",IF(LARGE($R241:$T241,1)&lt;=299,"200-299 мм",IF(LARGE($R241:$T241,1)&lt;=399,"300-399 мм",IF(LARGE($R241:$T241,1)&lt;=499,"400-499 мм",IF(LARGE($R241:$T241,1)&lt;=599,"500-599 мм",IF(LARGE($R241:$T241,1)&lt;=699,"600-699 мм",IF(LARGE($R241:$T241,1)&lt;=999,"700-999 мм","1000+ мм")))))))))</f>
        <v/>
      </c>
      <c r="Y241" s="160">
        <f>IF(LARGE($R241:$T241,2)="","",IF(LARGE($R241:$T241,2)&lt;=99,"10-99 мм",IF(LARGE($R241:$T241,2)&lt;=199,"100-199 мм",IF(LARGE($R241:$T241,2)&lt;=299,"200-299 мм",IF(LARGE($R241:$T241,2)&lt;=399,"300-399 мм",IF(LARGE($R241:$T241,2)&lt;=499,"400-499 мм",IF(LARGE($R241:$T241,2)&lt;=599,"500-599 мм",IF(LARGE($R241:$T241,2)&lt;=699,"600-699 мм",IF(LARGE($R241:$T241,2)&lt;=999,"700-999 мм","1000+ мм")))))))))</f>
        <v/>
      </c>
      <c r="Z241" s="160">
        <f>IF(SMALL($R241:$T241,1)="","",IF(SMALL($R241:$T241,1)&lt;=99,"10-99 мм",IF(SMALL($R241:$T241,1)&lt;=199,"100-199 мм",IF(SMALL($R241:$T241,1)&lt;=299,"200-299 мм",IF(SMALL($R241:$T241,1)&lt;=399,"300-399 мм",IF(SMALL($R241:$T241,1)&lt;=499,"400-499 мм",IF(SMALL($R241:$T241,1)&lt;=599,"500-599 мм",IF(SMALL($R241:$T241,1)&lt;=699,"600-699 мм",IF(SMALL($R241:$T241,1)&lt;=999,"700-999 мм","1000+ мм")))))))))</f>
        <v/>
      </c>
      <c r="AA241" s="101">
        <f>IF(G241="","",IF(G241="Л","Лист гофрокартона",IF(G241="КД","Крышка-дно",IF(G241="С","Самосборные",IF(G241="Ч","Четырехклапанные",IF(G241="А","Архивные","Неизвестно"))))))</f>
        <v/>
      </c>
      <c r="AB241" s="66" t="n">
        <v>1.73</v>
      </c>
      <c r="AC241" s="101">
        <f>IF(O241="","",IF(O241&lt;=1,"0-1 литров",IF(O241&lt;=3,"2-3 литра",IF(O241&lt;=5,"4-5 литра",IF(O241&lt;=7,"6-7 литра",IF(O241&lt;=9,"8-9 литров",IF(O241&lt;=14,"10-14 литров",IF(O241&lt;=19,"15-19 литров",IF(O241&lt;=29,"20-29 литров",IF(O241&lt;=49,"30-49 литров",IF(O241&lt;=59,"50-59 литров",IF(O241&lt;=70,"60-69 литров",IF(O241&lt;=79,"70-79 литров",IF(O241&lt;=89,"80-89 литров",IF(O241&lt;=99,"90-99 литров",IF(O241&lt;=200,"100-200 литров","200+ литров"))))))))))))))))</f>
        <v/>
      </c>
    </row>
    <row r="242" customFormat="1" s="207">
      <c r="A242" s="64" t="n">
        <v>1.62</v>
      </c>
      <c r="B242" s="65">
        <f>A242*1.2</f>
        <v/>
      </c>
      <c r="C242" s="109" t="n">
        <v>242</v>
      </c>
      <c r="D242" s="77" t="inlineStr">
        <is>
          <t>ГТ</t>
        </is>
      </c>
      <c r="E242" s="88" t="inlineStr">
        <is>
          <t>600х400х400</t>
        </is>
      </c>
      <c r="F242" s="213" t="inlineStr">
        <is>
          <t xml:space="preserve"> Т22В</t>
        </is>
      </c>
      <c r="G242" s="83" t="inlineStr">
        <is>
          <t>Ч</t>
        </is>
      </c>
      <c r="H242" s="146" t="inlineStr">
        <is>
          <t>0201</t>
        </is>
      </c>
      <c r="I242" s="83" t="inlineStr">
        <is>
          <t>В</t>
        </is>
      </c>
      <c r="J242" s="83" t="inlineStr">
        <is>
          <t>без</t>
        </is>
      </c>
      <c r="K242" s="116" t="inlineStr">
        <is>
          <t>K1020</t>
        </is>
      </c>
      <c r="L242" s="103" t="inlineStr">
        <is>
          <t>Sale</t>
        </is>
      </c>
      <c r="M242" s="239" t="inlineStr">
        <is>
          <t>sale</t>
        </is>
      </c>
      <c r="N242" s="239">
        <f>IF(D242="","",IF(LEFT(D242,1)="0",0,1))</f>
        <v/>
      </c>
      <c r="O242" s="80">
        <f>ROUND(R242*S242*T242/1000000,2)</f>
        <v/>
      </c>
      <c r="P242" s="160">
        <f>IF(O242="","",
IF(O242&lt;1,"0,1-0,9 литров",
IF(O242&lt;2,"1-1,9 литра",
IF(O242&lt;3,"2-2,9 литра",
IF(O242&lt;4,"3-3,9 литра",
IF(O242&lt;6,"4-5,9 литра",IF(O242&lt;8,"6-7,9 литра",IF(O242&lt;10,"8-9,9 литров",IF(O242&lt;15,"10-14,9 литров",IF(O242&lt;20,"15-19,9 литров",IF(O242&lt;30,"20-29 литров",IF(O242&lt;50,"30-49 литров",IF(O242&lt;60,"50-59 литров",IF(O242&lt;70,"60-69 литров",IF(O242&lt;80,"70-79 литров",IF(O242&lt;90,"80-89 литров",IF(O242&lt;100,"90-99 литров",IF(O242&lt;200,"100-200 литров","200+ литров"))))))))))))))))))</f>
        <v/>
      </c>
      <c r="Q242" s="101">
        <f>IF(O242="","",IF(O242&lt;1,"&lt;1 л",IF(O242&lt;2,"1-2 л",IF(O242&lt;3,"2-3 л",IF(O242&lt;5,"3-5 л",IF(O242&lt;10,"5-10 л",IF(O242&lt;20,"10-20 л",IF(O242&lt;50,"20-50 л",IF(O242&lt;100,"50-100 л","100+ л")))))))))</f>
        <v/>
      </c>
      <c r="R242" s="162">
        <f>IF(E242="","",--LEFT(E242,FIND("х",E242)-1))</f>
        <v/>
      </c>
      <c r="S242" s="162">
        <f>IF(E242="","",--MID(E242,FIND("х",E242)+1,FIND("х",E242,FIND("х",E242)+1)-FIND("х",E242)-1))</f>
        <v/>
      </c>
      <c r="T242" s="162">
        <f>IF(E242="","",--RIGHT(E242,LEN(E242)-FIND("х",E242,FIND("х",E242)+1)))</f>
        <v/>
      </c>
      <c r="U242" s="66">
        <f>(2*(R242+S242)+60)*(S242+T242+8)/1000000</f>
        <v/>
      </c>
      <c r="V242" s="66">
        <f>IF(OR(AND(R242&gt;=2*S242,R242&gt;=2*T242),AND(S242&gt;=2*R242,S242&gt;=2*T242),AND(T242&gt;=2*R242,T242&gt;=2*S242)),"Длинные","")</f>
        <v/>
      </c>
      <c r="W242" s="66">
        <f>IF(OR(AND(R242&lt;=S242/2,R242&lt;=T242/2),AND(S242&lt;=R242/2,S242&lt;=T242/2),AND(T242&lt;=R242/2,T242&lt;=S242/2)),"Плоские","")</f>
        <v/>
      </c>
      <c r="X242" s="160">
        <f>IF(LARGE($R242:$T242,1)="","",IF(LARGE($R242:$T242,1)&lt;=99,"10-99 мм",IF(LARGE($R242:$T242,1)&lt;=199,"100-199 мм",IF(LARGE($R242:$T242,1)&lt;=299,"200-299 мм",IF(LARGE($R242:$T242,1)&lt;=399,"300-399 мм",IF(LARGE($R242:$T242,1)&lt;=499,"400-499 мм",IF(LARGE($R242:$T242,1)&lt;=599,"500-599 мм",IF(LARGE($R242:$T242,1)&lt;=699,"600-699 мм",IF(LARGE($R242:$T242,1)&lt;=999,"700-999 мм","1000+ мм")))))))))</f>
        <v/>
      </c>
      <c r="Y242" s="160">
        <f>IF(LARGE($R242:$T242,2)="","",IF(LARGE($R242:$T242,2)&lt;=99,"10-99 мм",IF(LARGE($R242:$T242,2)&lt;=199,"100-199 мм",IF(LARGE($R242:$T242,2)&lt;=299,"200-299 мм",IF(LARGE($R242:$T242,2)&lt;=399,"300-399 мм",IF(LARGE($R242:$T242,2)&lt;=499,"400-499 мм",IF(LARGE($R242:$T242,2)&lt;=599,"500-599 мм",IF(LARGE($R242:$T242,2)&lt;=699,"600-699 мм",IF(LARGE($R242:$T242,2)&lt;=999,"700-999 мм","1000+ мм")))))))))</f>
        <v/>
      </c>
      <c r="Z242" s="160">
        <f>IF(SMALL($R242:$T242,1)="","",IF(SMALL($R242:$T242,1)&lt;=99,"10-99 мм",IF(SMALL($R242:$T242,1)&lt;=199,"100-199 мм",IF(SMALL($R242:$T242,1)&lt;=299,"200-299 мм",IF(SMALL($R242:$T242,1)&lt;=399,"300-399 мм",IF(SMALL($R242:$T242,1)&lt;=499,"400-499 мм",IF(SMALL($R242:$T242,1)&lt;=599,"500-599 мм",IF(SMALL($R242:$T242,1)&lt;=699,"600-699 мм",IF(SMALL($R242:$T242,1)&lt;=999,"700-999 мм","1000+ мм")))))))))</f>
        <v/>
      </c>
      <c r="AA242" s="101">
        <f>IF(G242="","",IF(G242="Л","Лист гофрокартона",IF(G242="КД","Крышка-дно",IF(G242="С","Самосборные",IF(G242="Ч","Четырехклапанные",IF(G242="А","Архивные","Неизвестно"))))))</f>
        <v/>
      </c>
      <c r="AB242" s="66" t="n">
        <v>1.73</v>
      </c>
      <c r="AC242" s="101">
        <f>IF(O242="","",IF(O242&lt;=1,"0-1 литров",IF(O242&lt;=3,"2-3 литра",IF(O242&lt;=5,"4-5 литра",IF(O242&lt;=7,"6-7 литра",IF(O242&lt;=9,"8-9 литров",IF(O242&lt;=14,"10-14 литров",IF(O242&lt;=19,"15-19 литров",IF(O242&lt;=29,"20-29 литров",IF(O242&lt;=49,"30-49 литров",IF(O242&lt;=59,"50-59 литров",IF(O242&lt;=70,"60-69 литров",IF(O242&lt;=79,"70-79 литров",IF(O242&lt;=89,"80-89 литров",IF(O242&lt;=99,"90-99 литров",IF(O242&lt;=200,"100-200 литров","200+ литров"))))))))))))))))</f>
        <v/>
      </c>
    </row>
    <row r="243" customFormat="1" s="207">
      <c r="A243" s="64" t="n">
        <v>1.86</v>
      </c>
      <c r="B243" s="65">
        <f>A243*1.2</f>
        <v/>
      </c>
      <c r="C243" s="109" t="n">
        <v>243</v>
      </c>
      <c r="D243" s="77" t="inlineStr">
        <is>
          <t>ГТ</t>
        </is>
      </c>
      <c r="E243" s="88" t="inlineStr">
        <is>
          <t>600х400х400</t>
        </is>
      </c>
      <c r="F243" s="213" t="inlineStr">
        <is>
          <t>Т23С</t>
        </is>
      </c>
      <c r="G243" s="83" t="inlineStr">
        <is>
          <t>Ч</t>
        </is>
      </c>
      <c r="H243" s="146" t="inlineStr">
        <is>
          <t>0201</t>
        </is>
      </c>
      <c r="I243" s="83" t="inlineStr">
        <is>
          <t>С</t>
        </is>
      </c>
      <c r="J243" s="83" t="inlineStr">
        <is>
          <t>без</t>
        </is>
      </c>
      <c r="K243" s="116" t="inlineStr">
        <is>
          <t>K1021</t>
        </is>
      </c>
      <c r="L243" s="103" t="inlineStr">
        <is>
          <t>Sale</t>
        </is>
      </c>
      <c r="M243" s="239" t="inlineStr">
        <is>
          <t>sale</t>
        </is>
      </c>
      <c r="N243" s="239">
        <f>IF(D243="","",IF(LEFT(D243,1)="0",0,1))</f>
        <v/>
      </c>
      <c r="O243" s="80">
        <f>ROUND(R243*S243*T243/1000000,2)</f>
        <v/>
      </c>
      <c r="P243" s="160">
        <f>IF(O243="","",
IF(O243&lt;1,"0,1-0,9 литров",
IF(O243&lt;2,"1-1,9 литра",
IF(O243&lt;3,"2-2,9 литра",
IF(O243&lt;4,"3-3,9 литра",
IF(O243&lt;6,"4-5,9 литра",IF(O243&lt;8,"6-7,9 литра",IF(O243&lt;10,"8-9,9 литров",IF(O243&lt;15,"10-14,9 литров",IF(O243&lt;20,"15-19,9 литров",IF(O243&lt;30,"20-29 литров",IF(O243&lt;50,"30-49 литров",IF(O243&lt;60,"50-59 литров",IF(O243&lt;70,"60-69 литров",IF(O243&lt;80,"70-79 литров",IF(O243&lt;90,"80-89 литров",IF(O243&lt;100,"90-99 литров",IF(O243&lt;200,"100-200 литров","200+ литров"))))))))))))))))))</f>
        <v/>
      </c>
      <c r="Q243" s="101">
        <f>IF(O243="","",IF(O243&lt;1,"&lt;1 л",IF(O243&lt;2,"1-2 л",IF(O243&lt;3,"2-3 л",IF(O243&lt;5,"3-5 л",IF(O243&lt;10,"5-10 л",IF(O243&lt;20,"10-20 л",IF(O243&lt;50,"20-50 л",IF(O243&lt;100,"50-100 л","100+ л")))))))))</f>
        <v/>
      </c>
      <c r="R243" s="162">
        <f>IF(E243="","",--LEFT(E243,FIND("х",E243)-1))</f>
        <v/>
      </c>
      <c r="S243" s="162">
        <f>IF(E243="","",--MID(E243,FIND("х",E243)+1,FIND("х",E243,FIND("х",E243)+1)-FIND("х",E243)-1))</f>
        <v/>
      </c>
      <c r="T243" s="162">
        <f>IF(E243="","",--RIGHT(E243,LEN(E243)-FIND("х",E243,FIND("х",E243)+1)))</f>
        <v/>
      </c>
      <c r="U243" s="66">
        <f>(2*(R243+S243)+60)*(S243+T243+8)/1000000</f>
        <v/>
      </c>
      <c r="V243" s="66">
        <f>IF(OR(AND(R243&gt;=2*S243,R243&gt;=2*T243),AND(S243&gt;=2*R243,S243&gt;=2*T243),AND(T243&gt;=2*R243,T243&gt;=2*S243)),"Длинные","")</f>
        <v/>
      </c>
      <c r="W243" s="66">
        <f>IF(OR(AND(R243&lt;=S243/2,R243&lt;=T243/2),AND(S243&lt;=R243/2,S243&lt;=T243/2),AND(T243&lt;=R243/2,T243&lt;=S243/2)),"Плоские","")</f>
        <v/>
      </c>
      <c r="X243" s="160">
        <f>IF(LARGE($R243:$T243,1)="","",IF(LARGE($R243:$T243,1)&lt;=99,"10-99 мм",IF(LARGE($R243:$T243,1)&lt;=199,"100-199 мм",IF(LARGE($R243:$T243,1)&lt;=299,"200-299 мм",IF(LARGE($R243:$T243,1)&lt;=399,"300-399 мм",IF(LARGE($R243:$T243,1)&lt;=499,"400-499 мм",IF(LARGE($R243:$T243,1)&lt;=599,"500-599 мм",IF(LARGE($R243:$T243,1)&lt;=699,"600-699 мм",IF(LARGE($R243:$T243,1)&lt;=999,"700-999 мм","1000+ мм")))))))))</f>
        <v/>
      </c>
      <c r="Y243" s="160">
        <f>IF(LARGE($R243:$T243,2)="","",IF(LARGE($R243:$T243,2)&lt;=99,"10-99 мм",IF(LARGE($R243:$T243,2)&lt;=199,"100-199 мм",IF(LARGE($R243:$T243,2)&lt;=299,"200-299 мм",IF(LARGE($R243:$T243,2)&lt;=399,"300-399 мм",IF(LARGE($R243:$T243,2)&lt;=499,"400-499 мм",IF(LARGE($R243:$T243,2)&lt;=599,"500-599 мм",IF(LARGE($R243:$T243,2)&lt;=699,"600-699 мм",IF(LARGE($R243:$T243,2)&lt;=999,"700-999 мм","1000+ мм")))))))))</f>
        <v/>
      </c>
      <c r="Z243" s="160">
        <f>IF(SMALL($R243:$T243,1)="","",IF(SMALL($R243:$T243,1)&lt;=99,"10-99 мм",IF(SMALL($R243:$T243,1)&lt;=199,"100-199 мм",IF(SMALL($R243:$T243,1)&lt;=299,"200-299 мм",IF(SMALL($R243:$T243,1)&lt;=399,"300-399 мм",IF(SMALL($R243:$T243,1)&lt;=499,"400-499 мм",IF(SMALL($R243:$T243,1)&lt;=599,"500-599 мм",IF(SMALL($R243:$T243,1)&lt;=699,"600-699 мм",IF(SMALL($R243:$T243,1)&lt;=999,"700-999 мм","1000+ мм")))))))))</f>
        <v/>
      </c>
      <c r="AA243" s="101">
        <f>IF(G243="","",IF(G243="Л","Лист гофрокартона",IF(G243="КД","Крышка-дно",IF(G243="С","Самосборные",IF(G243="Ч","Четырехклапанные",IF(G243="А","Архивные","Неизвестно"))))))</f>
        <v/>
      </c>
      <c r="AB243" s="66" t="n">
        <v>1.73</v>
      </c>
      <c r="AC243" s="101">
        <f>IF(O243="","",IF(O243&lt;=1,"0-1 литров",IF(O243&lt;=3,"2-3 литра",IF(O243&lt;=5,"4-5 литра",IF(O243&lt;=7,"6-7 литра",IF(O243&lt;=9,"8-9 литров",IF(O243&lt;=14,"10-14 литров",IF(O243&lt;=19,"15-19 литров",IF(O243&lt;=29,"20-29 литров",IF(O243&lt;=49,"30-49 литров",IF(O243&lt;=59,"50-59 литров",IF(O243&lt;=70,"60-69 литров",IF(O243&lt;=79,"70-79 литров",IF(O243&lt;=89,"80-89 литров",IF(O243&lt;=99,"90-99 литров",IF(O243&lt;=200,"100-200 литров","200+ литров"))))))))))))))))</f>
        <v/>
      </c>
    </row>
    <row r="244" customFormat="1" s="207">
      <c r="A244" s="64" t="n">
        <v>2.83</v>
      </c>
      <c r="B244" s="65">
        <f>A244*1.2</f>
        <v/>
      </c>
      <c r="C244" s="109" t="n">
        <v>244</v>
      </c>
      <c r="D244" s="77" t="inlineStr">
        <is>
          <t>Э (АП)</t>
        </is>
      </c>
      <c r="E244" s="88" t="inlineStr">
        <is>
          <t>600х400х400</t>
        </is>
      </c>
      <c r="F244" s="213" t="inlineStr">
        <is>
          <t>П32ВС</t>
        </is>
      </c>
      <c r="G244" s="83" t="inlineStr">
        <is>
          <t>Ч</t>
        </is>
      </c>
      <c r="H244" s="146" t="inlineStr">
        <is>
          <t>0201</t>
        </is>
      </c>
      <c r="I244" s="83" t="inlineStr">
        <is>
          <t>ВС</t>
        </is>
      </c>
      <c r="J244" s="83" t="inlineStr">
        <is>
          <t>без</t>
        </is>
      </c>
      <c r="K244" s="116" t="inlineStr">
        <is>
          <t>K1022</t>
        </is>
      </c>
      <c r="L244" s="103" t="inlineStr">
        <is>
          <t>Sale</t>
        </is>
      </c>
      <c r="M244" s="239" t="inlineStr">
        <is>
          <t>sale</t>
        </is>
      </c>
      <c r="N244" s="239">
        <f>IF(D244="","",IF(LEFT(D244,1)="0",0,1))</f>
        <v/>
      </c>
      <c r="O244" s="80">
        <f>ROUND(R244*S244*T244/1000000,2)</f>
        <v/>
      </c>
      <c r="P244" s="160">
        <f>IF(O244="","",
IF(O244&lt;1,"0,1-0,9 литров",
IF(O244&lt;2,"1-1,9 литра",
IF(O244&lt;3,"2-2,9 литра",
IF(O244&lt;4,"3-3,9 литра",
IF(O244&lt;6,"4-5,9 литра",IF(O244&lt;8,"6-7,9 литра",IF(O244&lt;10,"8-9,9 литров",IF(O244&lt;15,"10-14,9 литров",IF(O244&lt;20,"15-19,9 литров",IF(O244&lt;30,"20-29 литров",IF(O244&lt;50,"30-49 литров",IF(O244&lt;60,"50-59 литров",IF(O244&lt;70,"60-69 литров",IF(O244&lt;80,"70-79 литров",IF(O244&lt;90,"80-89 литров",IF(O244&lt;100,"90-99 литров",IF(O244&lt;200,"100-200 литров","200+ литров"))))))))))))))))))</f>
        <v/>
      </c>
      <c r="Q244" s="101">
        <f>IF(O244="","",IF(O244&lt;1,"&lt;1 л",IF(O244&lt;2,"1-2 л",IF(O244&lt;3,"2-3 л",IF(O244&lt;5,"3-5 л",IF(O244&lt;10,"5-10 л",IF(O244&lt;20,"10-20 л",IF(O244&lt;50,"20-50 л",IF(O244&lt;100,"50-100 л","100+ л")))))))))</f>
        <v/>
      </c>
      <c r="R244" s="162">
        <f>IF(E244="","",--LEFT(E244,FIND("х",E244)-1))</f>
        <v/>
      </c>
      <c r="S244" s="162">
        <f>IF(E244="","",--MID(E244,FIND("х",E244)+1,FIND("х",E244,FIND("х",E244)+1)-FIND("х",E244)-1))</f>
        <v/>
      </c>
      <c r="T244" s="162">
        <f>IF(E244="","",--RIGHT(E244,LEN(E244)-FIND("х",E244,FIND("х",E244)+1)))</f>
        <v/>
      </c>
      <c r="U244" s="66">
        <f>(2*(R244+S244)+60)*(S244+T244+8)/1000000</f>
        <v/>
      </c>
      <c r="V244" s="66">
        <f>IF(OR(AND(R244&gt;=2*S244,R244&gt;=2*T244),AND(S244&gt;=2*R244,S244&gt;=2*T244),AND(T244&gt;=2*R244,T244&gt;=2*S244)),"Длинные","")</f>
        <v/>
      </c>
      <c r="W244" s="66">
        <f>IF(OR(AND(R244&lt;=S244/2,R244&lt;=T244/2),AND(S244&lt;=R244/2,S244&lt;=T244/2),AND(T244&lt;=R244/2,T244&lt;=S244/2)),"Плоские","")</f>
        <v/>
      </c>
      <c r="X244" s="160">
        <f>IF(LARGE($R244:$T244,1)="","",IF(LARGE($R244:$T244,1)&lt;=99,"10-99 мм",IF(LARGE($R244:$T244,1)&lt;=199,"100-199 мм",IF(LARGE($R244:$T244,1)&lt;=299,"200-299 мм",IF(LARGE($R244:$T244,1)&lt;=399,"300-399 мм",IF(LARGE($R244:$T244,1)&lt;=499,"400-499 мм",IF(LARGE($R244:$T244,1)&lt;=599,"500-599 мм",IF(LARGE($R244:$T244,1)&lt;=699,"600-699 мм",IF(LARGE($R244:$T244,1)&lt;=999,"700-999 мм","1000+ мм")))))))))</f>
        <v/>
      </c>
      <c r="Y244" s="160">
        <f>IF(LARGE($R244:$T244,2)="","",IF(LARGE($R244:$T244,2)&lt;=99,"10-99 мм",IF(LARGE($R244:$T244,2)&lt;=199,"100-199 мм",IF(LARGE($R244:$T244,2)&lt;=299,"200-299 мм",IF(LARGE($R244:$T244,2)&lt;=399,"300-399 мм",IF(LARGE($R244:$T244,2)&lt;=499,"400-499 мм",IF(LARGE($R244:$T244,2)&lt;=599,"500-599 мм",IF(LARGE($R244:$T244,2)&lt;=699,"600-699 мм",IF(LARGE($R244:$T244,2)&lt;=999,"700-999 мм","1000+ мм")))))))))</f>
        <v/>
      </c>
      <c r="Z244" s="160">
        <f>IF(SMALL($R244:$T244,1)="","",IF(SMALL($R244:$T244,1)&lt;=99,"10-99 мм",IF(SMALL($R244:$T244,1)&lt;=199,"100-199 мм",IF(SMALL($R244:$T244,1)&lt;=299,"200-299 мм",IF(SMALL($R244:$T244,1)&lt;=399,"300-399 мм",IF(SMALL($R244:$T244,1)&lt;=499,"400-499 мм",IF(SMALL($R244:$T244,1)&lt;=599,"500-599 мм",IF(SMALL($R244:$T244,1)&lt;=699,"600-699 мм",IF(SMALL($R244:$T244,1)&lt;=999,"700-999 мм","1000+ мм")))))))))</f>
        <v/>
      </c>
      <c r="AA244" s="101">
        <f>IF(G244="","",IF(G244="Л","Лист гофрокартона",IF(G244="КД","Крышка-дно",IF(G244="С","Самосборные",IF(G244="Ч","Четырехклапанные",IF(G244="А","Архивные","Неизвестно"))))))</f>
        <v/>
      </c>
      <c r="AB244" s="66" t="n">
        <v>1.73</v>
      </c>
      <c r="AC244" s="101">
        <f>IF(O244="","",IF(O244&lt;=1,"0-1 литров",IF(O244&lt;=3,"2-3 литра",IF(O244&lt;=5,"4-5 литра",IF(O244&lt;=7,"6-7 литра",IF(O244&lt;=9,"8-9 литров",IF(O244&lt;=14,"10-14 литров",IF(O244&lt;=19,"15-19 литров",IF(O244&lt;=29,"20-29 литров",IF(O244&lt;=49,"30-49 литров",IF(O244&lt;=59,"50-59 литров",IF(O244&lt;=70,"60-69 литров",IF(O244&lt;=79,"70-79 литров",IF(O244&lt;=89,"80-89 литров",IF(O244&lt;=99,"90-99 литров",IF(O244&lt;=200,"100-200 литров","200+ литров"))))))))))))))))</f>
        <v/>
      </c>
    </row>
    <row r="245" customFormat="1" s="207">
      <c r="A245" s="64" t="n">
        <v>1.28</v>
      </c>
      <c r="B245" s="65">
        <f>A245*1.2</f>
        <v/>
      </c>
      <c r="C245" s="109" t="n">
        <v>245</v>
      </c>
      <c r="D245" s="77" t="inlineStr">
        <is>
          <t>АГ (Нолес)</t>
        </is>
      </c>
      <c r="E245" s="88" t="inlineStr">
        <is>
          <t>600х400х220</t>
        </is>
      </c>
      <c r="F245" s="213" t="n"/>
      <c r="G245" s="83" t="inlineStr">
        <is>
          <t>Ч</t>
        </is>
      </c>
      <c r="H245" s="146" t="inlineStr">
        <is>
          <t>0201</t>
        </is>
      </c>
      <c r="I245" s="83" t="inlineStr">
        <is>
          <t>В</t>
        </is>
      </c>
      <c r="J245" s="83" t="inlineStr">
        <is>
          <t>без</t>
        </is>
      </c>
      <c r="K245" s="116" t="inlineStr">
        <is>
          <t>K1023</t>
        </is>
      </c>
      <c r="L245" s="103" t="n"/>
      <c r="M245" s="239" t="n"/>
      <c r="N245" s="239">
        <f>IF(D245="","",IF(LEFT(D245,1)="0",0,1))</f>
        <v/>
      </c>
      <c r="O245" s="80">
        <f>ROUND(R245*S245*T245/1000000,2)</f>
        <v/>
      </c>
      <c r="P245" s="160">
        <f>IF(O245="","",
IF(O245&lt;1,"0,1-0,9 литров",
IF(O245&lt;2,"1-1,9 литра",
IF(O245&lt;3,"2-2,9 литра",
IF(O245&lt;4,"3-3,9 литра",
IF(O245&lt;6,"4-5,9 литра",IF(O245&lt;8,"6-7,9 литра",IF(O245&lt;10,"8-9,9 литров",IF(O245&lt;15,"10-14,9 литров",IF(O245&lt;20,"15-19,9 литров",IF(O245&lt;30,"20-29 литров",IF(O245&lt;50,"30-49 литров",IF(O245&lt;60,"50-59 литров",IF(O245&lt;70,"60-69 литров",IF(O245&lt;80,"70-79 литров",IF(O245&lt;90,"80-89 литров",IF(O245&lt;100,"90-99 литров",IF(O245&lt;200,"100-200 литров","200+ литров"))))))))))))))))))</f>
        <v/>
      </c>
      <c r="Q245" s="101">
        <f>IF(O245="","",IF(O245&lt;1,"&lt;1 л",IF(O245&lt;2,"1-2 л",IF(O245&lt;3,"2-3 л",IF(O245&lt;5,"3-5 л",IF(O245&lt;10,"5-10 л",IF(O245&lt;20,"10-20 л",IF(O245&lt;50,"20-50 л",IF(O245&lt;100,"50-100 л","100+ л")))))))))</f>
        <v/>
      </c>
      <c r="R245" s="162">
        <f>IF(E245="","",--LEFT(E245,FIND("х",E245)-1))</f>
        <v/>
      </c>
      <c r="S245" s="162">
        <f>IF(E245="","",--MID(E245,FIND("х",E245)+1,FIND("х",E245,FIND("х",E245)+1)-FIND("х",E245)-1))</f>
        <v/>
      </c>
      <c r="T245" s="162">
        <f>IF(E245="","",--RIGHT(E245,LEN(E245)-FIND("х",E245,FIND("х",E245)+1)))</f>
        <v/>
      </c>
      <c r="U245" s="66">
        <f>(2*(R245+S245)+60)*(S245+T245+8)/1000000</f>
        <v/>
      </c>
      <c r="V245" s="66">
        <f>IF(OR(AND(R245&gt;=2*S245,R245&gt;=2*T245),AND(S245&gt;=2*R245,S245&gt;=2*T245),AND(T245&gt;=2*R245,T245&gt;=2*S245)),"Длинные","")</f>
        <v/>
      </c>
      <c r="W245" s="66">
        <f>IF(OR(AND(R245&lt;=S245/2,R245&lt;=T245/2),AND(S245&lt;=R245/2,S245&lt;=T245/2),AND(T245&lt;=R245/2,T245&lt;=S245/2)),"Плоские","")</f>
        <v/>
      </c>
      <c r="X245" s="160">
        <f>IF(LARGE($R245:$T245,1)="","",IF(LARGE($R245:$T245,1)&lt;=99,"10-99 мм",IF(LARGE($R245:$T245,1)&lt;=199,"100-199 мм",IF(LARGE($R245:$T245,1)&lt;=299,"200-299 мм",IF(LARGE($R245:$T245,1)&lt;=399,"300-399 мм",IF(LARGE($R245:$T245,1)&lt;=499,"400-499 мм",IF(LARGE($R245:$T245,1)&lt;=599,"500-599 мм",IF(LARGE($R245:$T245,1)&lt;=699,"600-699 мм",IF(LARGE($R245:$T245,1)&lt;=999,"700-999 мм","1000+ мм")))))))))</f>
        <v/>
      </c>
      <c r="Y245" s="160">
        <f>IF(LARGE($R245:$T245,2)="","",IF(LARGE($R245:$T245,2)&lt;=99,"10-99 мм",IF(LARGE($R245:$T245,2)&lt;=199,"100-199 мм",IF(LARGE($R245:$T245,2)&lt;=299,"200-299 мм",IF(LARGE($R245:$T245,2)&lt;=399,"300-399 мм",IF(LARGE($R245:$T245,2)&lt;=499,"400-499 мм",IF(LARGE($R245:$T245,2)&lt;=599,"500-599 мм",IF(LARGE($R245:$T245,2)&lt;=699,"600-699 мм",IF(LARGE($R245:$T245,2)&lt;=999,"700-999 мм","1000+ мм")))))))))</f>
        <v/>
      </c>
      <c r="Z245" s="160">
        <f>IF(SMALL($R245:$T245,1)="","",IF(SMALL($R245:$T245,1)&lt;=99,"10-99 мм",IF(SMALL($R245:$T245,1)&lt;=199,"100-199 мм",IF(SMALL($R245:$T245,1)&lt;=299,"200-299 мм",IF(SMALL($R245:$T245,1)&lt;=399,"300-399 мм",IF(SMALL($R245:$T245,1)&lt;=499,"400-499 мм",IF(SMALL($R245:$T245,1)&lt;=599,"500-599 мм",IF(SMALL($R245:$T245,1)&lt;=699,"600-699 мм",IF(SMALL($R245:$T245,1)&lt;=999,"700-999 мм","1000+ мм")))))))))</f>
        <v/>
      </c>
      <c r="AA245" s="101">
        <f>IF(G245="","",IF(G245="Л","Лист гофрокартона",IF(G245="КД","Крышка-дно",IF(G245="С","Самосборные",IF(G245="Ч","Четырехклапанные",IF(G245="А","Архивные","Неизвестно"))))))</f>
        <v/>
      </c>
      <c r="AB245" s="66" t="n">
        <v>1.73</v>
      </c>
      <c r="AC245" s="101">
        <f>IF(O245="","",IF(O245&lt;=1,"0-1 литров",IF(O245&lt;=3,"2-3 литра",IF(O245&lt;=5,"4-5 литра",IF(O245&lt;=7,"6-7 литра",IF(O245&lt;=9,"8-9 литров",IF(O245&lt;=14,"10-14 литров",IF(O245&lt;=19,"15-19 литров",IF(O245&lt;=29,"20-29 литров",IF(O245&lt;=49,"30-49 литров",IF(O245&lt;=59,"50-59 литров",IF(O245&lt;=70,"60-69 литров",IF(O245&lt;=79,"70-79 литров",IF(O245&lt;=89,"80-89 литров",IF(O245&lt;=99,"90-99 литров",IF(O245&lt;=200,"100-200 литров","200+ литров"))))))))))))))))</f>
        <v/>
      </c>
    </row>
    <row r="246" customFormat="1" s="207">
      <c r="A246" s="64" t="n">
        <v>0.8</v>
      </c>
      <c r="B246" s="65">
        <f>A246*1.2</f>
        <v/>
      </c>
      <c r="C246" s="109" t="n">
        <v>246</v>
      </c>
      <c r="D246" s="116" t="inlineStr">
        <is>
          <t>У</t>
        </is>
      </c>
      <c r="E246" s="88" t="inlineStr">
        <is>
          <t xml:space="preserve">300х300х50 </t>
        </is>
      </c>
      <c r="F246" s="213" t="n"/>
      <c r="G246" s="83" t="inlineStr">
        <is>
          <t>КД</t>
        </is>
      </c>
      <c r="H246" s="146" t="inlineStr">
        <is>
          <t>0330</t>
        </is>
      </c>
      <c r="I246" s="83" t="inlineStr">
        <is>
          <t>Е</t>
        </is>
      </c>
      <c r="J246" s="83" t="inlineStr">
        <is>
          <t>У</t>
        </is>
      </c>
      <c r="K246" s="116" t="inlineStr">
        <is>
          <t>K228</t>
        </is>
      </c>
      <c r="L246" s="103" t="n"/>
      <c r="M246" s="239" t="n"/>
      <c r="N246" s="239">
        <f>IF(D246="","",IF(LEFT(D246,1)="0",0,1))</f>
        <v/>
      </c>
      <c r="O246" s="80">
        <f>ROUND(R246*S246*T246/1000000,2)</f>
        <v/>
      </c>
      <c r="P246" s="160">
        <f>IF(O246="","",
IF(O246&lt;1,"0,1-0,9 литров",
IF(O246&lt;2,"1-1,9 литра",
IF(O246&lt;3,"2-2,9 литра",
IF(O246&lt;4,"3-3,9 литра",
IF(O246&lt;6,"4-5,9 литра",IF(O246&lt;8,"6-7,9 литра",IF(O246&lt;10,"8-9,9 литров",IF(O246&lt;15,"10-14,9 литров",IF(O246&lt;20,"15-19,9 литров",IF(O246&lt;30,"20-29 литров",IF(O246&lt;50,"30-49 литров",IF(O246&lt;60,"50-59 литров",IF(O246&lt;70,"60-69 литров",IF(O246&lt;80,"70-79 литров",IF(O246&lt;90,"80-89 литров",IF(O246&lt;100,"90-99 литров",IF(O246&lt;200,"100-200 литров","200+ литров"))))))))))))))))))</f>
        <v/>
      </c>
      <c r="Q246" s="101">
        <f>IF(O246="","",IF(O246&lt;1,"&lt;1 л",IF(O246&lt;2,"1-2 л",IF(O246&lt;3,"2-3 л",IF(O246&lt;5,"3-5 л",IF(O246&lt;10,"5-10 л",IF(O246&lt;20,"10-20 л",IF(O246&lt;50,"20-50 л",IF(O246&lt;100,"50-100 л","100+ л")))))))))</f>
        <v/>
      </c>
      <c r="R246" s="162">
        <f>IF(E246="","",--LEFT(E246,FIND("х",E246)-1))</f>
        <v/>
      </c>
      <c r="S246" s="162">
        <f>IF(E246="","",--MID(E246,FIND("х",E246)+1,FIND("х",E246,FIND("х",E246)+1)-FIND("х",E246)-1))</f>
        <v/>
      </c>
      <c r="T246" s="162">
        <f>IF(E246="","",--RIGHT(E246,LEN(E246)-FIND("х",E246,FIND("х",E246)+1)))</f>
        <v/>
      </c>
      <c r="U246" s="66">
        <f>(2*(R246+S246)+60)*(S246+T246+8)/1000000</f>
        <v/>
      </c>
      <c r="V246" s="66">
        <f>IF(OR(AND(R246&gt;=2*S246,R246&gt;=2*T246),AND(S246&gt;=2*R246,S246&gt;=2*T246),AND(T246&gt;=2*R246,T246&gt;=2*S246)),"Длинные","")</f>
        <v/>
      </c>
      <c r="W246" s="66">
        <f>IF(OR(AND(R246&lt;=S246/2,R246&lt;=T246/2),AND(S246&lt;=R246/2,S246&lt;=T246/2),AND(T246&lt;=R246/2,T246&lt;=S246/2)),"Плоские","")</f>
        <v/>
      </c>
      <c r="X246" s="160">
        <f>IF(LARGE($R246:$T246,1)="","",IF(LARGE($R246:$T246,1)&lt;=99,"10-99 мм",IF(LARGE($R246:$T246,1)&lt;=199,"100-199 мм",IF(LARGE($R246:$T246,1)&lt;=299,"200-299 мм",IF(LARGE($R246:$T246,1)&lt;=399,"300-399 мм",IF(LARGE($R246:$T246,1)&lt;=499,"400-499 мм",IF(LARGE($R246:$T246,1)&lt;=599,"500-599 мм",IF(LARGE($R246:$T246,1)&lt;=699,"600-699 мм",IF(LARGE($R246:$T246,1)&lt;=999,"700-999 мм","1000+ мм")))))))))</f>
        <v/>
      </c>
      <c r="Y246" s="160">
        <f>IF(LARGE($R246:$T246,2)="","",IF(LARGE($R246:$T246,2)&lt;=99,"10-99 мм",IF(LARGE($R246:$T246,2)&lt;=199,"100-199 мм",IF(LARGE($R246:$T246,2)&lt;=299,"200-299 мм",IF(LARGE($R246:$T246,2)&lt;=399,"300-399 мм",IF(LARGE($R246:$T246,2)&lt;=499,"400-499 мм",IF(LARGE($R246:$T246,2)&lt;=599,"500-599 мм",IF(LARGE($R246:$T246,2)&lt;=699,"600-699 мм",IF(LARGE($R246:$T246,2)&lt;=999,"700-999 мм","1000+ мм")))))))))</f>
        <v/>
      </c>
      <c r="Z246" s="160">
        <f>IF(SMALL($R246:$T246,1)="","",IF(SMALL($R246:$T246,1)&lt;=99,"10-99 мм",IF(SMALL($R246:$T246,1)&lt;=199,"100-199 мм",IF(SMALL($R246:$T246,1)&lt;=299,"200-299 мм",IF(SMALL($R246:$T246,1)&lt;=399,"300-399 мм",IF(SMALL($R246:$T246,1)&lt;=499,"400-499 мм",IF(SMALL($R246:$T246,1)&lt;=599,"500-599 мм",IF(SMALL($R246:$T246,1)&lt;=699,"600-699 мм",IF(SMALL($R246:$T246,1)&lt;=999,"700-999 мм","1000+ мм")))))))))</f>
        <v/>
      </c>
      <c r="AA246" s="101">
        <f>IF(G246="","",IF(G246="Л","Лист гофрокартона",IF(G246="КД","Крышка-дно",IF(G246="С","Самосборные",IF(G246="Ч","Четырехклапанные",IF(G246="А","Архивные","Неизвестно"))))))</f>
        <v/>
      </c>
      <c r="AB246" s="66" t="n">
        <v>1.73</v>
      </c>
      <c r="AC246" s="101">
        <f>IF(O246="","",IF(O246&lt;=1,"0-1 литров",IF(O246&lt;=3,"2-3 литра",IF(O246&lt;=5,"4-5 литра",IF(O246&lt;=7,"6-7 литра",IF(O246&lt;=9,"8-9 литров",IF(O246&lt;=14,"10-14 литров",IF(O246&lt;=19,"15-19 литров",IF(O246&lt;=29,"20-29 литров",IF(O246&lt;=49,"30-49 литров",IF(O246&lt;=59,"50-59 литров",IF(O246&lt;=70,"60-69 литров",IF(O246&lt;=79,"70-79 литров",IF(O246&lt;=89,"80-89 литров",IF(O246&lt;=99,"90-99 литров",IF(O246&lt;=200,"100-200 литров","200+ литров"))))))))))))))))</f>
        <v/>
      </c>
    </row>
    <row r="247" customFormat="1" s="207">
      <c r="A247" s="64" t="n">
        <v>1.16</v>
      </c>
      <c r="B247" s="65">
        <f>A247*1.2</f>
        <v/>
      </c>
      <c r="C247" s="109" t="n">
        <v>247</v>
      </c>
      <c r="D247" s="116" t="inlineStr">
        <is>
          <t>У</t>
        </is>
      </c>
      <c r="E247" s="88" t="inlineStr">
        <is>
          <t>300х300х80</t>
        </is>
      </c>
      <c r="F247" s="213" t="n"/>
      <c r="G247" s="83" t="inlineStr">
        <is>
          <t>КД</t>
        </is>
      </c>
      <c r="H247" s="146" t="inlineStr">
        <is>
          <t>0330</t>
        </is>
      </c>
      <c r="I247" s="83" t="inlineStr">
        <is>
          <t>Е</t>
        </is>
      </c>
      <c r="J247" s="83" t="inlineStr">
        <is>
          <t>У</t>
        </is>
      </c>
      <c r="K247" s="116" t="inlineStr">
        <is>
          <t>K229</t>
        </is>
      </c>
      <c r="L247" s="103" t="n"/>
      <c r="M247" s="239" t="n"/>
      <c r="N247" s="239">
        <f>IF(D247="","",IF(LEFT(D247,1)="0",0,1))</f>
        <v/>
      </c>
      <c r="O247" s="80">
        <f>ROUND(R247*S247*T247/1000000,2)</f>
        <v/>
      </c>
      <c r="P247" s="160">
        <f>IF(O247="","",
IF(O247&lt;1,"0,1-0,9 литров",
IF(O247&lt;2,"1-1,9 литра",
IF(O247&lt;3,"2-2,9 литра",
IF(O247&lt;4,"3-3,9 литра",
IF(O247&lt;6,"4-5,9 литра",IF(O247&lt;8,"6-7,9 литра",IF(O247&lt;10,"8-9,9 литров",IF(O247&lt;15,"10-14,9 литров",IF(O247&lt;20,"15-19,9 литров",IF(O247&lt;30,"20-29 литров",IF(O247&lt;50,"30-49 литров",IF(O247&lt;60,"50-59 литров",IF(O247&lt;70,"60-69 литров",IF(O247&lt;80,"70-79 литров",IF(O247&lt;90,"80-89 литров",IF(O247&lt;100,"90-99 литров",IF(O247&lt;200,"100-200 литров","200+ литров"))))))))))))))))))</f>
        <v/>
      </c>
      <c r="Q247" s="101">
        <f>IF(O247="","",IF(O247&lt;1,"&lt;1 л",IF(O247&lt;2,"1-2 л",IF(O247&lt;3,"2-3 л",IF(O247&lt;5,"3-5 л",IF(O247&lt;10,"5-10 л",IF(O247&lt;20,"10-20 л",IF(O247&lt;50,"20-50 л",IF(O247&lt;100,"50-100 л","100+ л")))))))))</f>
        <v/>
      </c>
      <c r="R247" s="162">
        <f>IF(E247="","",--LEFT(E247,FIND("х",E247)-1))</f>
        <v/>
      </c>
      <c r="S247" s="162">
        <f>IF(E247="","",--MID(E247,FIND("х",E247)+1,FIND("х",E247,FIND("х",E247)+1)-FIND("х",E247)-1))</f>
        <v/>
      </c>
      <c r="T247" s="162">
        <f>IF(E247="","",--RIGHT(E247,LEN(E247)-FIND("х",E247,FIND("х",E247)+1)))</f>
        <v/>
      </c>
      <c r="U247" s="66">
        <f>(2*(R247+S247)+60)*(S247+T247+8)/1000000</f>
        <v/>
      </c>
      <c r="V247" s="66">
        <f>IF(OR(AND(R247&gt;=2*S247,R247&gt;=2*T247),AND(S247&gt;=2*R247,S247&gt;=2*T247),AND(T247&gt;=2*R247,T247&gt;=2*S247)),"Длинные","")</f>
        <v/>
      </c>
      <c r="W247" s="66">
        <f>IF(OR(AND(R247&lt;=S247/2,R247&lt;=T247/2),AND(S247&lt;=R247/2,S247&lt;=T247/2),AND(T247&lt;=R247/2,T247&lt;=S247/2)),"Плоские","")</f>
        <v/>
      </c>
      <c r="X247" s="160">
        <f>IF(LARGE($R247:$T247,1)="","",IF(LARGE($R247:$T247,1)&lt;=99,"10-99 мм",IF(LARGE($R247:$T247,1)&lt;=199,"100-199 мм",IF(LARGE($R247:$T247,1)&lt;=299,"200-299 мм",IF(LARGE($R247:$T247,1)&lt;=399,"300-399 мм",IF(LARGE($R247:$T247,1)&lt;=499,"400-499 мм",IF(LARGE($R247:$T247,1)&lt;=599,"500-599 мм",IF(LARGE($R247:$T247,1)&lt;=699,"600-699 мм",IF(LARGE($R247:$T247,1)&lt;=999,"700-999 мм","1000+ мм")))))))))</f>
        <v/>
      </c>
      <c r="Y247" s="160">
        <f>IF(LARGE($R247:$T247,2)="","",IF(LARGE($R247:$T247,2)&lt;=99,"10-99 мм",IF(LARGE($R247:$T247,2)&lt;=199,"100-199 мм",IF(LARGE($R247:$T247,2)&lt;=299,"200-299 мм",IF(LARGE($R247:$T247,2)&lt;=399,"300-399 мм",IF(LARGE($R247:$T247,2)&lt;=499,"400-499 мм",IF(LARGE($R247:$T247,2)&lt;=599,"500-599 мм",IF(LARGE($R247:$T247,2)&lt;=699,"600-699 мм",IF(LARGE($R247:$T247,2)&lt;=999,"700-999 мм","1000+ мм")))))))))</f>
        <v/>
      </c>
      <c r="Z247" s="160">
        <f>IF(SMALL($R247:$T247,1)="","",IF(SMALL($R247:$T247,1)&lt;=99,"10-99 мм",IF(SMALL($R247:$T247,1)&lt;=199,"100-199 мм",IF(SMALL($R247:$T247,1)&lt;=299,"200-299 мм",IF(SMALL($R247:$T247,1)&lt;=399,"300-399 мм",IF(SMALL($R247:$T247,1)&lt;=499,"400-499 мм",IF(SMALL($R247:$T247,1)&lt;=599,"500-599 мм",IF(SMALL($R247:$T247,1)&lt;=699,"600-699 мм",IF(SMALL($R247:$T247,1)&lt;=999,"700-999 мм","1000+ мм")))))))))</f>
        <v/>
      </c>
      <c r="AA247" s="101">
        <f>IF(G247="","",IF(G247="Л","Лист гофрокартона",IF(G247="КД","Крышка-дно",IF(G247="С","Самосборные",IF(G247="Ч","Четырехклапанные",IF(G247="А","Архивные","Неизвестно"))))))</f>
        <v/>
      </c>
      <c r="AB247" s="66" t="n">
        <v>1.73</v>
      </c>
      <c r="AC247" s="101">
        <f>IF(O247="","",IF(O247&lt;=1,"0-1 литров",IF(O247&lt;=3,"2-3 литра",IF(O247&lt;=5,"4-5 литра",IF(O247&lt;=7,"6-7 литра",IF(O247&lt;=9,"8-9 литров",IF(O247&lt;=14,"10-14 литров",IF(O247&lt;=19,"15-19 литров",IF(O247&lt;=29,"20-29 литров",IF(O247&lt;=49,"30-49 литров",IF(O247&lt;=59,"50-59 литров",IF(O247&lt;=70,"60-69 литров",IF(O247&lt;=79,"70-79 литров",IF(O247&lt;=89,"80-89 литров",IF(O247&lt;=99,"90-99 литров",IF(O247&lt;=200,"100-200 литров","200+ литров"))))))))))))))))</f>
        <v/>
      </c>
    </row>
    <row r="248" customFormat="1" s="207">
      <c r="A248" s="64" t="n">
        <v>0.9</v>
      </c>
      <c r="B248" s="65">
        <f>A248*1.2</f>
        <v/>
      </c>
      <c r="C248" s="109" t="n">
        <v>248</v>
      </c>
      <c r="D248" s="116" t="inlineStr">
        <is>
          <t>У</t>
        </is>
      </c>
      <c r="E248" s="88" t="inlineStr">
        <is>
          <t>250х250х80</t>
        </is>
      </c>
      <c r="F248" s="213" t="n"/>
      <c r="G248" s="83" t="inlineStr">
        <is>
          <t>КД</t>
        </is>
      </c>
      <c r="H248" s="146" t="inlineStr">
        <is>
          <t>0330</t>
        </is>
      </c>
      <c r="I248" s="83" t="inlineStr">
        <is>
          <t>Е</t>
        </is>
      </c>
      <c r="J248" s="83" t="inlineStr">
        <is>
          <t>У</t>
        </is>
      </c>
      <c r="K248" s="116" t="inlineStr">
        <is>
          <t>K230</t>
        </is>
      </c>
      <c r="L248" s="103" t="n"/>
      <c r="M248" s="239" t="n"/>
      <c r="N248" s="239">
        <f>IF(D248="","",IF(LEFT(D248,1)="0",0,1))</f>
        <v/>
      </c>
      <c r="O248" s="80">
        <f>ROUND(R248*S248*T248/1000000,2)</f>
        <v/>
      </c>
      <c r="P248" s="160">
        <f>IF(O248="","",
IF(O248&lt;1,"0,1-0,9 литров",
IF(O248&lt;2,"1-1,9 литра",
IF(O248&lt;3,"2-2,9 литра",
IF(O248&lt;4,"3-3,9 литра",
IF(O248&lt;6,"4-5,9 литра",IF(O248&lt;8,"6-7,9 литра",IF(O248&lt;10,"8-9,9 литров",IF(O248&lt;15,"10-14,9 литров",IF(O248&lt;20,"15-19,9 литров",IF(O248&lt;30,"20-29 литров",IF(O248&lt;50,"30-49 литров",IF(O248&lt;60,"50-59 литров",IF(O248&lt;70,"60-69 литров",IF(O248&lt;80,"70-79 литров",IF(O248&lt;90,"80-89 литров",IF(O248&lt;100,"90-99 литров",IF(O248&lt;200,"100-200 литров","200+ литров"))))))))))))))))))</f>
        <v/>
      </c>
      <c r="Q248" s="101">
        <f>IF(O248="","",IF(O248&lt;1,"&lt;1 л",IF(O248&lt;2,"1-2 л",IF(O248&lt;3,"2-3 л",IF(O248&lt;5,"3-5 л",IF(O248&lt;10,"5-10 л",IF(O248&lt;20,"10-20 л",IF(O248&lt;50,"20-50 л",IF(O248&lt;100,"50-100 л","100+ л")))))))))</f>
        <v/>
      </c>
      <c r="R248" s="162">
        <f>IF(E248="","",--LEFT(E248,FIND("х",E248)-1))</f>
        <v/>
      </c>
      <c r="S248" s="162">
        <f>IF(E248="","",--MID(E248,FIND("х",E248)+1,FIND("х",E248,FIND("х",E248)+1)-FIND("х",E248)-1))</f>
        <v/>
      </c>
      <c r="T248" s="162">
        <f>IF(E248="","",--RIGHT(E248,LEN(E248)-FIND("х",E248,FIND("х",E248)+1)))</f>
        <v/>
      </c>
      <c r="U248" s="66">
        <f>(2*(R248+S248)+60)*(S248+T248+8)/1000000</f>
        <v/>
      </c>
      <c r="V248" s="66">
        <f>IF(OR(AND(R248&gt;=2*S248,R248&gt;=2*T248),AND(S248&gt;=2*R248,S248&gt;=2*T248),AND(T248&gt;=2*R248,T248&gt;=2*S248)),"Длинные","")</f>
        <v/>
      </c>
      <c r="W248" s="66">
        <f>IF(OR(AND(R248&lt;=S248/2,R248&lt;=T248/2),AND(S248&lt;=R248/2,S248&lt;=T248/2),AND(T248&lt;=R248/2,T248&lt;=S248/2)),"Плоские","")</f>
        <v/>
      </c>
      <c r="X248" s="160">
        <f>IF(LARGE($R248:$T248,1)="","",IF(LARGE($R248:$T248,1)&lt;=99,"10-99 мм",IF(LARGE($R248:$T248,1)&lt;=199,"100-199 мм",IF(LARGE($R248:$T248,1)&lt;=299,"200-299 мм",IF(LARGE($R248:$T248,1)&lt;=399,"300-399 мм",IF(LARGE($R248:$T248,1)&lt;=499,"400-499 мм",IF(LARGE($R248:$T248,1)&lt;=599,"500-599 мм",IF(LARGE($R248:$T248,1)&lt;=699,"600-699 мм",IF(LARGE($R248:$T248,1)&lt;=999,"700-999 мм","1000+ мм")))))))))</f>
        <v/>
      </c>
      <c r="Y248" s="160">
        <f>IF(LARGE($R248:$T248,2)="","",IF(LARGE($R248:$T248,2)&lt;=99,"10-99 мм",IF(LARGE($R248:$T248,2)&lt;=199,"100-199 мм",IF(LARGE($R248:$T248,2)&lt;=299,"200-299 мм",IF(LARGE($R248:$T248,2)&lt;=399,"300-399 мм",IF(LARGE($R248:$T248,2)&lt;=499,"400-499 мм",IF(LARGE($R248:$T248,2)&lt;=599,"500-599 мм",IF(LARGE($R248:$T248,2)&lt;=699,"600-699 мм",IF(LARGE($R248:$T248,2)&lt;=999,"700-999 мм","1000+ мм")))))))))</f>
        <v/>
      </c>
      <c r="Z248" s="160">
        <f>IF(SMALL($R248:$T248,1)="","",IF(SMALL($R248:$T248,1)&lt;=99,"10-99 мм",IF(SMALL($R248:$T248,1)&lt;=199,"100-199 мм",IF(SMALL($R248:$T248,1)&lt;=299,"200-299 мм",IF(SMALL($R248:$T248,1)&lt;=399,"300-399 мм",IF(SMALL($R248:$T248,1)&lt;=499,"400-499 мм",IF(SMALL($R248:$T248,1)&lt;=599,"500-599 мм",IF(SMALL($R248:$T248,1)&lt;=699,"600-699 мм",IF(SMALL($R248:$T248,1)&lt;=999,"700-999 мм","1000+ мм")))))))))</f>
        <v/>
      </c>
      <c r="AA248" s="101">
        <f>IF(G248="","",IF(G248="Л","Лист гофрокартона",IF(G248="КД","Крышка-дно",IF(G248="С","Самосборные",IF(G248="Ч","Четырехклапанные",IF(G248="А","Архивные","Неизвестно"))))))</f>
        <v/>
      </c>
      <c r="AB248" s="66" t="n">
        <v>1.73</v>
      </c>
      <c r="AC248" s="101">
        <f>IF(O248="","",IF(O248&lt;=1,"0-1 литров",IF(O248&lt;=3,"2-3 литра",IF(O248&lt;=5,"4-5 литра",IF(O248&lt;=7,"6-7 литра",IF(O248&lt;=9,"8-9 литров",IF(O248&lt;=14,"10-14 литров",IF(O248&lt;=19,"15-19 литров",IF(O248&lt;=29,"20-29 литров",IF(O248&lt;=49,"30-49 литров",IF(O248&lt;=59,"50-59 литров",IF(O248&lt;=70,"60-69 литров",IF(O248&lt;=79,"70-79 литров",IF(O248&lt;=89,"80-89 литров",IF(O248&lt;=99,"90-99 литров",IF(O248&lt;=200,"100-200 литров","200+ литров"))))))))))))))))</f>
        <v/>
      </c>
    </row>
    <row r="249" customFormat="1" s="207">
      <c r="A249" s="64" t="n">
        <v>0.99</v>
      </c>
      <c r="B249" s="65">
        <f>A249*1.2</f>
        <v/>
      </c>
      <c r="C249" s="109" t="n">
        <v>249</v>
      </c>
      <c r="D249" s="77" t="inlineStr">
        <is>
          <t>К</t>
        </is>
      </c>
      <c r="E249" s="88" t="inlineStr">
        <is>
          <t>400х300х250</t>
        </is>
      </c>
      <c r="F249" s="213" t="n"/>
      <c r="G249" s="83" t="inlineStr">
        <is>
          <t>Ч</t>
        </is>
      </c>
      <c r="H249" s="146" t="inlineStr">
        <is>
          <t>0201</t>
        </is>
      </c>
      <c r="I249" s="83" t="inlineStr">
        <is>
          <t>В</t>
        </is>
      </c>
      <c r="J249" s="83" t="inlineStr">
        <is>
          <t>без</t>
        </is>
      </c>
      <c r="K249" s="116" t="inlineStr">
        <is>
          <t>K1024</t>
        </is>
      </c>
      <c r="L249" s="103" t="n"/>
      <c r="M249" s="239" t="inlineStr">
        <is>
          <t>мак</t>
        </is>
      </c>
      <c r="N249" s="239">
        <f>IF(D249="","",IF(LEFT(D249,1)="0",0,1))</f>
        <v/>
      </c>
      <c r="O249" s="80">
        <f>ROUND(R249*S249*T249/1000000,2)</f>
        <v/>
      </c>
      <c r="P249" s="160">
        <f>IF(O249="","",
IF(O249&lt;1,"0,1-0,9 литров",
IF(O249&lt;2,"1-1,9 литра",
IF(O249&lt;3,"2-2,9 литра",
IF(O249&lt;4,"3-3,9 литра",
IF(O249&lt;6,"4-5,9 литра",IF(O249&lt;8,"6-7,9 литра",IF(O249&lt;10,"8-9,9 литров",IF(O249&lt;15,"10-14,9 литров",IF(O249&lt;20,"15-19,9 литров",IF(O249&lt;30,"20-29 литров",IF(O249&lt;50,"30-49 литров",IF(O249&lt;60,"50-59 литров",IF(O249&lt;70,"60-69 литров",IF(O249&lt;80,"70-79 литров",IF(O249&lt;90,"80-89 литров",IF(O249&lt;100,"90-99 литров",IF(O249&lt;200,"100-200 литров","200+ литров"))))))))))))))))))</f>
        <v/>
      </c>
      <c r="Q249" s="101">
        <f>IF(O249="","",IF(O249&lt;1,"&lt;1 л",IF(O249&lt;2,"1-2 л",IF(O249&lt;3,"2-3 л",IF(O249&lt;5,"3-5 л",IF(O249&lt;10,"5-10 л",IF(O249&lt;20,"10-20 л",IF(O249&lt;50,"20-50 л",IF(O249&lt;100,"50-100 л","100+ л")))))))))</f>
        <v/>
      </c>
      <c r="R249" s="162">
        <f>IF(E249="","",--LEFT(E249,FIND("х",E249)-1))</f>
        <v/>
      </c>
      <c r="S249" s="162">
        <f>IF(E249="","",--MID(E249,FIND("х",E249)+1,FIND("х",E249,FIND("х",E249)+1)-FIND("х",E249)-1))</f>
        <v/>
      </c>
      <c r="T249" s="162">
        <f>IF(E249="","",--RIGHT(E249,LEN(E249)-FIND("х",E249,FIND("х",E249)+1)))</f>
        <v/>
      </c>
      <c r="U249" s="66">
        <f>(2*(R249+S249)+60)*(S249+T249+8)/1000000</f>
        <v/>
      </c>
      <c r="V249" s="66">
        <f>IF(OR(AND(R249&gt;=2*S249,R249&gt;=2*T249),AND(S249&gt;=2*R249,S249&gt;=2*T249),AND(T249&gt;=2*R249,T249&gt;=2*S249)),"Длинные","")</f>
        <v/>
      </c>
      <c r="W249" s="66">
        <f>IF(OR(AND(R249&lt;=S249/2,R249&lt;=T249/2),AND(S249&lt;=R249/2,S249&lt;=T249/2),AND(T249&lt;=R249/2,T249&lt;=S249/2)),"Плоские","")</f>
        <v/>
      </c>
      <c r="X249" s="160">
        <f>IF(LARGE($R249:$T249,1)="","",IF(LARGE($R249:$T249,1)&lt;=99,"10-99 мм",IF(LARGE($R249:$T249,1)&lt;=199,"100-199 мм",IF(LARGE($R249:$T249,1)&lt;=299,"200-299 мм",IF(LARGE($R249:$T249,1)&lt;=399,"300-399 мм",IF(LARGE($R249:$T249,1)&lt;=499,"400-499 мм",IF(LARGE($R249:$T249,1)&lt;=599,"500-599 мм",IF(LARGE($R249:$T249,1)&lt;=699,"600-699 мм",IF(LARGE($R249:$T249,1)&lt;=999,"700-999 мм","1000+ мм")))))))))</f>
        <v/>
      </c>
      <c r="Y249" s="160">
        <f>IF(LARGE($R249:$T249,2)="","",IF(LARGE($R249:$T249,2)&lt;=99,"10-99 мм",IF(LARGE($R249:$T249,2)&lt;=199,"100-199 мм",IF(LARGE($R249:$T249,2)&lt;=299,"200-299 мм",IF(LARGE($R249:$T249,2)&lt;=399,"300-399 мм",IF(LARGE($R249:$T249,2)&lt;=499,"400-499 мм",IF(LARGE($R249:$T249,2)&lt;=599,"500-599 мм",IF(LARGE($R249:$T249,2)&lt;=699,"600-699 мм",IF(LARGE($R249:$T249,2)&lt;=999,"700-999 мм","1000+ мм")))))))))</f>
        <v/>
      </c>
      <c r="Z249" s="160">
        <f>IF(SMALL($R249:$T249,1)="","",IF(SMALL($R249:$T249,1)&lt;=99,"10-99 мм",IF(SMALL($R249:$T249,1)&lt;=199,"100-199 мм",IF(SMALL($R249:$T249,1)&lt;=299,"200-299 мм",IF(SMALL($R249:$T249,1)&lt;=399,"300-399 мм",IF(SMALL($R249:$T249,1)&lt;=499,"400-499 мм",IF(SMALL($R249:$T249,1)&lt;=599,"500-599 мм",IF(SMALL($R249:$T249,1)&lt;=699,"600-699 мм",IF(SMALL($R249:$T249,1)&lt;=999,"700-999 мм","1000+ мм")))))))))</f>
        <v/>
      </c>
      <c r="AA249" s="101">
        <f>IF(G249="","",IF(G249="Л","Лист гофрокартона",IF(G249="КД","Крышка-дно",IF(G249="С","Самосборные",IF(G249="Ч","Четырехклапанные",IF(G249="А","Архивные","Неизвестно"))))))</f>
        <v/>
      </c>
      <c r="AB249" s="66" t="n">
        <v>1.73</v>
      </c>
      <c r="AC249" s="101">
        <f>IF(O249="","",IF(O249&lt;=1,"0-1 литров",IF(O249&lt;=3,"2-3 литра",IF(O249&lt;=5,"4-5 литра",IF(O249&lt;=7,"6-7 литра",IF(O249&lt;=9,"8-9 литров",IF(O249&lt;=14,"10-14 литров",IF(O249&lt;=19,"15-19 литров",IF(O249&lt;=29,"20-29 литров",IF(O249&lt;=49,"30-49 литров",IF(O249&lt;=59,"50-59 литров",IF(O249&lt;=70,"60-69 литров",IF(O249&lt;=79,"70-79 литров",IF(O249&lt;=89,"80-89 литров",IF(O249&lt;=99,"90-99 литров",IF(O249&lt;=200,"100-200 литров","200+ литров"))))))))))))))))</f>
        <v/>
      </c>
    </row>
    <row r="250" customFormat="1" s="207">
      <c r="A250" s="64" t="n">
        <v>0.13</v>
      </c>
      <c r="B250" s="65">
        <f>A250*1.2</f>
        <v/>
      </c>
      <c r="C250" s="109" t="n">
        <v>250</v>
      </c>
      <c r="D250" s="77" t="inlineStr">
        <is>
          <t>ТМ-
SALE</t>
        </is>
      </c>
      <c r="E250" s="88" t="inlineStr">
        <is>
          <t>100х100х20</t>
        </is>
      </c>
      <c r="F250" s="213" t="n"/>
      <c r="G250" s="83" t="inlineStr">
        <is>
          <t>С</t>
        </is>
      </c>
      <c r="H250" s="146" t="inlineStr">
        <is>
          <t>0427</t>
        </is>
      </c>
      <c r="I250" s="83" t="inlineStr">
        <is>
          <t>Е</t>
        </is>
      </c>
      <c r="J250" s="83" t="inlineStr">
        <is>
          <t>ТМ</t>
        </is>
      </c>
      <c r="K250" s="116" t="inlineStr">
        <is>
          <t>K1005</t>
        </is>
      </c>
      <c r="L250" s="103" t="inlineStr">
        <is>
          <t>Sale</t>
        </is>
      </c>
      <c r="M250" s="239" t="n"/>
      <c r="N250" s="239">
        <f>IF(D250="","",IF(LEFT(D250,1)="0",0,1))</f>
        <v/>
      </c>
      <c r="O250" s="80">
        <f>ROUND(R250*S250*T250/1000000,2)</f>
        <v/>
      </c>
      <c r="P250" s="160">
        <f>IF(O250="","",
IF(O250&lt;1,"0,1-0,9 литров",
IF(O250&lt;2,"1-1,9 литра",
IF(O250&lt;3,"2-2,9 литра",
IF(O250&lt;4,"3-3,9 литра",
IF(O250&lt;6,"4-5,9 литра",IF(O250&lt;8,"6-7,9 литра",IF(O250&lt;10,"8-9,9 литров",IF(O250&lt;15,"10-14,9 литров",IF(O250&lt;20,"15-19,9 литров",IF(O250&lt;30,"20-29 литров",IF(O250&lt;50,"30-49 литров",IF(O250&lt;60,"50-59 литров",IF(O250&lt;70,"60-69 литров",IF(O250&lt;80,"70-79 литров",IF(O250&lt;90,"80-89 литров",IF(O250&lt;100,"90-99 литров",IF(O250&lt;200,"100-200 литров","200+ литров"))))))))))))))))))</f>
        <v/>
      </c>
      <c r="Q250" s="101">
        <f>IF(O250="","",IF(O250&lt;1,"&lt;1 л",IF(O250&lt;2,"1-2 л",IF(O250&lt;3,"2-3 л",IF(O250&lt;5,"3-5 л",IF(O250&lt;10,"5-10 л",IF(O250&lt;20,"10-20 л",IF(O250&lt;50,"20-50 л",IF(O250&lt;100,"50-100 л","100+ л")))))))))</f>
        <v/>
      </c>
      <c r="R250" s="162">
        <f>IF(E250="","",--LEFT(E250,FIND("х",E250)-1))</f>
        <v/>
      </c>
      <c r="S250" s="162">
        <f>IF(E250="","",--MID(E250,FIND("х",E250)+1,FIND("х",E250,FIND("х",E250)+1)-FIND("х",E250)-1))</f>
        <v/>
      </c>
      <c r="T250" s="162">
        <f>IF(E250="","",--RIGHT(E250,LEN(E250)-FIND("х",E250,FIND("х",E250)+1)))</f>
        <v/>
      </c>
      <c r="U250" s="66">
        <f>(2*(R250+S250)+60)*(S250+T250+8)/1000000</f>
        <v/>
      </c>
      <c r="V250" s="66">
        <f>IF(OR(AND(R250&gt;=2*S250,R250&gt;=2*T250),AND(S250&gt;=2*R250,S250&gt;=2*T250),AND(T250&gt;=2*R250,T250&gt;=2*S250)),"Длинные","")</f>
        <v/>
      </c>
      <c r="W250" s="66">
        <f>IF(OR(AND(R250&lt;=S250/2,R250&lt;=T250/2),AND(S250&lt;=R250/2,S250&lt;=T250/2),AND(T250&lt;=R250/2,T250&lt;=S250/2)),"Плоские","")</f>
        <v/>
      </c>
      <c r="X250" s="160">
        <f>IF(LARGE($R250:$T250,1)="","",IF(LARGE($R250:$T250,1)&lt;=99,"10-99 мм",IF(LARGE($R250:$T250,1)&lt;=199,"100-199 мм",IF(LARGE($R250:$T250,1)&lt;=299,"200-299 мм",IF(LARGE($R250:$T250,1)&lt;=399,"300-399 мм",IF(LARGE($R250:$T250,1)&lt;=499,"400-499 мм",IF(LARGE($R250:$T250,1)&lt;=599,"500-599 мм",IF(LARGE($R250:$T250,1)&lt;=699,"600-699 мм",IF(LARGE($R250:$T250,1)&lt;=999,"700-999 мм","1000+ мм")))))))))</f>
        <v/>
      </c>
      <c r="Y250" s="160">
        <f>IF(LARGE($R250:$T250,2)="","",IF(LARGE($R250:$T250,2)&lt;=99,"10-99 мм",IF(LARGE($R250:$T250,2)&lt;=199,"100-199 мм",IF(LARGE($R250:$T250,2)&lt;=299,"200-299 мм",IF(LARGE($R250:$T250,2)&lt;=399,"300-399 мм",IF(LARGE($R250:$T250,2)&lt;=499,"400-499 мм",IF(LARGE($R250:$T250,2)&lt;=599,"500-599 мм",IF(LARGE($R250:$T250,2)&lt;=699,"600-699 мм",IF(LARGE($R250:$T250,2)&lt;=999,"700-999 мм","1000+ мм")))))))))</f>
        <v/>
      </c>
      <c r="Z250" s="160">
        <f>IF(SMALL($R250:$T250,1)="","",IF(SMALL($R250:$T250,1)&lt;=99,"10-99 мм",IF(SMALL($R250:$T250,1)&lt;=199,"100-199 мм",IF(SMALL($R250:$T250,1)&lt;=299,"200-299 мм",IF(SMALL($R250:$T250,1)&lt;=399,"300-399 мм",IF(SMALL($R250:$T250,1)&lt;=499,"400-499 мм",IF(SMALL($R250:$T250,1)&lt;=599,"500-599 мм",IF(SMALL($R250:$T250,1)&lt;=699,"600-699 мм",IF(SMALL($R250:$T250,1)&lt;=999,"700-999 мм","1000+ мм")))))))))</f>
        <v/>
      </c>
      <c r="AA250" s="101">
        <f>IF(G250="","",IF(G250="Л","Лист гофрокартона",IF(G250="КД","Крышка-дно",IF(G250="С","Самосборные",IF(G250="Ч","Четырехклапанные",IF(G250="А","Архивные","Неизвестно"))))))</f>
        <v/>
      </c>
      <c r="AB250" s="66" t="n">
        <v>1.73</v>
      </c>
      <c r="AC250" s="101">
        <f>IF(O250="","",IF(O250&lt;=1,"0-1 литров",IF(O250&lt;=3,"2-3 литра",IF(O250&lt;=5,"4-5 литра",IF(O250&lt;=7,"6-7 литра",IF(O250&lt;=9,"8-9 литров",IF(O250&lt;=14,"10-14 литров",IF(O250&lt;=19,"15-19 литров",IF(O250&lt;=29,"20-29 литров",IF(O250&lt;=49,"30-49 литров",IF(O250&lt;=59,"50-59 литров",IF(O250&lt;=70,"60-69 литров",IF(O250&lt;=79,"70-79 литров",IF(O250&lt;=89,"80-89 литров",IF(O250&lt;=99,"90-99 литров",IF(O250&lt;=200,"100-200 литров","200+ литров"))))))))))))))))</f>
        <v/>
      </c>
    </row>
    <row r="251" customFormat="1" s="207">
      <c r="A251" s="64" t="n">
        <v>0.5600000000000001</v>
      </c>
      <c r="B251" s="65">
        <f>A251*1.2</f>
        <v/>
      </c>
      <c r="C251" s="109" t="n">
        <v>251</v>
      </c>
      <c r="D251" s="116" t="inlineStr">
        <is>
          <t>У</t>
        </is>
      </c>
      <c r="E251" s="88" t="inlineStr">
        <is>
          <t>395х102х77</t>
        </is>
      </c>
      <c r="F251" s="213" t="n"/>
      <c r="G251" s="83" t="inlineStr">
        <is>
          <t>С</t>
        </is>
      </c>
      <c r="H251" s="146" t="inlineStr">
        <is>
          <t>0427</t>
        </is>
      </c>
      <c r="I251" s="83" t="inlineStr">
        <is>
          <t>Е</t>
        </is>
      </c>
      <c r="J251" s="83" t="inlineStr">
        <is>
          <t>ОП</t>
        </is>
      </c>
      <c r="K251" s="116" t="inlineStr">
        <is>
          <t>K232</t>
        </is>
      </c>
      <c r="L251" s="103" t="n"/>
      <c r="M251" s="239" t="n"/>
      <c r="N251" s="239">
        <f>IF(D251="","",IF(LEFT(D251,1)="0",0,1))</f>
        <v/>
      </c>
      <c r="O251" s="80">
        <f>ROUND(R251*S251*T251/1000000,2)</f>
        <v/>
      </c>
      <c r="P251" s="160">
        <f>IF(O251="","",
IF(O251&lt;1,"0,1-0,9 литров",
IF(O251&lt;2,"1-1,9 литра",
IF(O251&lt;3,"2-2,9 литра",
IF(O251&lt;4,"3-3,9 литра",
IF(O251&lt;6,"4-5,9 литра",IF(O251&lt;8,"6-7,9 литра",IF(O251&lt;10,"8-9,9 литров",IF(O251&lt;15,"10-14,9 литров",IF(O251&lt;20,"15-19,9 литров",IF(O251&lt;30,"20-29 литров",IF(O251&lt;50,"30-49 литров",IF(O251&lt;60,"50-59 литров",IF(O251&lt;70,"60-69 литров",IF(O251&lt;80,"70-79 литров",IF(O251&lt;90,"80-89 литров",IF(O251&lt;100,"90-99 литров",IF(O251&lt;200,"100-200 литров","200+ литров"))))))))))))))))))</f>
        <v/>
      </c>
      <c r="Q251" s="101">
        <f>IF(O251="","",IF(O251&lt;1,"&lt;1 л",IF(O251&lt;2,"1-2 л",IF(O251&lt;3,"2-3 л",IF(O251&lt;5,"3-5 л",IF(O251&lt;10,"5-10 л",IF(O251&lt;20,"10-20 л",IF(O251&lt;50,"20-50 л",IF(O251&lt;100,"50-100 л","100+ л")))))))))</f>
        <v/>
      </c>
      <c r="R251" s="162">
        <f>IF(E251="","",--LEFT(E251,FIND("х",E251)-1))</f>
        <v/>
      </c>
      <c r="S251" s="162">
        <f>IF(E251="","",--MID(E251,FIND("х",E251)+1,FIND("х",E251,FIND("х",E251)+1)-FIND("х",E251)-1))</f>
        <v/>
      </c>
      <c r="T251" s="162">
        <f>IF(E251="","",--RIGHT(E251,LEN(E251)-FIND("х",E251,FIND("х",E251)+1)))</f>
        <v/>
      </c>
      <c r="U251" s="66">
        <f>(2*(R251+S251)+60)*(S251+T251+8)/1000000</f>
        <v/>
      </c>
      <c r="V251" s="66">
        <f>IF(OR(AND(R251&gt;=2*S251,R251&gt;=2*T251),AND(S251&gt;=2*R251,S251&gt;=2*T251),AND(T251&gt;=2*R251,T251&gt;=2*S251)),"Длинные","")</f>
        <v/>
      </c>
      <c r="W251" s="66">
        <f>IF(OR(AND(R251&lt;=S251/2,R251&lt;=T251/2),AND(S251&lt;=R251/2,S251&lt;=T251/2),AND(T251&lt;=R251/2,T251&lt;=S251/2)),"Плоские","")</f>
        <v/>
      </c>
      <c r="X251" s="160">
        <f>IF(LARGE($R251:$T251,1)="","",IF(LARGE($R251:$T251,1)&lt;=99,"10-99 мм",IF(LARGE($R251:$T251,1)&lt;=199,"100-199 мм",IF(LARGE($R251:$T251,1)&lt;=299,"200-299 мм",IF(LARGE($R251:$T251,1)&lt;=399,"300-399 мм",IF(LARGE($R251:$T251,1)&lt;=499,"400-499 мм",IF(LARGE($R251:$T251,1)&lt;=599,"500-599 мм",IF(LARGE($R251:$T251,1)&lt;=699,"600-699 мм",IF(LARGE($R251:$T251,1)&lt;=999,"700-999 мм","1000+ мм")))))))))</f>
        <v/>
      </c>
      <c r="Y251" s="160">
        <f>IF(LARGE($R251:$T251,2)="","",IF(LARGE($R251:$T251,2)&lt;=99,"10-99 мм",IF(LARGE($R251:$T251,2)&lt;=199,"100-199 мм",IF(LARGE($R251:$T251,2)&lt;=299,"200-299 мм",IF(LARGE($R251:$T251,2)&lt;=399,"300-399 мм",IF(LARGE($R251:$T251,2)&lt;=499,"400-499 мм",IF(LARGE($R251:$T251,2)&lt;=599,"500-599 мм",IF(LARGE($R251:$T251,2)&lt;=699,"600-699 мм",IF(LARGE($R251:$T251,2)&lt;=999,"700-999 мм","1000+ мм")))))))))</f>
        <v/>
      </c>
      <c r="Z251" s="160">
        <f>IF(SMALL($R251:$T251,1)="","",IF(SMALL($R251:$T251,1)&lt;=99,"10-99 мм",IF(SMALL($R251:$T251,1)&lt;=199,"100-199 мм",IF(SMALL($R251:$T251,1)&lt;=299,"200-299 мм",IF(SMALL($R251:$T251,1)&lt;=399,"300-399 мм",IF(SMALL($R251:$T251,1)&lt;=499,"400-499 мм",IF(SMALL($R251:$T251,1)&lt;=599,"500-599 мм",IF(SMALL($R251:$T251,1)&lt;=699,"600-699 мм",IF(SMALL($R251:$T251,1)&lt;=999,"700-999 мм","1000+ мм")))))))))</f>
        <v/>
      </c>
      <c r="AA251" s="101">
        <f>IF(G251="","",IF(G251="Л","Лист гофрокартона",IF(G251="КД","Крышка-дно",IF(G251="С","Самосборные",IF(G251="Ч","Четырехклапанные",IF(G251="А","Архивные","Неизвестно"))))))</f>
        <v/>
      </c>
      <c r="AB251" s="66" t="n">
        <v>1.73</v>
      </c>
      <c r="AC251" s="101">
        <f>IF(O251="","",IF(O251&lt;=1,"0-1 литров",IF(O251&lt;=3,"2-3 литра",IF(O251&lt;=5,"4-5 литра",IF(O251&lt;=7,"6-7 литра",IF(O251&lt;=9,"8-9 литров",IF(O251&lt;=14,"10-14 литров",IF(O251&lt;=19,"15-19 литров",IF(O251&lt;=29,"20-29 литров",IF(O251&lt;=49,"30-49 литров",IF(O251&lt;=59,"50-59 литров",IF(O251&lt;=70,"60-69 литров",IF(O251&lt;=79,"70-79 литров",IF(O251&lt;=89,"80-89 литров",IF(O251&lt;=99,"90-99 литров",IF(O251&lt;=200,"100-200 литров","200+ литров"))))))))))))))))</f>
        <v/>
      </c>
    </row>
    <row r="252" customFormat="1" s="207">
      <c r="A252" s="64" t="n">
        <v>0.53</v>
      </c>
      <c r="B252" s="65">
        <f>A252*1.2</f>
        <v/>
      </c>
      <c r="C252" s="109" t="n">
        <v>252</v>
      </c>
      <c r="D252" s="116" t="inlineStr">
        <is>
          <t>У</t>
        </is>
      </c>
      <c r="E252" s="88" t="inlineStr">
        <is>
          <t>420х142х82</t>
        </is>
      </c>
      <c r="F252" s="213" t="n"/>
      <c r="G252" s="83" t="inlineStr">
        <is>
          <t>С</t>
        </is>
      </c>
      <c r="H252" s="146" t="inlineStr">
        <is>
          <t>0427</t>
        </is>
      </c>
      <c r="I252" s="83" t="inlineStr">
        <is>
          <t>Е</t>
        </is>
      </c>
      <c r="J252" s="83" t="inlineStr">
        <is>
          <t>ОП</t>
        </is>
      </c>
      <c r="K252" s="116" t="inlineStr">
        <is>
          <t>K233</t>
        </is>
      </c>
      <c r="L252" s="103" t="n"/>
      <c r="M252" s="239" t="n"/>
      <c r="N252" s="239">
        <f>IF(D252="","",IF(LEFT(D252,1)="0",0,1))</f>
        <v/>
      </c>
      <c r="O252" s="80">
        <f>ROUND(R252*S252*T252/1000000,2)</f>
        <v/>
      </c>
      <c r="P252" s="160">
        <f>IF(O252="","",
IF(O252&lt;1,"0,1-0,9 литров",
IF(O252&lt;2,"1-1,9 литра",
IF(O252&lt;3,"2-2,9 литра",
IF(O252&lt;4,"3-3,9 литра",
IF(O252&lt;6,"4-5,9 литра",IF(O252&lt;8,"6-7,9 литра",IF(O252&lt;10,"8-9,9 литров",IF(O252&lt;15,"10-14,9 литров",IF(O252&lt;20,"15-19,9 литров",IF(O252&lt;30,"20-29 литров",IF(O252&lt;50,"30-49 литров",IF(O252&lt;60,"50-59 литров",IF(O252&lt;70,"60-69 литров",IF(O252&lt;80,"70-79 литров",IF(O252&lt;90,"80-89 литров",IF(O252&lt;100,"90-99 литров",IF(O252&lt;200,"100-200 литров","200+ литров"))))))))))))))))))</f>
        <v/>
      </c>
      <c r="Q252" s="101">
        <f>IF(O252="","",IF(O252&lt;1,"&lt;1 л",IF(O252&lt;2,"1-2 л",IF(O252&lt;3,"2-3 л",IF(O252&lt;5,"3-5 л",IF(O252&lt;10,"5-10 л",IF(O252&lt;20,"10-20 л",IF(O252&lt;50,"20-50 л",IF(O252&lt;100,"50-100 л","100+ л")))))))))</f>
        <v/>
      </c>
      <c r="R252" s="162">
        <f>IF(E252="","",--LEFT(E252,FIND("х",E252)-1))</f>
        <v/>
      </c>
      <c r="S252" s="162">
        <f>IF(E252="","",--MID(E252,FIND("х",E252)+1,FIND("х",E252,FIND("х",E252)+1)-FIND("х",E252)-1))</f>
        <v/>
      </c>
      <c r="T252" s="162">
        <f>IF(E252="","",--RIGHT(E252,LEN(E252)-FIND("х",E252,FIND("х",E252)+1)))</f>
        <v/>
      </c>
      <c r="U252" s="66">
        <f>(2*(R252+S252)+60)*(S252+T252+8)/1000000</f>
        <v/>
      </c>
      <c r="V252" s="66">
        <f>IF(OR(AND(R252&gt;=2*S252,R252&gt;=2*T252),AND(S252&gt;=2*R252,S252&gt;=2*T252),AND(T252&gt;=2*R252,T252&gt;=2*S252)),"Длинные","")</f>
        <v/>
      </c>
      <c r="W252" s="66">
        <f>IF(OR(AND(R252&lt;=S252/2,R252&lt;=T252/2),AND(S252&lt;=R252/2,S252&lt;=T252/2),AND(T252&lt;=R252/2,T252&lt;=S252/2)),"Плоские","")</f>
        <v/>
      </c>
      <c r="X252" s="160">
        <f>IF(LARGE($R252:$T252,1)="","",IF(LARGE($R252:$T252,1)&lt;=99,"10-99 мм",IF(LARGE($R252:$T252,1)&lt;=199,"100-199 мм",IF(LARGE($R252:$T252,1)&lt;=299,"200-299 мм",IF(LARGE($R252:$T252,1)&lt;=399,"300-399 мм",IF(LARGE($R252:$T252,1)&lt;=499,"400-499 мм",IF(LARGE($R252:$T252,1)&lt;=599,"500-599 мм",IF(LARGE($R252:$T252,1)&lt;=699,"600-699 мм",IF(LARGE($R252:$T252,1)&lt;=999,"700-999 мм","1000+ мм")))))))))</f>
        <v/>
      </c>
      <c r="Y252" s="160">
        <f>IF(LARGE($R252:$T252,2)="","",IF(LARGE($R252:$T252,2)&lt;=99,"10-99 мм",IF(LARGE($R252:$T252,2)&lt;=199,"100-199 мм",IF(LARGE($R252:$T252,2)&lt;=299,"200-299 мм",IF(LARGE($R252:$T252,2)&lt;=399,"300-399 мм",IF(LARGE($R252:$T252,2)&lt;=499,"400-499 мм",IF(LARGE($R252:$T252,2)&lt;=599,"500-599 мм",IF(LARGE($R252:$T252,2)&lt;=699,"600-699 мм",IF(LARGE($R252:$T252,2)&lt;=999,"700-999 мм","1000+ мм")))))))))</f>
        <v/>
      </c>
      <c r="Z252" s="160">
        <f>IF(SMALL($R252:$T252,1)="","",IF(SMALL($R252:$T252,1)&lt;=99,"10-99 мм",IF(SMALL($R252:$T252,1)&lt;=199,"100-199 мм",IF(SMALL($R252:$T252,1)&lt;=299,"200-299 мм",IF(SMALL($R252:$T252,1)&lt;=399,"300-399 мм",IF(SMALL($R252:$T252,1)&lt;=499,"400-499 мм",IF(SMALL($R252:$T252,1)&lt;=599,"500-599 мм",IF(SMALL($R252:$T252,1)&lt;=699,"600-699 мм",IF(SMALL($R252:$T252,1)&lt;=999,"700-999 мм","1000+ мм")))))))))</f>
        <v/>
      </c>
      <c r="AA252" s="101">
        <f>IF(G252="","",IF(G252="Л","Лист гофрокартона",IF(G252="КД","Крышка-дно",IF(G252="С","Самосборные",IF(G252="Ч","Четырехклапанные",IF(G252="А","Архивные","Неизвестно"))))))</f>
        <v/>
      </c>
      <c r="AB252" s="66" t="n">
        <v>1.73</v>
      </c>
      <c r="AC252" s="101">
        <f>IF(O252="","",IF(O252&lt;=1,"0-1 литров",IF(O252&lt;=3,"2-3 литра",IF(O252&lt;=5,"4-5 литра",IF(O252&lt;=7,"6-7 литра",IF(O252&lt;=9,"8-9 литров",IF(O252&lt;=14,"10-14 литров",IF(O252&lt;=19,"15-19 литров",IF(O252&lt;=29,"20-29 литров",IF(O252&lt;=49,"30-49 литров",IF(O252&lt;=59,"50-59 литров",IF(O252&lt;=70,"60-69 литров",IF(O252&lt;=79,"70-79 литров",IF(O252&lt;=89,"80-89 литров",IF(O252&lt;=99,"90-99 литров",IF(O252&lt;=200,"100-200 литров","200+ литров"))))))))))))))))</f>
        <v/>
      </c>
    </row>
    <row r="253" customFormat="1" s="207">
      <c r="A253" s="64" t="n">
        <v>0.24</v>
      </c>
      <c r="B253" s="65">
        <f>A253*1.2</f>
        <v/>
      </c>
      <c r="C253" s="109" t="n">
        <v>253</v>
      </c>
      <c r="D253" s="116" t="inlineStr">
        <is>
          <t>У</t>
        </is>
      </c>
      <c r="E253" s="88" t="inlineStr">
        <is>
          <t>110х93х130</t>
        </is>
      </c>
      <c r="F253" s="213" t="n"/>
      <c r="G253" s="83" t="inlineStr">
        <is>
          <t>С</t>
        </is>
      </c>
      <c r="H253" s="146" t="inlineStr">
        <is>
          <t>0215</t>
        </is>
      </c>
      <c r="I253" s="83" t="inlineStr">
        <is>
          <t>Е</t>
        </is>
      </c>
      <c r="J253" s="83" t="inlineStr">
        <is>
          <t>ОП</t>
        </is>
      </c>
      <c r="K253" s="116" t="inlineStr">
        <is>
          <t>K234</t>
        </is>
      </c>
      <c r="L253" s="103" t="n"/>
      <c r="M253" s="239" t="n"/>
      <c r="N253" s="239">
        <f>IF(D253="","",IF(LEFT(D253,1)="0",0,1))</f>
        <v/>
      </c>
      <c r="O253" s="80">
        <f>ROUND(R253*S253*T253/1000000,2)</f>
        <v/>
      </c>
      <c r="P253" s="160">
        <f>IF(O253="","",
IF(O253&lt;1,"0,1-0,9 литров",
IF(O253&lt;2,"1-1,9 литра",
IF(O253&lt;3,"2-2,9 литра",
IF(O253&lt;4,"3-3,9 литра",
IF(O253&lt;6,"4-5,9 литра",IF(O253&lt;8,"6-7,9 литра",IF(O253&lt;10,"8-9,9 литров",IF(O253&lt;15,"10-14,9 литров",IF(O253&lt;20,"15-19,9 литров",IF(O253&lt;30,"20-29 литров",IF(O253&lt;50,"30-49 литров",IF(O253&lt;60,"50-59 литров",IF(O253&lt;70,"60-69 литров",IF(O253&lt;80,"70-79 литров",IF(O253&lt;90,"80-89 литров",IF(O253&lt;100,"90-99 литров",IF(O253&lt;200,"100-200 литров","200+ литров"))))))))))))))))))</f>
        <v/>
      </c>
      <c r="Q253" s="101">
        <f>IF(O253="","",IF(O253&lt;1,"&lt;1 л",IF(O253&lt;2,"1-2 л",IF(O253&lt;3,"2-3 л",IF(O253&lt;5,"3-5 л",IF(O253&lt;10,"5-10 л",IF(O253&lt;20,"10-20 л",IF(O253&lt;50,"20-50 л",IF(O253&lt;100,"50-100 л","100+ л")))))))))</f>
        <v/>
      </c>
      <c r="R253" s="162">
        <f>IF(E253="","",--LEFT(E253,FIND("х",E253)-1))</f>
        <v/>
      </c>
      <c r="S253" s="162">
        <f>IF(E253="","",--MID(E253,FIND("х",E253)+1,FIND("х",E253,FIND("х",E253)+1)-FIND("х",E253)-1))</f>
        <v/>
      </c>
      <c r="T253" s="162">
        <f>IF(E253="","",--RIGHT(E253,LEN(E253)-FIND("х",E253,FIND("х",E253)+1)))</f>
        <v/>
      </c>
      <c r="U253" s="66">
        <f>(2*(R253+S253)+60)*(S253+T253+8)/1000000</f>
        <v/>
      </c>
      <c r="V253" s="66">
        <f>IF(OR(AND(R253&gt;=2*S253,R253&gt;=2*T253),AND(S253&gt;=2*R253,S253&gt;=2*T253),AND(T253&gt;=2*R253,T253&gt;=2*S253)),"Длинные","")</f>
        <v/>
      </c>
      <c r="W253" s="66">
        <f>IF(OR(AND(R253&lt;=S253/2,R253&lt;=T253/2),AND(S253&lt;=R253/2,S253&lt;=T253/2),AND(T253&lt;=R253/2,T253&lt;=S253/2)),"Плоские","")</f>
        <v/>
      </c>
      <c r="X253" s="160">
        <f>IF(LARGE($R253:$T253,1)="","",IF(LARGE($R253:$T253,1)&lt;=99,"10-99 мм",IF(LARGE($R253:$T253,1)&lt;=199,"100-199 мм",IF(LARGE($R253:$T253,1)&lt;=299,"200-299 мм",IF(LARGE($R253:$T253,1)&lt;=399,"300-399 мм",IF(LARGE($R253:$T253,1)&lt;=499,"400-499 мм",IF(LARGE($R253:$T253,1)&lt;=599,"500-599 мм",IF(LARGE($R253:$T253,1)&lt;=699,"600-699 мм",IF(LARGE($R253:$T253,1)&lt;=999,"700-999 мм","1000+ мм")))))))))</f>
        <v/>
      </c>
      <c r="Y253" s="160">
        <f>IF(LARGE($R253:$T253,2)="","",IF(LARGE($R253:$T253,2)&lt;=99,"10-99 мм",IF(LARGE($R253:$T253,2)&lt;=199,"100-199 мм",IF(LARGE($R253:$T253,2)&lt;=299,"200-299 мм",IF(LARGE($R253:$T253,2)&lt;=399,"300-399 мм",IF(LARGE($R253:$T253,2)&lt;=499,"400-499 мм",IF(LARGE($R253:$T253,2)&lt;=599,"500-599 мм",IF(LARGE($R253:$T253,2)&lt;=699,"600-699 мм",IF(LARGE($R253:$T253,2)&lt;=999,"700-999 мм","1000+ мм")))))))))</f>
        <v/>
      </c>
      <c r="Z253" s="160">
        <f>IF(SMALL($R253:$T253,1)="","",IF(SMALL($R253:$T253,1)&lt;=99,"10-99 мм",IF(SMALL($R253:$T253,1)&lt;=199,"100-199 мм",IF(SMALL($R253:$T253,1)&lt;=299,"200-299 мм",IF(SMALL($R253:$T253,1)&lt;=399,"300-399 мм",IF(SMALL($R253:$T253,1)&lt;=499,"400-499 мм",IF(SMALL($R253:$T253,1)&lt;=599,"500-599 мм",IF(SMALL($R253:$T253,1)&lt;=699,"600-699 мм",IF(SMALL($R253:$T253,1)&lt;=999,"700-999 мм","1000+ мм")))))))))</f>
        <v/>
      </c>
      <c r="AA253" s="101">
        <f>IF(G253="","",IF(G253="Л","Лист гофрокартона",IF(G253="КД","Крышка-дно",IF(G253="С","Самосборные",IF(G253="Ч","Четырехклапанные",IF(G253="А","Архивные","Неизвестно"))))))</f>
        <v/>
      </c>
      <c r="AB253" s="66" t="n">
        <v>1.73</v>
      </c>
      <c r="AC253" s="101">
        <f>IF(O253="","",IF(O253&lt;=1,"0-1 литров",IF(O253&lt;=3,"2-3 литра",IF(O253&lt;=5,"4-5 литра",IF(O253&lt;=7,"6-7 литра",IF(O253&lt;=9,"8-9 литров",IF(O253&lt;=14,"10-14 литров",IF(O253&lt;=19,"15-19 литров",IF(O253&lt;=29,"20-29 литров",IF(O253&lt;=49,"30-49 литров",IF(O253&lt;=59,"50-59 литров",IF(O253&lt;=70,"60-69 литров",IF(O253&lt;=79,"70-79 литров",IF(O253&lt;=89,"80-89 литров",IF(O253&lt;=99,"90-99 литров",IF(O253&lt;=200,"100-200 литров","200+ литров"))))))))))))))))</f>
        <v/>
      </c>
    </row>
    <row r="254" customFormat="1" s="207">
      <c r="A254" s="64" t="n">
        <v>0.22</v>
      </c>
      <c r="B254" s="65">
        <f>A254*1.2</f>
        <v/>
      </c>
      <c r="C254" s="109" t="n">
        <v>254</v>
      </c>
      <c r="D254" s="116" t="inlineStr">
        <is>
          <t>У</t>
        </is>
      </c>
      <c r="E254" s="88" t="inlineStr">
        <is>
          <t>110х110х40</t>
        </is>
      </c>
      <c r="F254" s="213" t="n"/>
      <c r="G254" s="83" t="inlineStr">
        <is>
          <t>С</t>
        </is>
      </c>
      <c r="H254" s="146" t="inlineStr">
        <is>
          <t>0427</t>
        </is>
      </c>
      <c r="I254" s="83" t="inlineStr">
        <is>
          <t>Е</t>
        </is>
      </c>
      <c r="J254" s="83" t="inlineStr">
        <is>
          <t>ОП</t>
        </is>
      </c>
      <c r="K254" s="116" t="inlineStr">
        <is>
          <t>K235</t>
        </is>
      </c>
      <c r="L254" s="103" t="n"/>
      <c r="M254" s="239" t="n"/>
      <c r="N254" s="239">
        <f>IF(D254="","",IF(LEFT(D254,1)="0",0,1))</f>
        <v/>
      </c>
      <c r="O254" s="80">
        <f>ROUND(R254*S254*T254/1000000,2)</f>
        <v/>
      </c>
      <c r="P254" s="160">
        <f>IF(O254="","",
IF(O254&lt;1,"0,1-0,9 литров",
IF(O254&lt;2,"1-1,9 литра",
IF(O254&lt;3,"2-2,9 литра",
IF(O254&lt;4,"3-3,9 литра",
IF(O254&lt;6,"4-5,9 литра",IF(O254&lt;8,"6-7,9 литра",IF(O254&lt;10,"8-9,9 литров",IF(O254&lt;15,"10-14,9 литров",IF(O254&lt;20,"15-19,9 литров",IF(O254&lt;30,"20-29 литров",IF(O254&lt;50,"30-49 литров",IF(O254&lt;60,"50-59 литров",IF(O254&lt;70,"60-69 литров",IF(O254&lt;80,"70-79 литров",IF(O254&lt;90,"80-89 литров",IF(O254&lt;100,"90-99 литров",IF(O254&lt;200,"100-200 литров","200+ литров"))))))))))))))))))</f>
        <v/>
      </c>
      <c r="Q254" s="101">
        <f>IF(O254="","",IF(O254&lt;1,"&lt;1 л",IF(O254&lt;2,"1-2 л",IF(O254&lt;3,"2-3 л",IF(O254&lt;5,"3-5 л",IF(O254&lt;10,"5-10 л",IF(O254&lt;20,"10-20 л",IF(O254&lt;50,"20-50 л",IF(O254&lt;100,"50-100 л","100+ л")))))))))</f>
        <v/>
      </c>
      <c r="R254" s="162">
        <f>IF(E254="","",--LEFT(E254,FIND("х",E254)-1))</f>
        <v/>
      </c>
      <c r="S254" s="162">
        <f>IF(E254="","",--MID(E254,FIND("х",E254)+1,FIND("х",E254,FIND("х",E254)+1)-FIND("х",E254)-1))</f>
        <v/>
      </c>
      <c r="T254" s="162">
        <f>IF(E254="","",--RIGHT(E254,LEN(E254)-FIND("х",E254,FIND("х",E254)+1)))</f>
        <v/>
      </c>
      <c r="U254" s="66">
        <f>(2*(R254+S254)+60)*(S254+T254+8)/1000000</f>
        <v/>
      </c>
      <c r="V254" s="66">
        <f>IF(OR(AND(R254&gt;=2*S254,R254&gt;=2*T254),AND(S254&gt;=2*R254,S254&gt;=2*T254),AND(T254&gt;=2*R254,T254&gt;=2*S254)),"Длинные","")</f>
        <v/>
      </c>
      <c r="W254" s="66">
        <f>IF(OR(AND(R254&lt;=S254/2,R254&lt;=T254/2),AND(S254&lt;=R254/2,S254&lt;=T254/2),AND(T254&lt;=R254/2,T254&lt;=S254/2)),"Плоские","")</f>
        <v/>
      </c>
      <c r="X254" s="160">
        <f>IF(LARGE($R254:$T254,1)="","",IF(LARGE($R254:$T254,1)&lt;=99,"10-99 мм",IF(LARGE($R254:$T254,1)&lt;=199,"100-199 мм",IF(LARGE($R254:$T254,1)&lt;=299,"200-299 мм",IF(LARGE($R254:$T254,1)&lt;=399,"300-399 мм",IF(LARGE($R254:$T254,1)&lt;=499,"400-499 мм",IF(LARGE($R254:$T254,1)&lt;=599,"500-599 мм",IF(LARGE($R254:$T254,1)&lt;=699,"600-699 мм",IF(LARGE($R254:$T254,1)&lt;=999,"700-999 мм","1000+ мм")))))))))</f>
        <v/>
      </c>
      <c r="Y254" s="160">
        <f>IF(LARGE($R254:$T254,2)="","",IF(LARGE($R254:$T254,2)&lt;=99,"10-99 мм",IF(LARGE($R254:$T254,2)&lt;=199,"100-199 мм",IF(LARGE($R254:$T254,2)&lt;=299,"200-299 мм",IF(LARGE($R254:$T254,2)&lt;=399,"300-399 мм",IF(LARGE($R254:$T254,2)&lt;=499,"400-499 мм",IF(LARGE($R254:$T254,2)&lt;=599,"500-599 мм",IF(LARGE($R254:$T254,2)&lt;=699,"600-699 мм",IF(LARGE($R254:$T254,2)&lt;=999,"700-999 мм","1000+ мм")))))))))</f>
        <v/>
      </c>
      <c r="Z254" s="160">
        <f>IF(SMALL($R254:$T254,1)="","",IF(SMALL($R254:$T254,1)&lt;=99,"10-99 мм",IF(SMALL($R254:$T254,1)&lt;=199,"100-199 мм",IF(SMALL($R254:$T254,1)&lt;=299,"200-299 мм",IF(SMALL($R254:$T254,1)&lt;=399,"300-399 мм",IF(SMALL($R254:$T254,1)&lt;=499,"400-499 мм",IF(SMALL($R254:$T254,1)&lt;=599,"500-599 мм",IF(SMALL($R254:$T254,1)&lt;=699,"600-699 мм",IF(SMALL($R254:$T254,1)&lt;=999,"700-999 мм","1000+ мм")))))))))</f>
        <v/>
      </c>
      <c r="AA254" s="101">
        <f>IF(G254="","",IF(G254="Л","Лист гофрокартона",IF(G254="КД","Крышка-дно",IF(G254="С","Самосборные",IF(G254="Ч","Четырехклапанные",IF(G254="А","Архивные","Неизвестно"))))))</f>
        <v/>
      </c>
      <c r="AB254" s="66" t="n">
        <v>1.73</v>
      </c>
      <c r="AC254" s="101">
        <f>IF(O254="","",IF(O254&lt;=1,"0-1 литров",IF(O254&lt;=3,"2-3 литра",IF(O254&lt;=5,"4-5 литра",IF(O254&lt;=7,"6-7 литра",IF(O254&lt;=9,"8-9 литров",IF(O254&lt;=14,"10-14 литров",IF(O254&lt;=19,"15-19 литров",IF(O254&lt;=29,"20-29 литров",IF(O254&lt;=49,"30-49 литров",IF(O254&lt;=59,"50-59 литров",IF(O254&lt;=70,"60-69 литров",IF(O254&lt;=79,"70-79 литров",IF(O254&lt;=89,"80-89 литров",IF(O254&lt;=99,"90-99 литров",IF(O254&lt;=200,"100-200 литров","200+ литров"))))))))))))))))</f>
        <v/>
      </c>
    </row>
    <row r="255" customFormat="1" s="207">
      <c r="A255" s="64" t="n">
        <v>0.32</v>
      </c>
      <c r="B255" s="65">
        <f>A255*1.2</f>
        <v/>
      </c>
      <c r="C255" s="109" t="n">
        <v>255</v>
      </c>
      <c r="D255" s="116" t="inlineStr">
        <is>
          <t>У</t>
        </is>
      </c>
      <c r="E255" s="88" t="inlineStr">
        <is>
          <t>250х175х35</t>
        </is>
      </c>
      <c r="F255" s="213" t="n"/>
      <c r="G255" s="83" t="inlineStr">
        <is>
          <t>С</t>
        </is>
      </c>
      <c r="H255" s="146" t="inlineStr">
        <is>
          <t>0427</t>
        </is>
      </c>
      <c r="I255" s="83" t="inlineStr">
        <is>
          <t>В</t>
        </is>
      </c>
      <c r="J255" s="83" t="inlineStr">
        <is>
          <t>ОП</t>
        </is>
      </c>
      <c r="K255" s="116" t="inlineStr">
        <is>
          <t>K236</t>
        </is>
      </c>
      <c r="L255" s="103" t="n"/>
      <c r="M255" s="239" t="n"/>
      <c r="N255" s="239">
        <f>IF(D255="","",IF(LEFT(D255,1)="0",0,1))</f>
        <v/>
      </c>
      <c r="O255" s="80">
        <f>ROUND(R255*S255*T255/1000000,2)</f>
        <v/>
      </c>
      <c r="P255" s="160">
        <f>IF(O255="","",
IF(O255&lt;1,"0,1-0,9 литров",
IF(O255&lt;2,"1-1,9 литра",
IF(O255&lt;3,"2-2,9 литра",
IF(O255&lt;4,"3-3,9 литра",
IF(O255&lt;6,"4-5,9 литра",IF(O255&lt;8,"6-7,9 литра",IF(O255&lt;10,"8-9,9 литров",IF(O255&lt;15,"10-14,9 литров",IF(O255&lt;20,"15-19,9 литров",IF(O255&lt;30,"20-29 литров",IF(O255&lt;50,"30-49 литров",IF(O255&lt;60,"50-59 литров",IF(O255&lt;70,"60-69 литров",IF(O255&lt;80,"70-79 литров",IF(O255&lt;90,"80-89 литров",IF(O255&lt;100,"90-99 литров",IF(O255&lt;200,"100-200 литров","200+ литров"))))))))))))))))))</f>
        <v/>
      </c>
      <c r="Q255" s="101">
        <f>IF(O255="","",IF(O255&lt;1,"&lt;1 л",IF(O255&lt;2,"1-2 л",IF(O255&lt;3,"2-3 л",IF(O255&lt;5,"3-5 л",IF(O255&lt;10,"5-10 л",IF(O255&lt;20,"10-20 л",IF(O255&lt;50,"20-50 л",IF(O255&lt;100,"50-100 л","100+ л")))))))))</f>
        <v/>
      </c>
      <c r="R255" s="162">
        <f>IF(E255="","",--LEFT(E255,FIND("х",E255)-1))</f>
        <v/>
      </c>
      <c r="S255" s="162">
        <f>IF(E255="","",--MID(E255,FIND("х",E255)+1,FIND("х",E255,FIND("х",E255)+1)-FIND("х",E255)-1))</f>
        <v/>
      </c>
      <c r="T255" s="162">
        <f>IF(E255="","",--RIGHT(E255,LEN(E255)-FIND("х",E255,FIND("х",E255)+1)))</f>
        <v/>
      </c>
      <c r="U255" s="66">
        <f>(2*(R255+S255)+60)*(S255+T255+8)/1000000</f>
        <v/>
      </c>
      <c r="V255" s="66">
        <f>IF(OR(AND(R255&gt;=2*S255,R255&gt;=2*T255),AND(S255&gt;=2*R255,S255&gt;=2*T255),AND(T255&gt;=2*R255,T255&gt;=2*S255)),"Длинные","")</f>
        <v/>
      </c>
      <c r="W255" s="66">
        <f>IF(OR(AND(R255&lt;=S255/2,R255&lt;=T255/2),AND(S255&lt;=R255/2,S255&lt;=T255/2),AND(T255&lt;=R255/2,T255&lt;=S255/2)),"Плоские","")</f>
        <v/>
      </c>
      <c r="X255" s="160">
        <f>IF(LARGE($R255:$T255,1)="","",IF(LARGE($R255:$T255,1)&lt;=99,"10-99 мм",IF(LARGE($R255:$T255,1)&lt;=199,"100-199 мм",IF(LARGE($R255:$T255,1)&lt;=299,"200-299 мм",IF(LARGE($R255:$T255,1)&lt;=399,"300-399 мм",IF(LARGE($R255:$T255,1)&lt;=499,"400-499 мм",IF(LARGE($R255:$T255,1)&lt;=599,"500-599 мм",IF(LARGE($R255:$T255,1)&lt;=699,"600-699 мм",IF(LARGE($R255:$T255,1)&lt;=999,"700-999 мм","1000+ мм")))))))))</f>
        <v/>
      </c>
      <c r="Y255" s="160">
        <f>IF(LARGE($R255:$T255,2)="","",IF(LARGE($R255:$T255,2)&lt;=99,"10-99 мм",IF(LARGE($R255:$T255,2)&lt;=199,"100-199 мм",IF(LARGE($R255:$T255,2)&lt;=299,"200-299 мм",IF(LARGE($R255:$T255,2)&lt;=399,"300-399 мм",IF(LARGE($R255:$T255,2)&lt;=499,"400-499 мм",IF(LARGE($R255:$T255,2)&lt;=599,"500-599 мм",IF(LARGE($R255:$T255,2)&lt;=699,"600-699 мм",IF(LARGE($R255:$T255,2)&lt;=999,"700-999 мм","1000+ мм")))))))))</f>
        <v/>
      </c>
      <c r="Z255" s="160">
        <f>IF(SMALL($R255:$T255,1)="","",IF(SMALL($R255:$T255,1)&lt;=99,"10-99 мм",IF(SMALL($R255:$T255,1)&lt;=199,"100-199 мм",IF(SMALL($R255:$T255,1)&lt;=299,"200-299 мм",IF(SMALL($R255:$T255,1)&lt;=399,"300-399 мм",IF(SMALL($R255:$T255,1)&lt;=499,"400-499 мм",IF(SMALL($R255:$T255,1)&lt;=599,"500-599 мм",IF(SMALL($R255:$T255,1)&lt;=699,"600-699 мм",IF(SMALL($R255:$T255,1)&lt;=999,"700-999 мм","1000+ мм")))))))))</f>
        <v/>
      </c>
      <c r="AA255" s="101">
        <f>IF(G255="","",IF(G255="Л","Лист гофрокартона",IF(G255="КД","Крышка-дно",IF(G255="С","Самосборные",IF(G255="Ч","Четырехклапанные",IF(G255="А","Архивные","Неизвестно"))))))</f>
        <v/>
      </c>
      <c r="AB255" s="66" t="n">
        <v>1.73</v>
      </c>
      <c r="AC255" s="101">
        <f>IF(O255="","",IF(O255&lt;=1,"0-1 литров",IF(O255&lt;=3,"2-3 литра",IF(O255&lt;=5,"4-5 литра",IF(O255&lt;=7,"6-7 литра",IF(O255&lt;=9,"8-9 литров",IF(O255&lt;=14,"10-14 литров",IF(O255&lt;=19,"15-19 литров",IF(O255&lt;=29,"20-29 литров",IF(O255&lt;=49,"30-49 литров",IF(O255&lt;=59,"50-59 литров",IF(O255&lt;=70,"60-69 литров",IF(O255&lt;=79,"70-79 литров",IF(O255&lt;=89,"80-89 литров",IF(O255&lt;=99,"90-99 литров",IF(O255&lt;=200,"100-200 литров","200+ литров"))))))))))))))))</f>
        <v/>
      </c>
    </row>
    <row r="256" ht="20.6" customFormat="1" customHeight="1" s="207">
      <c r="A256" s="64" t="n">
        <v>0.77</v>
      </c>
      <c r="B256" s="65">
        <f>A256*1.2</f>
        <v/>
      </c>
      <c r="C256" s="109" t="n">
        <v>256</v>
      </c>
      <c r="D256" s="78" t="inlineStr">
        <is>
          <t>0-У без разм на сайте</t>
        </is>
      </c>
      <c r="E256" s="88" t="inlineStr">
        <is>
          <t>520х220х50</t>
        </is>
      </c>
      <c r="F256" s="213" t="inlineStr">
        <is>
          <t>без размещения на сайте</t>
        </is>
      </c>
      <c r="G256" s="83" t="inlineStr">
        <is>
          <t>С</t>
        </is>
      </c>
      <c r="H256" s="146" t="inlineStr">
        <is>
          <t>0427</t>
        </is>
      </c>
      <c r="I256" s="83" t="inlineStr">
        <is>
          <t>В</t>
        </is>
      </c>
      <c r="J256" s="83" t="inlineStr">
        <is>
          <t>ОП</t>
        </is>
      </c>
      <c r="K256" s="116" t="inlineStr">
        <is>
          <t>K0</t>
        </is>
      </c>
      <c r="L256" s="103" t="n"/>
      <c r="M256" s="239" t="n"/>
      <c r="N256" s="239">
        <f>IF(D256="","",IF(LEFT(D256,1)="0",0,1))</f>
        <v/>
      </c>
      <c r="O256" s="80">
        <f>ROUND(R256*S256*T256/1000000,2)</f>
        <v/>
      </c>
      <c r="P256" s="160">
        <f>IF(O256="","",
IF(O256&lt;1,"0,1-0,9 литров",
IF(O256&lt;2,"1-1,9 литра",
IF(O256&lt;3,"2-2,9 литра",
IF(O256&lt;4,"3-3,9 литра",
IF(O256&lt;6,"4-5,9 литра",IF(O256&lt;8,"6-7,9 литра",IF(O256&lt;10,"8-9,9 литров",IF(O256&lt;15,"10-14,9 литров",IF(O256&lt;20,"15-19,9 литров",IF(O256&lt;30,"20-29 литров",IF(O256&lt;50,"30-49 литров",IF(O256&lt;60,"50-59 литров",IF(O256&lt;70,"60-69 литров",IF(O256&lt;80,"70-79 литров",IF(O256&lt;90,"80-89 литров",IF(O256&lt;100,"90-99 литров",IF(O256&lt;200,"100-200 литров","200+ литров"))))))))))))))))))</f>
        <v/>
      </c>
      <c r="Q256" s="101">
        <f>IF(O256="","",IF(O256&lt;1,"&lt;1 л",IF(O256&lt;2,"1-2 л",IF(O256&lt;3,"2-3 л",IF(O256&lt;5,"3-5 л",IF(O256&lt;10,"5-10 л",IF(O256&lt;20,"10-20 л",IF(O256&lt;50,"20-50 л",IF(O256&lt;100,"50-100 л","100+ л")))))))))</f>
        <v/>
      </c>
      <c r="R256" s="162">
        <f>IF(E256="","",--LEFT(E256,FIND("х",E256)-1))</f>
        <v/>
      </c>
      <c r="S256" s="162">
        <f>IF(E256="","",--MID(E256,FIND("х",E256)+1,FIND("х",E256,FIND("х",E256)+1)-FIND("х",E256)-1))</f>
        <v/>
      </c>
      <c r="T256" s="162">
        <f>IF(E256="","",--RIGHT(E256,LEN(E256)-FIND("х",E256,FIND("х",E256)+1)))</f>
        <v/>
      </c>
      <c r="U256" s="66">
        <f>(2*(R256+S256)+60)*(S256+T256+8)/1000000</f>
        <v/>
      </c>
      <c r="V256" s="66">
        <f>IF(OR(AND(R256&gt;=2*S256,R256&gt;=2*T256),AND(S256&gt;=2*R256,S256&gt;=2*T256),AND(T256&gt;=2*R256,T256&gt;=2*S256)),"Длинные","")</f>
        <v/>
      </c>
      <c r="W256" s="66">
        <f>IF(OR(AND(R256&lt;=S256/2,R256&lt;=T256/2),AND(S256&lt;=R256/2,S256&lt;=T256/2),AND(T256&lt;=R256/2,T256&lt;=S256/2)),"Плоские","")</f>
        <v/>
      </c>
      <c r="X256" s="160">
        <f>IF(LARGE($R256:$T256,1)="","",IF(LARGE($R256:$T256,1)&lt;=99,"10-99 мм",IF(LARGE($R256:$T256,1)&lt;=199,"100-199 мм",IF(LARGE($R256:$T256,1)&lt;=299,"200-299 мм",IF(LARGE($R256:$T256,1)&lt;=399,"300-399 мм",IF(LARGE($R256:$T256,1)&lt;=499,"400-499 мм",IF(LARGE($R256:$T256,1)&lt;=599,"500-599 мм",IF(LARGE($R256:$T256,1)&lt;=699,"600-699 мм",IF(LARGE($R256:$T256,1)&lt;=999,"700-999 мм","1000+ мм")))))))))</f>
        <v/>
      </c>
      <c r="Y256" s="160">
        <f>IF(LARGE($R256:$T256,2)="","",IF(LARGE($R256:$T256,2)&lt;=99,"10-99 мм",IF(LARGE($R256:$T256,2)&lt;=199,"100-199 мм",IF(LARGE($R256:$T256,2)&lt;=299,"200-299 мм",IF(LARGE($R256:$T256,2)&lt;=399,"300-399 мм",IF(LARGE($R256:$T256,2)&lt;=499,"400-499 мм",IF(LARGE($R256:$T256,2)&lt;=599,"500-599 мм",IF(LARGE($R256:$T256,2)&lt;=699,"600-699 мм",IF(LARGE($R256:$T256,2)&lt;=999,"700-999 мм","1000+ мм")))))))))</f>
        <v/>
      </c>
      <c r="Z256" s="160">
        <f>IF(SMALL($R256:$T256,1)="","",IF(SMALL($R256:$T256,1)&lt;=99,"10-99 мм",IF(SMALL($R256:$T256,1)&lt;=199,"100-199 мм",IF(SMALL($R256:$T256,1)&lt;=299,"200-299 мм",IF(SMALL($R256:$T256,1)&lt;=399,"300-399 мм",IF(SMALL($R256:$T256,1)&lt;=499,"400-499 мм",IF(SMALL($R256:$T256,1)&lt;=599,"500-599 мм",IF(SMALL($R256:$T256,1)&lt;=699,"600-699 мм",IF(SMALL($R256:$T256,1)&lt;=999,"700-999 мм","1000+ мм")))))))))</f>
        <v/>
      </c>
      <c r="AA256" s="101">
        <f>IF(G256="","",IF(G256="Л","Лист гофрокартона",IF(G256="КД","Крышка-дно",IF(G256="С","Самосборные",IF(G256="Ч","Четырехклапанные",IF(G256="А","Архивные","Неизвестно"))))))</f>
        <v/>
      </c>
      <c r="AB256" s="66" t="n">
        <v>1.73</v>
      </c>
      <c r="AC256" s="101">
        <f>IF(O256="","",IF(O256&lt;=1,"0-1 литров",IF(O256&lt;=3,"2-3 литра",IF(O256&lt;=5,"4-5 литра",IF(O256&lt;=7,"6-7 литра",IF(O256&lt;=9,"8-9 литров",IF(O256&lt;=14,"10-14 литров",IF(O256&lt;=19,"15-19 литров",IF(O256&lt;=29,"20-29 литров",IF(O256&lt;=49,"30-49 литров",IF(O256&lt;=59,"50-59 литров",IF(O256&lt;=70,"60-69 литров",IF(O256&lt;=79,"70-79 литров",IF(O256&lt;=89,"80-89 литров",IF(O256&lt;=99,"90-99 литров",IF(O256&lt;=200,"100-200 литров","200+ литров"))))))))))))))))</f>
        <v/>
      </c>
    </row>
    <row r="257" ht="20.6" customFormat="1" customHeight="1" s="207">
      <c r="A257" s="64" t="n">
        <v>0.74</v>
      </c>
      <c r="B257" s="65">
        <f>A257*1.2</f>
        <v/>
      </c>
      <c r="C257" s="109" t="n">
        <v>257</v>
      </c>
      <c r="D257" s="78" t="inlineStr">
        <is>
          <t>0-У без разм на сайте</t>
        </is>
      </c>
      <c r="E257" s="88" t="inlineStr">
        <is>
          <t>500х200х40</t>
        </is>
      </c>
      <c r="F257" s="213" t="inlineStr">
        <is>
          <t>без размещения на сайте</t>
        </is>
      </c>
      <c r="G257" s="83" t="inlineStr">
        <is>
          <t>С</t>
        </is>
      </c>
      <c r="H257" s="146" t="inlineStr">
        <is>
          <t>0427</t>
        </is>
      </c>
      <c r="I257" s="83" t="inlineStr">
        <is>
          <t>В</t>
        </is>
      </c>
      <c r="J257" s="83" t="inlineStr">
        <is>
          <t>ОП</t>
        </is>
      </c>
      <c r="K257" s="116" t="inlineStr">
        <is>
          <t>K0</t>
        </is>
      </c>
      <c r="L257" s="103" t="n"/>
      <c r="M257" s="239" t="n"/>
      <c r="N257" s="239">
        <f>IF(D257="","",IF(LEFT(D257,1)="0",0,1))</f>
        <v/>
      </c>
      <c r="O257" s="80">
        <f>ROUND(R257*S257*T257/1000000,2)</f>
        <v/>
      </c>
      <c r="P257" s="160">
        <f>IF(O257="","",
IF(O257&lt;1,"0,1-0,9 литров",
IF(O257&lt;2,"1-1,9 литра",
IF(O257&lt;3,"2-2,9 литра",
IF(O257&lt;4,"3-3,9 литра",
IF(O257&lt;6,"4-5,9 литра",IF(O257&lt;8,"6-7,9 литра",IF(O257&lt;10,"8-9,9 литров",IF(O257&lt;15,"10-14,9 литров",IF(O257&lt;20,"15-19,9 литров",IF(O257&lt;30,"20-29 литров",IF(O257&lt;50,"30-49 литров",IF(O257&lt;60,"50-59 литров",IF(O257&lt;70,"60-69 литров",IF(O257&lt;80,"70-79 литров",IF(O257&lt;90,"80-89 литров",IF(O257&lt;100,"90-99 литров",IF(O257&lt;200,"100-200 литров","200+ литров"))))))))))))))))))</f>
        <v/>
      </c>
      <c r="Q257" s="101">
        <f>IF(O257="","",IF(O257&lt;1,"&lt;1 л",IF(O257&lt;2,"1-2 л",IF(O257&lt;3,"2-3 л",IF(O257&lt;5,"3-5 л",IF(O257&lt;10,"5-10 л",IF(O257&lt;20,"10-20 л",IF(O257&lt;50,"20-50 л",IF(O257&lt;100,"50-100 л","100+ л")))))))))</f>
        <v/>
      </c>
      <c r="R257" s="162">
        <f>IF(E257="","",--LEFT(E257,FIND("х",E257)-1))</f>
        <v/>
      </c>
      <c r="S257" s="162">
        <f>IF(E257="","",--MID(E257,FIND("х",E257)+1,FIND("х",E257,FIND("х",E257)+1)-FIND("х",E257)-1))</f>
        <v/>
      </c>
      <c r="T257" s="162">
        <f>IF(E257="","",--RIGHT(E257,LEN(E257)-FIND("х",E257,FIND("х",E257)+1)))</f>
        <v/>
      </c>
      <c r="U257" s="66">
        <f>(2*(R257+S257)+60)*(S257+T257+8)/1000000</f>
        <v/>
      </c>
      <c r="V257" s="66">
        <f>IF(OR(AND(R257&gt;=2*S257,R257&gt;=2*T257),AND(S257&gt;=2*R257,S257&gt;=2*T257),AND(T257&gt;=2*R257,T257&gt;=2*S257)),"Длинные","")</f>
        <v/>
      </c>
      <c r="W257" s="66">
        <f>IF(OR(AND(R257&lt;=S257/2,R257&lt;=T257/2),AND(S257&lt;=R257/2,S257&lt;=T257/2),AND(T257&lt;=R257/2,T257&lt;=S257/2)),"Плоские","")</f>
        <v/>
      </c>
      <c r="X257" s="160">
        <f>IF(LARGE($R257:$T257,1)="","",IF(LARGE($R257:$T257,1)&lt;=99,"10-99 мм",IF(LARGE($R257:$T257,1)&lt;=199,"100-199 мм",IF(LARGE($R257:$T257,1)&lt;=299,"200-299 мм",IF(LARGE($R257:$T257,1)&lt;=399,"300-399 мм",IF(LARGE($R257:$T257,1)&lt;=499,"400-499 мм",IF(LARGE($R257:$T257,1)&lt;=599,"500-599 мм",IF(LARGE($R257:$T257,1)&lt;=699,"600-699 мм",IF(LARGE($R257:$T257,1)&lt;=999,"700-999 мм","1000+ мм")))))))))</f>
        <v/>
      </c>
      <c r="Y257" s="160">
        <f>IF(LARGE($R257:$T257,2)="","",IF(LARGE($R257:$T257,2)&lt;=99,"10-99 мм",IF(LARGE($R257:$T257,2)&lt;=199,"100-199 мм",IF(LARGE($R257:$T257,2)&lt;=299,"200-299 мм",IF(LARGE($R257:$T257,2)&lt;=399,"300-399 мм",IF(LARGE($R257:$T257,2)&lt;=499,"400-499 мм",IF(LARGE($R257:$T257,2)&lt;=599,"500-599 мм",IF(LARGE($R257:$T257,2)&lt;=699,"600-699 мм",IF(LARGE($R257:$T257,2)&lt;=999,"700-999 мм","1000+ мм")))))))))</f>
        <v/>
      </c>
      <c r="Z257" s="160">
        <f>IF(SMALL($R257:$T257,1)="","",IF(SMALL($R257:$T257,1)&lt;=99,"10-99 мм",IF(SMALL($R257:$T257,1)&lt;=199,"100-199 мм",IF(SMALL($R257:$T257,1)&lt;=299,"200-299 мм",IF(SMALL($R257:$T257,1)&lt;=399,"300-399 мм",IF(SMALL($R257:$T257,1)&lt;=499,"400-499 мм",IF(SMALL($R257:$T257,1)&lt;=599,"500-599 мм",IF(SMALL($R257:$T257,1)&lt;=699,"600-699 мм",IF(SMALL($R257:$T257,1)&lt;=999,"700-999 мм","1000+ мм")))))))))</f>
        <v/>
      </c>
      <c r="AA257" s="101">
        <f>IF(G257="","",IF(G257="Л","Лист гофрокартона",IF(G257="КД","Крышка-дно",IF(G257="С","Самосборные",IF(G257="Ч","Четырехклапанные",IF(G257="А","Архивные","Неизвестно"))))))</f>
        <v/>
      </c>
      <c r="AB257" s="66" t="n">
        <v>1.73</v>
      </c>
      <c r="AC257" s="101">
        <f>IF(O257="","",IF(O257&lt;=1,"0-1 литров",IF(O257&lt;=3,"2-3 литра",IF(O257&lt;=5,"4-5 литра",IF(O257&lt;=7,"6-7 литра",IF(O257&lt;=9,"8-9 литров",IF(O257&lt;=14,"10-14 литров",IF(O257&lt;=19,"15-19 литров",IF(O257&lt;=29,"20-29 литров",IF(O257&lt;=49,"30-49 литров",IF(O257&lt;=59,"50-59 литров",IF(O257&lt;=70,"60-69 литров",IF(O257&lt;=79,"70-79 литров",IF(O257&lt;=89,"80-89 литров",IF(O257&lt;=99,"90-99 литров",IF(O257&lt;=200,"100-200 литров","200+ литров"))))))))))))))))</f>
        <v/>
      </c>
    </row>
    <row r="258" customFormat="1" s="207">
      <c r="A258" s="64" t="n">
        <v>5.42</v>
      </c>
      <c r="B258" s="65">
        <f>A258*1.2</f>
        <v/>
      </c>
      <c r="C258" s="109" t="n">
        <v>258</v>
      </c>
      <c r="D258" s="77" t="inlineStr">
        <is>
          <t>У или др</t>
        </is>
      </c>
      <c r="E258" s="88" t="inlineStr">
        <is>
          <t>800х600х500</t>
        </is>
      </c>
      <c r="F258" s="213" t="n"/>
      <c r="G258" s="83" t="inlineStr">
        <is>
          <t>Ч</t>
        </is>
      </c>
      <c r="H258" s="146" t="inlineStr">
        <is>
          <t>0201</t>
        </is>
      </c>
      <c r="I258" s="83" t="inlineStr">
        <is>
          <t>В</t>
        </is>
      </c>
      <c r="J258" s="83" t="inlineStr">
        <is>
          <t>без</t>
        </is>
      </c>
      <c r="K258" s="116" t="inlineStr">
        <is>
          <t>K1025</t>
        </is>
      </c>
      <c r="L258" s="103" t="n"/>
      <c r="M258" s="239" t="n"/>
      <c r="N258" s="239">
        <f>IF(D258="","",IF(LEFT(D258,1)="0",0,1))</f>
        <v/>
      </c>
      <c r="O258" s="80">
        <f>ROUND(R258*S258*T258/1000000,2)</f>
        <v/>
      </c>
      <c r="P258" s="160">
        <f>IF(O258="","",
IF(O258&lt;1,"0,1-0,9 литров",
IF(O258&lt;2,"1-1,9 литра",
IF(O258&lt;3,"2-2,9 литра",
IF(O258&lt;4,"3-3,9 литра",
IF(O258&lt;6,"4-5,9 литра",IF(O258&lt;8,"6-7,9 литра",IF(O258&lt;10,"8-9,9 литров",IF(O258&lt;15,"10-14,9 литров",IF(O258&lt;20,"15-19,9 литров",IF(O258&lt;30,"20-29 литров",IF(O258&lt;50,"30-49 литров",IF(O258&lt;60,"50-59 литров",IF(O258&lt;70,"60-69 литров",IF(O258&lt;80,"70-79 литров",IF(O258&lt;90,"80-89 литров",IF(O258&lt;100,"90-99 литров",IF(O258&lt;200,"100-200 литров","200+ литров"))))))))))))))))))</f>
        <v/>
      </c>
      <c r="Q258" s="101">
        <f>IF(O258="","",IF(O258&lt;1,"&lt;1 л",IF(O258&lt;2,"1-2 л",IF(O258&lt;3,"2-3 л",IF(O258&lt;5,"3-5 л",IF(O258&lt;10,"5-10 л",IF(O258&lt;20,"10-20 л",IF(O258&lt;50,"20-50 л",IF(O258&lt;100,"50-100 л","100+ л")))))))))</f>
        <v/>
      </c>
      <c r="R258" s="162">
        <f>IF(E258="","",--LEFT(E258,FIND("х",E258)-1))</f>
        <v/>
      </c>
      <c r="S258" s="162">
        <f>IF(E258="","",--MID(E258,FIND("х",E258)+1,FIND("х",E258,FIND("х",E258)+1)-FIND("х",E258)-1))</f>
        <v/>
      </c>
      <c r="T258" s="162">
        <f>IF(E258="","",--RIGHT(E258,LEN(E258)-FIND("х",E258,FIND("х",E258)+1)))</f>
        <v/>
      </c>
      <c r="U258" s="66">
        <f>(2*(R258+S258)+60)*(S258+T258+8)/1000000</f>
        <v/>
      </c>
      <c r="V258" s="66">
        <f>IF(OR(AND(R258&gt;=2*S258,R258&gt;=2*T258),AND(S258&gt;=2*R258,S258&gt;=2*T258),AND(T258&gt;=2*R258,T258&gt;=2*S258)),"Длинные","")</f>
        <v/>
      </c>
      <c r="W258" s="66">
        <f>IF(OR(AND(R258&lt;=S258/2,R258&lt;=T258/2),AND(S258&lt;=R258/2,S258&lt;=T258/2),AND(T258&lt;=R258/2,T258&lt;=S258/2)),"Плоские","")</f>
        <v/>
      </c>
      <c r="X258" s="160">
        <f>IF(LARGE($R258:$T258,1)="","",IF(LARGE($R258:$T258,1)&lt;=99,"10-99 мм",IF(LARGE($R258:$T258,1)&lt;=199,"100-199 мм",IF(LARGE($R258:$T258,1)&lt;=299,"200-299 мм",IF(LARGE($R258:$T258,1)&lt;=399,"300-399 мм",IF(LARGE($R258:$T258,1)&lt;=499,"400-499 мм",IF(LARGE($R258:$T258,1)&lt;=599,"500-599 мм",IF(LARGE($R258:$T258,1)&lt;=699,"600-699 мм",IF(LARGE($R258:$T258,1)&lt;=999,"700-999 мм","1000+ мм")))))))))</f>
        <v/>
      </c>
      <c r="Y258" s="160">
        <f>IF(LARGE($R258:$T258,2)="","",IF(LARGE($R258:$T258,2)&lt;=99,"10-99 мм",IF(LARGE($R258:$T258,2)&lt;=199,"100-199 мм",IF(LARGE($R258:$T258,2)&lt;=299,"200-299 мм",IF(LARGE($R258:$T258,2)&lt;=399,"300-399 мм",IF(LARGE($R258:$T258,2)&lt;=499,"400-499 мм",IF(LARGE($R258:$T258,2)&lt;=599,"500-599 мм",IF(LARGE($R258:$T258,2)&lt;=699,"600-699 мм",IF(LARGE($R258:$T258,2)&lt;=999,"700-999 мм","1000+ мм")))))))))</f>
        <v/>
      </c>
      <c r="Z258" s="160">
        <f>IF(SMALL($R258:$T258,1)="","",IF(SMALL($R258:$T258,1)&lt;=99,"10-99 мм",IF(SMALL($R258:$T258,1)&lt;=199,"100-199 мм",IF(SMALL($R258:$T258,1)&lt;=299,"200-299 мм",IF(SMALL($R258:$T258,1)&lt;=399,"300-399 мм",IF(SMALL($R258:$T258,1)&lt;=499,"400-499 мм",IF(SMALL($R258:$T258,1)&lt;=599,"500-599 мм",IF(SMALL($R258:$T258,1)&lt;=699,"600-699 мм",IF(SMALL($R258:$T258,1)&lt;=999,"700-999 мм","1000+ мм")))))))))</f>
        <v/>
      </c>
      <c r="AA258" s="101">
        <f>IF(G258="","",IF(G258="Л","Лист гофрокартона",IF(G258="КД","Крышка-дно",IF(G258="С","Самосборные",IF(G258="Ч","Четырехклапанные",IF(G258="А","Архивные","Неизвестно"))))))</f>
        <v/>
      </c>
      <c r="AB258" s="66" t="n">
        <v>1.73</v>
      </c>
      <c r="AC258" s="101">
        <f>IF(O258="","",IF(O258&lt;=1,"0-1 литров",IF(O258&lt;=3,"2-3 литра",IF(O258&lt;=5,"4-5 литра",IF(O258&lt;=7,"6-7 литра",IF(O258&lt;=9,"8-9 литров",IF(O258&lt;=14,"10-14 литров",IF(O258&lt;=19,"15-19 литров",IF(O258&lt;=29,"20-29 литров",IF(O258&lt;=49,"30-49 литров",IF(O258&lt;=59,"50-59 литров",IF(O258&lt;=70,"60-69 литров",IF(O258&lt;=79,"70-79 литров",IF(O258&lt;=89,"80-89 литров",IF(O258&lt;=99,"90-99 литров",IF(O258&lt;=200,"100-200 литров","200+ литров"))))))))))))))))</f>
        <v/>
      </c>
    </row>
    <row r="259" customFormat="1" s="207">
      <c r="A259" s="64" t="n">
        <v>1.4</v>
      </c>
      <c r="B259" s="65">
        <f>A259*1.2</f>
        <v/>
      </c>
      <c r="C259" s="109" t="n">
        <v>259</v>
      </c>
      <c r="D259" s="77" t="inlineStr">
        <is>
          <t>АГ (Нолес)</t>
        </is>
      </c>
      <c r="E259" s="88" t="inlineStr">
        <is>
          <t>400х300х400</t>
        </is>
      </c>
      <c r="F259" s="213" t="n"/>
      <c r="G259" s="83" t="inlineStr">
        <is>
          <t>Ч</t>
        </is>
      </c>
      <c r="H259" s="146" t="inlineStr">
        <is>
          <t>0201</t>
        </is>
      </c>
      <c r="I259" s="83" t="inlineStr">
        <is>
          <t>В</t>
        </is>
      </c>
      <c r="J259" s="83" t="inlineStr">
        <is>
          <t>без</t>
        </is>
      </c>
      <c r="K259" s="116" t="inlineStr">
        <is>
          <t>K1026</t>
        </is>
      </c>
      <c r="L259" s="103" t="n"/>
      <c r="M259" s="239" t="n"/>
      <c r="N259" s="239">
        <f>IF(D259="","",IF(LEFT(D259,1)="0",0,1))</f>
        <v/>
      </c>
      <c r="O259" s="80">
        <f>ROUND(R259*S259*T259/1000000,2)</f>
        <v/>
      </c>
      <c r="P259" s="160">
        <f>IF(O259="","",
IF(O259&lt;1,"0,1-0,9 литров",
IF(O259&lt;2,"1-1,9 литра",
IF(O259&lt;3,"2-2,9 литра",
IF(O259&lt;4,"3-3,9 литра",
IF(O259&lt;6,"4-5,9 литра",IF(O259&lt;8,"6-7,9 литра",IF(O259&lt;10,"8-9,9 литров",IF(O259&lt;15,"10-14,9 литров",IF(O259&lt;20,"15-19,9 литров",IF(O259&lt;30,"20-29 литров",IF(O259&lt;50,"30-49 литров",IF(O259&lt;60,"50-59 литров",IF(O259&lt;70,"60-69 литров",IF(O259&lt;80,"70-79 литров",IF(O259&lt;90,"80-89 литров",IF(O259&lt;100,"90-99 литров",IF(O259&lt;200,"100-200 литров","200+ литров"))))))))))))))))))</f>
        <v/>
      </c>
      <c r="Q259" s="101">
        <f>IF(O259="","",IF(O259&lt;1,"&lt;1 л",IF(O259&lt;2,"1-2 л",IF(O259&lt;3,"2-3 л",IF(O259&lt;5,"3-5 л",IF(O259&lt;10,"5-10 л",IF(O259&lt;20,"10-20 л",IF(O259&lt;50,"20-50 л",IF(O259&lt;100,"50-100 л","100+ л")))))))))</f>
        <v/>
      </c>
      <c r="R259" s="162">
        <f>IF(E259="","",--LEFT(E259,FIND("х",E259)-1))</f>
        <v/>
      </c>
      <c r="S259" s="162">
        <f>IF(E259="","",--MID(E259,FIND("х",E259)+1,FIND("х",E259,FIND("х",E259)+1)-FIND("х",E259)-1))</f>
        <v/>
      </c>
      <c r="T259" s="162">
        <f>IF(E259="","",--RIGHT(E259,LEN(E259)-FIND("х",E259,FIND("х",E259)+1)))</f>
        <v/>
      </c>
      <c r="U259" s="66">
        <f>(2*(R259+S259)+60)*(S259+T259+8)/1000000</f>
        <v/>
      </c>
      <c r="V259" s="66">
        <f>IF(OR(AND(R259&gt;=2*S259,R259&gt;=2*T259),AND(S259&gt;=2*R259,S259&gt;=2*T259),AND(T259&gt;=2*R259,T259&gt;=2*S259)),"Длинные","")</f>
        <v/>
      </c>
      <c r="W259" s="66">
        <f>IF(OR(AND(R259&lt;=S259/2,R259&lt;=T259/2),AND(S259&lt;=R259/2,S259&lt;=T259/2),AND(T259&lt;=R259/2,T259&lt;=S259/2)),"Плоские","")</f>
        <v/>
      </c>
      <c r="X259" s="160">
        <f>IF(LARGE($R259:$T259,1)="","",IF(LARGE($R259:$T259,1)&lt;=99,"10-99 мм",IF(LARGE($R259:$T259,1)&lt;=199,"100-199 мм",IF(LARGE($R259:$T259,1)&lt;=299,"200-299 мм",IF(LARGE($R259:$T259,1)&lt;=399,"300-399 мм",IF(LARGE($R259:$T259,1)&lt;=499,"400-499 мм",IF(LARGE($R259:$T259,1)&lt;=599,"500-599 мм",IF(LARGE($R259:$T259,1)&lt;=699,"600-699 мм",IF(LARGE($R259:$T259,1)&lt;=999,"700-999 мм","1000+ мм")))))))))</f>
        <v/>
      </c>
      <c r="Y259" s="160">
        <f>IF(LARGE($R259:$T259,2)="","",IF(LARGE($R259:$T259,2)&lt;=99,"10-99 мм",IF(LARGE($R259:$T259,2)&lt;=199,"100-199 мм",IF(LARGE($R259:$T259,2)&lt;=299,"200-299 мм",IF(LARGE($R259:$T259,2)&lt;=399,"300-399 мм",IF(LARGE($R259:$T259,2)&lt;=499,"400-499 мм",IF(LARGE($R259:$T259,2)&lt;=599,"500-599 мм",IF(LARGE($R259:$T259,2)&lt;=699,"600-699 мм",IF(LARGE($R259:$T259,2)&lt;=999,"700-999 мм","1000+ мм")))))))))</f>
        <v/>
      </c>
      <c r="Z259" s="160">
        <f>IF(SMALL($R259:$T259,1)="","",IF(SMALL($R259:$T259,1)&lt;=99,"10-99 мм",IF(SMALL($R259:$T259,1)&lt;=199,"100-199 мм",IF(SMALL($R259:$T259,1)&lt;=299,"200-299 мм",IF(SMALL($R259:$T259,1)&lt;=399,"300-399 мм",IF(SMALL($R259:$T259,1)&lt;=499,"400-499 мм",IF(SMALL($R259:$T259,1)&lt;=599,"500-599 мм",IF(SMALL($R259:$T259,1)&lt;=699,"600-699 мм",IF(SMALL($R259:$T259,1)&lt;=999,"700-999 мм","1000+ мм")))))))))</f>
        <v/>
      </c>
      <c r="AA259" s="101">
        <f>IF(G259="","",IF(G259="Л","Лист гофрокартона",IF(G259="КД","Крышка-дно",IF(G259="С","Самосборные",IF(G259="Ч","Четырехклапанные",IF(G259="А","Архивные","Неизвестно"))))))</f>
        <v/>
      </c>
      <c r="AB259" s="66" t="n">
        <v>1.73</v>
      </c>
      <c r="AC259" s="101">
        <f>IF(O259="","",IF(O259&lt;=1,"0-1 литров",IF(O259&lt;=3,"2-3 литра",IF(O259&lt;=5,"4-5 литра",IF(O259&lt;=7,"6-7 литра",IF(O259&lt;=9,"8-9 литров",IF(O259&lt;=14,"10-14 литров",IF(O259&lt;=19,"15-19 литров",IF(O259&lt;=29,"20-29 литров",IF(O259&lt;=49,"30-49 литров",IF(O259&lt;=59,"50-59 литров",IF(O259&lt;=70,"60-69 литров",IF(O259&lt;=79,"70-79 литров",IF(O259&lt;=89,"80-89 литров",IF(O259&lt;=99,"90-99 литров",IF(O259&lt;=200,"100-200 литров","200+ литров"))))))))))))))))</f>
        <v/>
      </c>
    </row>
    <row r="260" customFormat="1" s="207">
      <c r="A260" s="64" t="n">
        <v>0.91</v>
      </c>
      <c r="B260" s="65">
        <f>A260*1.2</f>
        <v/>
      </c>
      <c r="C260" s="109" t="n">
        <v>260</v>
      </c>
      <c r="D260" s="77" t="inlineStr">
        <is>
          <t>У или др</t>
        </is>
      </c>
      <c r="E260" s="88" t="inlineStr">
        <is>
          <t>300х200х300</t>
        </is>
      </c>
      <c r="F260" s="213" t="n"/>
      <c r="G260" s="83" t="inlineStr">
        <is>
          <t>Ч</t>
        </is>
      </c>
      <c r="H260" s="146" t="inlineStr">
        <is>
          <t>0201</t>
        </is>
      </c>
      <c r="I260" s="83" t="inlineStr">
        <is>
          <t>В</t>
        </is>
      </c>
      <c r="J260" s="83" t="inlineStr">
        <is>
          <t>без</t>
        </is>
      </c>
      <c r="K260" s="116" t="inlineStr">
        <is>
          <t>K1027</t>
        </is>
      </c>
      <c r="L260" s="103" t="n"/>
      <c r="M260" s="239" t="n"/>
      <c r="N260" s="239">
        <f>IF(D260="","",IF(LEFT(D260,1)="0",0,1))</f>
        <v/>
      </c>
      <c r="O260" s="80">
        <f>ROUND(R260*S260*T260/1000000,2)</f>
        <v/>
      </c>
      <c r="P260" s="160">
        <f>IF(O260="","",
IF(O260&lt;1,"0,1-0,9 литров",
IF(O260&lt;2,"1-1,9 литра",
IF(O260&lt;3,"2-2,9 литра",
IF(O260&lt;4,"3-3,9 литра",
IF(O260&lt;6,"4-5,9 литра",IF(O260&lt;8,"6-7,9 литра",IF(O260&lt;10,"8-9,9 литров",IF(O260&lt;15,"10-14,9 литров",IF(O260&lt;20,"15-19,9 литров",IF(O260&lt;30,"20-29 литров",IF(O260&lt;50,"30-49 литров",IF(O260&lt;60,"50-59 литров",IF(O260&lt;70,"60-69 литров",IF(O260&lt;80,"70-79 литров",IF(O260&lt;90,"80-89 литров",IF(O260&lt;100,"90-99 литров",IF(O260&lt;200,"100-200 литров","200+ литров"))))))))))))))))))</f>
        <v/>
      </c>
      <c r="Q260" s="101">
        <f>IF(O260="","",IF(O260&lt;1,"&lt;1 л",IF(O260&lt;2,"1-2 л",IF(O260&lt;3,"2-3 л",IF(O260&lt;5,"3-5 л",IF(O260&lt;10,"5-10 л",IF(O260&lt;20,"10-20 л",IF(O260&lt;50,"20-50 л",IF(O260&lt;100,"50-100 л","100+ л")))))))))</f>
        <v/>
      </c>
      <c r="R260" s="162">
        <f>IF(E260="","",--LEFT(E260,FIND("х",E260)-1))</f>
        <v/>
      </c>
      <c r="S260" s="162">
        <f>IF(E260="","",--MID(E260,FIND("х",E260)+1,FIND("х",E260,FIND("х",E260)+1)-FIND("х",E260)-1))</f>
        <v/>
      </c>
      <c r="T260" s="162">
        <f>IF(E260="","",--RIGHT(E260,LEN(E260)-FIND("х",E260,FIND("х",E260)+1)))</f>
        <v/>
      </c>
      <c r="U260" s="66">
        <f>(2*(R260+S260)+60)*(S260+T260+8)/1000000</f>
        <v/>
      </c>
      <c r="V260" s="66">
        <f>IF(OR(AND(R260&gt;=2*S260,R260&gt;=2*T260),AND(S260&gt;=2*R260,S260&gt;=2*T260),AND(T260&gt;=2*R260,T260&gt;=2*S260)),"Длинные","")</f>
        <v/>
      </c>
      <c r="W260" s="66">
        <f>IF(OR(AND(R260&lt;=S260/2,R260&lt;=T260/2),AND(S260&lt;=R260/2,S260&lt;=T260/2),AND(T260&lt;=R260/2,T260&lt;=S260/2)),"Плоские","")</f>
        <v/>
      </c>
      <c r="X260" s="160">
        <f>IF(LARGE($R260:$T260,1)="","",IF(LARGE($R260:$T260,1)&lt;=99,"10-99 мм",IF(LARGE($R260:$T260,1)&lt;=199,"100-199 мм",IF(LARGE($R260:$T260,1)&lt;=299,"200-299 мм",IF(LARGE($R260:$T260,1)&lt;=399,"300-399 мм",IF(LARGE($R260:$T260,1)&lt;=499,"400-499 мм",IF(LARGE($R260:$T260,1)&lt;=599,"500-599 мм",IF(LARGE($R260:$T260,1)&lt;=699,"600-699 мм",IF(LARGE($R260:$T260,1)&lt;=999,"700-999 мм","1000+ мм")))))))))</f>
        <v/>
      </c>
      <c r="Y260" s="160">
        <f>IF(LARGE($R260:$T260,2)="","",IF(LARGE($R260:$T260,2)&lt;=99,"10-99 мм",IF(LARGE($R260:$T260,2)&lt;=199,"100-199 мм",IF(LARGE($R260:$T260,2)&lt;=299,"200-299 мм",IF(LARGE($R260:$T260,2)&lt;=399,"300-399 мм",IF(LARGE($R260:$T260,2)&lt;=499,"400-499 мм",IF(LARGE($R260:$T260,2)&lt;=599,"500-599 мм",IF(LARGE($R260:$T260,2)&lt;=699,"600-699 мм",IF(LARGE($R260:$T260,2)&lt;=999,"700-999 мм","1000+ мм")))))))))</f>
        <v/>
      </c>
      <c r="Z260" s="160">
        <f>IF(SMALL($R260:$T260,1)="","",IF(SMALL($R260:$T260,1)&lt;=99,"10-99 мм",IF(SMALL($R260:$T260,1)&lt;=199,"100-199 мм",IF(SMALL($R260:$T260,1)&lt;=299,"200-299 мм",IF(SMALL($R260:$T260,1)&lt;=399,"300-399 мм",IF(SMALL($R260:$T260,1)&lt;=499,"400-499 мм",IF(SMALL($R260:$T260,1)&lt;=599,"500-599 мм",IF(SMALL($R260:$T260,1)&lt;=699,"600-699 мм",IF(SMALL($R260:$T260,1)&lt;=999,"700-999 мм","1000+ мм")))))))))</f>
        <v/>
      </c>
      <c r="AA260" s="101">
        <f>IF(G260="","",IF(G260="Л","Лист гофрокартона",IF(G260="КД","Крышка-дно",IF(G260="С","Самосборные",IF(G260="Ч","Четырехклапанные",IF(G260="А","Архивные","Неизвестно"))))))</f>
        <v/>
      </c>
      <c r="AB260" s="66" t="n">
        <v>1.73</v>
      </c>
      <c r="AC260" s="101">
        <f>IF(O260="","",IF(O260&lt;=1,"0-1 литров",IF(O260&lt;=3,"2-3 литра",IF(O260&lt;=5,"4-5 литра",IF(O260&lt;=7,"6-7 литра",IF(O260&lt;=9,"8-9 литров",IF(O260&lt;=14,"10-14 литров",IF(O260&lt;=19,"15-19 литров",IF(O260&lt;=29,"20-29 литров",IF(O260&lt;=49,"30-49 литров",IF(O260&lt;=59,"50-59 литров",IF(O260&lt;=70,"60-69 литров",IF(O260&lt;=79,"70-79 литров",IF(O260&lt;=89,"80-89 литров",IF(O260&lt;=99,"90-99 литров",IF(O260&lt;=200,"100-200 литров","200+ литров"))))))))))))))))</f>
        <v/>
      </c>
    </row>
    <row r="261" customFormat="1" s="207">
      <c r="A261" s="64" t="n">
        <v>0.6899999999999999</v>
      </c>
      <c r="B261" s="65">
        <f>A261*1.2</f>
        <v/>
      </c>
      <c r="C261" s="109" t="n">
        <v>261</v>
      </c>
      <c r="D261" s="77" t="inlineStr">
        <is>
          <t>К</t>
        </is>
      </c>
      <c r="E261" s="88" t="inlineStr">
        <is>
          <t>290х190х190</t>
        </is>
      </c>
      <c r="F261" s="213" t="n"/>
      <c r="G261" s="83" t="inlineStr">
        <is>
          <t>Ч</t>
        </is>
      </c>
      <c r="H261" s="146" t="inlineStr">
        <is>
          <t>0201</t>
        </is>
      </c>
      <c r="I261" s="83" t="inlineStr">
        <is>
          <t>В</t>
        </is>
      </c>
      <c r="J261" s="83" t="inlineStr">
        <is>
          <t>без</t>
        </is>
      </c>
      <c r="K261" s="116" t="inlineStr">
        <is>
          <t>K1028</t>
        </is>
      </c>
      <c r="L261" s="103" t="n"/>
      <c r="M261" s="239" t="n"/>
      <c r="N261" s="239">
        <f>IF(D261="","",IF(LEFT(D261,1)="0",0,1))</f>
        <v/>
      </c>
      <c r="O261" s="80">
        <f>ROUND(R261*S261*T261/1000000,2)</f>
        <v/>
      </c>
      <c r="P261" s="160">
        <f>IF(O261="","",
IF(O261&lt;1,"0,1-0,9 литров",
IF(O261&lt;2,"1-1,9 литра",
IF(O261&lt;3,"2-2,9 литра",
IF(O261&lt;4,"3-3,9 литра",
IF(O261&lt;6,"4-5,9 литра",IF(O261&lt;8,"6-7,9 литра",IF(O261&lt;10,"8-9,9 литров",IF(O261&lt;15,"10-14,9 литров",IF(O261&lt;20,"15-19,9 литров",IF(O261&lt;30,"20-29 литров",IF(O261&lt;50,"30-49 литров",IF(O261&lt;60,"50-59 литров",IF(O261&lt;70,"60-69 литров",IF(O261&lt;80,"70-79 литров",IF(O261&lt;90,"80-89 литров",IF(O261&lt;100,"90-99 литров",IF(O261&lt;200,"100-200 литров","200+ литров"))))))))))))))))))</f>
        <v/>
      </c>
      <c r="Q261" s="101">
        <f>IF(O261="","",IF(O261&lt;1,"&lt;1 л",IF(O261&lt;2,"1-2 л",IF(O261&lt;3,"2-3 л",IF(O261&lt;5,"3-5 л",IF(O261&lt;10,"5-10 л",IF(O261&lt;20,"10-20 л",IF(O261&lt;50,"20-50 л",IF(O261&lt;100,"50-100 л","100+ л")))))))))</f>
        <v/>
      </c>
      <c r="R261" s="162">
        <f>IF(E261="","",--LEFT(E261,FIND("х",E261)-1))</f>
        <v/>
      </c>
      <c r="S261" s="162">
        <f>IF(E261="","",--MID(E261,FIND("х",E261)+1,FIND("х",E261,FIND("х",E261)+1)-FIND("х",E261)-1))</f>
        <v/>
      </c>
      <c r="T261" s="162">
        <f>IF(E261="","",--RIGHT(E261,LEN(E261)-FIND("х",E261,FIND("х",E261)+1)))</f>
        <v/>
      </c>
      <c r="U261" s="66">
        <f>(2*(R261+S261)+60)*(S261+T261+8)/1000000</f>
        <v/>
      </c>
      <c r="V261" s="66">
        <f>IF(OR(AND(R261&gt;=2*S261,R261&gt;=2*T261),AND(S261&gt;=2*R261,S261&gt;=2*T261),AND(T261&gt;=2*R261,T261&gt;=2*S261)),"Длинные","")</f>
        <v/>
      </c>
      <c r="W261" s="66">
        <f>IF(OR(AND(R261&lt;=S261/2,R261&lt;=T261/2),AND(S261&lt;=R261/2,S261&lt;=T261/2),AND(T261&lt;=R261/2,T261&lt;=S261/2)),"Плоские","")</f>
        <v/>
      </c>
      <c r="X261" s="160">
        <f>IF(LARGE($R261:$T261,1)="","",IF(LARGE($R261:$T261,1)&lt;=99,"10-99 мм",IF(LARGE($R261:$T261,1)&lt;=199,"100-199 мм",IF(LARGE($R261:$T261,1)&lt;=299,"200-299 мм",IF(LARGE($R261:$T261,1)&lt;=399,"300-399 мм",IF(LARGE($R261:$T261,1)&lt;=499,"400-499 мм",IF(LARGE($R261:$T261,1)&lt;=599,"500-599 мм",IF(LARGE($R261:$T261,1)&lt;=699,"600-699 мм",IF(LARGE($R261:$T261,1)&lt;=999,"700-999 мм","1000+ мм")))))))))</f>
        <v/>
      </c>
      <c r="Y261" s="160">
        <f>IF(LARGE($R261:$T261,2)="","",IF(LARGE($R261:$T261,2)&lt;=99,"10-99 мм",IF(LARGE($R261:$T261,2)&lt;=199,"100-199 мм",IF(LARGE($R261:$T261,2)&lt;=299,"200-299 мм",IF(LARGE($R261:$T261,2)&lt;=399,"300-399 мм",IF(LARGE($R261:$T261,2)&lt;=499,"400-499 мм",IF(LARGE($R261:$T261,2)&lt;=599,"500-599 мм",IF(LARGE($R261:$T261,2)&lt;=699,"600-699 мм",IF(LARGE($R261:$T261,2)&lt;=999,"700-999 мм","1000+ мм")))))))))</f>
        <v/>
      </c>
      <c r="Z261" s="160">
        <f>IF(SMALL($R261:$T261,1)="","",IF(SMALL($R261:$T261,1)&lt;=99,"10-99 мм",IF(SMALL($R261:$T261,1)&lt;=199,"100-199 мм",IF(SMALL($R261:$T261,1)&lt;=299,"200-299 мм",IF(SMALL($R261:$T261,1)&lt;=399,"300-399 мм",IF(SMALL($R261:$T261,1)&lt;=499,"400-499 мм",IF(SMALL($R261:$T261,1)&lt;=599,"500-599 мм",IF(SMALL($R261:$T261,1)&lt;=699,"600-699 мм",IF(SMALL($R261:$T261,1)&lt;=999,"700-999 мм","1000+ мм")))))))))</f>
        <v/>
      </c>
      <c r="AA261" s="101">
        <f>IF(G261="","",IF(G261="Л","Лист гофрокартона",IF(G261="КД","Крышка-дно",IF(G261="С","Самосборные",IF(G261="Ч","Четырехклапанные",IF(G261="А","Архивные","Неизвестно"))))))</f>
        <v/>
      </c>
      <c r="AB261" s="66" t="n">
        <v>1.73</v>
      </c>
      <c r="AC261" s="101">
        <f>IF(O261="","",IF(O261&lt;=1,"0-1 литров",IF(O261&lt;=3,"2-3 литра",IF(O261&lt;=5,"4-5 литра",IF(O261&lt;=7,"6-7 литра",IF(O261&lt;=9,"8-9 литров",IF(O261&lt;=14,"10-14 литров",IF(O261&lt;=19,"15-19 литров",IF(O261&lt;=29,"20-29 литров",IF(O261&lt;=49,"30-49 литров",IF(O261&lt;=59,"50-59 литров",IF(O261&lt;=70,"60-69 литров",IF(O261&lt;=79,"70-79 литров",IF(O261&lt;=89,"80-89 литров",IF(O261&lt;=99,"90-99 литров",IF(O261&lt;=200,"100-200 литров","200+ литров"))))))))))))))))</f>
        <v/>
      </c>
    </row>
    <row r="262" customFormat="1" s="207">
      <c r="A262" s="64" t="n">
        <v>1.55</v>
      </c>
      <c r="B262" s="65">
        <f>A262*1.2</f>
        <v/>
      </c>
      <c r="C262" s="109" t="n">
        <v>262</v>
      </c>
      <c r="D262" s="77" t="inlineStr">
        <is>
          <t>СК</t>
        </is>
      </c>
      <c r="E262" s="88" t="inlineStr">
        <is>
          <t>325х235х235</t>
        </is>
      </c>
      <c r="F262" s="213" t="n"/>
      <c r="G262" s="83" t="inlineStr">
        <is>
          <t>А</t>
        </is>
      </c>
      <c r="H262" s="146" t="inlineStr">
        <is>
          <t>АРХ</t>
        </is>
      </c>
      <c r="I262" s="83" t="inlineStr">
        <is>
          <t>В</t>
        </is>
      </c>
      <c r="J262" s="83" t="inlineStr">
        <is>
          <t>СК</t>
        </is>
      </c>
      <c r="K262" s="116" t="inlineStr">
        <is>
          <t>K1029</t>
        </is>
      </c>
      <c r="L262" s="103" t="n"/>
      <c r="M262" s="239" t="n"/>
      <c r="N262" s="239">
        <f>IF(D262="","",IF(LEFT(D262,1)="0",0,1))</f>
        <v/>
      </c>
      <c r="O262" s="80">
        <f>ROUND(R262*S262*T262/1000000,2)</f>
        <v/>
      </c>
      <c r="P262" s="160">
        <f>IF(O262="","",
IF(O262&lt;1,"0,1-0,9 литров",
IF(O262&lt;2,"1-1,9 литра",
IF(O262&lt;3,"2-2,9 литра",
IF(O262&lt;4,"3-3,9 литра",
IF(O262&lt;6,"4-5,9 литра",IF(O262&lt;8,"6-7,9 литра",IF(O262&lt;10,"8-9,9 литров",IF(O262&lt;15,"10-14,9 литров",IF(O262&lt;20,"15-19,9 литров",IF(O262&lt;30,"20-29 литров",IF(O262&lt;50,"30-49 литров",IF(O262&lt;60,"50-59 литров",IF(O262&lt;70,"60-69 литров",IF(O262&lt;80,"70-79 литров",IF(O262&lt;90,"80-89 литров",IF(O262&lt;100,"90-99 литров",IF(O262&lt;200,"100-200 литров","200+ литров"))))))))))))))))))</f>
        <v/>
      </c>
      <c r="Q262" s="101">
        <f>IF(O262="","",IF(O262&lt;1,"&lt;1 л",IF(O262&lt;2,"1-2 л",IF(O262&lt;3,"2-3 л",IF(O262&lt;5,"3-5 л",IF(O262&lt;10,"5-10 л",IF(O262&lt;20,"10-20 л",IF(O262&lt;50,"20-50 л",IF(O262&lt;100,"50-100 л","100+ л")))))))))</f>
        <v/>
      </c>
      <c r="R262" s="162">
        <f>IF(E262="","",--LEFT(E262,FIND("х",E262)-1))</f>
        <v/>
      </c>
      <c r="S262" s="162">
        <f>IF(E262="","",--MID(E262,FIND("х",E262)+1,FIND("х",E262,FIND("х",E262)+1)-FIND("х",E262)-1))</f>
        <v/>
      </c>
      <c r="T262" s="162">
        <f>IF(E262="","",--RIGHT(E262,LEN(E262)-FIND("х",E262,FIND("х",E262)+1)))</f>
        <v/>
      </c>
      <c r="U262" s="66">
        <f>(2*(R262+S262)+60)*(S262+T262+8)/1000000</f>
        <v/>
      </c>
      <c r="V262" s="66">
        <f>IF(OR(AND(R262&gt;=2*S262,R262&gt;=2*T262),AND(S262&gt;=2*R262,S262&gt;=2*T262),AND(T262&gt;=2*R262,T262&gt;=2*S262)),"Длинные","")</f>
        <v/>
      </c>
      <c r="W262" s="66">
        <f>IF(OR(AND(R262&lt;=S262/2,R262&lt;=T262/2),AND(S262&lt;=R262/2,S262&lt;=T262/2),AND(T262&lt;=R262/2,T262&lt;=S262/2)),"Плоские","")</f>
        <v/>
      </c>
      <c r="X262" s="160">
        <f>IF(LARGE($R262:$T262,1)="","",IF(LARGE($R262:$T262,1)&lt;=99,"10-99 мм",IF(LARGE($R262:$T262,1)&lt;=199,"100-199 мм",IF(LARGE($R262:$T262,1)&lt;=299,"200-299 мм",IF(LARGE($R262:$T262,1)&lt;=399,"300-399 мм",IF(LARGE($R262:$T262,1)&lt;=499,"400-499 мм",IF(LARGE($R262:$T262,1)&lt;=599,"500-599 мм",IF(LARGE($R262:$T262,1)&lt;=699,"600-699 мм",IF(LARGE($R262:$T262,1)&lt;=999,"700-999 мм","1000+ мм")))))))))</f>
        <v/>
      </c>
      <c r="Y262" s="160">
        <f>IF(LARGE($R262:$T262,2)="","",IF(LARGE($R262:$T262,2)&lt;=99,"10-99 мм",IF(LARGE($R262:$T262,2)&lt;=199,"100-199 мм",IF(LARGE($R262:$T262,2)&lt;=299,"200-299 мм",IF(LARGE($R262:$T262,2)&lt;=399,"300-399 мм",IF(LARGE($R262:$T262,2)&lt;=499,"400-499 мм",IF(LARGE($R262:$T262,2)&lt;=599,"500-599 мм",IF(LARGE($R262:$T262,2)&lt;=699,"600-699 мм",IF(LARGE($R262:$T262,2)&lt;=999,"700-999 мм","1000+ мм")))))))))</f>
        <v/>
      </c>
      <c r="Z262" s="160">
        <f>IF(SMALL($R262:$T262,1)="","",IF(SMALL($R262:$T262,1)&lt;=99,"10-99 мм",IF(SMALL($R262:$T262,1)&lt;=199,"100-199 мм",IF(SMALL($R262:$T262,1)&lt;=299,"200-299 мм",IF(SMALL($R262:$T262,1)&lt;=399,"300-399 мм",IF(SMALL($R262:$T262,1)&lt;=499,"400-499 мм",IF(SMALL($R262:$T262,1)&lt;=599,"500-599 мм",IF(SMALL($R262:$T262,1)&lt;=699,"600-699 мм",IF(SMALL($R262:$T262,1)&lt;=999,"700-999 мм","1000+ мм")))))))))</f>
        <v/>
      </c>
      <c r="AA262" s="101">
        <f>IF(G262="","",IF(G262="Л","Лист гофрокартона",IF(G262="КД","Крышка-дно",IF(G262="С","Самосборные",IF(G262="Ч","Четырехклапанные",IF(G262="А","Архивные","Неизвестно"))))))</f>
        <v/>
      </c>
      <c r="AB262" s="66" t="n">
        <v>1.73</v>
      </c>
      <c r="AC262" s="101">
        <f>IF(O262="","",IF(O262&lt;=1,"0-1 литров",IF(O262&lt;=3,"2-3 литра",IF(O262&lt;=5,"4-5 литра",IF(O262&lt;=7,"6-7 литра",IF(O262&lt;=9,"8-9 литров",IF(O262&lt;=14,"10-14 литров",IF(O262&lt;=19,"15-19 литров",IF(O262&lt;=29,"20-29 литров",IF(O262&lt;=49,"30-49 литров",IF(O262&lt;=59,"50-59 литров",IF(O262&lt;=70,"60-69 литров",IF(O262&lt;=79,"70-79 литров",IF(O262&lt;=89,"80-89 литров",IF(O262&lt;=99,"90-99 литров",IF(O262&lt;=200,"100-200 литров","200+ литров"))))))))))))))))</f>
        <v/>
      </c>
    </row>
    <row r="263" customFormat="1" s="207">
      <c r="A263" s="64" t="n">
        <v>2.25</v>
      </c>
      <c r="B263" s="65">
        <f>A263*1.2</f>
        <v/>
      </c>
      <c r="C263" s="109" t="n">
        <v>263</v>
      </c>
      <c r="D263" s="77" t="inlineStr">
        <is>
          <t>СК</t>
        </is>
      </c>
      <c r="E263" s="88" t="inlineStr">
        <is>
          <t>395х325х290</t>
        </is>
      </c>
      <c r="F263" s="213" t="n"/>
      <c r="G263" s="83" t="inlineStr">
        <is>
          <t>А</t>
        </is>
      </c>
      <c r="H263" s="146" t="inlineStr">
        <is>
          <t>АРХ</t>
        </is>
      </c>
      <c r="I263" s="83" t="inlineStr">
        <is>
          <t>В</t>
        </is>
      </c>
      <c r="J263" s="83" t="inlineStr">
        <is>
          <t>СК</t>
        </is>
      </c>
      <c r="K263" s="116" t="inlineStr">
        <is>
          <t>K1030</t>
        </is>
      </c>
      <c r="L263" s="103" t="n"/>
      <c r="M263" s="239" t="n"/>
      <c r="N263" s="239">
        <f>IF(D263="","",IF(LEFT(D263,1)="0",0,1))</f>
        <v/>
      </c>
      <c r="O263" s="80">
        <f>ROUND(R263*S263*T263/1000000,2)</f>
        <v/>
      </c>
      <c r="P263" s="160">
        <f>IF(O263="","",
IF(O263&lt;1,"0,1-0,9 литров",
IF(O263&lt;2,"1-1,9 литра",
IF(O263&lt;3,"2-2,9 литра",
IF(O263&lt;4,"3-3,9 литра",
IF(O263&lt;6,"4-5,9 литра",IF(O263&lt;8,"6-7,9 литра",IF(O263&lt;10,"8-9,9 литров",IF(O263&lt;15,"10-14,9 литров",IF(O263&lt;20,"15-19,9 литров",IF(O263&lt;30,"20-29 литров",IF(O263&lt;50,"30-49 литров",IF(O263&lt;60,"50-59 литров",IF(O263&lt;70,"60-69 литров",IF(O263&lt;80,"70-79 литров",IF(O263&lt;90,"80-89 литров",IF(O263&lt;100,"90-99 литров",IF(O263&lt;200,"100-200 литров","200+ литров"))))))))))))))))))</f>
        <v/>
      </c>
      <c r="Q263" s="101">
        <f>IF(O263="","",IF(O263&lt;1,"&lt;1 л",IF(O263&lt;2,"1-2 л",IF(O263&lt;3,"2-3 л",IF(O263&lt;5,"3-5 л",IF(O263&lt;10,"5-10 л",IF(O263&lt;20,"10-20 л",IF(O263&lt;50,"20-50 л",IF(O263&lt;100,"50-100 л","100+ л")))))))))</f>
        <v/>
      </c>
      <c r="R263" s="162">
        <f>IF(E263="","",--LEFT(E263,FIND("х",E263)-1))</f>
        <v/>
      </c>
      <c r="S263" s="162">
        <f>IF(E263="","",--MID(E263,FIND("х",E263)+1,FIND("х",E263,FIND("х",E263)+1)-FIND("х",E263)-1))</f>
        <v/>
      </c>
      <c r="T263" s="162">
        <f>IF(E263="","",--RIGHT(E263,LEN(E263)-FIND("х",E263,FIND("х",E263)+1)))</f>
        <v/>
      </c>
      <c r="U263" s="66">
        <f>(2*(R263+S263)+60)*(S263+T263+8)/1000000</f>
        <v/>
      </c>
      <c r="V263" s="66">
        <f>IF(OR(AND(R263&gt;=2*S263,R263&gt;=2*T263),AND(S263&gt;=2*R263,S263&gt;=2*T263),AND(T263&gt;=2*R263,T263&gt;=2*S263)),"Длинные","")</f>
        <v/>
      </c>
      <c r="W263" s="66">
        <f>IF(OR(AND(R263&lt;=S263/2,R263&lt;=T263/2),AND(S263&lt;=R263/2,S263&lt;=T263/2),AND(T263&lt;=R263/2,T263&lt;=S263/2)),"Плоские","")</f>
        <v/>
      </c>
      <c r="X263" s="160">
        <f>IF(LARGE($R263:$T263,1)="","",IF(LARGE($R263:$T263,1)&lt;=99,"10-99 мм",IF(LARGE($R263:$T263,1)&lt;=199,"100-199 мм",IF(LARGE($R263:$T263,1)&lt;=299,"200-299 мм",IF(LARGE($R263:$T263,1)&lt;=399,"300-399 мм",IF(LARGE($R263:$T263,1)&lt;=499,"400-499 мм",IF(LARGE($R263:$T263,1)&lt;=599,"500-599 мм",IF(LARGE($R263:$T263,1)&lt;=699,"600-699 мм",IF(LARGE($R263:$T263,1)&lt;=999,"700-999 мм","1000+ мм")))))))))</f>
        <v/>
      </c>
      <c r="Y263" s="160">
        <f>IF(LARGE($R263:$T263,2)="","",IF(LARGE($R263:$T263,2)&lt;=99,"10-99 мм",IF(LARGE($R263:$T263,2)&lt;=199,"100-199 мм",IF(LARGE($R263:$T263,2)&lt;=299,"200-299 мм",IF(LARGE($R263:$T263,2)&lt;=399,"300-399 мм",IF(LARGE($R263:$T263,2)&lt;=499,"400-499 мм",IF(LARGE($R263:$T263,2)&lt;=599,"500-599 мм",IF(LARGE($R263:$T263,2)&lt;=699,"600-699 мм",IF(LARGE($R263:$T263,2)&lt;=999,"700-999 мм","1000+ мм")))))))))</f>
        <v/>
      </c>
      <c r="Z263" s="160">
        <f>IF(SMALL($R263:$T263,1)="","",IF(SMALL($R263:$T263,1)&lt;=99,"10-99 мм",IF(SMALL($R263:$T263,1)&lt;=199,"100-199 мм",IF(SMALL($R263:$T263,1)&lt;=299,"200-299 мм",IF(SMALL($R263:$T263,1)&lt;=399,"300-399 мм",IF(SMALL($R263:$T263,1)&lt;=499,"400-499 мм",IF(SMALL($R263:$T263,1)&lt;=599,"500-599 мм",IF(SMALL($R263:$T263,1)&lt;=699,"600-699 мм",IF(SMALL($R263:$T263,1)&lt;=999,"700-999 мм","1000+ мм")))))))))</f>
        <v/>
      </c>
      <c r="AA263" s="101">
        <f>IF(G263="","",IF(G263="Л","Лист гофрокартона",IF(G263="КД","Крышка-дно",IF(G263="С","Самосборные",IF(G263="Ч","Четырехклапанные",IF(G263="А","Архивные","Неизвестно"))))))</f>
        <v/>
      </c>
      <c r="AB263" s="66" t="n">
        <v>1.73</v>
      </c>
      <c r="AC263" s="101">
        <f>IF(O263="","",IF(O263&lt;=1,"0-1 литров",IF(O263&lt;=3,"2-3 литра",IF(O263&lt;=5,"4-5 литра",IF(O263&lt;=7,"6-7 литра",IF(O263&lt;=9,"8-9 литров",IF(O263&lt;=14,"10-14 литров",IF(O263&lt;=19,"15-19 литров",IF(O263&lt;=29,"20-29 литров",IF(O263&lt;=49,"30-49 литров",IF(O263&lt;=59,"50-59 литров",IF(O263&lt;=70,"60-69 литров",IF(O263&lt;=79,"70-79 литров",IF(O263&lt;=89,"80-89 литров",IF(O263&lt;=99,"90-99 литров",IF(O263&lt;=200,"100-200 литров","200+ литров"))))))))))))))))</f>
        <v/>
      </c>
    </row>
    <row r="264" customFormat="1" s="207">
      <c r="A264" s="64" t="n">
        <v>2.44</v>
      </c>
      <c r="B264" s="65">
        <f>A264*1.2</f>
        <v/>
      </c>
      <c r="C264" s="109" t="n">
        <v>264</v>
      </c>
      <c r="D264" s="77" t="inlineStr">
        <is>
          <t>СК</t>
        </is>
      </c>
      <c r="E264" s="88" t="inlineStr">
        <is>
          <t>490х325х295</t>
        </is>
      </c>
      <c r="F264" s="213" t="n"/>
      <c r="G264" s="83" t="inlineStr">
        <is>
          <t>А</t>
        </is>
      </c>
      <c r="H264" s="146" t="inlineStr">
        <is>
          <t>АРХ</t>
        </is>
      </c>
      <c r="I264" s="83" t="inlineStr">
        <is>
          <t>В</t>
        </is>
      </c>
      <c r="J264" s="83" t="inlineStr">
        <is>
          <t>СК</t>
        </is>
      </c>
      <c r="K264" s="116" t="inlineStr">
        <is>
          <t>K1031</t>
        </is>
      </c>
      <c r="L264" s="103" t="n"/>
      <c r="M264" s="239" t="n"/>
      <c r="N264" s="239">
        <f>IF(D264="","",IF(LEFT(D264,1)="0",0,1))</f>
        <v/>
      </c>
      <c r="O264" s="80">
        <f>ROUND(R264*S264*T264/1000000,2)</f>
        <v/>
      </c>
      <c r="P264" s="160">
        <f>IF(O264="","",
IF(O264&lt;1,"0,1-0,9 литров",
IF(O264&lt;2,"1-1,9 литра",
IF(O264&lt;3,"2-2,9 литра",
IF(O264&lt;4,"3-3,9 литра",
IF(O264&lt;6,"4-5,9 литра",IF(O264&lt;8,"6-7,9 литра",IF(O264&lt;10,"8-9,9 литров",IF(O264&lt;15,"10-14,9 литров",IF(O264&lt;20,"15-19,9 литров",IF(O264&lt;30,"20-29 литров",IF(O264&lt;50,"30-49 литров",IF(O264&lt;60,"50-59 литров",IF(O264&lt;70,"60-69 литров",IF(O264&lt;80,"70-79 литров",IF(O264&lt;90,"80-89 литров",IF(O264&lt;100,"90-99 литров",IF(O264&lt;200,"100-200 литров","200+ литров"))))))))))))))))))</f>
        <v/>
      </c>
      <c r="Q264" s="101">
        <f>IF(O264="","",IF(O264&lt;1,"&lt;1 л",IF(O264&lt;2,"1-2 л",IF(O264&lt;3,"2-3 л",IF(O264&lt;5,"3-5 л",IF(O264&lt;10,"5-10 л",IF(O264&lt;20,"10-20 л",IF(O264&lt;50,"20-50 л",IF(O264&lt;100,"50-100 л","100+ л")))))))))</f>
        <v/>
      </c>
      <c r="R264" s="162">
        <f>IF(E264="","",--LEFT(E264,FIND("х",E264)-1))</f>
        <v/>
      </c>
      <c r="S264" s="162">
        <f>IF(E264="","",--MID(E264,FIND("х",E264)+1,FIND("х",E264,FIND("х",E264)+1)-FIND("х",E264)-1))</f>
        <v/>
      </c>
      <c r="T264" s="162">
        <f>IF(E264="","",--RIGHT(E264,LEN(E264)-FIND("х",E264,FIND("х",E264)+1)))</f>
        <v/>
      </c>
      <c r="U264" s="66">
        <f>(2*(R264+S264)+60)*(S264+T264+8)/1000000</f>
        <v/>
      </c>
      <c r="V264" s="66">
        <f>IF(OR(AND(R264&gt;=2*S264,R264&gt;=2*T264),AND(S264&gt;=2*R264,S264&gt;=2*T264),AND(T264&gt;=2*R264,T264&gt;=2*S264)),"Длинные","")</f>
        <v/>
      </c>
      <c r="W264" s="66">
        <f>IF(OR(AND(R264&lt;=S264/2,R264&lt;=T264/2),AND(S264&lt;=R264/2,S264&lt;=T264/2),AND(T264&lt;=R264/2,T264&lt;=S264/2)),"Плоские","")</f>
        <v/>
      </c>
      <c r="X264" s="160">
        <f>IF(LARGE($R264:$T264,1)="","",IF(LARGE($R264:$T264,1)&lt;=99,"10-99 мм",IF(LARGE($R264:$T264,1)&lt;=199,"100-199 мм",IF(LARGE($R264:$T264,1)&lt;=299,"200-299 мм",IF(LARGE($R264:$T264,1)&lt;=399,"300-399 мм",IF(LARGE($R264:$T264,1)&lt;=499,"400-499 мм",IF(LARGE($R264:$T264,1)&lt;=599,"500-599 мм",IF(LARGE($R264:$T264,1)&lt;=699,"600-699 мм",IF(LARGE($R264:$T264,1)&lt;=999,"700-999 мм","1000+ мм")))))))))</f>
        <v/>
      </c>
      <c r="Y264" s="160">
        <f>IF(LARGE($R264:$T264,2)="","",IF(LARGE($R264:$T264,2)&lt;=99,"10-99 мм",IF(LARGE($R264:$T264,2)&lt;=199,"100-199 мм",IF(LARGE($R264:$T264,2)&lt;=299,"200-299 мм",IF(LARGE($R264:$T264,2)&lt;=399,"300-399 мм",IF(LARGE($R264:$T264,2)&lt;=499,"400-499 мм",IF(LARGE($R264:$T264,2)&lt;=599,"500-599 мм",IF(LARGE($R264:$T264,2)&lt;=699,"600-699 мм",IF(LARGE($R264:$T264,2)&lt;=999,"700-999 мм","1000+ мм")))))))))</f>
        <v/>
      </c>
      <c r="Z264" s="160">
        <f>IF(SMALL($R264:$T264,1)="","",IF(SMALL($R264:$T264,1)&lt;=99,"10-99 мм",IF(SMALL($R264:$T264,1)&lt;=199,"100-199 мм",IF(SMALL($R264:$T264,1)&lt;=299,"200-299 мм",IF(SMALL($R264:$T264,1)&lt;=399,"300-399 мм",IF(SMALL($R264:$T264,1)&lt;=499,"400-499 мм",IF(SMALL($R264:$T264,1)&lt;=599,"500-599 мм",IF(SMALL($R264:$T264,1)&lt;=699,"600-699 мм",IF(SMALL($R264:$T264,1)&lt;=999,"700-999 мм","1000+ мм")))))))))</f>
        <v/>
      </c>
      <c r="AA264" s="101">
        <f>IF(G264="","",IF(G264="Л","Лист гофрокартона",IF(G264="КД","Крышка-дно",IF(G264="С","Самосборные",IF(G264="Ч","Четырехклапанные",IF(G264="А","Архивные","Неизвестно"))))))</f>
        <v/>
      </c>
      <c r="AB264" s="66" t="n">
        <v>1.73</v>
      </c>
      <c r="AC264" s="101">
        <f>IF(O264="","",IF(O264&lt;=1,"0-1 литров",IF(O264&lt;=3,"2-3 литра",IF(O264&lt;=5,"4-5 литра",IF(O264&lt;=7,"6-7 литра",IF(O264&lt;=9,"8-9 литров",IF(O264&lt;=14,"10-14 литров",IF(O264&lt;=19,"15-19 литров",IF(O264&lt;=29,"20-29 литров",IF(O264&lt;=49,"30-49 литров",IF(O264&lt;=59,"50-59 литров",IF(O264&lt;=70,"60-69 литров",IF(O264&lt;=79,"70-79 литров",IF(O264&lt;=89,"80-89 литров",IF(O264&lt;=99,"90-99 литров",IF(O264&lt;=200,"100-200 литров","200+ литров"))))))))))))))))</f>
        <v/>
      </c>
    </row>
    <row r="265" customFormat="1" s="207">
      <c r="A265" s="64" t="n">
        <v>0.32</v>
      </c>
      <c r="B265" s="65">
        <f>A265*1.2</f>
        <v/>
      </c>
      <c r="C265" s="109" t="n">
        <v>265</v>
      </c>
      <c r="D265" s="116" t="inlineStr">
        <is>
          <t>У</t>
        </is>
      </c>
      <c r="E265" s="88" t="inlineStr">
        <is>
          <t>300х90х125</t>
        </is>
      </c>
      <c r="F265" s="213" t="n"/>
      <c r="G265" s="83" t="inlineStr">
        <is>
          <t>Ч</t>
        </is>
      </c>
      <c r="H265" s="146" t="inlineStr">
        <is>
          <t>0201</t>
        </is>
      </c>
      <c r="I265" s="83" t="inlineStr">
        <is>
          <t>В</t>
        </is>
      </c>
      <c r="J265" s="83" t="inlineStr">
        <is>
          <t>У</t>
        </is>
      </c>
      <c r="K265" s="116" t="inlineStr">
        <is>
          <t>K237</t>
        </is>
      </c>
      <c r="L265" s="103" t="n"/>
      <c r="M265" s="239" t="n"/>
      <c r="N265" s="239">
        <f>IF(D265="","",IF(LEFT(D265,1)="0",0,1))</f>
        <v/>
      </c>
      <c r="O265" s="80">
        <f>ROUND(R265*S265*T265/1000000,2)</f>
        <v/>
      </c>
      <c r="P265" s="160">
        <f>IF(O265="","",
IF(O265&lt;1,"0,1-0,9 литров",
IF(O265&lt;2,"1-1,9 литра",
IF(O265&lt;3,"2-2,9 литра",
IF(O265&lt;4,"3-3,9 литра",
IF(O265&lt;6,"4-5,9 литра",IF(O265&lt;8,"6-7,9 литра",IF(O265&lt;10,"8-9,9 литров",IF(O265&lt;15,"10-14,9 литров",IF(O265&lt;20,"15-19,9 литров",IF(O265&lt;30,"20-29 литров",IF(O265&lt;50,"30-49 литров",IF(O265&lt;60,"50-59 литров",IF(O265&lt;70,"60-69 литров",IF(O265&lt;80,"70-79 литров",IF(O265&lt;90,"80-89 литров",IF(O265&lt;100,"90-99 литров",IF(O265&lt;200,"100-200 литров","200+ литров"))))))))))))))))))</f>
        <v/>
      </c>
      <c r="Q265" s="101">
        <f>IF(O265="","",IF(O265&lt;1,"&lt;1 л",IF(O265&lt;2,"1-2 л",IF(O265&lt;3,"2-3 л",IF(O265&lt;5,"3-5 л",IF(O265&lt;10,"5-10 л",IF(O265&lt;20,"10-20 л",IF(O265&lt;50,"20-50 л",IF(O265&lt;100,"50-100 л","100+ л")))))))))</f>
        <v/>
      </c>
      <c r="R265" s="162">
        <f>IF(E265="","",--LEFT(E265,FIND("х",E265)-1))</f>
        <v/>
      </c>
      <c r="S265" s="162">
        <f>IF(E265="","",--MID(E265,FIND("х",E265)+1,FIND("х",E265,FIND("х",E265)+1)-FIND("х",E265)-1))</f>
        <v/>
      </c>
      <c r="T265" s="162">
        <f>IF(E265="","",--RIGHT(E265,LEN(E265)-FIND("х",E265,FIND("х",E265)+1)))</f>
        <v/>
      </c>
      <c r="U265" s="66">
        <f>(2*(R265+S265)+60)*(S265+T265+8)/1000000</f>
        <v/>
      </c>
      <c r="V265" s="66">
        <f>IF(OR(AND(R265&gt;=2*S265,R265&gt;=2*T265),AND(S265&gt;=2*R265,S265&gt;=2*T265),AND(T265&gt;=2*R265,T265&gt;=2*S265)),"Длинные","")</f>
        <v/>
      </c>
      <c r="W265" s="66">
        <f>IF(OR(AND(R265&lt;=S265/2,R265&lt;=T265/2),AND(S265&lt;=R265/2,S265&lt;=T265/2),AND(T265&lt;=R265/2,T265&lt;=S265/2)),"Плоские","")</f>
        <v/>
      </c>
      <c r="X265" s="160">
        <f>IF(LARGE($R265:$T265,1)="","",IF(LARGE($R265:$T265,1)&lt;=99,"10-99 мм",IF(LARGE($R265:$T265,1)&lt;=199,"100-199 мм",IF(LARGE($R265:$T265,1)&lt;=299,"200-299 мм",IF(LARGE($R265:$T265,1)&lt;=399,"300-399 мм",IF(LARGE($R265:$T265,1)&lt;=499,"400-499 мм",IF(LARGE($R265:$T265,1)&lt;=599,"500-599 мм",IF(LARGE($R265:$T265,1)&lt;=699,"600-699 мм",IF(LARGE($R265:$T265,1)&lt;=999,"700-999 мм","1000+ мм")))))))))</f>
        <v/>
      </c>
      <c r="Y265" s="160">
        <f>IF(LARGE($R265:$T265,2)="","",IF(LARGE($R265:$T265,2)&lt;=99,"10-99 мм",IF(LARGE($R265:$T265,2)&lt;=199,"100-199 мм",IF(LARGE($R265:$T265,2)&lt;=299,"200-299 мм",IF(LARGE($R265:$T265,2)&lt;=399,"300-399 мм",IF(LARGE($R265:$T265,2)&lt;=499,"400-499 мм",IF(LARGE($R265:$T265,2)&lt;=599,"500-599 мм",IF(LARGE($R265:$T265,2)&lt;=699,"600-699 мм",IF(LARGE($R265:$T265,2)&lt;=999,"700-999 мм","1000+ мм")))))))))</f>
        <v/>
      </c>
      <c r="Z265" s="160">
        <f>IF(SMALL($R265:$T265,1)="","",IF(SMALL($R265:$T265,1)&lt;=99,"10-99 мм",IF(SMALL($R265:$T265,1)&lt;=199,"100-199 мм",IF(SMALL($R265:$T265,1)&lt;=299,"200-299 мм",IF(SMALL($R265:$T265,1)&lt;=399,"300-399 мм",IF(SMALL($R265:$T265,1)&lt;=499,"400-499 мм",IF(SMALL($R265:$T265,1)&lt;=599,"500-599 мм",IF(SMALL($R265:$T265,1)&lt;=699,"600-699 мм",IF(SMALL($R265:$T265,1)&lt;=999,"700-999 мм","1000+ мм")))))))))</f>
        <v/>
      </c>
      <c r="AA265" s="101">
        <f>IF(G265="","",IF(G265="Л","Лист гофрокартона",IF(G265="КД","Крышка-дно",IF(G265="С","Самосборные",IF(G265="Ч","Четырехклапанные",IF(G265="А","Архивные","Неизвестно"))))))</f>
        <v/>
      </c>
      <c r="AB265" s="66" t="n">
        <v>1.73</v>
      </c>
      <c r="AC265" s="101">
        <f>IF(O265="","",IF(O265&lt;=1,"0-1 литров",IF(O265&lt;=3,"2-3 литра",IF(O265&lt;=5,"4-5 литра",IF(O265&lt;=7,"6-7 литра",IF(O265&lt;=9,"8-9 литров",IF(O265&lt;=14,"10-14 литров",IF(O265&lt;=19,"15-19 литров",IF(O265&lt;=29,"20-29 литров",IF(O265&lt;=49,"30-49 литров",IF(O265&lt;=59,"50-59 литров",IF(O265&lt;=70,"60-69 литров",IF(O265&lt;=79,"70-79 литров",IF(O265&lt;=89,"80-89 литров",IF(O265&lt;=99,"90-99 литров",IF(O265&lt;=200,"100-200 литров","200+ литров"))))))))))))))))</f>
        <v/>
      </c>
    </row>
    <row r="266" customFormat="1" s="207">
      <c r="A266" s="64" t="n">
        <v>0.14</v>
      </c>
      <c r="B266" s="65">
        <f>A266*1.2</f>
        <v/>
      </c>
      <c r="C266" s="109" t="n">
        <v>266</v>
      </c>
      <c r="D266" s="116" t="inlineStr">
        <is>
          <t>У</t>
        </is>
      </c>
      <c r="E266" s="88" t="inlineStr">
        <is>
          <t>115х65х65</t>
        </is>
      </c>
      <c r="F266" s="213" t="n"/>
      <c r="G266" s="83" t="inlineStr">
        <is>
          <t>С</t>
        </is>
      </c>
      <c r="H266" s="146" t="inlineStr">
        <is>
          <t>0471</t>
        </is>
      </c>
      <c r="I266" s="83" t="inlineStr">
        <is>
          <t>Е</t>
        </is>
      </c>
      <c r="J266" s="83" t="inlineStr">
        <is>
          <t>У</t>
        </is>
      </c>
      <c r="K266" s="116" t="inlineStr">
        <is>
          <t>K238</t>
        </is>
      </c>
      <c r="L266" s="103" t="n"/>
      <c r="M266" s="239" t="n"/>
      <c r="N266" s="239">
        <f>IF(D266="","",IF(LEFT(D266,1)="0",0,1))</f>
        <v/>
      </c>
      <c r="O266" s="80">
        <f>ROUND(R266*S266*T266/1000000,2)</f>
        <v/>
      </c>
      <c r="P266" s="160">
        <f>IF(O266="","",
IF(O266&lt;1,"0,1-0,9 литров",
IF(O266&lt;2,"1-1,9 литра",
IF(O266&lt;3,"2-2,9 литра",
IF(O266&lt;4,"3-3,9 литра",
IF(O266&lt;6,"4-5,9 литра",IF(O266&lt;8,"6-7,9 литра",IF(O266&lt;10,"8-9,9 литров",IF(O266&lt;15,"10-14,9 литров",IF(O266&lt;20,"15-19,9 литров",IF(O266&lt;30,"20-29 литров",IF(O266&lt;50,"30-49 литров",IF(O266&lt;60,"50-59 литров",IF(O266&lt;70,"60-69 литров",IF(O266&lt;80,"70-79 литров",IF(O266&lt;90,"80-89 литров",IF(O266&lt;100,"90-99 литров",IF(O266&lt;200,"100-200 литров","200+ литров"))))))))))))))))))</f>
        <v/>
      </c>
      <c r="Q266" s="101">
        <f>IF(O266="","",IF(O266&lt;1,"&lt;1 л",IF(O266&lt;2,"1-2 л",IF(O266&lt;3,"2-3 л",IF(O266&lt;5,"3-5 л",IF(O266&lt;10,"5-10 л",IF(O266&lt;20,"10-20 л",IF(O266&lt;50,"20-50 л",IF(O266&lt;100,"50-100 л","100+ л")))))))))</f>
        <v/>
      </c>
      <c r="R266" s="162">
        <f>IF(E266="","",--LEFT(E266,FIND("х",E266)-1))</f>
        <v/>
      </c>
      <c r="S266" s="162">
        <f>IF(E266="","",--MID(E266,FIND("х",E266)+1,FIND("х",E266,FIND("х",E266)+1)-FIND("х",E266)-1))</f>
        <v/>
      </c>
      <c r="T266" s="162">
        <f>IF(E266="","",--RIGHT(E266,LEN(E266)-FIND("х",E266,FIND("х",E266)+1)))</f>
        <v/>
      </c>
      <c r="U266" s="66">
        <f>(2*(R266+S266)+60)*(S266+T266+8)/1000000</f>
        <v/>
      </c>
      <c r="V266" s="66">
        <f>IF(OR(AND(R266&gt;=2*S266,R266&gt;=2*T266),AND(S266&gt;=2*R266,S266&gt;=2*T266),AND(T266&gt;=2*R266,T266&gt;=2*S266)),"Длинные","")</f>
        <v/>
      </c>
      <c r="W266" s="66">
        <f>IF(OR(AND(R266&lt;=S266/2,R266&lt;=T266/2),AND(S266&lt;=R266/2,S266&lt;=T266/2),AND(T266&lt;=R266/2,T266&lt;=S266/2)),"Плоские","")</f>
        <v/>
      </c>
      <c r="X266" s="160">
        <f>IF(LARGE($R266:$T266,1)="","",IF(LARGE($R266:$T266,1)&lt;=99,"10-99 мм",IF(LARGE($R266:$T266,1)&lt;=199,"100-199 мм",IF(LARGE($R266:$T266,1)&lt;=299,"200-299 мм",IF(LARGE($R266:$T266,1)&lt;=399,"300-399 мм",IF(LARGE($R266:$T266,1)&lt;=499,"400-499 мм",IF(LARGE($R266:$T266,1)&lt;=599,"500-599 мм",IF(LARGE($R266:$T266,1)&lt;=699,"600-699 мм",IF(LARGE($R266:$T266,1)&lt;=999,"700-999 мм","1000+ мм")))))))))</f>
        <v/>
      </c>
      <c r="Y266" s="160">
        <f>IF(LARGE($R266:$T266,2)="","",IF(LARGE($R266:$T266,2)&lt;=99,"10-99 мм",IF(LARGE($R266:$T266,2)&lt;=199,"100-199 мм",IF(LARGE($R266:$T266,2)&lt;=299,"200-299 мм",IF(LARGE($R266:$T266,2)&lt;=399,"300-399 мм",IF(LARGE($R266:$T266,2)&lt;=499,"400-499 мм",IF(LARGE($R266:$T266,2)&lt;=599,"500-599 мм",IF(LARGE($R266:$T266,2)&lt;=699,"600-699 мм",IF(LARGE($R266:$T266,2)&lt;=999,"700-999 мм","1000+ мм")))))))))</f>
        <v/>
      </c>
      <c r="Z266" s="160">
        <f>IF(SMALL($R266:$T266,1)="","",IF(SMALL($R266:$T266,1)&lt;=99,"10-99 мм",IF(SMALL($R266:$T266,1)&lt;=199,"100-199 мм",IF(SMALL($R266:$T266,1)&lt;=299,"200-299 мм",IF(SMALL($R266:$T266,1)&lt;=399,"300-399 мм",IF(SMALL($R266:$T266,1)&lt;=499,"400-499 мм",IF(SMALL($R266:$T266,1)&lt;=599,"500-599 мм",IF(SMALL($R266:$T266,1)&lt;=699,"600-699 мм",IF(SMALL($R266:$T266,1)&lt;=999,"700-999 мм","1000+ мм")))))))))</f>
        <v/>
      </c>
      <c r="AA266" s="101">
        <f>IF(G266="","",IF(G266="Л","Лист гофрокартона",IF(G266="КД","Крышка-дно",IF(G266="С","Самосборные",IF(G266="Ч","Четырехклапанные",IF(G266="А","Архивные","Неизвестно"))))))</f>
        <v/>
      </c>
      <c r="AB266" s="66" t="n">
        <v>1.73</v>
      </c>
      <c r="AC266" s="101">
        <f>IF(O266="","",IF(O266&lt;=1,"0-1 литров",IF(O266&lt;=3,"2-3 литра",IF(O266&lt;=5,"4-5 литра",IF(O266&lt;=7,"6-7 литра",IF(O266&lt;=9,"8-9 литров",IF(O266&lt;=14,"10-14 литров",IF(O266&lt;=19,"15-19 литров",IF(O266&lt;=29,"20-29 литров",IF(O266&lt;=49,"30-49 литров",IF(O266&lt;=59,"50-59 литров",IF(O266&lt;=70,"60-69 литров",IF(O266&lt;=79,"70-79 литров",IF(O266&lt;=89,"80-89 литров",IF(O266&lt;=99,"90-99 литров",IF(O266&lt;=200,"100-200 литров","200+ литров"))))))))))))))))</f>
        <v/>
      </c>
    </row>
    <row r="267" customFormat="1" s="207">
      <c r="A267" s="64" t="n">
        <v>0.9</v>
      </c>
      <c r="B267" s="65">
        <f>A267*1.2</f>
        <v/>
      </c>
      <c r="C267" s="109" t="n">
        <v>267</v>
      </c>
      <c r="D267" s="77" t="inlineStr">
        <is>
          <t>ГТ</t>
        </is>
      </c>
      <c r="E267" s="88" t="inlineStr">
        <is>
          <t>400х300х300</t>
        </is>
      </c>
      <c r="F267" s="213" t="n"/>
      <c r="G267" s="83" t="inlineStr">
        <is>
          <t>Ч</t>
        </is>
      </c>
      <c r="H267" s="146" t="inlineStr">
        <is>
          <t>0201</t>
        </is>
      </c>
      <c r="I267" s="83" t="inlineStr">
        <is>
          <t>В</t>
        </is>
      </c>
      <c r="J267" s="83" t="inlineStr">
        <is>
          <t>без</t>
        </is>
      </c>
      <c r="K267" s="116" t="inlineStr">
        <is>
          <t>K1032</t>
        </is>
      </c>
      <c r="L267" s="103" t="n"/>
      <c r="M267" s="239" t="n"/>
      <c r="N267" s="239">
        <f>IF(D267="","",IF(LEFT(D267,1)="0",0,1))</f>
        <v/>
      </c>
      <c r="O267" s="80">
        <f>ROUND(R267*S267*T267/1000000,2)</f>
        <v/>
      </c>
      <c r="P267" s="160">
        <f>IF(O267="","",
IF(O267&lt;1,"0,1-0,9 литров",
IF(O267&lt;2,"1-1,9 литра",
IF(O267&lt;3,"2-2,9 литра",
IF(O267&lt;4,"3-3,9 литра",
IF(O267&lt;6,"4-5,9 литра",IF(O267&lt;8,"6-7,9 литра",IF(O267&lt;10,"8-9,9 литров",IF(O267&lt;15,"10-14,9 литров",IF(O267&lt;20,"15-19,9 литров",IF(O267&lt;30,"20-29 литров",IF(O267&lt;50,"30-49 литров",IF(O267&lt;60,"50-59 литров",IF(O267&lt;70,"60-69 литров",IF(O267&lt;80,"70-79 литров",IF(O267&lt;90,"80-89 литров",IF(O267&lt;100,"90-99 литров",IF(O267&lt;200,"100-200 литров","200+ литров"))))))))))))))))))</f>
        <v/>
      </c>
      <c r="Q267" s="101">
        <f>IF(O267="","",IF(O267&lt;1,"&lt;1 л",IF(O267&lt;2,"1-2 л",IF(O267&lt;3,"2-3 л",IF(O267&lt;5,"3-5 л",IF(O267&lt;10,"5-10 л",IF(O267&lt;20,"10-20 л",IF(O267&lt;50,"20-50 л",IF(O267&lt;100,"50-100 л","100+ л")))))))))</f>
        <v/>
      </c>
      <c r="R267" s="162">
        <f>IF(E267="","",--LEFT(E267,FIND("х",E267)-1))</f>
        <v/>
      </c>
      <c r="S267" s="162">
        <f>IF(E267="","",--MID(E267,FIND("х",E267)+1,FIND("х",E267,FIND("х",E267)+1)-FIND("х",E267)-1))</f>
        <v/>
      </c>
      <c r="T267" s="162">
        <f>IF(E267="","",--RIGHT(E267,LEN(E267)-FIND("х",E267,FIND("х",E267)+1)))</f>
        <v/>
      </c>
      <c r="U267" s="66">
        <f>(2*(R267+S267)+60)*(S267+T267+8)/1000000</f>
        <v/>
      </c>
      <c r="V267" s="66">
        <f>IF(OR(AND(R267&gt;=2*S267,R267&gt;=2*T267),AND(S267&gt;=2*R267,S267&gt;=2*T267),AND(T267&gt;=2*R267,T267&gt;=2*S267)),"Длинные","")</f>
        <v/>
      </c>
      <c r="W267" s="66">
        <f>IF(OR(AND(R267&lt;=S267/2,R267&lt;=T267/2),AND(S267&lt;=R267/2,S267&lt;=T267/2),AND(T267&lt;=R267/2,T267&lt;=S267/2)),"Плоские","")</f>
        <v/>
      </c>
      <c r="X267" s="160">
        <f>IF(LARGE($R267:$T267,1)="","",IF(LARGE($R267:$T267,1)&lt;=99,"10-99 мм",IF(LARGE($R267:$T267,1)&lt;=199,"100-199 мм",IF(LARGE($R267:$T267,1)&lt;=299,"200-299 мм",IF(LARGE($R267:$T267,1)&lt;=399,"300-399 мм",IF(LARGE($R267:$T267,1)&lt;=499,"400-499 мм",IF(LARGE($R267:$T267,1)&lt;=599,"500-599 мм",IF(LARGE($R267:$T267,1)&lt;=699,"600-699 мм",IF(LARGE($R267:$T267,1)&lt;=999,"700-999 мм","1000+ мм")))))))))</f>
        <v/>
      </c>
      <c r="Y267" s="160">
        <f>IF(LARGE($R267:$T267,2)="","",IF(LARGE($R267:$T267,2)&lt;=99,"10-99 мм",IF(LARGE($R267:$T267,2)&lt;=199,"100-199 мм",IF(LARGE($R267:$T267,2)&lt;=299,"200-299 мм",IF(LARGE($R267:$T267,2)&lt;=399,"300-399 мм",IF(LARGE($R267:$T267,2)&lt;=499,"400-499 мм",IF(LARGE($R267:$T267,2)&lt;=599,"500-599 мм",IF(LARGE($R267:$T267,2)&lt;=699,"600-699 мм",IF(LARGE($R267:$T267,2)&lt;=999,"700-999 мм","1000+ мм")))))))))</f>
        <v/>
      </c>
      <c r="Z267" s="160">
        <f>IF(SMALL($R267:$T267,1)="","",IF(SMALL($R267:$T267,1)&lt;=99,"10-99 мм",IF(SMALL($R267:$T267,1)&lt;=199,"100-199 мм",IF(SMALL($R267:$T267,1)&lt;=299,"200-299 мм",IF(SMALL($R267:$T267,1)&lt;=399,"300-399 мм",IF(SMALL($R267:$T267,1)&lt;=499,"400-499 мм",IF(SMALL($R267:$T267,1)&lt;=599,"500-599 мм",IF(SMALL($R267:$T267,1)&lt;=699,"600-699 мм",IF(SMALL($R267:$T267,1)&lt;=999,"700-999 мм","1000+ мм")))))))))</f>
        <v/>
      </c>
      <c r="AA267" s="101">
        <f>IF(G267="","",IF(G267="Л","Лист гофрокартона",IF(G267="КД","Крышка-дно",IF(G267="С","Самосборные",IF(G267="Ч","Четырехклапанные",IF(G267="А","Архивные","Неизвестно"))))))</f>
        <v/>
      </c>
      <c r="AB267" s="66" t="n">
        <v>1.73</v>
      </c>
      <c r="AC267" s="101">
        <f>IF(O267="","",IF(O267&lt;=1,"0-1 литров",IF(O267&lt;=3,"2-3 литра",IF(O267&lt;=5,"4-5 литра",IF(O267&lt;=7,"6-7 литра",IF(O267&lt;=9,"8-9 литров",IF(O267&lt;=14,"10-14 литров",IF(O267&lt;=19,"15-19 литров",IF(O267&lt;=29,"20-29 литров",IF(O267&lt;=49,"30-49 литров",IF(O267&lt;=59,"50-59 литров",IF(O267&lt;=70,"60-69 литров",IF(O267&lt;=79,"70-79 литров",IF(O267&lt;=89,"80-89 литров",IF(O267&lt;=99,"90-99 литров",IF(O267&lt;=200,"100-200 литров","200+ литров"))))))))))))))))</f>
        <v/>
      </c>
    </row>
    <row r="268" customFormat="1" s="207">
      <c r="A268" s="64" t="n">
        <v>0.53</v>
      </c>
      <c r="B268" s="65">
        <f>A268*1.2</f>
        <v/>
      </c>
      <c r="C268" s="109" t="n">
        <v>268</v>
      </c>
      <c r="D268" s="77" t="inlineStr">
        <is>
          <t>Т (ЛС)</t>
        </is>
      </c>
      <c r="E268" s="88" t="inlineStr">
        <is>
          <t>210х140х110</t>
        </is>
      </c>
      <c r="F268" s="213" t="n"/>
      <c r="G268" s="83" t="inlineStr">
        <is>
          <t>Ч</t>
        </is>
      </c>
      <c r="H268" s="146" t="inlineStr">
        <is>
          <t>0201</t>
        </is>
      </c>
      <c r="I268" s="83" t="inlineStr">
        <is>
          <t>В</t>
        </is>
      </c>
      <c r="J268" s="83" t="inlineStr">
        <is>
          <t>без</t>
        </is>
      </c>
      <c r="K268" s="116" t="inlineStr">
        <is>
          <t>K1033</t>
        </is>
      </c>
      <c r="L268" s="103" t="n"/>
      <c r="M268" s="239" t="n"/>
      <c r="N268" s="239">
        <f>IF(D268="","",IF(LEFT(D268,1)="0",0,1))</f>
        <v/>
      </c>
      <c r="O268" s="80">
        <f>ROUND(R268*S268*T268/1000000,2)</f>
        <v/>
      </c>
      <c r="P268" s="160">
        <f>IF(O268="","",
IF(O268&lt;1,"0,1-0,9 литров",
IF(O268&lt;2,"1-1,9 литра",
IF(O268&lt;3,"2-2,9 литра",
IF(O268&lt;4,"3-3,9 литра",
IF(O268&lt;6,"4-5,9 литра",IF(O268&lt;8,"6-7,9 литра",IF(O268&lt;10,"8-9,9 литров",IF(O268&lt;15,"10-14,9 литров",IF(O268&lt;20,"15-19,9 литров",IF(O268&lt;30,"20-29 литров",IF(O268&lt;50,"30-49 литров",IF(O268&lt;60,"50-59 литров",IF(O268&lt;70,"60-69 литров",IF(O268&lt;80,"70-79 литров",IF(O268&lt;90,"80-89 литров",IF(O268&lt;100,"90-99 литров",IF(O268&lt;200,"100-200 литров","200+ литров"))))))))))))))))))</f>
        <v/>
      </c>
      <c r="Q268" s="101">
        <f>IF(O268="","",IF(O268&lt;1,"&lt;1 л",IF(O268&lt;2,"1-2 л",IF(O268&lt;3,"2-3 л",IF(O268&lt;5,"3-5 л",IF(O268&lt;10,"5-10 л",IF(O268&lt;20,"10-20 л",IF(O268&lt;50,"20-50 л",IF(O268&lt;100,"50-100 л","100+ л")))))))))</f>
        <v/>
      </c>
      <c r="R268" s="162">
        <f>IF(E268="","",--LEFT(E268,FIND("х",E268)-1))</f>
        <v/>
      </c>
      <c r="S268" s="162">
        <f>IF(E268="","",--MID(E268,FIND("х",E268)+1,FIND("х",E268,FIND("х",E268)+1)-FIND("х",E268)-1))</f>
        <v/>
      </c>
      <c r="T268" s="162">
        <f>IF(E268="","",--RIGHT(E268,LEN(E268)-FIND("х",E268,FIND("х",E268)+1)))</f>
        <v/>
      </c>
      <c r="U268" s="66">
        <f>(2*(R268+S268)+60)*(S268+T268+8)/1000000</f>
        <v/>
      </c>
      <c r="V268" s="66">
        <f>IF(OR(AND(R268&gt;=2*S268,R268&gt;=2*T268),AND(S268&gt;=2*R268,S268&gt;=2*T268),AND(T268&gt;=2*R268,T268&gt;=2*S268)),"Длинные","")</f>
        <v/>
      </c>
      <c r="W268" s="66">
        <f>IF(OR(AND(R268&lt;=S268/2,R268&lt;=T268/2),AND(S268&lt;=R268/2,S268&lt;=T268/2),AND(T268&lt;=R268/2,T268&lt;=S268/2)),"Плоские","")</f>
        <v/>
      </c>
      <c r="X268" s="160">
        <f>IF(LARGE($R268:$T268,1)="","",IF(LARGE($R268:$T268,1)&lt;=99,"10-99 мм",IF(LARGE($R268:$T268,1)&lt;=199,"100-199 мм",IF(LARGE($R268:$T268,1)&lt;=299,"200-299 мм",IF(LARGE($R268:$T268,1)&lt;=399,"300-399 мм",IF(LARGE($R268:$T268,1)&lt;=499,"400-499 мм",IF(LARGE($R268:$T268,1)&lt;=599,"500-599 мм",IF(LARGE($R268:$T268,1)&lt;=699,"600-699 мм",IF(LARGE($R268:$T268,1)&lt;=999,"700-999 мм","1000+ мм")))))))))</f>
        <v/>
      </c>
      <c r="Y268" s="160">
        <f>IF(LARGE($R268:$T268,2)="","",IF(LARGE($R268:$T268,2)&lt;=99,"10-99 мм",IF(LARGE($R268:$T268,2)&lt;=199,"100-199 мм",IF(LARGE($R268:$T268,2)&lt;=299,"200-299 мм",IF(LARGE($R268:$T268,2)&lt;=399,"300-399 мм",IF(LARGE($R268:$T268,2)&lt;=499,"400-499 мм",IF(LARGE($R268:$T268,2)&lt;=599,"500-599 мм",IF(LARGE($R268:$T268,2)&lt;=699,"600-699 мм",IF(LARGE($R268:$T268,2)&lt;=999,"700-999 мм","1000+ мм")))))))))</f>
        <v/>
      </c>
      <c r="Z268" s="160">
        <f>IF(SMALL($R268:$T268,1)="","",IF(SMALL($R268:$T268,1)&lt;=99,"10-99 мм",IF(SMALL($R268:$T268,1)&lt;=199,"100-199 мм",IF(SMALL($R268:$T268,1)&lt;=299,"200-299 мм",IF(SMALL($R268:$T268,1)&lt;=399,"300-399 мм",IF(SMALL($R268:$T268,1)&lt;=499,"400-499 мм",IF(SMALL($R268:$T268,1)&lt;=599,"500-599 мм",IF(SMALL($R268:$T268,1)&lt;=699,"600-699 мм",IF(SMALL($R268:$T268,1)&lt;=999,"700-999 мм","1000+ мм")))))))))</f>
        <v/>
      </c>
      <c r="AA268" s="101">
        <f>IF(G268="","",IF(G268="Л","Лист гофрокартона",IF(G268="КД","Крышка-дно",IF(G268="С","Самосборные",IF(G268="Ч","Четырехклапанные",IF(G268="А","Архивные","Неизвестно"))))))</f>
        <v/>
      </c>
      <c r="AB268" s="66" t="n">
        <v>1.73</v>
      </c>
      <c r="AC268" s="101">
        <f>IF(O268="","",IF(O268&lt;=1,"0-1 литров",IF(O268&lt;=3,"2-3 литра",IF(O268&lt;=5,"4-5 литра",IF(O268&lt;=7,"6-7 литра",IF(O268&lt;=9,"8-9 литров",IF(O268&lt;=14,"10-14 литров",IF(O268&lt;=19,"15-19 литров",IF(O268&lt;=29,"20-29 литров",IF(O268&lt;=49,"30-49 литров",IF(O268&lt;=59,"50-59 литров",IF(O268&lt;=70,"60-69 литров",IF(O268&lt;=79,"70-79 литров",IF(O268&lt;=89,"80-89 литров",IF(O268&lt;=99,"90-99 литров",IF(O268&lt;=200,"100-200 литров","200+ литров"))))))))))))))))</f>
        <v/>
      </c>
    </row>
    <row r="269" customFormat="1" s="207">
      <c r="A269" s="64" t="n">
        <v>0.16</v>
      </c>
      <c r="B269" s="65">
        <f>A269*1.2</f>
        <v/>
      </c>
      <c r="C269" s="109" t="n">
        <v>269</v>
      </c>
      <c r="D269" s="116" t="inlineStr">
        <is>
          <t>У</t>
        </is>
      </c>
      <c r="E269" s="88" t="inlineStr">
        <is>
          <t>195х70х35</t>
        </is>
      </c>
      <c r="F269" s="213" t="n"/>
      <c r="G269" s="83" t="inlineStr">
        <is>
          <t>С</t>
        </is>
      </c>
      <c r="H269" s="146" t="inlineStr">
        <is>
          <t>0427</t>
        </is>
      </c>
      <c r="I269" s="83" t="inlineStr">
        <is>
          <t>Е</t>
        </is>
      </c>
      <c r="J269" s="83" t="inlineStr">
        <is>
          <t>ОП</t>
        </is>
      </c>
      <c r="K269" s="116" t="inlineStr">
        <is>
          <t>K239</t>
        </is>
      </c>
      <c r="L269" s="103" t="n"/>
      <c r="M269" s="239" t="n"/>
      <c r="N269" s="239">
        <f>IF(D269="","",IF(LEFT(D269,1)="0",0,1))</f>
        <v/>
      </c>
      <c r="O269" s="80">
        <f>ROUND(R269*S269*T269/1000000,2)</f>
        <v/>
      </c>
      <c r="P269" s="160">
        <f>IF(O269="","",
IF(O269&lt;1,"0,1-0,9 литров",
IF(O269&lt;2,"1-1,9 литра",
IF(O269&lt;3,"2-2,9 литра",
IF(O269&lt;4,"3-3,9 литра",
IF(O269&lt;6,"4-5,9 литра",IF(O269&lt;8,"6-7,9 литра",IF(O269&lt;10,"8-9,9 литров",IF(O269&lt;15,"10-14,9 литров",IF(O269&lt;20,"15-19,9 литров",IF(O269&lt;30,"20-29 литров",IF(O269&lt;50,"30-49 литров",IF(O269&lt;60,"50-59 литров",IF(O269&lt;70,"60-69 литров",IF(O269&lt;80,"70-79 литров",IF(O269&lt;90,"80-89 литров",IF(O269&lt;100,"90-99 литров",IF(O269&lt;200,"100-200 литров","200+ литров"))))))))))))))))))</f>
        <v/>
      </c>
      <c r="Q269" s="101">
        <f>IF(O269="","",IF(O269&lt;1,"&lt;1 л",IF(O269&lt;2,"1-2 л",IF(O269&lt;3,"2-3 л",IF(O269&lt;5,"3-5 л",IF(O269&lt;10,"5-10 л",IF(O269&lt;20,"10-20 л",IF(O269&lt;50,"20-50 л",IF(O269&lt;100,"50-100 л","100+ л")))))))))</f>
        <v/>
      </c>
      <c r="R269" s="162">
        <f>IF(E269="","",--LEFT(E269,FIND("х",E269)-1))</f>
        <v/>
      </c>
      <c r="S269" s="162">
        <f>IF(E269="","",--MID(E269,FIND("х",E269)+1,FIND("х",E269,FIND("х",E269)+1)-FIND("х",E269)-1))</f>
        <v/>
      </c>
      <c r="T269" s="162">
        <f>IF(E269="","",--RIGHT(E269,LEN(E269)-FIND("х",E269,FIND("х",E269)+1)))</f>
        <v/>
      </c>
      <c r="U269" s="66">
        <f>(2*(R269+S269)+60)*(S269+T269+8)/1000000</f>
        <v/>
      </c>
      <c r="V269" s="66">
        <f>IF(OR(AND(R269&gt;=2*S269,R269&gt;=2*T269),AND(S269&gt;=2*R269,S269&gt;=2*T269),AND(T269&gt;=2*R269,T269&gt;=2*S269)),"Длинные","")</f>
        <v/>
      </c>
      <c r="W269" s="66">
        <f>IF(OR(AND(R269&lt;=S269/2,R269&lt;=T269/2),AND(S269&lt;=R269/2,S269&lt;=T269/2),AND(T269&lt;=R269/2,T269&lt;=S269/2)),"Плоские","")</f>
        <v/>
      </c>
      <c r="X269" s="160">
        <f>IF(LARGE($R269:$T269,1)="","",IF(LARGE($R269:$T269,1)&lt;=99,"10-99 мм",IF(LARGE($R269:$T269,1)&lt;=199,"100-199 мм",IF(LARGE($R269:$T269,1)&lt;=299,"200-299 мм",IF(LARGE($R269:$T269,1)&lt;=399,"300-399 мм",IF(LARGE($R269:$T269,1)&lt;=499,"400-499 мм",IF(LARGE($R269:$T269,1)&lt;=599,"500-599 мм",IF(LARGE($R269:$T269,1)&lt;=699,"600-699 мм",IF(LARGE($R269:$T269,1)&lt;=999,"700-999 мм","1000+ мм")))))))))</f>
        <v/>
      </c>
      <c r="Y269" s="160">
        <f>IF(LARGE($R269:$T269,2)="","",IF(LARGE($R269:$T269,2)&lt;=99,"10-99 мм",IF(LARGE($R269:$T269,2)&lt;=199,"100-199 мм",IF(LARGE($R269:$T269,2)&lt;=299,"200-299 мм",IF(LARGE($R269:$T269,2)&lt;=399,"300-399 мм",IF(LARGE($R269:$T269,2)&lt;=499,"400-499 мм",IF(LARGE($R269:$T269,2)&lt;=599,"500-599 мм",IF(LARGE($R269:$T269,2)&lt;=699,"600-699 мм",IF(LARGE($R269:$T269,2)&lt;=999,"700-999 мм","1000+ мм")))))))))</f>
        <v/>
      </c>
      <c r="Z269" s="160">
        <f>IF(SMALL($R269:$T269,1)="","",IF(SMALL($R269:$T269,1)&lt;=99,"10-99 мм",IF(SMALL($R269:$T269,1)&lt;=199,"100-199 мм",IF(SMALL($R269:$T269,1)&lt;=299,"200-299 мм",IF(SMALL($R269:$T269,1)&lt;=399,"300-399 мм",IF(SMALL($R269:$T269,1)&lt;=499,"400-499 мм",IF(SMALL($R269:$T269,1)&lt;=599,"500-599 мм",IF(SMALL($R269:$T269,1)&lt;=699,"600-699 мм",IF(SMALL($R269:$T269,1)&lt;=999,"700-999 мм","1000+ мм")))))))))</f>
        <v/>
      </c>
      <c r="AA269" s="101">
        <f>IF(G269="","",IF(G269="Л","Лист гофрокартона",IF(G269="КД","Крышка-дно",IF(G269="С","Самосборные",IF(G269="Ч","Четырехклапанные",IF(G269="А","Архивные","Неизвестно"))))))</f>
        <v/>
      </c>
      <c r="AB269" s="66" t="n">
        <v>1.73</v>
      </c>
      <c r="AC269" s="101">
        <f>IF(O269="","",IF(O269&lt;=1,"0-1 литров",IF(O269&lt;=3,"2-3 литра",IF(O269&lt;=5,"4-5 литра",IF(O269&lt;=7,"6-7 литра",IF(O269&lt;=9,"8-9 литров",IF(O269&lt;=14,"10-14 литров",IF(O269&lt;=19,"15-19 литров",IF(O269&lt;=29,"20-29 литров",IF(O269&lt;=49,"30-49 литров",IF(O269&lt;=59,"50-59 литров",IF(O269&lt;=70,"60-69 литров",IF(O269&lt;=79,"70-79 литров",IF(O269&lt;=89,"80-89 литров",IF(O269&lt;=99,"90-99 литров",IF(O269&lt;=200,"100-200 литров","200+ литров"))))))))))))))))</f>
        <v/>
      </c>
    </row>
    <row r="270" ht="54.9" customFormat="1" customHeight="1" s="207">
      <c r="A270" s="64" t="n">
        <v>0.27</v>
      </c>
      <c r="B270" s="65">
        <f>A270*1.2</f>
        <v/>
      </c>
      <c r="C270" s="109" t="n">
        <v>270</v>
      </c>
      <c r="D270" s="116" t="inlineStr">
        <is>
          <t>У</t>
        </is>
      </c>
      <c r="E270" s="88" t="inlineStr">
        <is>
          <t>160х100х55</t>
        </is>
      </c>
      <c r="F270" s="213" t="inlineStr">
        <is>
          <t>В прошлом форма зела мол 150х100х55. эта форма ошибочно сделана РТ-бел</t>
        </is>
      </c>
      <c r="G270" s="83" t="inlineStr">
        <is>
          <t>С</t>
        </is>
      </c>
      <c r="H270" s="146" t="inlineStr">
        <is>
          <t>0427</t>
        </is>
      </c>
      <c r="I270" s="83" t="inlineStr">
        <is>
          <t>Е</t>
        </is>
      </c>
      <c r="J270" s="83" t="inlineStr">
        <is>
          <t>ОП</t>
        </is>
      </c>
      <c r="K270" s="116" t="inlineStr">
        <is>
          <t>K240</t>
        </is>
      </c>
      <c r="L270" s="103" t="n"/>
      <c r="M270" s="239" t="n"/>
      <c r="N270" s="239">
        <f>IF(D270="","",IF(LEFT(D270,1)="0",0,1))</f>
        <v/>
      </c>
      <c r="O270" s="80">
        <f>ROUND(R270*S270*T270/1000000,2)</f>
        <v/>
      </c>
      <c r="P270" s="160">
        <f>IF(O270="","",
IF(O270&lt;1,"0,1-0,9 литров",
IF(O270&lt;2,"1-1,9 литра",
IF(O270&lt;3,"2-2,9 литра",
IF(O270&lt;4,"3-3,9 литра",
IF(O270&lt;6,"4-5,9 литра",IF(O270&lt;8,"6-7,9 литра",IF(O270&lt;10,"8-9,9 литров",IF(O270&lt;15,"10-14,9 литров",IF(O270&lt;20,"15-19,9 литров",IF(O270&lt;30,"20-29 литров",IF(O270&lt;50,"30-49 литров",IF(O270&lt;60,"50-59 литров",IF(O270&lt;70,"60-69 литров",IF(O270&lt;80,"70-79 литров",IF(O270&lt;90,"80-89 литров",IF(O270&lt;100,"90-99 литров",IF(O270&lt;200,"100-200 литров","200+ литров"))))))))))))))))))</f>
        <v/>
      </c>
      <c r="Q270" s="101">
        <f>IF(O270="","",IF(O270&lt;1,"&lt;1 л",IF(O270&lt;2,"1-2 л",IF(O270&lt;3,"2-3 л",IF(O270&lt;5,"3-5 л",IF(O270&lt;10,"5-10 л",IF(O270&lt;20,"10-20 л",IF(O270&lt;50,"20-50 л",IF(O270&lt;100,"50-100 л","100+ л")))))))))</f>
        <v/>
      </c>
      <c r="R270" s="162">
        <f>IF(E270="","",--LEFT(E270,FIND("х",E270)-1))</f>
        <v/>
      </c>
      <c r="S270" s="162">
        <f>IF(E270="","",--MID(E270,FIND("х",E270)+1,FIND("х",E270,FIND("х",E270)+1)-FIND("х",E270)-1))</f>
        <v/>
      </c>
      <c r="T270" s="162">
        <f>IF(E270="","",--RIGHT(E270,LEN(E270)-FIND("х",E270,FIND("х",E270)+1)))</f>
        <v/>
      </c>
      <c r="U270" s="66">
        <f>(2*(R270+S270)+60)*(S270+T270+8)/1000000</f>
        <v/>
      </c>
      <c r="V270" s="66">
        <f>IF(OR(AND(R270&gt;=2*S270,R270&gt;=2*T270),AND(S270&gt;=2*R270,S270&gt;=2*T270),AND(T270&gt;=2*R270,T270&gt;=2*S270)),"Длинные","")</f>
        <v/>
      </c>
      <c r="W270" s="66">
        <f>IF(OR(AND(R270&lt;=S270/2,R270&lt;=T270/2),AND(S270&lt;=R270/2,S270&lt;=T270/2),AND(T270&lt;=R270/2,T270&lt;=S270/2)),"Плоские","")</f>
        <v/>
      </c>
      <c r="X270" s="160">
        <f>IF(LARGE($R270:$T270,1)="","",IF(LARGE($R270:$T270,1)&lt;=99,"10-99 мм",IF(LARGE($R270:$T270,1)&lt;=199,"100-199 мм",IF(LARGE($R270:$T270,1)&lt;=299,"200-299 мм",IF(LARGE($R270:$T270,1)&lt;=399,"300-399 мм",IF(LARGE($R270:$T270,1)&lt;=499,"400-499 мм",IF(LARGE($R270:$T270,1)&lt;=599,"500-599 мм",IF(LARGE($R270:$T270,1)&lt;=699,"600-699 мм",IF(LARGE($R270:$T270,1)&lt;=999,"700-999 мм","1000+ мм")))))))))</f>
        <v/>
      </c>
      <c r="Y270" s="160">
        <f>IF(LARGE($R270:$T270,2)="","",IF(LARGE($R270:$T270,2)&lt;=99,"10-99 мм",IF(LARGE($R270:$T270,2)&lt;=199,"100-199 мм",IF(LARGE($R270:$T270,2)&lt;=299,"200-299 мм",IF(LARGE($R270:$T270,2)&lt;=399,"300-399 мм",IF(LARGE($R270:$T270,2)&lt;=499,"400-499 мм",IF(LARGE($R270:$T270,2)&lt;=599,"500-599 мм",IF(LARGE($R270:$T270,2)&lt;=699,"600-699 мм",IF(LARGE($R270:$T270,2)&lt;=999,"700-999 мм","1000+ мм")))))))))</f>
        <v/>
      </c>
      <c r="Z270" s="160">
        <f>IF(SMALL($R270:$T270,1)="","",IF(SMALL($R270:$T270,1)&lt;=99,"10-99 мм",IF(SMALL($R270:$T270,1)&lt;=199,"100-199 мм",IF(SMALL($R270:$T270,1)&lt;=299,"200-299 мм",IF(SMALL($R270:$T270,1)&lt;=399,"300-399 мм",IF(SMALL($R270:$T270,1)&lt;=499,"400-499 мм",IF(SMALL($R270:$T270,1)&lt;=599,"500-599 мм",IF(SMALL($R270:$T270,1)&lt;=699,"600-699 мм",IF(SMALL($R270:$T270,1)&lt;=999,"700-999 мм","1000+ мм")))))))))</f>
        <v/>
      </c>
      <c r="AA270" s="101">
        <f>IF(G270="","",IF(G270="Л","Лист гофрокартона",IF(G270="КД","Крышка-дно",IF(G270="С","Самосборные",IF(G270="Ч","Четырехклапанные",IF(G270="А","Архивные","Неизвестно"))))))</f>
        <v/>
      </c>
      <c r="AB270" s="66" t="n">
        <v>1.73</v>
      </c>
      <c r="AC270" s="101">
        <f>IF(O270="","",IF(O270&lt;=1,"0-1 литров",IF(O270&lt;=3,"2-3 литра",IF(O270&lt;=5,"4-5 литра",IF(O270&lt;=7,"6-7 литра",IF(O270&lt;=9,"8-9 литров",IF(O270&lt;=14,"10-14 литров",IF(O270&lt;=19,"15-19 литров",IF(O270&lt;=29,"20-29 литров",IF(O270&lt;=49,"30-49 литров",IF(O270&lt;=59,"50-59 литров",IF(O270&lt;=70,"60-69 литров",IF(O270&lt;=79,"70-79 литров",IF(O270&lt;=89,"80-89 литров",IF(O270&lt;=99,"90-99 литров",IF(O270&lt;=200,"100-200 литров","200+ литров"))))))))))))))))</f>
        <v/>
      </c>
    </row>
    <row r="271" customFormat="1" s="207">
      <c r="A271" s="64" t="n">
        <v>0.08</v>
      </c>
      <c r="B271" s="65">
        <f>A271*1.2</f>
        <v/>
      </c>
      <c r="C271" s="109" t="n">
        <v>271</v>
      </c>
      <c r="D271" s="116" t="inlineStr">
        <is>
          <t>У</t>
        </is>
      </c>
      <c r="E271" s="88" t="inlineStr">
        <is>
          <t>140х43х23</t>
        </is>
      </c>
      <c r="F271" s="213" t="n"/>
      <c r="G271" s="83" t="inlineStr">
        <is>
          <t>С</t>
        </is>
      </c>
      <c r="H271" s="146" t="inlineStr">
        <is>
          <t>0427</t>
        </is>
      </c>
      <c r="I271" s="83" t="inlineStr">
        <is>
          <t>Е</t>
        </is>
      </c>
      <c r="J271" s="83" t="inlineStr">
        <is>
          <t>ОП</t>
        </is>
      </c>
      <c r="K271" s="116" t="inlineStr">
        <is>
          <t>K241</t>
        </is>
      </c>
      <c r="L271" s="103" t="n"/>
      <c r="M271" s="239" t="n"/>
      <c r="N271" s="239">
        <f>IF(D271="","",IF(LEFT(D271,1)="0",0,1))</f>
        <v/>
      </c>
      <c r="O271" s="80">
        <f>ROUND(R271*S271*T271/1000000,2)</f>
        <v/>
      </c>
      <c r="P271" s="160">
        <f>IF(O271="","",
IF(O271&lt;1,"0,1-0,9 литров",
IF(O271&lt;2,"1-1,9 литра",
IF(O271&lt;3,"2-2,9 литра",
IF(O271&lt;4,"3-3,9 литра",
IF(O271&lt;6,"4-5,9 литра",IF(O271&lt;8,"6-7,9 литра",IF(O271&lt;10,"8-9,9 литров",IF(O271&lt;15,"10-14,9 литров",IF(O271&lt;20,"15-19,9 литров",IF(O271&lt;30,"20-29 литров",IF(O271&lt;50,"30-49 литров",IF(O271&lt;60,"50-59 литров",IF(O271&lt;70,"60-69 литров",IF(O271&lt;80,"70-79 литров",IF(O271&lt;90,"80-89 литров",IF(O271&lt;100,"90-99 литров",IF(O271&lt;200,"100-200 литров","200+ литров"))))))))))))))))))</f>
        <v/>
      </c>
      <c r="Q271" s="101">
        <f>IF(O271="","",IF(O271&lt;1,"&lt;1 л",IF(O271&lt;2,"1-2 л",IF(O271&lt;3,"2-3 л",IF(O271&lt;5,"3-5 л",IF(O271&lt;10,"5-10 л",IF(O271&lt;20,"10-20 л",IF(O271&lt;50,"20-50 л",IF(O271&lt;100,"50-100 л","100+ л")))))))))</f>
        <v/>
      </c>
      <c r="R271" s="162">
        <f>IF(E271="","",--LEFT(E271,FIND("х",E271)-1))</f>
        <v/>
      </c>
      <c r="S271" s="162">
        <f>IF(E271="","",--MID(E271,FIND("х",E271)+1,FIND("х",E271,FIND("х",E271)+1)-FIND("х",E271)-1))</f>
        <v/>
      </c>
      <c r="T271" s="162">
        <f>IF(E271="","",--RIGHT(E271,LEN(E271)-FIND("х",E271,FIND("х",E271)+1)))</f>
        <v/>
      </c>
      <c r="U271" s="66">
        <f>(2*(R271+S271)+60)*(S271+T271+8)/1000000</f>
        <v/>
      </c>
      <c r="V271" s="66">
        <f>IF(OR(AND(R271&gt;=2*S271,R271&gt;=2*T271),AND(S271&gt;=2*R271,S271&gt;=2*T271),AND(T271&gt;=2*R271,T271&gt;=2*S271)),"Длинные","")</f>
        <v/>
      </c>
      <c r="W271" s="66">
        <f>IF(OR(AND(R271&lt;=S271/2,R271&lt;=T271/2),AND(S271&lt;=R271/2,S271&lt;=T271/2),AND(T271&lt;=R271/2,T271&lt;=S271/2)),"Плоские","")</f>
        <v/>
      </c>
      <c r="X271" s="160">
        <f>IF(LARGE($R271:$T271,1)="","",IF(LARGE($R271:$T271,1)&lt;=99,"10-99 мм",IF(LARGE($R271:$T271,1)&lt;=199,"100-199 мм",IF(LARGE($R271:$T271,1)&lt;=299,"200-299 мм",IF(LARGE($R271:$T271,1)&lt;=399,"300-399 мм",IF(LARGE($R271:$T271,1)&lt;=499,"400-499 мм",IF(LARGE($R271:$T271,1)&lt;=599,"500-599 мм",IF(LARGE($R271:$T271,1)&lt;=699,"600-699 мм",IF(LARGE($R271:$T271,1)&lt;=999,"700-999 мм","1000+ мм")))))))))</f>
        <v/>
      </c>
      <c r="Y271" s="160">
        <f>IF(LARGE($R271:$T271,2)="","",IF(LARGE($R271:$T271,2)&lt;=99,"10-99 мм",IF(LARGE($R271:$T271,2)&lt;=199,"100-199 мм",IF(LARGE($R271:$T271,2)&lt;=299,"200-299 мм",IF(LARGE($R271:$T271,2)&lt;=399,"300-399 мм",IF(LARGE($R271:$T271,2)&lt;=499,"400-499 мм",IF(LARGE($R271:$T271,2)&lt;=599,"500-599 мм",IF(LARGE($R271:$T271,2)&lt;=699,"600-699 мм",IF(LARGE($R271:$T271,2)&lt;=999,"700-999 мм","1000+ мм")))))))))</f>
        <v/>
      </c>
      <c r="Z271" s="160">
        <f>IF(SMALL($R271:$T271,1)="","",IF(SMALL($R271:$T271,1)&lt;=99,"10-99 мм",IF(SMALL($R271:$T271,1)&lt;=199,"100-199 мм",IF(SMALL($R271:$T271,1)&lt;=299,"200-299 мм",IF(SMALL($R271:$T271,1)&lt;=399,"300-399 мм",IF(SMALL($R271:$T271,1)&lt;=499,"400-499 мм",IF(SMALL($R271:$T271,1)&lt;=599,"500-599 мм",IF(SMALL($R271:$T271,1)&lt;=699,"600-699 мм",IF(SMALL($R271:$T271,1)&lt;=999,"700-999 мм","1000+ мм")))))))))</f>
        <v/>
      </c>
      <c r="AA271" s="101">
        <f>IF(G271="","",IF(G271="Л","Лист гофрокартона",IF(G271="КД","Крышка-дно",IF(G271="С","Самосборные",IF(G271="Ч","Четырехклапанные",IF(G271="А","Архивные","Неизвестно"))))))</f>
        <v/>
      </c>
      <c r="AB271" s="66" t="n">
        <v>1.73</v>
      </c>
      <c r="AC271" s="101">
        <f>IF(O271="","",IF(O271&lt;=1,"0-1 литров",IF(O271&lt;=3,"2-3 литра",IF(O271&lt;=5,"4-5 литра",IF(O271&lt;=7,"6-7 литра",IF(O271&lt;=9,"8-9 литров",IF(O271&lt;=14,"10-14 литров",IF(O271&lt;=19,"15-19 литров",IF(O271&lt;=29,"20-29 литров",IF(O271&lt;=49,"30-49 литров",IF(O271&lt;=59,"50-59 литров",IF(O271&lt;=70,"60-69 литров",IF(O271&lt;=79,"70-79 литров",IF(O271&lt;=89,"80-89 литров",IF(O271&lt;=99,"90-99 литров",IF(O271&lt;=200,"100-200 литров","200+ литров"))))))))))))))))</f>
        <v/>
      </c>
    </row>
    <row r="272" customFormat="1" s="207">
      <c r="A272" s="64" t="n">
        <v>0.13</v>
      </c>
      <c r="B272" s="65">
        <f>A272*1.2</f>
        <v/>
      </c>
      <c r="C272" s="109" t="n">
        <v>272</v>
      </c>
      <c r="D272" s="116" t="inlineStr">
        <is>
          <t>У</t>
        </is>
      </c>
      <c r="E272" s="88" t="inlineStr">
        <is>
          <t>160х60х30</t>
        </is>
      </c>
      <c r="F272" s="213" t="n"/>
      <c r="G272" s="83" t="inlineStr">
        <is>
          <t>С</t>
        </is>
      </c>
      <c r="H272" s="146" t="inlineStr">
        <is>
          <t>0427</t>
        </is>
      </c>
      <c r="I272" s="83" t="inlineStr">
        <is>
          <t>Е</t>
        </is>
      </c>
      <c r="J272" s="83" t="inlineStr">
        <is>
          <t>ОП</t>
        </is>
      </c>
      <c r="K272" s="116" t="inlineStr">
        <is>
          <t>K242</t>
        </is>
      </c>
      <c r="L272" s="103" t="n"/>
      <c r="M272" s="239" t="n"/>
      <c r="N272" s="239">
        <f>IF(D272="","",IF(LEFT(D272,1)="0",0,1))</f>
        <v/>
      </c>
      <c r="O272" s="80">
        <f>ROUND(R272*S272*T272/1000000,2)</f>
        <v/>
      </c>
      <c r="P272" s="160">
        <f>IF(O272="","",
IF(O272&lt;1,"0,1-0,9 литров",
IF(O272&lt;2,"1-1,9 литра",
IF(O272&lt;3,"2-2,9 литра",
IF(O272&lt;4,"3-3,9 литра",
IF(O272&lt;6,"4-5,9 литра",IF(O272&lt;8,"6-7,9 литра",IF(O272&lt;10,"8-9,9 литров",IF(O272&lt;15,"10-14,9 литров",IF(O272&lt;20,"15-19,9 литров",IF(O272&lt;30,"20-29 литров",IF(O272&lt;50,"30-49 литров",IF(O272&lt;60,"50-59 литров",IF(O272&lt;70,"60-69 литров",IF(O272&lt;80,"70-79 литров",IF(O272&lt;90,"80-89 литров",IF(O272&lt;100,"90-99 литров",IF(O272&lt;200,"100-200 литров","200+ литров"))))))))))))))))))</f>
        <v/>
      </c>
      <c r="Q272" s="101">
        <f>IF(O272="","",IF(O272&lt;1,"&lt;1 л",IF(O272&lt;2,"1-2 л",IF(O272&lt;3,"2-3 л",IF(O272&lt;5,"3-5 л",IF(O272&lt;10,"5-10 л",IF(O272&lt;20,"10-20 л",IF(O272&lt;50,"20-50 л",IF(O272&lt;100,"50-100 л","100+ л")))))))))</f>
        <v/>
      </c>
      <c r="R272" s="162">
        <f>IF(E272="","",--LEFT(E272,FIND("х",E272)-1))</f>
        <v/>
      </c>
      <c r="S272" s="162">
        <f>IF(E272="","",--MID(E272,FIND("х",E272)+1,FIND("х",E272,FIND("х",E272)+1)-FIND("х",E272)-1))</f>
        <v/>
      </c>
      <c r="T272" s="162">
        <f>IF(E272="","",--RIGHT(E272,LEN(E272)-FIND("х",E272,FIND("х",E272)+1)))</f>
        <v/>
      </c>
      <c r="U272" s="66">
        <f>(2*(R272+S272)+60)*(S272+T272+8)/1000000</f>
        <v/>
      </c>
      <c r="V272" s="66">
        <f>IF(OR(AND(R272&gt;=2*S272,R272&gt;=2*T272),AND(S272&gt;=2*R272,S272&gt;=2*T272),AND(T272&gt;=2*R272,T272&gt;=2*S272)),"Длинные","")</f>
        <v/>
      </c>
      <c r="W272" s="66">
        <f>IF(OR(AND(R272&lt;=S272/2,R272&lt;=T272/2),AND(S272&lt;=R272/2,S272&lt;=T272/2),AND(T272&lt;=R272/2,T272&lt;=S272/2)),"Плоские","")</f>
        <v/>
      </c>
      <c r="X272" s="160">
        <f>IF(LARGE($R272:$T272,1)="","",IF(LARGE($R272:$T272,1)&lt;=99,"10-99 мм",IF(LARGE($R272:$T272,1)&lt;=199,"100-199 мм",IF(LARGE($R272:$T272,1)&lt;=299,"200-299 мм",IF(LARGE($R272:$T272,1)&lt;=399,"300-399 мм",IF(LARGE($R272:$T272,1)&lt;=499,"400-499 мм",IF(LARGE($R272:$T272,1)&lt;=599,"500-599 мм",IF(LARGE($R272:$T272,1)&lt;=699,"600-699 мм",IF(LARGE($R272:$T272,1)&lt;=999,"700-999 мм","1000+ мм")))))))))</f>
        <v/>
      </c>
      <c r="Y272" s="160">
        <f>IF(LARGE($R272:$T272,2)="","",IF(LARGE($R272:$T272,2)&lt;=99,"10-99 мм",IF(LARGE($R272:$T272,2)&lt;=199,"100-199 мм",IF(LARGE($R272:$T272,2)&lt;=299,"200-299 мм",IF(LARGE($R272:$T272,2)&lt;=399,"300-399 мм",IF(LARGE($R272:$T272,2)&lt;=499,"400-499 мм",IF(LARGE($R272:$T272,2)&lt;=599,"500-599 мм",IF(LARGE($R272:$T272,2)&lt;=699,"600-699 мм",IF(LARGE($R272:$T272,2)&lt;=999,"700-999 мм","1000+ мм")))))))))</f>
        <v/>
      </c>
      <c r="Z272" s="160">
        <f>IF(SMALL($R272:$T272,1)="","",IF(SMALL($R272:$T272,1)&lt;=99,"10-99 мм",IF(SMALL($R272:$T272,1)&lt;=199,"100-199 мм",IF(SMALL($R272:$T272,1)&lt;=299,"200-299 мм",IF(SMALL($R272:$T272,1)&lt;=399,"300-399 мм",IF(SMALL($R272:$T272,1)&lt;=499,"400-499 мм",IF(SMALL($R272:$T272,1)&lt;=599,"500-599 мм",IF(SMALL($R272:$T272,1)&lt;=699,"600-699 мм",IF(SMALL($R272:$T272,1)&lt;=999,"700-999 мм","1000+ мм")))))))))</f>
        <v/>
      </c>
      <c r="AA272" s="101">
        <f>IF(G272="","",IF(G272="Л","Лист гофрокартона",IF(G272="КД","Крышка-дно",IF(G272="С","Самосборные",IF(G272="Ч","Четырехклапанные",IF(G272="А","Архивные","Неизвестно"))))))</f>
        <v/>
      </c>
      <c r="AB272" s="66" t="n">
        <v>1.73</v>
      </c>
      <c r="AC272" s="101">
        <f>IF(O272="","",IF(O272&lt;=1,"0-1 литров",IF(O272&lt;=3,"2-3 литра",IF(O272&lt;=5,"4-5 литра",IF(O272&lt;=7,"6-7 литра",IF(O272&lt;=9,"8-9 литров",IF(O272&lt;=14,"10-14 литров",IF(O272&lt;=19,"15-19 литров",IF(O272&lt;=29,"20-29 литров",IF(O272&lt;=49,"30-49 литров",IF(O272&lt;=59,"50-59 литров",IF(O272&lt;=70,"60-69 литров",IF(O272&lt;=79,"70-79 литров",IF(O272&lt;=89,"80-89 литров",IF(O272&lt;=99,"90-99 литров",IF(O272&lt;=200,"100-200 литров","200+ литров"))))))))))))))))</f>
        <v/>
      </c>
    </row>
    <row r="273" customFormat="1" s="207">
      <c r="A273" s="64" t="n">
        <v>0.92</v>
      </c>
      <c r="B273" s="65">
        <f>A273*1.2</f>
        <v/>
      </c>
      <c r="C273" s="109" t="n">
        <v>273</v>
      </c>
      <c r="D273" s="77" t="inlineStr">
        <is>
          <t>Т (ЛС)</t>
        </is>
      </c>
      <c r="E273" s="88" t="inlineStr">
        <is>
          <t>290х200х250</t>
        </is>
      </c>
      <c r="F273" s="213" t="n"/>
      <c r="G273" s="83" t="inlineStr">
        <is>
          <t>Ч</t>
        </is>
      </c>
      <c r="H273" s="146" t="inlineStr">
        <is>
          <t>0201</t>
        </is>
      </c>
      <c r="I273" s="83" t="inlineStr">
        <is>
          <t>В</t>
        </is>
      </c>
      <c r="J273" s="83" t="inlineStr">
        <is>
          <t>без</t>
        </is>
      </c>
      <c r="K273" s="116" t="inlineStr">
        <is>
          <t>K1034</t>
        </is>
      </c>
      <c r="L273" s="103" t="n"/>
      <c r="M273" s="239" t="n"/>
      <c r="N273" s="239">
        <f>IF(D273="","",IF(LEFT(D273,1)="0",0,1))</f>
        <v/>
      </c>
      <c r="O273" s="80">
        <f>ROUND(R273*S273*T273/1000000,2)</f>
        <v/>
      </c>
      <c r="P273" s="160">
        <f>IF(O273="","",
IF(O273&lt;1,"0,1-0,9 литров",
IF(O273&lt;2,"1-1,9 литра",
IF(O273&lt;3,"2-2,9 литра",
IF(O273&lt;4,"3-3,9 литра",
IF(O273&lt;6,"4-5,9 литра",IF(O273&lt;8,"6-7,9 литра",IF(O273&lt;10,"8-9,9 литров",IF(O273&lt;15,"10-14,9 литров",IF(O273&lt;20,"15-19,9 литров",IF(O273&lt;30,"20-29 литров",IF(O273&lt;50,"30-49 литров",IF(O273&lt;60,"50-59 литров",IF(O273&lt;70,"60-69 литров",IF(O273&lt;80,"70-79 литров",IF(O273&lt;90,"80-89 литров",IF(O273&lt;100,"90-99 литров",IF(O273&lt;200,"100-200 литров","200+ литров"))))))))))))))))))</f>
        <v/>
      </c>
      <c r="Q273" s="101">
        <f>IF(O273="","",IF(O273&lt;1,"&lt;1 л",IF(O273&lt;2,"1-2 л",IF(O273&lt;3,"2-3 л",IF(O273&lt;5,"3-5 л",IF(O273&lt;10,"5-10 л",IF(O273&lt;20,"10-20 л",IF(O273&lt;50,"20-50 л",IF(O273&lt;100,"50-100 л","100+ л")))))))))</f>
        <v/>
      </c>
      <c r="R273" s="162">
        <f>IF(E273="","",--LEFT(E273,FIND("х",E273)-1))</f>
        <v/>
      </c>
      <c r="S273" s="162">
        <f>IF(E273="","",--MID(E273,FIND("х",E273)+1,FIND("х",E273,FIND("х",E273)+1)-FIND("х",E273)-1))</f>
        <v/>
      </c>
      <c r="T273" s="162">
        <f>IF(E273="","",--RIGHT(E273,LEN(E273)-FIND("х",E273,FIND("х",E273)+1)))</f>
        <v/>
      </c>
      <c r="U273" s="66">
        <f>(2*(R273+S273)+60)*(S273+T273+8)/1000000</f>
        <v/>
      </c>
      <c r="V273" s="66">
        <f>IF(OR(AND(R273&gt;=2*S273,R273&gt;=2*T273),AND(S273&gt;=2*R273,S273&gt;=2*T273),AND(T273&gt;=2*R273,T273&gt;=2*S273)),"Длинные","")</f>
        <v/>
      </c>
      <c r="W273" s="66">
        <f>IF(OR(AND(R273&lt;=S273/2,R273&lt;=T273/2),AND(S273&lt;=R273/2,S273&lt;=T273/2),AND(T273&lt;=R273/2,T273&lt;=S273/2)),"Плоские","")</f>
        <v/>
      </c>
      <c r="X273" s="160">
        <f>IF(LARGE($R273:$T273,1)="","",IF(LARGE($R273:$T273,1)&lt;=99,"10-99 мм",IF(LARGE($R273:$T273,1)&lt;=199,"100-199 мм",IF(LARGE($R273:$T273,1)&lt;=299,"200-299 мм",IF(LARGE($R273:$T273,1)&lt;=399,"300-399 мм",IF(LARGE($R273:$T273,1)&lt;=499,"400-499 мм",IF(LARGE($R273:$T273,1)&lt;=599,"500-599 мм",IF(LARGE($R273:$T273,1)&lt;=699,"600-699 мм",IF(LARGE($R273:$T273,1)&lt;=999,"700-999 мм","1000+ мм")))))))))</f>
        <v/>
      </c>
      <c r="Y273" s="160">
        <f>IF(LARGE($R273:$T273,2)="","",IF(LARGE($R273:$T273,2)&lt;=99,"10-99 мм",IF(LARGE($R273:$T273,2)&lt;=199,"100-199 мм",IF(LARGE($R273:$T273,2)&lt;=299,"200-299 мм",IF(LARGE($R273:$T273,2)&lt;=399,"300-399 мм",IF(LARGE($R273:$T273,2)&lt;=499,"400-499 мм",IF(LARGE($R273:$T273,2)&lt;=599,"500-599 мм",IF(LARGE($R273:$T273,2)&lt;=699,"600-699 мм",IF(LARGE($R273:$T273,2)&lt;=999,"700-999 мм","1000+ мм")))))))))</f>
        <v/>
      </c>
      <c r="Z273" s="160">
        <f>IF(SMALL($R273:$T273,1)="","",IF(SMALL($R273:$T273,1)&lt;=99,"10-99 мм",IF(SMALL($R273:$T273,1)&lt;=199,"100-199 мм",IF(SMALL($R273:$T273,1)&lt;=299,"200-299 мм",IF(SMALL($R273:$T273,1)&lt;=399,"300-399 мм",IF(SMALL($R273:$T273,1)&lt;=499,"400-499 мм",IF(SMALL($R273:$T273,1)&lt;=599,"500-599 мм",IF(SMALL($R273:$T273,1)&lt;=699,"600-699 мм",IF(SMALL($R273:$T273,1)&lt;=999,"700-999 мм","1000+ мм")))))))))</f>
        <v/>
      </c>
      <c r="AA273" s="101">
        <f>IF(G273="","",IF(G273="Л","Лист гофрокартона",IF(G273="КД","Крышка-дно",IF(G273="С","Самосборные",IF(G273="Ч","Четырехклапанные",IF(G273="А","Архивные","Неизвестно"))))))</f>
        <v/>
      </c>
      <c r="AB273" s="66" t="n">
        <v>1.73</v>
      </c>
      <c r="AC273" s="101">
        <f>IF(O273="","",IF(O273&lt;=1,"0-1 литров",IF(O273&lt;=3,"2-3 литра",IF(O273&lt;=5,"4-5 литра",IF(O273&lt;=7,"6-7 литра",IF(O273&lt;=9,"8-9 литров",IF(O273&lt;=14,"10-14 литров",IF(O273&lt;=19,"15-19 литров",IF(O273&lt;=29,"20-29 литров",IF(O273&lt;=49,"30-49 литров",IF(O273&lt;=59,"50-59 литров",IF(O273&lt;=70,"60-69 литров",IF(O273&lt;=79,"70-79 литров",IF(O273&lt;=89,"80-89 литров",IF(O273&lt;=99,"90-99 литров",IF(O273&lt;=200,"100-200 литров","200+ литров"))))))))))))))))</f>
        <v/>
      </c>
    </row>
    <row r="274" customFormat="1" s="207">
      <c r="A274" s="64" t="n">
        <v>0.91</v>
      </c>
      <c r="B274" s="65">
        <f>A274*1.2</f>
        <v/>
      </c>
      <c r="C274" s="109" t="n">
        <v>274</v>
      </c>
      <c r="D274" s="77" t="inlineStr">
        <is>
          <t>Т (ЛС)</t>
        </is>
      </c>
      <c r="E274" s="88" t="inlineStr">
        <is>
          <t>270х160х270</t>
        </is>
      </c>
      <c r="F274" s="213" t="n"/>
      <c r="G274" s="83" t="inlineStr">
        <is>
          <t>Ч</t>
        </is>
      </c>
      <c r="H274" s="146" t="inlineStr">
        <is>
          <t>0201</t>
        </is>
      </c>
      <c r="I274" s="83" t="inlineStr">
        <is>
          <t>В</t>
        </is>
      </c>
      <c r="J274" s="83" t="inlineStr">
        <is>
          <t>без</t>
        </is>
      </c>
      <c r="K274" s="116" t="inlineStr">
        <is>
          <t>K1035</t>
        </is>
      </c>
      <c r="L274" s="103" t="inlineStr">
        <is>
          <t>Sale</t>
        </is>
      </c>
      <c r="M274" s="239" t="n"/>
      <c r="N274" s="239">
        <f>IF(D274="","",IF(LEFT(D274,1)="0",0,1))</f>
        <v/>
      </c>
      <c r="O274" s="80">
        <f>ROUND(R274*S274*T274/1000000,2)</f>
        <v/>
      </c>
      <c r="P274" s="160">
        <f>IF(O274="","",
IF(O274&lt;1,"0,1-0,9 литров",
IF(O274&lt;2,"1-1,9 литра",
IF(O274&lt;3,"2-2,9 литра",
IF(O274&lt;4,"3-3,9 литра",
IF(O274&lt;6,"4-5,9 литра",IF(O274&lt;8,"6-7,9 литра",IF(O274&lt;10,"8-9,9 литров",IF(O274&lt;15,"10-14,9 литров",IF(O274&lt;20,"15-19,9 литров",IF(O274&lt;30,"20-29 литров",IF(O274&lt;50,"30-49 литров",IF(O274&lt;60,"50-59 литров",IF(O274&lt;70,"60-69 литров",IF(O274&lt;80,"70-79 литров",IF(O274&lt;90,"80-89 литров",IF(O274&lt;100,"90-99 литров",IF(O274&lt;200,"100-200 литров","200+ литров"))))))))))))))))))</f>
        <v/>
      </c>
      <c r="Q274" s="101">
        <f>IF(O274="","",IF(O274&lt;1,"&lt;1 л",IF(O274&lt;2,"1-2 л",IF(O274&lt;3,"2-3 л",IF(O274&lt;5,"3-5 л",IF(O274&lt;10,"5-10 л",IF(O274&lt;20,"10-20 л",IF(O274&lt;50,"20-50 л",IF(O274&lt;100,"50-100 л","100+ л")))))))))</f>
        <v/>
      </c>
      <c r="R274" s="162">
        <f>IF(E274="","",--LEFT(E274,FIND("х",E274)-1))</f>
        <v/>
      </c>
      <c r="S274" s="162">
        <f>IF(E274="","",--MID(E274,FIND("х",E274)+1,FIND("х",E274,FIND("х",E274)+1)-FIND("х",E274)-1))</f>
        <v/>
      </c>
      <c r="T274" s="162">
        <f>IF(E274="","",--RIGHT(E274,LEN(E274)-FIND("х",E274,FIND("х",E274)+1)))</f>
        <v/>
      </c>
      <c r="U274" s="66">
        <f>(2*(R274+S274)+60)*(S274+T274+8)/1000000</f>
        <v/>
      </c>
      <c r="V274" s="66">
        <f>IF(OR(AND(R274&gt;=2*S274,R274&gt;=2*T274),AND(S274&gt;=2*R274,S274&gt;=2*T274),AND(T274&gt;=2*R274,T274&gt;=2*S274)),"Длинные","")</f>
        <v/>
      </c>
      <c r="W274" s="66">
        <f>IF(OR(AND(R274&lt;=S274/2,R274&lt;=T274/2),AND(S274&lt;=R274/2,S274&lt;=T274/2),AND(T274&lt;=R274/2,T274&lt;=S274/2)),"Плоские","")</f>
        <v/>
      </c>
      <c r="X274" s="160">
        <f>IF(LARGE($R274:$T274,1)="","",IF(LARGE($R274:$T274,1)&lt;=99,"10-99 мм",IF(LARGE($R274:$T274,1)&lt;=199,"100-199 мм",IF(LARGE($R274:$T274,1)&lt;=299,"200-299 мм",IF(LARGE($R274:$T274,1)&lt;=399,"300-399 мм",IF(LARGE($R274:$T274,1)&lt;=499,"400-499 мм",IF(LARGE($R274:$T274,1)&lt;=599,"500-599 мм",IF(LARGE($R274:$T274,1)&lt;=699,"600-699 мм",IF(LARGE($R274:$T274,1)&lt;=999,"700-999 мм","1000+ мм")))))))))</f>
        <v/>
      </c>
      <c r="Y274" s="160">
        <f>IF(LARGE($R274:$T274,2)="","",IF(LARGE($R274:$T274,2)&lt;=99,"10-99 мм",IF(LARGE($R274:$T274,2)&lt;=199,"100-199 мм",IF(LARGE($R274:$T274,2)&lt;=299,"200-299 мм",IF(LARGE($R274:$T274,2)&lt;=399,"300-399 мм",IF(LARGE($R274:$T274,2)&lt;=499,"400-499 мм",IF(LARGE($R274:$T274,2)&lt;=599,"500-599 мм",IF(LARGE($R274:$T274,2)&lt;=699,"600-699 мм",IF(LARGE($R274:$T274,2)&lt;=999,"700-999 мм","1000+ мм")))))))))</f>
        <v/>
      </c>
      <c r="Z274" s="160">
        <f>IF(SMALL($R274:$T274,1)="","",IF(SMALL($R274:$T274,1)&lt;=99,"10-99 мм",IF(SMALL($R274:$T274,1)&lt;=199,"100-199 мм",IF(SMALL($R274:$T274,1)&lt;=299,"200-299 мм",IF(SMALL($R274:$T274,1)&lt;=399,"300-399 мм",IF(SMALL($R274:$T274,1)&lt;=499,"400-499 мм",IF(SMALL($R274:$T274,1)&lt;=599,"500-599 мм",IF(SMALL($R274:$T274,1)&lt;=699,"600-699 мм",IF(SMALL($R274:$T274,1)&lt;=999,"700-999 мм","1000+ мм")))))))))</f>
        <v/>
      </c>
      <c r="AA274" s="101">
        <f>IF(G274="","",IF(G274="Л","Лист гофрокартона",IF(G274="КД","Крышка-дно",IF(G274="С","Самосборные",IF(G274="Ч","Четырехклапанные",IF(G274="А","Архивные","Неизвестно"))))))</f>
        <v/>
      </c>
      <c r="AB274" s="66" t="n">
        <v>1.73</v>
      </c>
      <c r="AC274" s="101">
        <f>IF(O274="","",IF(O274&lt;=1,"0-1 литров",IF(O274&lt;=3,"2-3 литра",IF(O274&lt;=5,"4-5 литра",IF(O274&lt;=7,"6-7 литра",IF(O274&lt;=9,"8-9 литров",IF(O274&lt;=14,"10-14 литров",IF(O274&lt;=19,"15-19 литров",IF(O274&lt;=29,"20-29 литров",IF(O274&lt;=49,"30-49 литров",IF(O274&lt;=59,"50-59 литров",IF(O274&lt;=70,"60-69 литров",IF(O274&lt;=79,"70-79 литров",IF(O274&lt;=89,"80-89 литров",IF(O274&lt;=99,"90-99 литров",IF(O274&lt;=200,"100-200 литров","200+ литров"))))))))))))))))</f>
        <v/>
      </c>
    </row>
    <row r="275" customFormat="1" s="207">
      <c r="A275" s="64" t="n">
        <v>0.95</v>
      </c>
      <c r="B275" s="65">
        <f>A275*1.2</f>
        <v/>
      </c>
      <c r="C275" s="109" t="n">
        <v>275</v>
      </c>
      <c r="D275" s="77" t="inlineStr">
        <is>
          <t>ББ</t>
        </is>
      </c>
      <c r="E275" s="88" t="inlineStr">
        <is>
          <t>220х110х530</t>
        </is>
      </c>
      <c r="F275" s="213" t="n"/>
      <c r="G275" s="83" t="inlineStr">
        <is>
          <t>Ч</t>
        </is>
      </c>
      <c r="H275" s="146" t="inlineStr">
        <is>
          <t>0201</t>
        </is>
      </c>
      <c r="I275" s="83" t="inlineStr">
        <is>
          <t>В</t>
        </is>
      </c>
      <c r="J275" s="83" t="inlineStr">
        <is>
          <t>без</t>
        </is>
      </c>
      <c r="K275" s="116" t="inlineStr">
        <is>
          <t>K1036</t>
        </is>
      </c>
      <c r="L275" s="103" t="n"/>
      <c r="M275" s="239" t="n"/>
      <c r="N275" s="239">
        <f>IF(D275="","",IF(LEFT(D275,1)="0",0,1))</f>
        <v/>
      </c>
      <c r="O275" s="80">
        <f>ROUND(R275*S275*T275/1000000,2)</f>
        <v/>
      </c>
      <c r="P275" s="160">
        <f>IF(O275="","",
IF(O275&lt;1,"0,1-0,9 литров",
IF(O275&lt;2,"1-1,9 литра",
IF(O275&lt;3,"2-2,9 литра",
IF(O275&lt;4,"3-3,9 литра",
IF(O275&lt;6,"4-5,9 литра",IF(O275&lt;8,"6-7,9 литра",IF(O275&lt;10,"8-9,9 литров",IF(O275&lt;15,"10-14,9 литров",IF(O275&lt;20,"15-19,9 литров",IF(O275&lt;30,"20-29 литров",IF(O275&lt;50,"30-49 литров",IF(O275&lt;60,"50-59 литров",IF(O275&lt;70,"60-69 литров",IF(O275&lt;80,"70-79 литров",IF(O275&lt;90,"80-89 литров",IF(O275&lt;100,"90-99 литров",IF(O275&lt;200,"100-200 литров","200+ литров"))))))))))))))))))</f>
        <v/>
      </c>
      <c r="Q275" s="101">
        <f>IF(O275="","",IF(O275&lt;1,"&lt;1 л",IF(O275&lt;2,"1-2 л",IF(O275&lt;3,"2-3 л",IF(O275&lt;5,"3-5 л",IF(O275&lt;10,"5-10 л",IF(O275&lt;20,"10-20 л",IF(O275&lt;50,"20-50 л",IF(O275&lt;100,"50-100 л","100+ л")))))))))</f>
        <v/>
      </c>
      <c r="R275" s="162">
        <f>IF(E275="","",--LEFT(E275,FIND("х",E275)-1))</f>
        <v/>
      </c>
      <c r="S275" s="162">
        <f>IF(E275="","",--MID(E275,FIND("х",E275)+1,FIND("х",E275,FIND("х",E275)+1)-FIND("х",E275)-1))</f>
        <v/>
      </c>
      <c r="T275" s="162">
        <f>IF(E275="","",--RIGHT(E275,LEN(E275)-FIND("х",E275,FIND("х",E275)+1)))</f>
        <v/>
      </c>
      <c r="U275" s="66">
        <f>(2*(R275+S275)+60)*(S275+T275+8)/1000000</f>
        <v/>
      </c>
      <c r="V275" s="66">
        <f>IF(OR(AND(R275&gt;=2*S275,R275&gt;=2*T275),AND(S275&gt;=2*R275,S275&gt;=2*T275),AND(T275&gt;=2*R275,T275&gt;=2*S275)),"Длинные","")</f>
        <v/>
      </c>
      <c r="W275" s="66">
        <f>IF(OR(AND(R275&lt;=S275/2,R275&lt;=T275/2),AND(S275&lt;=R275/2,S275&lt;=T275/2),AND(T275&lt;=R275/2,T275&lt;=S275/2)),"Плоские","")</f>
        <v/>
      </c>
      <c r="X275" s="160">
        <f>IF(LARGE($R275:$T275,1)="","",IF(LARGE($R275:$T275,1)&lt;=99,"10-99 мм",IF(LARGE($R275:$T275,1)&lt;=199,"100-199 мм",IF(LARGE($R275:$T275,1)&lt;=299,"200-299 мм",IF(LARGE($R275:$T275,1)&lt;=399,"300-399 мм",IF(LARGE($R275:$T275,1)&lt;=499,"400-499 мм",IF(LARGE($R275:$T275,1)&lt;=599,"500-599 мм",IF(LARGE($R275:$T275,1)&lt;=699,"600-699 мм",IF(LARGE($R275:$T275,1)&lt;=999,"700-999 мм","1000+ мм")))))))))</f>
        <v/>
      </c>
      <c r="Y275" s="160">
        <f>IF(LARGE($R275:$T275,2)="","",IF(LARGE($R275:$T275,2)&lt;=99,"10-99 мм",IF(LARGE($R275:$T275,2)&lt;=199,"100-199 мм",IF(LARGE($R275:$T275,2)&lt;=299,"200-299 мм",IF(LARGE($R275:$T275,2)&lt;=399,"300-399 мм",IF(LARGE($R275:$T275,2)&lt;=499,"400-499 мм",IF(LARGE($R275:$T275,2)&lt;=599,"500-599 мм",IF(LARGE($R275:$T275,2)&lt;=699,"600-699 мм",IF(LARGE($R275:$T275,2)&lt;=999,"700-999 мм","1000+ мм")))))))))</f>
        <v/>
      </c>
      <c r="Z275" s="160">
        <f>IF(SMALL($R275:$T275,1)="","",IF(SMALL($R275:$T275,1)&lt;=99,"10-99 мм",IF(SMALL($R275:$T275,1)&lt;=199,"100-199 мм",IF(SMALL($R275:$T275,1)&lt;=299,"200-299 мм",IF(SMALL($R275:$T275,1)&lt;=399,"300-399 мм",IF(SMALL($R275:$T275,1)&lt;=499,"400-499 мм",IF(SMALL($R275:$T275,1)&lt;=599,"500-599 мм",IF(SMALL($R275:$T275,1)&lt;=699,"600-699 мм",IF(SMALL($R275:$T275,1)&lt;=999,"700-999 мм","1000+ мм")))))))))</f>
        <v/>
      </c>
      <c r="AA275" s="101">
        <f>IF(G275="","",IF(G275="Л","Лист гофрокартона",IF(G275="КД","Крышка-дно",IF(G275="С","Самосборные",IF(G275="Ч","Четырехклапанные",IF(G275="А","Архивные","Неизвестно"))))))</f>
        <v/>
      </c>
      <c r="AB275" s="66" t="n">
        <v>1.73</v>
      </c>
      <c r="AC275" s="101">
        <f>IF(O275="","",IF(O275&lt;=1,"0-1 литров",IF(O275&lt;=3,"2-3 литра",IF(O275&lt;=5,"4-5 литра",IF(O275&lt;=7,"6-7 литра",IF(O275&lt;=9,"8-9 литров",IF(O275&lt;=14,"10-14 литров",IF(O275&lt;=19,"15-19 литров",IF(O275&lt;=29,"20-29 литров",IF(O275&lt;=49,"30-49 литров",IF(O275&lt;=59,"50-59 литров",IF(O275&lt;=70,"60-69 литров",IF(O275&lt;=79,"70-79 литров",IF(O275&lt;=89,"80-89 литров",IF(O275&lt;=99,"90-99 литров",IF(O275&lt;=200,"100-200 литров","200+ литров"))))))))))))))))</f>
        <v/>
      </c>
    </row>
    <row r="276" customFormat="1" s="207">
      <c r="A276" s="64" t="n">
        <v>0.54</v>
      </c>
      <c r="B276" s="65">
        <f>A276*1.2</f>
        <v/>
      </c>
      <c r="C276" s="109" t="n">
        <v>276</v>
      </c>
      <c r="D276" s="77" t="inlineStr">
        <is>
          <t>Т (ЛС)</t>
        </is>
      </c>
      <c r="E276" s="88" t="inlineStr">
        <is>
          <t>220х130х90</t>
        </is>
      </c>
      <c r="F276" s="213" t="n"/>
      <c r="G276" s="83" t="inlineStr">
        <is>
          <t>Ч</t>
        </is>
      </c>
      <c r="H276" s="146" t="inlineStr">
        <is>
          <t>0201</t>
        </is>
      </c>
      <c r="I276" s="83" t="inlineStr">
        <is>
          <t>В</t>
        </is>
      </c>
      <c r="J276" s="83" t="inlineStr">
        <is>
          <t>без</t>
        </is>
      </c>
      <c r="K276" s="116" t="inlineStr">
        <is>
          <t>K1037</t>
        </is>
      </c>
      <c r="L276" s="103" t="n"/>
      <c r="M276" s="239" t="n"/>
      <c r="N276" s="239">
        <f>IF(D276="","",IF(LEFT(D276,1)="0",0,1))</f>
        <v/>
      </c>
      <c r="O276" s="80">
        <f>ROUND(R276*S276*T276/1000000,2)</f>
        <v/>
      </c>
      <c r="P276" s="160">
        <f>IF(O276="","",
IF(O276&lt;1,"0,1-0,9 литров",
IF(O276&lt;2,"1-1,9 литра",
IF(O276&lt;3,"2-2,9 литра",
IF(O276&lt;4,"3-3,9 литра",
IF(O276&lt;6,"4-5,9 литра",IF(O276&lt;8,"6-7,9 литра",IF(O276&lt;10,"8-9,9 литров",IF(O276&lt;15,"10-14,9 литров",IF(O276&lt;20,"15-19,9 литров",IF(O276&lt;30,"20-29 литров",IF(O276&lt;50,"30-49 литров",IF(O276&lt;60,"50-59 литров",IF(O276&lt;70,"60-69 литров",IF(O276&lt;80,"70-79 литров",IF(O276&lt;90,"80-89 литров",IF(O276&lt;100,"90-99 литров",IF(O276&lt;200,"100-200 литров","200+ литров"))))))))))))))))))</f>
        <v/>
      </c>
      <c r="Q276" s="101">
        <f>IF(O276="","",IF(O276&lt;1,"&lt;1 л",IF(O276&lt;2,"1-2 л",IF(O276&lt;3,"2-3 л",IF(O276&lt;5,"3-5 л",IF(O276&lt;10,"5-10 л",IF(O276&lt;20,"10-20 л",IF(O276&lt;50,"20-50 л",IF(O276&lt;100,"50-100 л","100+ л")))))))))</f>
        <v/>
      </c>
      <c r="R276" s="162">
        <f>IF(E276="","",--LEFT(E276,FIND("х",E276)-1))</f>
        <v/>
      </c>
      <c r="S276" s="162">
        <f>IF(E276="","",--MID(E276,FIND("х",E276)+1,FIND("х",E276,FIND("х",E276)+1)-FIND("х",E276)-1))</f>
        <v/>
      </c>
      <c r="T276" s="162">
        <f>IF(E276="","",--RIGHT(E276,LEN(E276)-FIND("х",E276,FIND("х",E276)+1)))</f>
        <v/>
      </c>
      <c r="U276" s="66">
        <f>(2*(R276+S276)+60)*(S276+T276+8)/1000000</f>
        <v/>
      </c>
      <c r="V276" s="66">
        <f>IF(OR(AND(R276&gt;=2*S276,R276&gt;=2*T276),AND(S276&gt;=2*R276,S276&gt;=2*T276),AND(T276&gt;=2*R276,T276&gt;=2*S276)),"Длинные","")</f>
        <v/>
      </c>
      <c r="W276" s="66">
        <f>IF(OR(AND(R276&lt;=S276/2,R276&lt;=T276/2),AND(S276&lt;=R276/2,S276&lt;=T276/2),AND(T276&lt;=R276/2,T276&lt;=S276/2)),"Плоские","")</f>
        <v/>
      </c>
      <c r="X276" s="160">
        <f>IF(LARGE($R276:$T276,1)="","",IF(LARGE($R276:$T276,1)&lt;=99,"10-99 мм",IF(LARGE($R276:$T276,1)&lt;=199,"100-199 мм",IF(LARGE($R276:$T276,1)&lt;=299,"200-299 мм",IF(LARGE($R276:$T276,1)&lt;=399,"300-399 мм",IF(LARGE($R276:$T276,1)&lt;=499,"400-499 мм",IF(LARGE($R276:$T276,1)&lt;=599,"500-599 мм",IF(LARGE($R276:$T276,1)&lt;=699,"600-699 мм",IF(LARGE($R276:$T276,1)&lt;=999,"700-999 мм","1000+ мм")))))))))</f>
        <v/>
      </c>
      <c r="Y276" s="160">
        <f>IF(LARGE($R276:$T276,2)="","",IF(LARGE($R276:$T276,2)&lt;=99,"10-99 мм",IF(LARGE($R276:$T276,2)&lt;=199,"100-199 мм",IF(LARGE($R276:$T276,2)&lt;=299,"200-299 мм",IF(LARGE($R276:$T276,2)&lt;=399,"300-399 мм",IF(LARGE($R276:$T276,2)&lt;=499,"400-499 мм",IF(LARGE($R276:$T276,2)&lt;=599,"500-599 мм",IF(LARGE($R276:$T276,2)&lt;=699,"600-699 мм",IF(LARGE($R276:$T276,2)&lt;=999,"700-999 мм","1000+ мм")))))))))</f>
        <v/>
      </c>
      <c r="Z276" s="160">
        <f>IF(SMALL($R276:$T276,1)="","",IF(SMALL($R276:$T276,1)&lt;=99,"10-99 мм",IF(SMALL($R276:$T276,1)&lt;=199,"100-199 мм",IF(SMALL($R276:$T276,1)&lt;=299,"200-299 мм",IF(SMALL($R276:$T276,1)&lt;=399,"300-399 мм",IF(SMALL($R276:$T276,1)&lt;=499,"400-499 мм",IF(SMALL($R276:$T276,1)&lt;=599,"500-599 мм",IF(SMALL($R276:$T276,1)&lt;=699,"600-699 мм",IF(SMALL($R276:$T276,1)&lt;=999,"700-999 мм","1000+ мм")))))))))</f>
        <v/>
      </c>
      <c r="AA276" s="101">
        <f>IF(G276="","",IF(G276="Л","Лист гофрокартона",IF(G276="КД","Крышка-дно",IF(G276="С","Самосборные",IF(G276="Ч","Четырехклапанные",IF(G276="А","Архивные","Неизвестно"))))))</f>
        <v/>
      </c>
      <c r="AB276" s="66" t="n">
        <v>1.73</v>
      </c>
      <c r="AC276" s="101">
        <f>IF(O276="","",IF(O276&lt;=1,"0-1 литров",IF(O276&lt;=3,"2-3 литра",IF(O276&lt;=5,"4-5 литра",IF(O276&lt;=7,"6-7 литра",IF(O276&lt;=9,"8-9 литров",IF(O276&lt;=14,"10-14 литров",IF(O276&lt;=19,"15-19 литров",IF(O276&lt;=29,"20-29 литров",IF(O276&lt;=49,"30-49 литров",IF(O276&lt;=59,"50-59 литров",IF(O276&lt;=70,"60-69 литров",IF(O276&lt;=79,"70-79 литров",IF(O276&lt;=89,"80-89 литров",IF(O276&lt;=99,"90-99 литров",IF(O276&lt;=200,"100-200 литров","200+ литров"))))))))))))))))</f>
        <v/>
      </c>
    </row>
    <row r="277" customFormat="1" s="207">
      <c r="A277" s="64" t="n">
        <v>0.23</v>
      </c>
      <c r="B277" s="65">
        <f>A277*1.2</f>
        <v/>
      </c>
      <c r="C277" s="109" t="n">
        <v>277</v>
      </c>
      <c r="D277" s="116" t="inlineStr">
        <is>
          <t>У</t>
        </is>
      </c>
      <c r="E277" s="88" t="inlineStr">
        <is>
          <t>155х83х73</t>
        </is>
      </c>
      <c r="F277" s="213" t="n"/>
      <c r="G277" s="83" t="inlineStr">
        <is>
          <t>С</t>
        </is>
      </c>
      <c r="H277" s="146" t="inlineStr">
        <is>
          <t>0471</t>
        </is>
      </c>
      <c r="I277" s="83" t="inlineStr">
        <is>
          <t>Е</t>
        </is>
      </c>
      <c r="J277" s="83" t="inlineStr">
        <is>
          <t>ОП</t>
        </is>
      </c>
      <c r="K277" s="116" t="inlineStr">
        <is>
          <t>K243</t>
        </is>
      </c>
      <c r="L277" s="103" t="n"/>
      <c r="M277" s="239" t="n"/>
      <c r="N277" s="239">
        <f>IF(D277="","",IF(LEFT(D277,1)="0",0,1))</f>
        <v/>
      </c>
      <c r="O277" s="80">
        <f>ROUND(R277*S277*T277/1000000,2)</f>
        <v/>
      </c>
      <c r="P277" s="160">
        <f>IF(O277="","",
IF(O277&lt;1,"0,1-0,9 литров",
IF(O277&lt;2,"1-1,9 литра",
IF(O277&lt;3,"2-2,9 литра",
IF(O277&lt;4,"3-3,9 литра",
IF(O277&lt;6,"4-5,9 литра",IF(O277&lt;8,"6-7,9 литра",IF(O277&lt;10,"8-9,9 литров",IF(O277&lt;15,"10-14,9 литров",IF(O277&lt;20,"15-19,9 литров",IF(O277&lt;30,"20-29 литров",IF(O277&lt;50,"30-49 литров",IF(O277&lt;60,"50-59 литров",IF(O277&lt;70,"60-69 литров",IF(O277&lt;80,"70-79 литров",IF(O277&lt;90,"80-89 литров",IF(O277&lt;100,"90-99 литров",IF(O277&lt;200,"100-200 литров","200+ литров"))))))))))))))))))</f>
        <v/>
      </c>
      <c r="Q277" s="101">
        <f>IF(O277="","",IF(O277&lt;1,"&lt;1 л",IF(O277&lt;2,"1-2 л",IF(O277&lt;3,"2-3 л",IF(O277&lt;5,"3-5 л",IF(O277&lt;10,"5-10 л",IF(O277&lt;20,"10-20 л",IF(O277&lt;50,"20-50 л",IF(O277&lt;100,"50-100 л","100+ л")))))))))</f>
        <v/>
      </c>
      <c r="R277" s="162">
        <f>IF(E277="","",--LEFT(E277,FIND("х",E277)-1))</f>
        <v/>
      </c>
      <c r="S277" s="162">
        <f>IF(E277="","",--MID(E277,FIND("х",E277)+1,FIND("х",E277,FIND("х",E277)+1)-FIND("х",E277)-1))</f>
        <v/>
      </c>
      <c r="T277" s="162">
        <f>IF(E277="","",--RIGHT(E277,LEN(E277)-FIND("х",E277,FIND("х",E277)+1)))</f>
        <v/>
      </c>
      <c r="U277" s="66">
        <f>(2*(R277+S277)+60)*(S277+T277+8)/1000000</f>
        <v/>
      </c>
      <c r="V277" s="66">
        <f>IF(OR(AND(R277&gt;=2*S277,R277&gt;=2*T277),AND(S277&gt;=2*R277,S277&gt;=2*T277),AND(T277&gt;=2*R277,T277&gt;=2*S277)),"Длинные","")</f>
        <v/>
      </c>
      <c r="W277" s="66">
        <f>IF(OR(AND(R277&lt;=S277/2,R277&lt;=T277/2),AND(S277&lt;=R277/2,S277&lt;=T277/2),AND(T277&lt;=R277/2,T277&lt;=S277/2)),"Плоские","")</f>
        <v/>
      </c>
      <c r="X277" s="160">
        <f>IF(LARGE($R277:$T277,1)="","",IF(LARGE($R277:$T277,1)&lt;=99,"10-99 мм",IF(LARGE($R277:$T277,1)&lt;=199,"100-199 мм",IF(LARGE($R277:$T277,1)&lt;=299,"200-299 мм",IF(LARGE($R277:$T277,1)&lt;=399,"300-399 мм",IF(LARGE($R277:$T277,1)&lt;=499,"400-499 мм",IF(LARGE($R277:$T277,1)&lt;=599,"500-599 мм",IF(LARGE($R277:$T277,1)&lt;=699,"600-699 мм",IF(LARGE($R277:$T277,1)&lt;=999,"700-999 мм","1000+ мм")))))))))</f>
        <v/>
      </c>
      <c r="Y277" s="160">
        <f>IF(LARGE($R277:$T277,2)="","",IF(LARGE($R277:$T277,2)&lt;=99,"10-99 мм",IF(LARGE($R277:$T277,2)&lt;=199,"100-199 мм",IF(LARGE($R277:$T277,2)&lt;=299,"200-299 мм",IF(LARGE($R277:$T277,2)&lt;=399,"300-399 мм",IF(LARGE($R277:$T277,2)&lt;=499,"400-499 мм",IF(LARGE($R277:$T277,2)&lt;=599,"500-599 мм",IF(LARGE($R277:$T277,2)&lt;=699,"600-699 мм",IF(LARGE($R277:$T277,2)&lt;=999,"700-999 мм","1000+ мм")))))))))</f>
        <v/>
      </c>
      <c r="Z277" s="160">
        <f>IF(SMALL($R277:$T277,1)="","",IF(SMALL($R277:$T277,1)&lt;=99,"10-99 мм",IF(SMALL($R277:$T277,1)&lt;=199,"100-199 мм",IF(SMALL($R277:$T277,1)&lt;=299,"200-299 мм",IF(SMALL($R277:$T277,1)&lt;=399,"300-399 мм",IF(SMALL($R277:$T277,1)&lt;=499,"400-499 мм",IF(SMALL($R277:$T277,1)&lt;=599,"500-599 мм",IF(SMALL($R277:$T277,1)&lt;=699,"600-699 мм",IF(SMALL($R277:$T277,1)&lt;=999,"700-999 мм","1000+ мм")))))))))</f>
        <v/>
      </c>
      <c r="AA277" s="101">
        <f>IF(G277="","",IF(G277="Л","Лист гофрокартона",IF(G277="КД","Крышка-дно",IF(G277="С","Самосборные",IF(G277="Ч","Четырехклапанные",IF(G277="А","Архивные","Неизвестно"))))))</f>
        <v/>
      </c>
      <c r="AB277" s="66" t="n">
        <v>1.73</v>
      </c>
      <c r="AC277" s="101">
        <f>IF(O277="","",IF(O277&lt;=1,"0-1 литров",IF(O277&lt;=3,"2-3 литра",IF(O277&lt;=5,"4-5 литра",IF(O277&lt;=7,"6-7 литра",IF(O277&lt;=9,"8-9 литров",IF(O277&lt;=14,"10-14 литров",IF(O277&lt;=19,"15-19 литров",IF(O277&lt;=29,"20-29 литров",IF(O277&lt;=49,"30-49 литров",IF(O277&lt;=59,"50-59 литров",IF(O277&lt;=70,"60-69 литров",IF(O277&lt;=79,"70-79 литров",IF(O277&lt;=89,"80-89 литров",IF(O277&lt;=99,"90-99 литров",IF(O277&lt;=200,"100-200 литров","200+ литров"))))))))))))))))</f>
        <v/>
      </c>
    </row>
    <row r="278" customFormat="1" s="207">
      <c r="A278" s="64" t="n">
        <v>0.18</v>
      </c>
      <c r="B278" s="65">
        <f>A278*1.2</f>
        <v/>
      </c>
      <c r="C278" s="109" t="n">
        <v>278</v>
      </c>
      <c r="D278" s="116" t="inlineStr">
        <is>
          <t>У</t>
        </is>
      </c>
      <c r="E278" s="88" t="inlineStr">
        <is>
          <t>100х100х40</t>
        </is>
      </c>
      <c r="F278" s="213" t="n"/>
      <c r="G278" s="83" t="inlineStr">
        <is>
          <t>С</t>
        </is>
      </c>
      <c r="H278" s="146" t="inlineStr">
        <is>
          <t>0427</t>
        </is>
      </c>
      <c r="I278" s="83" t="inlineStr">
        <is>
          <t>E</t>
        </is>
      </c>
      <c r="J278" s="83" t="inlineStr">
        <is>
          <t>ОП</t>
        </is>
      </c>
      <c r="K278" s="116" t="inlineStr">
        <is>
          <t>K244</t>
        </is>
      </c>
      <c r="L278" s="103" t="n"/>
      <c r="M278" s="239" t="n"/>
      <c r="N278" s="239">
        <f>IF(D278="","",IF(LEFT(D278,1)="0",0,1))</f>
        <v/>
      </c>
      <c r="O278" s="80">
        <f>ROUND(R278*S278*T278/1000000,2)</f>
        <v/>
      </c>
      <c r="P278" s="160">
        <f>IF(O278="","",
IF(O278&lt;1,"0,1-0,9 литров",
IF(O278&lt;2,"1-1,9 литра",
IF(O278&lt;3,"2-2,9 литра",
IF(O278&lt;4,"3-3,9 литра",
IF(O278&lt;6,"4-5,9 литра",IF(O278&lt;8,"6-7,9 литра",IF(O278&lt;10,"8-9,9 литров",IF(O278&lt;15,"10-14,9 литров",IF(O278&lt;20,"15-19,9 литров",IF(O278&lt;30,"20-29 литров",IF(O278&lt;50,"30-49 литров",IF(O278&lt;60,"50-59 литров",IF(O278&lt;70,"60-69 литров",IF(O278&lt;80,"70-79 литров",IF(O278&lt;90,"80-89 литров",IF(O278&lt;100,"90-99 литров",IF(O278&lt;200,"100-200 литров","200+ литров"))))))))))))))))))</f>
        <v/>
      </c>
      <c r="Q278" s="101">
        <f>IF(O278="","",IF(O278&lt;1,"&lt;1 л",IF(O278&lt;2,"1-2 л",IF(O278&lt;3,"2-3 л",IF(O278&lt;5,"3-5 л",IF(O278&lt;10,"5-10 л",IF(O278&lt;20,"10-20 л",IF(O278&lt;50,"20-50 л",IF(O278&lt;100,"50-100 л","100+ л")))))))))</f>
        <v/>
      </c>
      <c r="R278" s="162">
        <f>IF(E278="","",--LEFT(E278,FIND("х",E278)-1))</f>
        <v/>
      </c>
      <c r="S278" s="162">
        <f>IF(E278="","",--MID(E278,FIND("х",E278)+1,FIND("х",E278,FIND("х",E278)+1)-FIND("х",E278)-1))</f>
        <v/>
      </c>
      <c r="T278" s="162">
        <f>IF(E278="","",--RIGHT(E278,LEN(E278)-FIND("х",E278,FIND("х",E278)+1)))</f>
        <v/>
      </c>
      <c r="U278" s="66">
        <f>(2*(R278+S278)+60)*(S278+T278+8)/1000000</f>
        <v/>
      </c>
      <c r="V278" s="66">
        <f>IF(OR(AND(R278&gt;=2*S278,R278&gt;=2*T278),AND(S278&gt;=2*R278,S278&gt;=2*T278),AND(T278&gt;=2*R278,T278&gt;=2*S278)),"Длинные","")</f>
        <v/>
      </c>
      <c r="W278" s="66">
        <f>IF(OR(AND(R278&lt;=S278/2,R278&lt;=T278/2),AND(S278&lt;=R278/2,S278&lt;=T278/2),AND(T278&lt;=R278/2,T278&lt;=S278/2)),"Плоские","")</f>
        <v/>
      </c>
      <c r="X278" s="160">
        <f>IF(LARGE($R278:$T278,1)="","",IF(LARGE($R278:$T278,1)&lt;=99,"10-99 мм",IF(LARGE($R278:$T278,1)&lt;=199,"100-199 мм",IF(LARGE($R278:$T278,1)&lt;=299,"200-299 мм",IF(LARGE($R278:$T278,1)&lt;=399,"300-399 мм",IF(LARGE($R278:$T278,1)&lt;=499,"400-499 мм",IF(LARGE($R278:$T278,1)&lt;=599,"500-599 мм",IF(LARGE($R278:$T278,1)&lt;=699,"600-699 мм",IF(LARGE($R278:$T278,1)&lt;=999,"700-999 мм","1000+ мм")))))))))</f>
        <v/>
      </c>
      <c r="Y278" s="160">
        <f>IF(LARGE($R278:$T278,2)="","",IF(LARGE($R278:$T278,2)&lt;=99,"10-99 мм",IF(LARGE($R278:$T278,2)&lt;=199,"100-199 мм",IF(LARGE($R278:$T278,2)&lt;=299,"200-299 мм",IF(LARGE($R278:$T278,2)&lt;=399,"300-399 мм",IF(LARGE($R278:$T278,2)&lt;=499,"400-499 мм",IF(LARGE($R278:$T278,2)&lt;=599,"500-599 мм",IF(LARGE($R278:$T278,2)&lt;=699,"600-699 мм",IF(LARGE($R278:$T278,2)&lt;=999,"700-999 мм","1000+ мм")))))))))</f>
        <v/>
      </c>
      <c r="Z278" s="160">
        <f>IF(SMALL($R278:$T278,1)="","",IF(SMALL($R278:$T278,1)&lt;=99,"10-99 мм",IF(SMALL($R278:$T278,1)&lt;=199,"100-199 мм",IF(SMALL($R278:$T278,1)&lt;=299,"200-299 мм",IF(SMALL($R278:$T278,1)&lt;=399,"300-399 мм",IF(SMALL($R278:$T278,1)&lt;=499,"400-499 мм",IF(SMALL($R278:$T278,1)&lt;=599,"500-599 мм",IF(SMALL($R278:$T278,1)&lt;=699,"600-699 мм",IF(SMALL($R278:$T278,1)&lt;=999,"700-999 мм","1000+ мм")))))))))</f>
        <v/>
      </c>
      <c r="AA278" s="101">
        <f>IF(G278="","",IF(G278="Л","Лист гофрокартона",IF(G278="КД","Крышка-дно",IF(G278="С","Самосборные",IF(G278="Ч","Четырехклапанные",IF(G278="А","Архивные","Неизвестно"))))))</f>
        <v/>
      </c>
      <c r="AB278" s="66" t="n">
        <v>1.73</v>
      </c>
      <c r="AC278" s="101">
        <f>IF(O278="","",IF(O278&lt;=1,"0-1 литров",IF(O278&lt;=3,"2-3 литра",IF(O278&lt;=5,"4-5 литра",IF(O278&lt;=7,"6-7 литра",IF(O278&lt;=9,"8-9 литров",IF(O278&lt;=14,"10-14 литров",IF(O278&lt;=19,"15-19 литров",IF(O278&lt;=29,"20-29 литров",IF(O278&lt;=49,"30-49 литров",IF(O278&lt;=59,"50-59 литров",IF(O278&lt;=70,"60-69 литров",IF(O278&lt;=79,"70-79 литров",IF(O278&lt;=89,"80-89 литров",IF(O278&lt;=99,"90-99 литров",IF(O278&lt;=200,"100-200 литров","200+ литров"))))))))))))))))</f>
        <v/>
      </c>
    </row>
    <row r="279" customFormat="1" s="207">
      <c r="A279" s="64" t="n">
        <v>0.5600000000000001</v>
      </c>
      <c r="B279" s="65">
        <f>A279*1.2</f>
        <v/>
      </c>
      <c r="C279" s="109" t="n">
        <v>279</v>
      </c>
      <c r="D279" s="116" t="inlineStr">
        <is>
          <t>У</t>
        </is>
      </c>
      <c r="E279" s="88" t="inlineStr">
        <is>
          <t>350х45х235</t>
        </is>
      </c>
      <c r="F279" s="213" t="n"/>
      <c r="G279" s="83" t="inlineStr">
        <is>
          <t>С</t>
        </is>
      </c>
      <c r="H279" s="146" t="inlineStr">
        <is>
          <t>0211</t>
        </is>
      </c>
      <c r="I279" s="83" t="inlineStr">
        <is>
          <t>В</t>
        </is>
      </c>
      <c r="J279" s="83" t="inlineStr">
        <is>
          <t>Клиента</t>
        </is>
      </c>
      <c r="K279" s="116" t="inlineStr">
        <is>
          <t>K245</t>
        </is>
      </c>
      <c r="L279" s="103" t="n"/>
      <c r="M279" s="239" t="n"/>
      <c r="N279" s="239">
        <f>IF(D279="","",IF(LEFT(D279,1)="0",0,1))</f>
        <v/>
      </c>
      <c r="O279" s="80">
        <f>ROUND(R279*S279*T279/1000000,2)</f>
        <v/>
      </c>
      <c r="P279" s="160">
        <f>IF(O279="","",
IF(O279&lt;1,"0,1-0,9 литров",
IF(O279&lt;2,"1-1,9 литра",
IF(O279&lt;3,"2-2,9 литра",
IF(O279&lt;4,"3-3,9 литра",
IF(O279&lt;6,"4-5,9 литра",IF(O279&lt;8,"6-7,9 литра",IF(O279&lt;10,"8-9,9 литров",IF(O279&lt;15,"10-14,9 литров",IF(O279&lt;20,"15-19,9 литров",IF(O279&lt;30,"20-29 литров",IF(O279&lt;50,"30-49 литров",IF(O279&lt;60,"50-59 литров",IF(O279&lt;70,"60-69 литров",IF(O279&lt;80,"70-79 литров",IF(O279&lt;90,"80-89 литров",IF(O279&lt;100,"90-99 литров",IF(O279&lt;200,"100-200 литров","200+ литров"))))))))))))))))))</f>
        <v/>
      </c>
      <c r="Q279" s="101">
        <f>IF(O279="","",IF(O279&lt;1,"&lt;1 л",IF(O279&lt;2,"1-2 л",IF(O279&lt;3,"2-3 л",IF(O279&lt;5,"3-5 л",IF(O279&lt;10,"5-10 л",IF(O279&lt;20,"10-20 л",IF(O279&lt;50,"20-50 л",IF(O279&lt;100,"50-100 л","100+ л")))))))))</f>
        <v/>
      </c>
      <c r="R279" s="162">
        <f>IF(E279="","",--LEFT(E279,FIND("х",E279)-1))</f>
        <v/>
      </c>
      <c r="S279" s="162">
        <f>IF(E279="","",--MID(E279,FIND("х",E279)+1,FIND("х",E279,FIND("х",E279)+1)-FIND("х",E279)-1))</f>
        <v/>
      </c>
      <c r="T279" s="162">
        <f>IF(E279="","",--RIGHT(E279,LEN(E279)-FIND("х",E279,FIND("х",E279)+1)))</f>
        <v/>
      </c>
      <c r="U279" s="66">
        <f>(2*(R279+S279)+60)*(S279+T279+8)/1000000</f>
        <v/>
      </c>
      <c r="V279" s="66">
        <f>IF(OR(AND(R279&gt;=2*S279,R279&gt;=2*T279),AND(S279&gt;=2*R279,S279&gt;=2*T279),AND(T279&gt;=2*R279,T279&gt;=2*S279)),"Длинные","")</f>
        <v/>
      </c>
      <c r="W279" s="66">
        <f>IF(OR(AND(R279&lt;=S279/2,R279&lt;=T279/2),AND(S279&lt;=R279/2,S279&lt;=T279/2),AND(T279&lt;=R279/2,T279&lt;=S279/2)),"Плоские","")</f>
        <v/>
      </c>
      <c r="X279" s="160">
        <f>IF(LARGE($R279:$T279,1)="","",IF(LARGE($R279:$T279,1)&lt;=99,"10-99 мм",IF(LARGE($R279:$T279,1)&lt;=199,"100-199 мм",IF(LARGE($R279:$T279,1)&lt;=299,"200-299 мм",IF(LARGE($R279:$T279,1)&lt;=399,"300-399 мм",IF(LARGE($R279:$T279,1)&lt;=499,"400-499 мм",IF(LARGE($R279:$T279,1)&lt;=599,"500-599 мм",IF(LARGE($R279:$T279,1)&lt;=699,"600-699 мм",IF(LARGE($R279:$T279,1)&lt;=999,"700-999 мм","1000+ мм")))))))))</f>
        <v/>
      </c>
      <c r="Y279" s="160">
        <f>IF(LARGE($R279:$T279,2)="","",IF(LARGE($R279:$T279,2)&lt;=99,"10-99 мм",IF(LARGE($R279:$T279,2)&lt;=199,"100-199 мм",IF(LARGE($R279:$T279,2)&lt;=299,"200-299 мм",IF(LARGE($R279:$T279,2)&lt;=399,"300-399 мм",IF(LARGE($R279:$T279,2)&lt;=499,"400-499 мм",IF(LARGE($R279:$T279,2)&lt;=599,"500-599 мм",IF(LARGE($R279:$T279,2)&lt;=699,"600-699 мм",IF(LARGE($R279:$T279,2)&lt;=999,"700-999 мм","1000+ мм")))))))))</f>
        <v/>
      </c>
      <c r="Z279" s="160">
        <f>IF(SMALL($R279:$T279,1)="","",IF(SMALL($R279:$T279,1)&lt;=99,"10-99 мм",IF(SMALL($R279:$T279,1)&lt;=199,"100-199 мм",IF(SMALL($R279:$T279,1)&lt;=299,"200-299 мм",IF(SMALL($R279:$T279,1)&lt;=399,"300-399 мм",IF(SMALL($R279:$T279,1)&lt;=499,"400-499 мм",IF(SMALL($R279:$T279,1)&lt;=599,"500-599 мм",IF(SMALL($R279:$T279,1)&lt;=699,"600-699 мм",IF(SMALL($R279:$T279,1)&lt;=999,"700-999 мм","1000+ мм")))))))))</f>
        <v/>
      </c>
      <c r="AA279" s="101">
        <f>IF(G279="","",IF(G279="Л","Лист гофрокартона",IF(G279="КД","Крышка-дно",IF(G279="С","Самосборные",IF(G279="Ч","Четырехклапанные",IF(G279="А","Архивные","Неизвестно"))))))</f>
        <v/>
      </c>
      <c r="AB279" s="66" t="n">
        <v>1.73</v>
      </c>
      <c r="AC279" s="101">
        <f>IF(O279="","",IF(O279&lt;=1,"0-1 литров",IF(O279&lt;=3,"2-3 литра",IF(O279&lt;=5,"4-5 литра",IF(O279&lt;=7,"6-7 литра",IF(O279&lt;=9,"8-9 литров",IF(O279&lt;=14,"10-14 литров",IF(O279&lt;=19,"15-19 литров",IF(O279&lt;=29,"20-29 литров",IF(O279&lt;=49,"30-49 литров",IF(O279&lt;=59,"50-59 литров",IF(O279&lt;=70,"60-69 литров",IF(O279&lt;=79,"70-79 литров",IF(O279&lt;=89,"80-89 литров",IF(O279&lt;=99,"90-99 литров",IF(O279&lt;=200,"100-200 литров","200+ литров"))))))))))))))))</f>
        <v/>
      </c>
    </row>
    <row r="280" customFormat="1" s="207">
      <c r="A280" s="64" t="n">
        <v>0.35</v>
      </c>
      <c r="B280" s="65">
        <f>A280*1.2</f>
        <v/>
      </c>
      <c r="C280" s="109" t="n">
        <v>280</v>
      </c>
      <c r="D280" s="116" t="inlineStr">
        <is>
          <t>У</t>
        </is>
      </c>
      <c r="E280" s="88" t="inlineStr">
        <is>
          <t>260х185х35</t>
        </is>
      </c>
      <c r="F280" s="213" t="n"/>
      <c r="G280" s="83" t="inlineStr">
        <is>
          <t>С</t>
        </is>
      </c>
      <c r="H280" s="146" t="inlineStr">
        <is>
          <t>0427</t>
        </is>
      </c>
      <c r="I280" s="83" t="inlineStr">
        <is>
          <t>В</t>
        </is>
      </c>
      <c r="J280" s="83" t="inlineStr">
        <is>
          <t>ОП</t>
        </is>
      </c>
      <c r="K280" s="116" t="inlineStr">
        <is>
          <t>K246</t>
        </is>
      </c>
      <c r="L280" s="103" t="n"/>
      <c r="M280" s="239" t="n"/>
      <c r="N280" s="239">
        <f>IF(D280="","",IF(LEFT(D280,1)="0",0,1))</f>
        <v/>
      </c>
      <c r="O280" s="80">
        <f>ROUND(R280*S280*T280/1000000,2)</f>
        <v/>
      </c>
      <c r="P280" s="160">
        <f>IF(O280="","",
IF(O280&lt;1,"0,1-0,9 литров",
IF(O280&lt;2,"1-1,9 литра",
IF(O280&lt;3,"2-2,9 литра",
IF(O280&lt;4,"3-3,9 литра",
IF(O280&lt;6,"4-5,9 литра",IF(O280&lt;8,"6-7,9 литра",IF(O280&lt;10,"8-9,9 литров",IF(O280&lt;15,"10-14,9 литров",IF(O280&lt;20,"15-19,9 литров",IF(O280&lt;30,"20-29 литров",IF(O280&lt;50,"30-49 литров",IF(O280&lt;60,"50-59 литров",IF(O280&lt;70,"60-69 литров",IF(O280&lt;80,"70-79 литров",IF(O280&lt;90,"80-89 литров",IF(O280&lt;100,"90-99 литров",IF(O280&lt;200,"100-200 литров","200+ литров"))))))))))))))))))</f>
        <v/>
      </c>
      <c r="Q280" s="101">
        <f>IF(O280="","",IF(O280&lt;1,"&lt;1 л",IF(O280&lt;2,"1-2 л",IF(O280&lt;3,"2-3 л",IF(O280&lt;5,"3-5 л",IF(O280&lt;10,"5-10 л",IF(O280&lt;20,"10-20 л",IF(O280&lt;50,"20-50 л",IF(O280&lt;100,"50-100 л","100+ л")))))))))</f>
        <v/>
      </c>
      <c r="R280" s="162">
        <f>IF(E280="","",--LEFT(E280,FIND("х",E280)-1))</f>
        <v/>
      </c>
      <c r="S280" s="162">
        <f>IF(E280="","",--MID(E280,FIND("х",E280)+1,FIND("х",E280,FIND("х",E280)+1)-FIND("х",E280)-1))</f>
        <v/>
      </c>
      <c r="T280" s="162">
        <f>IF(E280="","",--RIGHT(E280,LEN(E280)-FIND("х",E280,FIND("х",E280)+1)))</f>
        <v/>
      </c>
      <c r="U280" s="66">
        <f>(2*(R280+S280)+60)*(S280+T280+8)/1000000</f>
        <v/>
      </c>
      <c r="V280" s="66">
        <f>IF(OR(AND(R280&gt;=2*S280,R280&gt;=2*T280),AND(S280&gt;=2*R280,S280&gt;=2*T280),AND(T280&gt;=2*R280,T280&gt;=2*S280)),"Длинные","")</f>
        <v/>
      </c>
      <c r="W280" s="66">
        <f>IF(OR(AND(R280&lt;=S280/2,R280&lt;=T280/2),AND(S280&lt;=R280/2,S280&lt;=T280/2),AND(T280&lt;=R280/2,T280&lt;=S280/2)),"Плоские","")</f>
        <v/>
      </c>
      <c r="X280" s="160">
        <f>IF(LARGE($R280:$T280,1)="","",IF(LARGE($R280:$T280,1)&lt;=99,"10-99 мм",IF(LARGE($R280:$T280,1)&lt;=199,"100-199 мм",IF(LARGE($R280:$T280,1)&lt;=299,"200-299 мм",IF(LARGE($R280:$T280,1)&lt;=399,"300-399 мм",IF(LARGE($R280:$T280,1)&lt;=499,"400-499 мм",IF(LARGE($R280:$T280,1)&lt;=599,"500-599 мм",IF(LARGE($R280:$T280,1)&lt;=699,"600-699 мм",IF(LARGE($R280:$T280,1)&lt;=999,"700-999 мм","1000+ мм")))))))))</f>
        <v/>
      </c>
      <c r="Y280" s="160">
        <f>IF(LARGE($R280:$T280,2)="","",IF(LARGE($R280:$T280,2)&lt;=99,"10-99 мм",IF(LARGE($R280:$T280,2)&lt;=199,"100-199 мм",IF(LARGE($R280:$T280,2)&lt;=299,"200-299 мм",IF(LARGE($R280:$T280,2)&lt;=399,"300-399 мм",IF(LARGE($R280:$T280,2)&lt;=499,"400-499 мм",IF(LARGE($R280:$T280,2)&lt;=599,"500-599 мм",IF(LARGE($R280:$T280,2)&lt;=699,"600-699 мм",IF(LARGE($R280:$T280,2)&lt;=999,"700-999 мм","1000+ мм")))))))))</f>
        <v/>
      </c>
      <c r="Z280" s="160">
        <f>IF(SMALL($R280:$T280,1)="","",IF(SMALL($R280:$T280,1)&lt;=99,"10-99 мм",IF(SMALL($R280:$T280,1)&lt;=199,"100-199 мм",IF(SMALL($R280:$T280,1)&lt;=299,"200-299 мм",IF(SMALL($R280:$T280,1)&lt;=399,"300-399 мм",IF(SMALL($R280:$T280,1)&lt;=499,"400-499 мм",IF(SMALL($R280:$T280,1)&lt;=599,"500-599 мм",IF(SMALL($R280:$T280,1)&lt;=699,"600-699 мм",IF(SMALL($R280:$T280,1)&lt;=999,"700-999 мм","1000+ мм")))))))))</f>
        <v/>
      </c>
      <c r="AA280" s="101">
        <f>IF(G280="","",IF(G280="Л","Лист гофрокартона",IF(G280="КД","Крышка-дно",IF(G280="С","Самосборные",IF(G280="Ч","Четырехклапанные",IF(G280="А","Архивные","Неизвестно"))))))</f>
        <v/>
      </c>
      <c r="AB280" s="66" t="n">
        <v>1.73</v>
      </c>
      <c r="AC280" s="101">
        <f>IF(O280="","",IF(O280&lt;=1,"0-1 литров",IF(O280&lt;=3,"2-3 литра",IF(O280&lt;=5,"4-5 литра",IF(O280&lt;=7,"6-7 литра",IF(O280&lt;=9,"8-9 литров",IF(O280&lt;=14,"10-14 литров",IF(O280&lt;=19,"15-19 литров",IF(O280&lt;=29,"20-29 литров",IF(O280&lt;=49,"30-49 литров",IF(O280&lt;=59,"50-59 литров",IF(O280&lt;=70,"60-69 литров",IF(O280&lt;=79,"70-79 литров",IF(O280&lt;=89,"80-89 литров",IF(O280&lt;=99,"90-99 литров",IF(O280&lt;=200,"100-200 литров","200+ литров"))))))))))))))))</f>
        <v/>
      </c>
    </row>
    <row r="281" customFormat="1" s="207">
      <c r="A281" s="64" t="n">
        <v>0.2</v>
      </c>
      <c r="B281" s="65">
        <f>A281*1.2</f>
        <v/>
      </c>
      <c r="C281" s="109" t="n">
        <v>281</v>
      </c>
      <c r="D281" s="116" t="inlineStr">
        <is>
          <t>У</t>
        </is>
      </c>
      <c r="E281" s="88" t="inlineStr">
        <is>
          <t>210х140х10</t>
        </is>
      </c>
      <c r="F281" s="213" t="n"/>
      <c r="G281" s="83" t="inlineStr">
        <is>
          <t>С</t>
        </is>
      </c>
      <c r="H281" s="146" t="inlineStr">
        <is>
          <t>0401</t>
        </is>
      </c>
      <c r="I281" s="83" t="inlineStr">
        <is>
          <t>Е</t>
        </is>
      </c>
      <c r="J281" s="83" t="inlineStr">
        <is>
          <t>Клиента</t>
        </is>
      </c>
      <c r="K281" s="116" t="inlineStr">
        <is>
          <t>K247</t>
        </is>
      </c>
      <c r="L281" s="103" t="n"/>
      <c r="M281" s="239" t="n"/>
      <c r="N281" s="239">
        <f>IF(D281="","",IF(LEFT(D281,1)="0",0,1))</f>
        <v/>
      </c>
      <c r="O281" s="80">
        <f>ROUND(R281*S281*T281/1000000,2)</f>
        <v/>
      </c>
      <c r="P281" s="160">
        <f>IF(O281="","",
IF(O281&lt;1,"0,1-0,9 литров",
IF(O281&lt;2,"1-1,9 литра",
IF(O281&lt;3,"2-2,9 литра",
IF(O281&lt;4,"3-3,9 литра",
IF(O281&lt;6,"4-5,9 литра",IF(O281&lt;8,"6-7,9 литра",IF(O281&lt;10,"8-9,9 литров",IF(O281&lt;15,"10-14,9 литров",IF(O281&lt;20,"15-19,9 литров",IF(O281&lt;30,"20-29 литров",IF(O281&lt;50,"30-49 литров",IF(O281&lt;60,"50-59 литров",IF(O281&lt;70,"60-69 литров",IF(O281&lt;80,"70-79 литров",IF(O281&lt;90,"80-89 литров",IF(O281&lt;100,"90-99 литров",IF(O281&lt;200,"100-200 литров","200+ литров"))))))))))))))))))</f>
        <v/>
      </c>
      <c r="Q281" s="101">
        <f>IF(O281="","",IF(O281&lt;1,"&lt;1 л",IF(O281&lt;2,"1-2 л",IF(O281&lt;3,"2-3 л",IF(O281&lt;5,"3-5 л",IF(O281&lt;10,"5-10 л",IF(O281&lt;20,"10-20 л",IF(O281&lt;50,"20-50 л",IF(O281&lt;100,"50-100 л","100+ л")))))))))</f>
        <v/>
      </c>
      <c r="R281" s="162">
        <f>IF(E281="","",--LEFT(E281,FIND("х",E281)-1))</f>
        <v/>
      </c>
      <c r="S281" s="162">
        <f>IF(E281="","",--MID(E281,FIND("х",E281)+1,FIND("х",E281,FIND("х",E281)+1)-FIND("х",E281)-1))</f>
        <v/>
      </c>
      <c r="T281" s="162">
        <f>IF(E281="","",--RIGHT(E281,LEN(E281)-FIND("х",E281,FIND("х",E281)+1)))</f>
        <v/>
      </c>
      <c r="U281" s="66">
        <f>(2*(R281+S281)+60)*(S281+T281+8)/1000000</f>
        <v/>
      </c>
      <c r="V281" s="66">
        <f>IF(OR(AND(R281&gt;=2*S281,R281&gt;=2*T281),AND(S281&gt;=2*R281,S281&gt;=2*T281),AND(T281&gt;=2*R281,T281&gt;=2*S281)),"Длинные","")</f>
        <v/>
      </c>
      <c r="W281" s="66">
        <f>IF(OR(AND(R281&lt;=S281/2,R281&lt;=T281/2),AND(S281&lt;=R281/2,S281&lt;=T281/2),AND(T281&lt;=R281/2,T281&lt;=S281/2)),"Плоские","")</f>
        <v/>
      </c>
      <c r="X281" s="160">
        <f>IF(LARGE($R281:$T281,1)="","",IF(LARGE($R281:$T281,1)&lt;=99,"10-99 мм",IF(LARGE($R281:$T281,1)&lt;=199,"100-199 мм",IF(LARGE($R281:$T281,1)&lt;=299,"200-299 мм",IF(LARGE($R281:$T281,1)&lt;=399,"300-399 мм",IF(LARGE($R281:$T281,1)&lt;=499,"400-499 мм",IF(LARGE($R281:$T281,1)&lt;=599,"500-599 мм",IF(LARGE($R281:$T281,1)&lt;=699,"600-699 мм",IF(LARGE($R281:$T281,1)&lt;=999,"700-999 мм","1000+ мм")))))))))</f>
        <v/>
      </c>
      <c r="Y281" s="160">
        <f>IF(LARGE($R281:$T281,2)="","",IF(LARGE($R281:$T281,2)&lt;=99,"10-99 мм",IF(LARGE($R281:$T281,2)&lt;=199,"100-199 мм",IF(LARGE($R281:$T281,2)&lt;=299,"200-299 мм",IF(LARGE($R281:$T281,2)&lt;=399,"300-399 мм",IF(LARGE($R281:$T281,2)&lt;=499,"400-499 мм",IF(LARGE($R281:$T281,2)&lt;=599,"500-599 мм",IF(LARGE($R281:$T281,2)&lt;=699,"600-699 мм",IF(LARGE($R281:$T281,2)&lt;=999,"700-999 мм","1000+ мм")))))))))</f>
        <v/>
      </c>
      <c r="Z281" s="160">
        <f>IF(SMALL($R281:$T281,1)="","",IF(SMALL($R281:$T281,1)&lt;=99,"10-99 мм",IF(SMALL($R281:$T281,1)&lt;=199,"100-199 мм",IF(SMALL($R281:$T281,1)&lt;=299,"200-299 мм",IF(SMALL($R281:$T281,1)&lt;=399,"300-399 мм",IF(SMALL($R281:$T281,1)&lt;=499,"400-499 мм",IF(SMALL($R281:$T281,1)&lt;=599,"500-599 мм",IF(SMALL($R281:$T281,1)&lt;=699,"600-699 мм",IF(SMALL($R281:$T281,1)&lt;=999,"700-999 мм","1000+ мм")))))))))</f>
        <v/>
      </c>
      <c r="AA281" s="101">
        <f>IF(G281="","",IF(G281="Л","Лист гофрокартона",IF(G281="КД","Крышка-дно",IF(G281="С","Самосборные",IF(G281="Ч","Четырехклапанные",IF(G281="А","Архивные","Неизвестно"))))))</f>
        <v/>
      </c>
      <c r="AB281" s="66" t="n">
        <v>1.73</v>
      </c>
      <c r="AC281" s="101">
        <f>IF(O281="","",IF(O281&lt;=1,"0-1 литров",IF(O281&lt;=3,"2-3 литра",IF(O281&lt;=5,"4-5 литра",IF(O281&lt;=7,"6-7 литра",IF(O281&lt;=9,"8-9 литров",IF(O281&lt;=14,"10-14 литров",IF(O281&lt;=19,"15-19 литров",IF(O281&lt;=29,"20-29 литров",IF(O281&lt;=49,"30-49 литров",IF(O281&lt;=59,"50-59 литров",IF(O281&lt;=70,"60-69 литров",IF(O281&lt;=79,"70-79 литров",IF(O281&lt;=89,"80-89 литров",IF(O281&lt;=99,"90-99 литров",IF(O281&lt;=200,"100-200 литров","200+ литров"))))))))))))))))</f>
        <v/>
      </c>
    </row>
    <row r="282" customFormat="1" s="207">
      <c r="A282" s="64" t="n">
        <v>1.47</v>
      </c>
      <c r="B282" s="65">
        <f>A282*1.2</f>
        <v/>
      </c>
      <c r="C282" s="109" t="n">
        <v>282</v>
      </c>
      <c r="D282" s="116" t="inlineStr">
        <is>
          <t>У</t>
        </is>
      </c>
      <c r="E282" s="88" t="inlineStr">
        <is>
          <t>640х340х70</t>
        </is>
      </c>
      <c r="F282" s="213" t="n"/>
      <c r="G282" s="83" t="inlineStr">
        <is>
          <t>С</t>
        </is>
      </c>
      <c r="H282" s="146" t="inlineStr">
        <is>
          <t>0427</t>
        </is>
      </c>
      <c r="I282" s="83" t="inlineStr">
        <is>
          <t>В</t>
        </is>
      </c>
      <c r="J282" s="83" t="inlineStr">
        <is>
          <t>Клиента</t>
        </is>
      </c>
      <c r="K282" s="116" t="inlineStr">
        <is>
          <t>K248</t>
        </is>
      </c>
      <c r="L282" s="103" t="n"/>
      <c r="M282" s="239" t="n"/>
      <c r="N282" s="239">
        <f>IF(D282="","",IF(LEFT(D282,1)="0",0,1))</f>
        <v/>
      </c>
      <c r="O282" s="80">
        <f>ROUND(R282*S282*T282/1000000,2)</f>
        <v/>
      </c>
      <c r="P282" s="160">
        <f>IF(O282="","",
IF(O282&lt;1,"0,1-0,9 литров",
IF(O282&lt;2,"1-1,9 литра",
IF(O282&lt;3,"2-2,9 литра",
IF(O282&lt;4,"3-3,9 литра",
IF(O282&lt;6,"4-5,9 литра",IF(O282&lt;8,"6-7,9 литра",IF(O282&lt;10,"8-9,9 литров",IF(O282&lt;15,"10-14,9 литров",IF(O282&lt;20,"15-19,9 литров",IF(O282&lt;30,"20-29 литров",IF(O282&lt;50,"30-49 литров",IF(O282&lt;60,"50-59 литров",IF(O282&lt;70,"60-69 литров",IF(O282&lt;80,"70-79 литров",IF(O282&lt;90,"80-89 литров",IF(O282&lt;100,"90-99 литров",IF(O282&lt;200,"100-200 литров","200+ литров"))))))))))))))))))</f>
        <v/>
      </c>
      <c r="Q282" s="101">
        <f>IF(O282="","",IF(O282&lt;1,"&lt;1 л",IF(O282&lt;2,"1-2 л",IF(O282&lt;3,"2-3 л",IF(O282&lt;5,"3-5 л",IF(O282&lt;10,"5-10 л",IF(O282&lt;20,"10-20 л",IF(O282&lt;50,"20-50 л",IF(O282&lt;100,"50-100 л","100+ л")))))))))</f>
        <v/>
      </c>
      <c r="R282" s="162">
        <f>IF(E282="","",--LEFT(E282,FIND("х",E282)-1))</f>
        <v/>
      </c>
      <c r="S282" s="162">
        <f>IF(E282="","",--MID(E282,FIND("х",E282)+1,FIND("х",E282,FIND("х",E282)+1)-FIND("х",E282)-1))</f>
        <v/>
      </c>
      <c r="T282" s="162">
        <f>IF(E282="","",--RIGHT(E282,LEN(E282)-FIND("х",E282,FIND("х",E282)+1)))</f>
        <v/>
      </c>
      <c r="U282" s="66">
        <f>(2*(R282+S282)+60)*(S282+T282+8)/1000000</f>
        <v/>
      </c>
      <c r="V282" s="66">
        <f>IF(OR(AND(R282&gt;=2*S282,R282&gt;=2*T282),AND(S282&gt;=2*R282,S282&gt;=2*T282),AND(T282&gt;=2*R282,T282&gt;=2*S282)),"Длинные","")</f>
        <v/>
      </c>
      <c r="W282" s="66">
        <f>IF(OR(AND(R282&lt;=S282/2,R282&lt;=T282/2),AND(S282&lt;=R282/2,S282&lt;=T282/2),AND(T282&lt;=R282/2,T282&lt;=S282/2)),"Плоские","")</f>
        <v/>
      </c>
      <c r="X282" s="160">
        <f>IF(LARGE($R282:$T282,1)="","",IF(LARGE($R282:$T282,1)&lt;=99,"10-99 мм",IF(LARGE($R282:$T282,1)&lt;=199,"100-199 мм",IF(LARGE($R282:$T282,1)&lt;=299,"200-299 мм",IF(LARGE($R282:$T282,1)&lt;=399,"300-399 мм",IF(LARGE($R282:$T282,1)&lt;=499,"400-499 мм",IF(LARGE($R282:$T282,1)&lt;=599,"500-599 мм",IF(LARGE($R282:$T282,1)&lt;=699,"600-699 мм",IF(LARGE($R282:$T282,1)&lt;=999,"700-999 мм","1000+ мм")))))))))</f>
        <v/>
      </c>
      <c r="Y282" s="160">
        <f>IF(LARGE($R282:$T282,2)="","",IF(LARGE($R282:$T282,2)&lt;=99,"10-99 мм",IF(LARGE($R282:$T282,2)&lt;=199,"100-199 мм",IF(LARGE($R282:$T282,2)&lt;=299,"200-299 мм",IF(LARGE($R282:$T282,2)&lt;=399,"300-399 мм",IF(LARGE($R282:$T282,2)&lt;=499,"400-499 мм",IF(LARGE($R282:$T282,2)&lt;=599,"500-599 мм",IF(LARGE($R282:$T282,2)&lt;=699,"600-699 мм",IF(LARGE($R282:$T282,2)&lt;=999,"700-999 мм","1000+ мм")))))))))</f>
        <v/>
      </c>
      <c r="Z282" s="160">
        <f>IF(SMALL($R282:$T282,1)="","",IF(SMALL($R282:$T282,1)&lt;=99,"10-99 мм",IF(SMALL($R282:$T282,1)&lt;=199,"100-199 мм",IF(SMALL($R282:$T282,1)&lt;=299,"200-299 мм",IF(SMALL($R282:$T282,1)&lt;=399,"300-399 мм",IF(SMALL($R282:$T282,1)&lt;=499,"400-499 мм",IF(SMALL($R282:$T282,1)&lt;=599,"500-599 мм",IF(SMALL($R282:$T282,1)&lt;=699,"600-699 мм",IF(SMALL($R282:$T282,1)&lt;=999,"700-999 мм","1000+ мм")))))))))</f>
        <v/>
      </c>
      <c r="AA282" s="101">
        <f>IF(G282="","",IF(G282="Л","Лист гофрокартона",IF(G282="КД","Крышка-дно",IF(G282="С","Самосборные",IF(G282="Ч","Четырехклапанные",IF(G282="А","Архивные","Неизвестно"))))))</f>
        <v/>
      </c>
      <c r="AB282" s="66" t="n">
        <v>1.73</v>
      </c>
      <c r="AC282" s="101">
        <f>IF(O282="","",IF(O282&lt;=1,"0-1 литров",IF(O282&lt;=3,"2-3 литра",IF(O282&lt;=5,"4-5 литра",IF(O282&lt;=7,"6-7 литра",IF(O282&lt;=9,"8-9 литров",IF(O282&lt;=14,"10-14 литров",IF(O282&lt;=19,"15-19 литров",IF(O282&lt;=29,"20-29 литров",IF(O282&lt;=49,"30-49 литров",IF(O282&lt;=59,"50-59 литров",IF(O282&lt;=70,"60-69 литров",IF(O282&lt;=79,"70-79 литров",IF(O282&lt;=89,"80-89 литров",IF(O282&lt;=99,"90-99 литров",IF(O282&lt;=200,"100-200 литров","200+ литров"))))))))))))))))</f>
        <v/>
      </c>
    </row>
    <row r="283" customFormat="1" s="207">
      <c r="A283" s="64" t="n">
        <v>0.2</v>
      </c>
      <c r="B283" s="65">
        <f>A283*1.2</f>
        <v/>
      </c>
      <c r="C283" s="109" t="n">
        <v>283</v>
      </c>
      <c r="D283" s="116" t="inlineStr">
        <is>
          <t>У</t>
        </is>
      </c>
      <c r="E283" s="88" t="inlineStr">
        <is>
          <t>230х140х20</t>
        </is>
      </c>
      <c r="F283" s="213" t="n"/>
      <c r="G283" s="83" t="inlineStr">
        <is>
          <t>С</t>
        </is>
      </c>
      <c r="H283" s="146" t="inlineStr">
        <is>
          <t>0427</t>
        </is>
      </c>
      <c r="I283" s="83" t="inlineStr">
        <is>
          <t>Е</t>
        </is>
      </c>
      <c r="J283" s="83" t="inlineStr">
        <is>
          <t>ОП</t>
        </is>
      </c>
      <c r="K283" s="116" t="inlineStr">
        <is>
          <t>K249</t>
        </is>
      </c>
      <c r="L283" s="103" t="n"/>
      <c r="M283" s="239" t="n"/>
      <c r="N283" s="239">
        <f>IF(D283="","",IF(LEFT(D283,1)="0",0,1))</f>
        <v/>
      </c>
      <c r="O283" s="80">
        <f>ROUND(R283*S283*T283/1000000,2)</f>
        <v/>
      </c>
      <c r="P283" s="160">
        <f>IF(O283="","",
IF(O283&lt;1,"0,1-0,9 литров",
IF(O283&lt;2,"1-1,9 литра",
IF(O283&lt;3,"2-2,9 литра",
IF(O283&lt;4,"3-3,9 литра",
IF(O283&lt;6,"4-5,9 литра",IF(O283&lt;8,"6-7,9 литра",IF(O283&lt;10,"8-9,9 литров",IF(O283&lt;15,"10-14,9 литров",IF(O283&lt;20,"15-19,9 литров",IF(O283&lt;30,"20-29 литров",IF(O283&lt;50,"30-49 литров",IF(O283&lt;60,"50-59 литров",IF(O283&lt;70,"60-69 литров",IF(O283&lt;80,"70-79 литров",IF(O283&lt;90,"80-89 литров",IF(O283&lt;100,"90-99 литров",IF(O283&lt;200,"100-200 литров","200+ литров"))))))))))))))))))</f>
        <v/>
      </c>
      <c r="Q283" s="101">
        <f>IF(O283="","",IF(O283&lt;1,"&lt;1 л",IF(O283&lt;2,"1-2 л",IF(O283&lt;3,"2-3 л",IF(O283&lt;5,"3-5 л",IF(O283&lt;10,"5-10 л",IF(O283&lt;20,"10-20 л",IF(O283&lt;50,"20-50 л",IF(O283&lt;100,"50-100 л","100+ л")))))))))</f>
        <v/>
      </c>
      <c r="R283" s="162">
        <f>IF(E283="","",--LEFT(E283,FIND("х",E283)-1))</f>
        <v/>
      </c>
      <c r="S283" s="162">
        <f>IF(E283="","",--MID(E283,FIND("х",E283)+1,FIND("х",E283,FIND("х",E283)+1)-FIND("х",E283)-1))</f>
        <v/>
      </c>
      <c r="T283" s="162">
        <f>IF(E283="","",--RIGHT(E283,LEN(E283)-FIND("х",E283,FIND("х",E283)+1)))</f>
        <v/>
      </c>
      <c r="U283" s="66">
        <f>(2*(R283+S283)+60)*(S283+T283+8)/1000000</f>
        <v/>
      </c>
      <c r="V283" s="66">
        <f>IF(OR(AND(R283&gt;=2*S283,R283&gt;=2*T283),AND(S283&gt;=2*R283,S283&gt;=2*T283),AND(T283&gt;=2*R283,T283&gt;=2*S283)),"Длинные","")</f>
        <v/>
      </c>
      <c r="W283" s="66">
        <f>IF(OR(AND(R283&lt;=S283/2,R283&lt;=T283/2),AND(S283&lt;=R283/2,S283&lt;=T283/2),AND(T283&lt;=R283/2,T283&lt;=S283/2)),"Плоские","")</f>
        <v/>
      </c>
      <c r="X283" s="160">
        <f>IF(LARGE($R283:$T283,1)="","",IF(LARGE($R283:$T283,1)&lt;=99,"10-99 мм",IF(LARGE($R283:$T283,1)&lt;=199,"100-199 мм",IF(LARGE($R283:$T283,1)&lt;=299,"200-299 мм",IF(LARGE($R283:$T283,1)&lt;=399,"300-399 мм",IF(LARGE($R283:$T283,1)&lt;=499,"400-499 мм",IF(LARGE($R283:$T283,1)&lt;=599,"500-599 мм",IF(LARGE($R283:$T283,1)&lt;=699,"600-699 мм",IF(LARGE($R283:$T283,1)&lt;=999,"700-999 мм","1000+ мм")))))))))</f>
        <v/>
      </c>
      <c r="Y283" s="160">
        <f>IF(LARGE($R283:$T283,2)="","",IF(LARGE($R283:$T283,2)&lt;=99,"10-99 мм",IF(LARGE($R283:$T283,2)&lt;=199,"100-199 мм",IF(LARGE($R283:$T283,2)&lt;=299,"200-299 мм",IF(LARGE($R283:$T283,2)&lt;=399,"300-399 мм",IF(LARGE($R283:$T283,2)&lt;=499,"400-499 мм",IF(LARGE($R283:$T283,2)&lt;=599,"500-599 мм",IF(LARGE($R283:$T283,2)&lt;=699,"600-699 мм",IF(LARGE($R283:$T283,2)&lt;=999,"700-999 мм","1000+ мм")))))))))</f>
        <v/>
      </c>
      <c r="Z283" s="160">
        <f>IF(SMALL($R283:$T283,1)="","",IF(SMALL($R283:$T283,1)&lt;=99,"10-99 мм",IF(SMALL($R283:$T283,1)&lt;=199,"100-199 мм",IF(SMALL($R283:$T283,1)&lt;=299,"200-299 мм",IF(SMALL($R283:$T283,1)&lt;=399,"300-399 мм",IF(SMALL($R283:$T283,1)&lt;=499,"400-499 мм",IF(SMALL($R283:$T283,1)&lt;=599,"500-599 мм",IF(SMALL($R283:$T283,1)&lt;=699,"600-699 мм",IF(SMALL($R283:$T283,1)&lt;=999,"700-999 мм","1000+ мм")))))))))</f>
        <v/>
      </c>
      <c r="AA283" s="101">
        <f>IF(G283="","",IF(G283="Л","Лист гофрокартона",IF(G283="КД","Крышка-дно",IF(G283="С","Самосборные",IF(G283="Ч","Четырехклапанные",IF(G283="А","Архивные","Неизвестно"))))))</f>
        <v/>
      </c>
      <c r="AB283" s="66" t="n">
        <v>1.73</v>
      </c>
      <c r="AC283" s="101">
        <f>IF(O283="","",IF(O283&lt;=1,"0-1 литров",IF(O283&lt;=3,"2-3 литра",IF(O283&lt;=5,"4-5 литра",IF(O283&lt;=7,"6-7 литра",IF(O283&lt;=9,"8-9 литров",IF(O283&lt;=14,"10-14 литров",IF(O283&lt;=19,"15-19 литров",IF(O283&lt;=29,"20-29 литров",IF(O283&lt;=49,"30-49 литров",IF(O283&lt;=59,"50-59 литров",IF(O283&lt;=70,"60-69 литров",IF(O283&lt;=79,"70-79 литров",IF(O283&lt;=89,"80-89 литров",IF(O283&lt;=99,"90-99 литров",IF(O283&lt;=200,"100-200 литров","200+ литров"))))))))))))))))</f>
        <v/>
      </c>
    </row>
    <row r="284" customFormat="1" s="207">
      <c r="A284" s="64" t="n">
        <v>0.24</v>
      </c>
      <c r="B284" s="65">
        <f>A284*1.2</f>
        <v/>
      </c>
      <c r="C284" s="109" t="n">
        <v>284</v>
      </c>
      <c r="D284" s="116" t="inlineStr">
        <is>
          <t>У</t>
        </is>
      </c>
      <c r="E284" s="88" t="inlineStr">
        <is>
          <t>220х168х23</t>
        </is>
      </c>
      <c r="F284" s="213" t="n"/>
      <c r="G284" s="83" t="inlineStr">
        <is>
          <t>С</t>
        </is>
      </c>
      <c r="H284" s="146" t="inlineStr">
        <is>
          <t>0427</t>
        </is>
      </c>
      <c r="I284" s="83" t="inlineStr">
        <is>
          <t>В</t>
        </is>
      </c>
      <c r="J284" s="83" t="inlineStr">
        <is>
          <t>ОП</t>
        </is>
      </c>
      <c r="K284" s="116" t="inlineStr">
        <is>
          <t>K250</t>
        </is>
      </c>
      <c r="L284" s="103" t="n"/>
      <c r="M284" s="239" t="n"/>
      <c r="N284" s="239">
        <f>IF(D284="","",IF(LEFT(D284,1)="0",0,1))</f>
        <v/>
      </c>
      <c r="O284" s="80">
        <f>ROUND(R284*S284*T284/1000000,2)</f>
        <v/>
      </c>
      <c r="P284" s="160">
        <f>IF(O284="","",
IF(O284&lt;1,"0,1-0,9 литров",
IF(O284&lt;2,"1-1,9 литра",
IF(O284&lt;3,"2-2,9 литра",
IF(O284&lt;4,"3-3,9 литра",
IF(O284&lt;6,"4-5,9 литра",IF(O284&lt;8,"6-7,9 литра",IF(O284&lt;10,"8-9,9 литров",IF(O284&lt;15,"10-14,9 литров",IF(O284&lt;20,"15-19,9 литров",IF(O284&lt;30,"20-29 литров",IF(O284&lt;50,"30-49 литров",IF(O284&lt;60,"50-59 литров",IF(O284&lt;70,"60-69 литров",IF(O284&lt;80,"70-79 литров",IF(O284&lt;90,"80-89 литров",IF(O284&lt;100,"90-99 литров",IF(O284&lt;200,"100-200 литров","200+ литров"))))))))))))))))))</f>
        <v/>
      </c>
      <c r="Q284" s="101">
        <f>IF(O284="","",IF(O284&lt;1,"&lt;1 л",IF(O284&lt;2,"1-2 л",IF(O284&lt;3,"2-3 л",IF(O284&lt;5,"3-5 л",IF(O284&lt;10,"5-10 л",IF(O284&lt;20,"10-20 л",IF(O284&lt;50,"20-50 л",IF(O284&lt;100,"50-100 л","100+ л")))))))))</f>
        <v/>
      </c>
      <c r="R284" s="162">
        <f>IF(E284="","",--LEFT(E284,FIND("х",E284)-1))</f>
        <v/>
      </c>
      <c r="S284" s="162">
        <f>IF(E284="","",--MID(E284,FIND("х",E284)+1,FIND("х",E284,FIND("х",E284)+1)-FIND("х",E284)-1))</f>
        <v/>
      </c>
      <c r="T284" s="162">
        <f>IF(E284="","",--RIGHT(E284,LEN(E284)-FIND("х",E284,FIND("х",E284)+1)))</f>
        <v/>
      </c>
      <c r="U284" s="66">
        <f>(2*(R284+S284)+60)*(S284+T284+8)/1000000</f>
        <v/>
      </c>
      <c r="V284" s="66">
        <f>IF(OR(AND(R284&gt;=2*S284,R284&gt;=2*T284),AND(S284&gt;=2*R284,S284&gt;=2*T284),AND(T284&gt;=2*R284,T284&gt;=2*S284)),"Длинные","")</f>
        <v/>
      </c>
      <c r="W284" s="66">
        <f>IF(OR(AND(R284&lt;=S284/2,R284&lt;=T284/2),AND(S284&lt;=R284/2,S284&lt;=T284/2),AND(T284&lt;=R284/2,T284&lt;=S284/2)),"Плоские","")</f>
        <v/>
      </c>
      <c r="X284" s="160">
        <f>IF(LARGE($R284:$T284,1)="","",IF(LARGE($R284:$T284,1)&lt;=99,"10-99 мм",IF(LARGE($R284:$T284,1)&lt;=199,"100-199 мм",IF(LARGE($R284:$T284,1)&lt;=299,"200-299 мм",IF(LARGE($R284:$T284,1)&lt;=399,"300-399 мм",IF(LARGE($R284:$T284,1)&lt;=499,"400-499 мм",IF(LARGE($R284:$T284,1)&lt;=599,"500-599 мм",IF(LARGE($R284:$T284,1)&lt;=699,"600-699 мм",IF(LARGE($R284:$T284,1)&lt;=999,"700-999 мм","1000+ мм")))))))))</f>
        <v/>
      </c>
      <c r="Y284" s="160">
        <f>IF(LARGE($R284:$T284,2)="","",IF(LARGE($R284:$T284,2)&lt;=99,"10-99 мм",IF(LARGE($R284:$T284,2)&lt;=199,"100-199 мм",IF(LARGE($R284:$T284,2)&lt;=299,"200-299 мм",IF(LARGE($R284:$T284,2)&lt;=399,"300-399 мм",IF(LARGE($R284:$T284,2)&lt;=499,"400-499 мм",IF(LARGE($R284:$T284,2)&lt;=599,"500-599 мм",IF(LARGE($R284:$T284,2)&lt;=699,"600-699 мм",IF(LARGE($R284:$T284,2)&lt;=999,"700-999 мм","1000+ мм")))))))))</f>
        <v/>
      </c>
      <c r="Z284" s="160">
        <f>IF(SMALL($R284:$T284,1)="","",IF(SMALL($R284:$T284,1)&lt;=99,"10-99 мм",IF(SMALL($R284:$T284,1)&lt;=199,"100-199 мм",IF(SMALL($R284:$T284,1)&lt;=299,"200-299 мм",IF(SMALL($R284:$T284,1)&lt;=399,"300-399 мм",IF(SMALL($R284:$T284,1)&lt;=499,"400-499 мм",IF(SMALL($R284:$T284,1)&lt;=599,"500-599 мм",IF(SMALL($R284:$T284,1)&lt;=699,"600-699 мм",IF(SMALL($R284:$T284,1)&lt;=999,"700-999 мм","1000+ мм")))))))))</f>
        <v/>
      </c>
      <c r="AA284" s="101">
        <f>IF(G284="","",IF(G284="Л","Лист гофрокартона",IF(G284="КД","Крышка-дно",IF(G284="С","Самосборные",IF(G284="Ч","Четырехклапанные",IF(G284="А","Архивные","Неизвестно"))))))</f>
        <v/>
      </c>
      <c r="AB284" s="66" t="n">
        <v>1.73</v>
      </c>
      <c r="AC284" s="101">
        <f>IF(O284="","",IF(O284&lt;=1,"0-1 литров",IF(O284&lt;=3,"2-3 литра",IF(O284&lt;=5,"4-5 литра",IF(O284&lt;=7,"6-7 литра",IF(O284&lt;=9,"8-9 литров",IF(O284&lt;=14,"10-14 литров",IF(O284&lt;=19,"15-19 литров",IF(O284&lt;=29,"20-29 литров",IF(O284&lt;=49,"30-49 литров",IF(O284&lt;=59,"50-59 литров",IF(O284&lt;=70,"60-69 литров",IF(O284&lt;=79,"70-79 литров",IF(O284&lt;=89,"80-89 литров",IF(O284&lt;=99,"90-99 литров",IF(O284&lt;=200,"100-200 литров","200+ литров"))))))))))))))))</f>
        <v/>
      </c>
    </row>
    <row r="285" customFormat="1" s="207">
      <c r="A285" s="64" t="n">
        <v>0.46</v>
      </c>
      <c r="B285" s="65">
        <f>A285*1.2</f>
        <v/>
      </c>
      <c r="C285" s="109" t="n">
        <v>285</v>
      </c>
      <c r="D285" s="116" t="inlineStr">
        <is>
          <t>У</t>
        </is>
      </c>
      <c r="E285" s="88" t="inlineStr">
        <is>
          <t>150х150х250</t>
        </is>
      </c>
      <c r="F285" s="213" t="n"/>
      <c r="G285" s="83" t="inlineStr">
        <is>
          <t>Ч</t>
        </is>
      </c>
      <c r="H285" s="146" t="inlineStr">
        <is>
          <t>0201</t>
        </is>
      </c>
      <c r="I285" s="83" t="inlineStr">
        <is>
          <t>В</t>
        </is>
      </c>
      <c r="J285" s="83" t="inlineStr">
        <is>
          <t>У</t>
        </is>
      </c>
      <c r="K285" s="116" t="inlineStr">
        <is>
          <t>K251</t>
        </is>
      </c>
      <c r="L285" s="103" t="n"/>
      <c r="M285" s="239" t="n"/>
      <c r="N285" s="239">
        <f>IF(D285="","",IF(LEFT(D285,1)="0",0,1))</f>
        <v/>
      </c>
      <c r="O285" s="80">
        <f>ROUND(R285*S285*T285/1000000,2)</f>
        <v/>
      </c>
      <c r="P285" s="160">
        <f>IF(O285="","",
IF(O285&lt;1,"0,1-0,9 литров",
IF(O285&lt;2,"1-1,9 литра",
IF(O285&lt;3,"2-2,9 литра",
IF(O285&lt;4,"3-3,9 литра",
IF(O285&lt;6,"4-5,9 литра",IF(O285&lt;8,"6-7,9 литра",IF(O285&lt;10,"8-9,9 литров",IF(O285&lt;15,"10-14,9 литров",IF(O285&lt;20,"15-19,9 литров",IF(O285&lt;30,"20-29 литров",IF(O285&lt;50,"30-49 литров",IF(O285&lt;60,"50-59 литров",IF(O285&lt;70,"60-69 литров",IF(O285&lt;80,"70-79 литров",IF(O285&lt;90,"80-89 литров",IF(O285&lt;100,"90-99 литров",IF(O285&lt;200,"100-200 литров","200+ литров"))))))))))))))))))</f>
        <v/>
      </c>
      <c r="Q285" s="101">
        <f>IF(O285="","",IF(O285&lt;1,"&lt;1 л",IF(O285&lt;2,"1-2 л",IF(O285&lt;3,"2-3 л",IF(O285&lt;5,"3-5 л",IF(O285&lt;10,"5-10 л",IF(O285&lt;20,"10-20 л",IF(O285&lt;50,"20-50 л",IF(O285&lt;100,"50-100 л","100+ л")))))))))</f>
        <v/>
      </c>
      <c r="R285" s="162">
        <f>IF(E285="","",--LEFT(E285,FIND("х",E285)-1))</f>
        <v/>
      </c>
      <c r="S285" s="162">
        <f>IF(E285="","",--MID(E285,FIND("х",E285)+1,FIND("х",E285,FIND("х",E285)+1)-FIND("х",E285)-1))</f>
        <v/>
      </c>
      <c r="T285" s="162">
        <f>IF(E285="","",--RIGHT(E285,LEN(E285)-FIND("х",E285,FIND("х",E285)+1)))</f>
        <v/>
      </c>
      <c r="U285" s="66">
        <f>(2*(R285+S285)+60)*(S285+T285+8)/1000000</f>
        <v/>
      </c>
      <c r="V285" s="66">
        <f>IF(OR(AND(R285&gt;=2*S285,R285&gt;=2*T285),AND(S285&gt;=2*R285,S285&gt;=2*T285),AND(T285&gt;=2*R285,T285&gt;=2*S285)),"Длинные","")</f>
        <v/>
      </c>
      <c r="W285" s="66">
        <f>IF(OR(AND(R285&lt;=S285/2,R285&lt;=T285/2),AND(S285&lt;=R285/2,S285&lt;=T285/2),AND(T285&lt;=R285/2,T285&lt;=S285/2)),"Плоские","")</f>
        <v/>
      </c>
      <c r="X285" s="160">
        <f>IF(LARGE($R285:$T285,1)="","",IF(LARGE($R285:$T285,1)&lt;=99,"10-99 мм",IF(LARGE($R285:$T285,1)&lt;=199,"100-199 мм",IF(LARGE($R285:$T285,1)&lt;=299,"200-299 мм",IF(LARGE($R285:$T285,1)&lt;=399,"300-399 мм",IF(LARGE($R285:$T285,1)&lt;=499,"400-499 мм",IF(LARGE($R285:$T285,1)&lt;=599,"500-599 мм",IF(LARGE($R285:$T285,1)&lt;=699,"600-699 мм",IF(LARGE($R285:$T285,1)&lt;=999,"700-999 мм","1000+ мм")))))))))</f>
        <v/>
      </c>
      <c r="Y285" s="160">
        <f>IF(LARGE($R285:$T285,2)="","",IF(LARGE($R285:$T285,2)&lt;=99,"10-99 мм",IF(LARGE($R285:$T285,2)&lt;=199,"100-199 мм",IF(LARGE($R285:$T285,2)&lt;=299,"200-299 мм",IF(LARGE($R285:$T285,2)&lt;=399,"300-399 мм",IF(LARGE($R285:$T285,2)&lt;=499,"400-499 мм",IF(LARGE($R285:$T285,2)&lt;=599,"500-599 мм",IF(LARGE($R285:$T285,2)&lt;=699,"600-699 мм",IF(LARGE($R285:$T285,2)&lt;=999,"700-999 мм","1000+ мм")))))))))</f>
        <v/>
      </c>
      <c r="Z285" s="160">
        <f>IF(SMALL($R285:$T285,1)="","",IF(SMALL($R285:$T285,1)&lt;=99,"10-99 мм",IF(SMALL($R285:$T285,1)&lt;=199,"100-199 мм",IF(SMALL($R285:$T285,1)&lt;=299,"200-299 мм",IF(SMALL($R285:$T285,1)&lt;=399,"300-399 мм",IF(SMALL($R285:$T285,1)&lt;=499,"400-499 мм",IF(SMALL($R285:$T285,1)&lt;=599,"500-599 мм",IF(SMALL($R285:$T285,1)&lt;=699,"600-699 мм",IF(SMALL($R285:$T285,1)&lt;=999,"700-999 мм","1000+ мм")))))))))</f>
        <v/>
      </c>
      <c r="AA285" s="101">
        <f>IF(G285="","",IF(G285="Л","Лист гофрокартона",IF(G285="КД","Крышка-дно",IF(G285="С","Самосборные",IF(G285="Ч","Четырехклапанные",IF(G285="А","Архивные","Неизвестно"))))))</f>
        <v/>
      </c>
      <c r="AB285" s="66" t="n">
        <v>1.73</v>
      </c>
      <c r="AC285" s="101">
        <f>IF(O285="","",IF(O285&lt;=1,"0-1 литров",IF(O285&lt;=3,"2-3 литра",IF(O285&lt;=5,"4-5 литра",IF(O285&lt;=7,"6-7 литра",IF(O285&lt;=9,"8-9 литров",IF(O285&lt;=14,"10-14 литров",IF(O285&lt;=19,"15-19 литров",IF(O285&lt;=29,"20-29 литров",IF(O285&lt;=49,"30-49 литров",IF(O285&lt;=59,"50-59 литров",IF(O285&lt;=70,"60-69 литров",IF(O285&lt;=79,"70-79 литров",IF(O285&lt;=89,"80-89 литров",IF(O285&lt;=99,"90-99 литров",IF(O285&lt;=200,"100-200 литров","200+ литров"))))))))))))))))</f>
        <v/>
      </c>
    </row>
    <row r="286" customFormat="1" s="207">
      <c r="A286" s="64" t="n">
        <v>0.53</v>
      </c>
      <c r="B286" s="65">
        <f>A286*1.2</f>
        <v/>
      </c>
      <c r="C286" s="109" t="n">
        <v>286</v>
      </c>
      <c r="D286" s="116" t="inlineStr">
        <is>
          <t>У</t>
        </is>
      </c>
      <c r="E286" s="88" t="inlineStr">
        <is>
          <t>200х200х150</t>
        </is>
      </c>
      <c r="F286" s="213" t="n"/>
      <c r="G286" s="83" t="inlineStr">
        <is>
          <t>Ч</t>
        </is>
      </c>
      <c r="H286" s="146" t="inlineStr">
        <is>
          <t>0201</t>
        </is>
      </c>
      <c r="I286" s="83" t="inlineStr">
        <is>
          <t>В</t>
        </is>
      </c>
      <c r="J286" s="83" t="inlineStr">
        <is>
          <t>У</t>
        </is>
      </c>
      <c r="K286" s="116" t="inlineStr">
        <is>
          <t>K252</t>
        </is>
      </c>
      <c r="L286" s="103" t="n"/>
      <c r="M286" s="239" t="n"/>
      <c r="N286" s="239">
        <f>IF(D286="","",IF(LEFT(D286,1)="0",0,1))</f>
        <v/>
      </c>
      <c r="O286" s="80">
        <f>ROUND(R286*S286*T286/1000000,2)</f>
        <v/>
      </c>
      <c r="P286" s="160">
        <f>IF(O286="","",
IF(O286&lt;1,"0,1-0,9 литров",
IF(O286&lt;2,"1-1,9 литра",
IF(O286&lt;3,"2-2,9 литра",
IF(O286&lt;4,"3-3,9 литра",
IF(O286&lt;6,"4-5,9 литра",IF(O286&lt;8,"6-7,9 литра",IF(O286&lt;10,"8-9,9 литров",IF(O286&lt;15,"10-14,9 литров",IF(O286&lt;20,"15-19,9 литров",IF(O286&lt;30,"20-29 литров",IF(O286&lt;50,"30-49 литров",IF(O286&lt;60,"50-59 литров",IF(O286&lt;70,"60-69 литров",IF(O286&lt;80,"70-79 литров",IF(O286&lt;90,"80-89 литров",IF(O286&lt;100,"90-99 литров",IF(O286&lt;200,"100-200 литров","200+ литров"))))))))))))))))))</f>
        <v/>
      </c>
      <c r="Q286" s="101">
        <f>IF(O286="","",IF(O286&lt;1,"&lt;1 л",IF(O286&lt;2,"1-2 л",IF(O286&lt;3,"2-3 л",IF(O286&lt;5,"3-5 л",IF(O286&lt;10,"5-10 л",IF(O286&lt;20,"10-20 л",IF(O286&lt;50,"20-50 л",IF(O286&lt;100,"50-100 л","100+ л")))))))))</f>
        <v/>
      </c>
      <c r="R286" s="162">
        <f>IF(E286="","",--LEFT(E286,FIND("х",E286)-1))</f>
        <v/>
      </c>
      <c r="S286" s="162">
        <f>IF(E286="","",--MID(E286,FIND("х",E286)+1,FIND("х",E286,FIND("х",E286)+1)-FIND("х",E286)-1))</f>
        <v/>
      </c>
      <c r="T286" s="162">
        <f>IF(E286="","",--RIGHT(E286,LEN(E286)-FIND("х",E286,FIND("х",E286)+1)))</f>
        <v/>
      </c>
      <c r="U286" s="66">
        <f>(2*(R286+S286)+60)*(S286+T286+8)/1000000</f>
        <v/>
      </c>
      <c r="V286" s="66">
        <f>IF(OR(AND(R286&gt;=2*S286,R286&gt;=2*T286),AND(S286&gt;=2*R286,S286&gt;=2*T286),AND(T286&gt;=2*R286,T286&gt;=2*S286)),"Длинные","")</f>
        <v/>
      </c>
      <c r="W286" s="66">
        <f>IF(OR(AND(R286&lt;=S286/2,R286&lt;=T286/2),AND(S286&lt;=R286/2,S286&lt;=T286/2),AND(T286&lt;=R286/2,T286&lt;=S286/2)),"Плоские","")</f>
        <v/>
      </c>
      <c r="X286" s="160">
        <f>IF(LARGE($R286:$T286,1)="","",IF(LARGE($R286:$T286,1)&lt;=99,"10-99 мм",IF(LARGE($R286:$T286,1)&lt;=199,"100-199 мм",IF(LARGE($R286:$T286,1)&lt;=299,"200-299 мм",IF(LARGE($R286:$T286,1)&lt;=399,"300-399 мм",IF(LARGE($R286:$T286,1)&lt;=499,"400-499 мм",IF(LARGE($R286:$T286,1)&lt;=599,"500-599 мм",IF(LARGE($R286:$T286,1)&lt;=699,"600-699 мм",IF(LARGE($R286:$T286,1)&lt;=999,"700-999 мм","1000+ мм")))))))))</f>
        <v/>
      </c>
      <c r="Y286" s="160">
        <f>IF(LARGE($R286:$T286,2)="","",IF(LARGE($R286:$T286,2)&lt;=99,"10-99 мм",IF(LARGE($R286:$T286,2)&lt;=199,"100-199 мм",IF(LARGE($R286:$T286,2)&lt;=299,"200-299 мм",IF(LARGE($R286:$T286,2)&lt;=399,"300-399 мм",IF(LARGE($R286:$T286,2)&lt;=499,"400-499 мм",IF(LARGE($R286:$T286,2)&lt;=599,"500-599 мм",IF(LARGE($R286:$T286,2)&lt;=699,"600-699 мм",IF(LARGE($R286:$T286,2)&lt;=999,"700-999 мм","1000+ мм")))))))))</f>
        <v/>
      </c>
      <c r="Z286" s="160">
        <f>IF(SMALL($R286:$T286,1)="","",IF(SMALL($R286:$T286,1)&lt;=99,"10-99 мм",IF(SMALL($R286:$T286,1)&lt;=199,"100-199 мм",IF(SMALL($R286:$T286,1)&lt;=299,"200-299 мм",IF(SMALL($R286:$T286,1)&lt;=399,"300-399 мм",IF(SMALL($R286:$T286,1)&lt;=499,"400-499 мм",IF(SMALL($R286:$T286,1)&lt;=599,"500-599 мм",IF(SMALL($R286:$T286,1)&lt;=699,"600-699 мм",IF(SMALL($R286:$T286,1)&lt;=999,"700-999 мм","1000+ мм")))))))))</f>
        <v/>
      </c>
      <c r="AA286" s="101">
        <f>IF(G286="","",IF(G286="Л","Лист гофрокартона",IF(G286="КД","Крышка-дно",IF(G286="С","Самосборные",IF(G286="Ч","Четырехклапанные",IF(G286="А","Архивные","Неизвестно"))))))</f>
        <v/>
      </c>
      <c r="AB286" s="66" t="n">
        <v>1.73</v>
      </c>
      <c r="AC286" s="101">
        <f>IF(O286="","",IF(O286&lt;=1,"0-1 литров",IF(O286&lt;=3,"2-3 литра",IF(O286&lt;=5,"4-5 литра",IF(O286&lt;=7,"6-7 литра",IF(O286&lt;=9,"8-9 литров",IF(O286&lt;=14,"10-14 литров",IF(O286&lt;=19,"15-19 литров",IF(O286&lt;=29,"20-29 литров",IF(O286&lt;=49,"30-49 литров",IF(O286&lt;=59,"50-59 литров",IF(O286&lt;=70,"60-69 литров",IF(O286&lt;=79,"70-79 литров",IF(O286&lt;=89,"80-89 литров",IF(O286&lt;=99,"90-99 литров",IF(O286&lt;=200,"100-200 литров","200+ литров"))))))))))))))))</f>
        <v/>
      </c>
    </row>
    <row r="287" customFormat="1" s="207">
      <c r="A287" s="64" t="n">
        <v>2.02</v>
      </c>
      <c r="B287" s="65">
        <f>A287*1.2</f>
        <v/>
      </c>
      <c r="C287" s="109" t="n">
        <v>287</v>
      </c>
      <c r="D287" s="77" t="inlineStr">
        <is>
          <t>К</t>
        </is>
      </c>
      <c r="E287" s="88" t="inlineStr">
        <is>
          <t>630х380х380</t>
        </is>
      </c>
      <c r="F287" s="213" t="n"/>
      <c r="G287" s="83" t="inlineStr">
        <is>
          <t>Ч</t>
        </is>
      </c>
      <c r="H287" s="146" t="inlineStr">
        <is>
          <t>0201</t>
        </is>
      </c>
      <c r="I287" s="83" t="inlineStr">
        <is>
          <t>В</t>
        </is>
      </c>
      <c r="J287" s="83" t="inlineStr">
        <is>
          <t>без</t>
        </is>
      </c>
      <c r="K287" s="116" t="inlineStr">
        <is>
          <t>K1038</t>
        </is>
      </c>
      <c r="L287" s="103" t="n"/>
      <c r="M287" s="239" t="n"/>
      <c r="N287" s="239">
        <f>IF(D287="","",IF(LEFT(D287,1)="0",0,1))</f>
        <v/>
      </c>
      <c r="O287" s="80">
        <f>ROUND(R287*S287*T287/1000000,2)</f>
        <v/>
      </c>
      <c r="P287" s="160">
        <f>IF(O287="","",
IF(O287&lt;1,"0,1-0,9 литров",
IF(O287&lt;2,"1-1,9 литра",
IF(O287&lt;3,"2-2,9 литра",
IF(O287&lt;4,"3-3,9 литра",
IF(O287&lt;6,"4-5,9 литра",IF(O287&lt;8,"6-7,9 литра",IF(O287&lt;10,"8-9,9 литров",IF(O287&lt;15,"10-14,9 литров",IF(O287&lt;20,"15-19,9 литров",IF(O287&lt;30,"20-29 литров",IF(O287&lt;50,"30-49 литров",IF(O287&lt;60,"50-59 литров",IF(O287&lt;70,"60-69 литров",IF(O287&lt;80,"70-79 литров",IF(O287&lt;90,"80-89 литров",IF(O287&lt;100,"90-99 литров",IF(O287&lt;200,"100-200 литров","200+ литров"))))))))))))))))))</f>
        <v/>
      </c>
      <c r="Q287" s="101">
        <f>IF(O287="","",IF(O287&lt;1,"&lt;1 л",IF(O287&lt;2,"1-2 л",IF(O287&lt;3,"2-3 л",IF(O287&lt;5,"3-5 л",IF(O287&lt;10,"5-10 л",IF(O287&lt;20,"10-20 л",IF(O287&lt;50,"20-50 л",IF(O287&lt;100,"50-100 л","100+ л")))))))))</f>
        <v/>
      </c>
      <c r="R287" s="162">
        <f>IF(E287="","",--LEFT(E287,FIND("х",E287)-1))</f>
        <v/>
      </c>
      <c r="S287" s="162">
        <f>IF(E287="","",--MID(E287,FIND("х",E287)+1,FIND("х",E287,FIND("х",E287)+1)-FIND("х",E287)-1))</f>
        <v/>
      </c>
      <c r="T287" s="162">
        <f>IF(E287="","",--RIGHT(E287,LEN(E287)-FIND("х",E287,FIND("х",E287)+1)))</f>
        <v/>
      </c>
      <c r="U287" s="66">
        <f>(2*(R287+S287)+60)*(S287+T287+8)/1000000</f>
        <v/>
      </c>
      <c r="V287" s="66">
        <f>IF(OR(AND(R287&gt;=2*S287,R287&gt;=2*T287),AND(S287&gt;=2*R287,S287&gt;=2*T287),AND(T287&gt;=2*R287,T287&gt;=2*S287)),"Длинные","")</f>
        <v/>
      </c>
      <c r="W287" s="66">
        <f>IF(OR(AND(R287&lt;=S287/2,R287&lt;=T287/2),AND(S287&lt;=R287/2,S287&lt;=T287/2),AND(T287&lt;=R287/2,T287&lt;=S287/2)),"Плоские","")</f>
        <v/>
      </c>
      <c r="X287" s="160">
        <f>IF(LARGE($R287:$T287,1)="","",IF(LARGE($R287:$T287,1)&lt;=99,"10-99 мм",IF(LARGE($R287:$T287,1)&lt;=199,"100-199 мм",IF(LARGE($R287:$T287,1)&lt;=299,"200-299 мм",IF(LARGE($R287:$T287,1)&lt;=399,"300-399 мм",IF(LARGE($R287:$T287,1)&lt;=499,"400-499 мм",IF(LARGE($R287:$T287,1)&lt;=599,"500-599 мм",IF(LARGE($R287:$T287,1)&lt;=699,"600-699 мм",IF(LARGE($R287:$T287,1)&lt;=999,"700-999 мм","1000+ мм")))))))))</f>
        <v/>
      </c>
      <c r="Y287" s="160">
        <f>IF(LARGE($R287:$T287,2)="","",IF(LARGE($R287:$T287,2)&lt;=99,"10-99 мм",IF(LARGE($R287:$T287,2)&lt;=199,"100-199 мм",IF(LARGE($R287:$T287,2)&lt;=299,"200-299 мм",IF(LARGE($R287:$T287,2)&lt;=399,"300-399 мм",IF(LARGE($R287:$T287,2)&lt;=499,"400-499 мм",IF(LARGE($R287:$T287,2)&lt;=599,"500-599 мм",IF(LARGE($R287:$T287,2)&lt;=699,"600-699 мм",IF(LARGE($R287:$T287,2)&lt;=999,"700-999 мм","1000+ мм")))))))))</f>
        <v/>
      </c>
      <c r="Z287" s="160">
        <f>IF(SMALL($R287:$T287,1)="","",IF(SMALL($R287:$T287,1)&lt;=99,"10-99 мм",IF(SMALL($R287:$T287,1)&lt;=199,"100-199 мм",IF(SMALL($R287:$T287,1)&lt;=299,"200-299 мм",IF(SMALL($R287:$T287,1)&lt;=399,"300-399 мм",IF(SMALL($R287:$T287,1)&lt;=499,"400-499 мм",IF(SMALL($R287:$T287,1)&lt;=599,"500-599 мм",IF(SMALL($R287:$T287,1)&lt;=699,"600-699 мм",IF(SMALL($R287:$T287,1)&lt;=999,"700-999 мм","1000+ мм")))))))))</f>
        <v/>
      </c>
      <c r="AA287" s="101">
        <f>IF(G287="","",IF(G287="Л","Лист гофрокартона",IF(G287="КД","Крышка-дно",IF(G287="С","Самосборные",IF(G287="Ч","Четырехклапанные",IF(G287="А","Архивные","Неизвестно"))))))</f>
        <v/>
      </c>
      <c r="AB287" s="66" t="n">
        <v>1.73</v>
      </c>
      <c r="AC287" s="101">
        <f>IF(O287="","",IF(O287&lt;=1,"0-1 литров",IF(O287&lt;=3,"2-3 литра",IF(O287&lt;=5,"4-5 литра",IF(O287&lt;=7,"6-7 литра",IF(O287&lt;=9,"8-9 литров",IF(O287&lt;=14,"10-14 литров",IF(O287&lt;=19,"15-19 литров",IF(O287&lt;=29,"20-29 литров",IF(O287&lt;=49,"30-49 литров",IF(O287&lt;=59,"50-59 литров",IF(O287&lt;=70,"60-69 литров",IF(O287&lt;=79,"70-79 литров",IF(O287&lt;=89,"80-89 литров",IF(O287&lt;=99,"90-99 литров",IF(O287&lt;=200,"100-200 литров","200+ литров"))))))))))))))))</f>
        <v/>
      </c>
    </row>
    <row r="288" customFormat="1" s="207">
      <c r="A288" s="64" t="n">
        <v>1.25</v>
      </c>
      <c r="B288" s="65">
        <f>A288*1.2</f>
        <v/>
      </c>
      <c r="C288" s="109" t="n">
        <v>288</v>
      </c>
      <c r="D288" s="116" t="inlineStr">
        <is>
          <t>У</t>
        </is>
      </c>
      <c r="E288" s="88" t="inlineStr">
        <is>
          <t>400х400х70</t>
        </is>
      </c>
      <c r="F288" s="213" t="n"/>
      <c r="G288" s="83" t="inlineStr">
        <is>
          <t>С</t>
        </is>
      </c>
      <c r="H288" s="146" t="inlineStr">
        <is>
          <t>0427</t>
        </is>
      </c>
      <c r="I288" s="83" t="inlineStr">
        <is>
          <t>В</t>
        </is>
      </c>
      <c r="J288" s="83" t="inlineStr">
        <is>
          <t>Клиента</t>
        </is>
      </c>
      <c r="K288" s="116" t="inlineStr">
        <is>
          <t>K253</t>
        </is>
      </c>
      <c r="L288" s="103" t="n"/>
      <c r="M288" s="239" t="n"/>
      <c r="N288" s="239">
        <f>IF(D288="","",IF(LEFT(D288,1)="0",0,1))</f>
        <v/>
      </c>
      <c r="O288" s="80">
        <f>ROUND(R288*S288*T288/1000000,2)</f>
        <v/>
      </c>
      <c r="P288" s="160">
        <f>IF(O288="","",
IF(O288&lt;1,"0,1-0,9 литров",
IF(O288&lt;2,"1-1,9 литра",
IF(O288&lt;3,"2-2,9 литра",
IF(O288&lt;4,"3-3,9 литра",
IF(O288&lt;6,"4-5,9 литра",IF(O288&lt;8,"6-7,9 литра",IF(O288&lt;10,"8-9,9 литров",IF(O288&lt;15,"10-14,9 литров",IF(O288&lt;20,"15-19,9 литров",IF(O288&lt;30,"20-29 литров",IF(O288&lt;50,"30-49 литров",IF(O288&lt;60,"50-59 литров",IF(O288&lt;70,"60-69 литров",IF(O288&lt;80,"70-79 литров",IF(O288&lt;90,"80-89 литров",IF(O288&lt;100,"90-99 литров",IF(O288&lt;200,"100-200 литров","200+ литров"))))))))))))))))))</f>
        <v/>
      </c>
      <c r="Q288" s="101">
        <f>IF(O288="","",IF(O288&lt;1,"&lt;1 л",IF(O288&lt;2,"1-2 л",IF(O288&lt;3,"2-3 л",IF(O288&lt;5,"3-5 л",IF(O288&lt;10,"5-10 л",IF(O288&lt;20,"10-20 л",IF(O288&lt;50,"20-50 л",IF(O288&lt;100,"50-100 л","100+ л")))))))))</f>
        <v/>
      </c>
      <c r="R288" s="162">
        <f>IF(E288="","",--LEFT(E288,FIND("х",E288)-1))</f>
        <v/>
      </c>
      <c r="S288" s="162">
        <f>IF(E288="","",--MID(E288,FIND("х",E288)+1,FIND("х",E288,FIND("х",E288)+1)-FIND("х",E288)-1))</f>
        <v/>
      </c>
      <c r="T288" s="162">
        <f>IF(E288="","",--RIGHT(E288,LEN(E288)-FIND("х",E288,FIND("х",E288)+1)))</f>
        <v/>
      </c>
      <c r="U288" s="66">
        <f>(2*(R288+S288)+60)*(S288+T288+8)/1000000</f>
        <v/>
      </c>
      <c r="V288" s="66">
        <f>IF(OR(AND(R288&gt;=2*S288,R288&gt;=2*T288),AND(S288&gt;=2*R288,S288&gt;=2*T288),AND(T288&gt;=2*R288,T288&gt;=2*S288)),"Длинные","")</f>
        <v/>
      </c>
      <c r="W288" s="66">
        <f>IF(OR(AND(R288&lt;=S288/2,R288&lt;=T288/2),AND(S288&lt;=R288/2,S288&lt;=T288/2),AND(T288&lt;=R288/2,T288&lt;=S288/2)),"Плоские","")</f>
        <v/>
      </c>
      <c r="X288" s="160">
        <f>IF(LARGE($R288:$T288,1)="","",IF(LARGE($R288:$T288,1)&lt;=99,"10-99 мм",IF(LARGE($R288:$T288,1)&lt;=199,"100-199 мм",IF(LARGE($R288:$T288,1)&lt;=299,"200-299 мм",IF(LARGE($R288:$T288,1)&lt;=399,"300-399 мм",IF(LARGE($R288:$T288,1)&lt;=499,"400-499 мм",IF(LARGE($R288:$T288,1)&lt;=599,"500-599 мм",IF(LARGE($R288:$T288,1)&lt;=699,"600-699 мм",IF(LARGE($R288:$T288,1)&lt;=999,"700-999 мм","1000+ мм")))))))))</f>
        <v/>
      </c>
      <c r="Y288" s="160">
        <f>IF(LARGE($R288:$T288,2)="","",IF(LARGE($R288:$T288,2)&lt;=99,"10-99 мм",IF(LARGE($R288:$T288,2)&lt;=199,"100-199 мм",IF(LARGE($R288:$T288,2)&lt;=299,"200-299 мм",IF(LARGE($R288:$T288,2)&lt;=399,"300-399 мм",IF(LARGE($R288:$T288,2)&lt;=499,"400-499 мм",IF(LARGE($R288:$T288,2)&lt;=599,"500-599 мм",IF(LARGE($R288:$T288,2)&lt;=699,"600-699 мм",IF(LARGE($R288:$T288,2)&lt;=999,"700-999 мм","1000+ мм")))))))))</f>
        <v/>
      </c>
      <c r="Z288" s="160">
        <f>IF(SMALL($R288:$T288,1)="","",IF(SMALL($R288:$T288,1)&lt;=99,"10-99 мм",IF(SMALL($R288:$T288,1)&lt;=199,"100-199 мм",IF(SMALL($R288:$T288,1)&lt;=299,"200-299 мм",IF(SMALL($R288:$T288,1)&lt;=399,"300-399 мм",IF(SMALL($R288:$T288,1)&lt;=499,"400-499 мм",IF(SMALL($R288:$T288,1)&lt;=599,"500-599 мм",IF(SMALL($R288:$T288,1)&lt;=699,"600-699 мм",IF(SMALL($R288:$T288,1)&lt;=999,"700-999 мм","1000+ мм")))))))))</f>
        <v/>
      </c>
      <c r="AA288" s="101">
        <f>IF(G288="","",IF(G288="Л","Лист гофрокартона",IF(G288="КД","Крышка-дно",IF(G288="С","Самосборные",IF(G288="Ч","Четырехклапанные",IF(G288="А","Архивные","Неизвестно"))))))</f>
        <v/>
      </c>
      <c r="AB288" s="66" t="n">
        <v>1.73</v>
      </c>
      <c r="AC288" s="101">
        <f>IF(O288="","",IF(O288&lt;=1,"0-1 литров",IF(O288&lt;=3,"2-3 литра",IF(O288&lt;=5,"4-5 литра",IF(O288&lt;=7,"6-7 литра",IF(O288&lt;=9,"8-9 литров",IF(O288&lt;=14,"10-14 литров",IF(O288&lt;=19,"15-19 литров",IF(O288&lt;=29,"20-29 литров",IF(O288&lt;=49,"30-49 литров",IF(O288&lt;=59,"50-59 литров",IF(O288&lt;=70,"60-69 литров",IF(O288&lt;=79,"70-79 литров",IF(O288&lt;=89,"80-89 литров",IF(O288&lt;=99,"90-99 литров",IF(O288&lt;=200,"100-200 литров","200+ литров"))))))))))))))))</f>
        <v/>
      </c>
    </row>
    <row r="289" customFormat="1" s="207">
      <c r="A289" s="64" t="n">
        <v>0.29</v>
      </c>
      <c r="B289" s="65">
        <f>A289*1.2</f>
        <v/>
      </c>
      <c r="C289" s="109" t="n">
        <v>289</v>
      </c>
      <c r="D289" s="116" t="inlineStr">
        <is>
          <t>У</t>
        </is>
      </c>
      <c r="E289" s="88" t="inlineStr">
        <is>
          <t>120х100х250</t>
        </is>
      </c>
      <c r="F289" s="213" t="n"/>
      <c r="G289" s="83" t="inlineStr">
        <is>
          <t>Ч</t>
        </is>
      </c>
      <c r="H289" s="146" t="inlineStr">
        <is>
          <t>0201</t>
        </is>
      </c>
      <c r="I289" s="83" t="inlineStr">
        <is>
          <t>В</t>
        </is>
      </c>
      <c r="J289" s="83" t="inlineStr">
        <is>
          <t>У</t>
        </is>
      </c>
      <c r="K289" s="116" t="inlineStr">
        <is>
          <t>K254</t>
        </is>
      </c>
      <c r="L289" s="103" t="n"/>
      <c r="M289" s="239" t="n"/>
      <c r="N289" s="239">
        <f>IF(D289="","",IF(LEFT(D289,1)="0",0,1))</f>
        <v/>
      </c>
      <c r="O289" s="80">
        <f>ROUND(R289*S289*T289/1000000,2)</f>
        <v/>
      </c>
      <c r="P289" s="160">
        <f>IF(O289="","",
IF(O289&lt;1,"0,1-0,9 литров",
IF(O289&lt;2,"1-1,9 литра",
IF(O289&lt;3,"2-2,9 литра",
IF(O289&lt;4,"3-3,9 литра",
IF(O289&lt;6,"4-5,9 литра",IF(O289&lt;8,"6-7,9 литра",IF(O289&lt;10,"8-9,9 литров",IF(O289&lt;15,"10-14,9 литров",IF(O289&lt;20,"15-19,9 литров",IF(O289&lt;30,"20-29 литров",IF(O289&lt;50,"30-49 литров",IF(O289&lt;60,"50-59 литров",IF(O289&lt;70,"60-69 литров",IF(O289&lt;80,"70-79 литров",IF(O289&lt;90,"80-89 литров",IF(O289&lt;100,"90-99 литров",IF(O289&lt;200,"100-200 литров","200+ литров"))))))))))))))))))</f>
        <v/>
      </c>
      <c r="Q289" s="101">
        <f>IF(O289="","",IF(O289&lt;1,"&lt;1 л",IF(O289&lt;2,"1-2 л",IF(O289&lt;3,"2-3 л",IF(O289&lt;5,"3-5 л",IF(O289&lt;10,"5-10 л",IF(O289&lt;20,"10-20 л",IF(O289&lt;50,"20-50 л",IF(O289&lt;100,"50-100 л","100+ л")))))))))</f>
        <v/>
      </c>
      <c r="R289" s="162">
        <f>IF(E289="","",--LEFT(E289,FIND("х",E289)-1))</f>
        <v/>
      </c>
      <c r="S289" s="162">
        <f>IF(E289="","",--MID(E289,FIND("х",E289)+1,FIND("х",E289,FIND("х",E289)+1)-FIND("х",E289)-1))</f>
        <v/>
      </c>
      <c r="T289" s="162">
        <f>IF(E289="","",--RIGHT(E289,LEN(E289)-FIND("х",E289,FIND("х",E289)+1)))</f>
        <v/>
      </c>
      <c r="U289" s="66">
        <f>(2*(R289+S289)+60)*(S289+T289+8)/1000000</f>
        <v/>
      </c>
      <c r="V289" s="66">
        <f>IF(OR(AND(R289&gt;=2*S289,R289&gt;=2*T289),AND(S289&gt;=2*R289,S289&gt;=2*T289),AND(T289&gt;=2*R289,T289&gt;=2*S289)),"Длинные","")</f>
        <v/>
      </c>
      <c r="W289" s="66">
        <f>IF(OR(AND(R289&lt;=S289/2,R289&lt;=T289/2),AND(S289&lt;=R289/2,S289&lt;=T289/2),AND(T289&lt;=R289/2,T289&lt;=S289/2)),"Плоские","")</f>
        <v/>
      </c>
      <c r="X289" s="160">
        <f>IF(LARGE($R289:$T289,1)="","",IF(LARGE($R289:$T289,1)&lt;=99,"10-99 мм",IF(LARGE($R289:$T289,1)&lt;=199,"100-199 мм",IF(LARGE($R289:$T289,1)&lt;=299,"200-299 мм",IF(LARGE($R289:$T289,1)&lt;=399,"300-399 мм",IF(LARGE($R289:$T289,1)&lt;=499,"400-499 мм",IF(LARGE($R289:$T289,1)&lt;=599,"500-599 мм",IF(LARGE($R289:$T289,1)&lt;=699,"600-699 мм",IF(LARGE($R289:$T289,1)&lt;=999,"700-999 мм","1000+ мм")))))))))</f>
        <v/>
      </c>
      <c r="Y289" s="160">
        <f>IF(LARGE($R289:$T289,2)="","",IF(LARGE($R289:$T289,2)&lt;=99,"10-99 мм",IF(LARGE($R289:$T289,2)&lt;=199,"100-199 мм",IF(LARGE($R289:$T289,2)&lt;=299,"200-299 мм",IF(LARGE($R289:$T289,2)&lt;=399,"300-399 мм",IF(LARGE($R289:$T289,2)&lt;=499,"400-499 мм",IF(LARGE($R289:$T289,2)&lt;=599,"500-599 мм",IF(LARGE($R289:$T289,2)&lt;=699,"600-699 мм",IF(LARGE($R289:$T289,2)&lt;=999,"700-999 мм","1000+ мм")))))))))</f>
        <v/>
      </c>
      <c r="Z289" s="160">
        <f>IF(SMALL($R289:$T289,1)="","",IF(SMALL($R289:$T289,1)&lt;=99,"10-99 мм",IF(SMALL($R289:$T289,1)&lt;=199,"100-199 мм",IF(SMALL($R289:$T289,1)&lt;=299,"200-299 мм",IF(SMALL($R289:$T289,1)&lt;=399,"300-399 мм",IF(SMALL($R289:$T289,1)&lt;=499,"400-499 мм",IF(SMALL($R289:$T289,1)&lt;=599,"500-599 мм",IF(SMALL($R289:$T289,1)&lt;=699,"600-699 мм",IF(SMALL($R289:$T289,1)&lt;=999,"700-999 мм","1000+ мм")))))))))</f>
        <v/>
      </c>
      <c r="AA289" s="101">
        <f>IF(G289="","",IF(G289="Л","Лист гофрокартона",IF(G289="КД","Крышка-дно",IF(G289="С","Самосборные",IF(G289="Ч","Четырехклапанные",IF(G289="А","Архивные","Неизвестно"))))))</f>
        <v/>
      </c>
      <c r="AB289" s="66" t="n">
        <v>1.73</v>
      </c>
      <c r="AC289" s="101">
        <f>IF(O289="","",IF(O289&lt;=1,"0-1 литров",IF(O289&lt;=3,"2-3 литра",IF(O289&lt;=5,"4-5 литра",IF(O289&lt;=7,"6-7 литра",IF(O289&lt;=9,"8-9 литров",IF(O289&lt;=14,"10-14 литров",IF(O289&lt;=19,"15-19 литров",IF(O289&lt;=29,"20-29 литров",IF(O289&lt;=49,"30-49 литров",IF(O289&lt;=59,"50-59 литров",IF(O289&lt;=70,"60-69 литров",IF(O289&lt;=79,"70-79 литров",IF(O289&lt;=89,"80-89 литров",IF(O289&lt;=99,"90-99 литров",IF(O289&lt;=200,"100-200 литров","200+ литров"))))))))))))))))</f>
        <v/>
      </c>
    </row>
    <row r="290" customFormat="1" s="207">
      <c r="A290" s="64" t="n">
        <v>0.79</v>
      </c>
      <c r="B290" s="65">
        <f>A290*1.2</f>
        <v/>
      </c>
      <c r="C290" s="109" t="n">
        <v>290</v>
      </c>
      <c r="D290" s="116" t="inlineStr">
        <is>
          <t>У</t>
        </is>
      </c>
      <c r="E290" s="88" t="inlineStr">
        <is>
          <t>370х255х95</t>
        </is>
      </c>
      <c r="F290" s="213" t="n"/>
      <c r="G290" s="83" t="inlineStr">
        <is>
          <t>Ч</t>
        </is>
      </c>
      <c r="H290" s="146" t="inlineStr">
        <is>
          <t>0201</t>
        </is>
      </c>
      <c r="I290" s="83" t="inlineStr">
        <is>
          <t>В</t>
        </is>
      </c>
      <c r="J290" s="83" t="inlineStr">
        <is>
          <t>У</t>
        </is>
      </c>
      <c r="K290" s="116" t="inlineStr">
        <is>
          <t>K255</t>
        </is>
      </c>
      <c r="L290" s="103" t="n"/>
      <c r="M290" s="239" t="n"/>
      <c r="N290" s="239">
        <f>IF(D290="","",IF(LEFT(D290,1)="0",0,1))</f>
        <v/>
      </c>
      <c r="O290" s="80">
        <f>ROUND(R290*S290*T290/1000000,2)</f>
        <v/>
      </c>
      <c r="P290" s="160">
        <f>IF(O290="","",
IF(O290&lt;1,"0,1-0,9 литров",
IF(O290&lt;2,"1-1,9 литра",
IF(O290&lt;3,"2-2,9 литра",
IF(O290&lt;4,"3-3,9 литра",
IF(O290&lt;6,"4-5,9 литра",IF(O290&lt;8,"6-7,9 литра",IF(O290&lt;10,"8-9,9 литров",IF(O290&lt;15,"10-14,9 литров",IF(O290&lt;20,"15-19,9 литров",IF(O290&lt;30,"20-29 литров",IF(O290&lt;50,"30-49 литров",IF(O290&lt;60,"50-59 литров",IF(O290&lt;70,"60-69 литров",IF(O290&lt;80,"70-79 литров",IF(O290&lt;90,"80-89 литров",IF(O290&lt;100,"90-99 литров",IF(O290&lt;200,"100-200 литров","200+ литров"))))))))))))))))))</f>
        <v/>
      </c>
      <c r="Q290" s="101">
        <f>IF(O290="","",IF(O290&lt;1,"&lt;1 л",IF(O290&lt;2,"1-2 л",IF(O290&lt;3,"2-3 л",IF(O290&lt;5,"3-5 л",IF(O290&lt;10,"5-10 л",IF(O290&lt;20,"10-20 л",IF(O290&lt;50,"20-50 л",IF(O290&lt;100,"50-100 л","100+ л")))))))))</f>
        <v/>
      </c>
      <c r="R290" s="162">
        <f>IF(E290="","",--LEFT(E290,FIND("х",E290)-1))</f>
        <v/>
      </c>
      <c r="S290" s="162">
        <f>IF(E290="","",--MID(E290,FIND("х",E290)+1,FIND("х",E290,FIND("х",E290)+1)-FIND("х",E290)-1))</f>
        <v/>
      </c>
      <c r="T290" s="162">
        <f>IF(E290="","",--RIGHT(E290,LEN(E290)-FIND("х",E290,FIND("х",E290)+1)))</f>
        <v/>
      </c>
      <c r="U290" s="66">
        <f>(2*(R290+S290)+60)*(S290+T290+8)/1000000</f>
        <v/>
      </c>
      <c r="V290" s="66">
        <f>IF(OR(AND(R290&gt;=2*S290,R290&gt;=2*T290),AND(S290&gt;=2*R290,S290&gt;=2*T290),AND(T290&gt;=2*R290,T290&gt;=2*S290)),"Длинные","")</f>
        <v/>
      </c>
      <c r="W290" s="66">
        <f>IF(OR(AND(R290&lt;=S290/2,R290&lt;=T290/2),AND(S290&lt;=R290/2,S290&lt;=T290/2),AND(T290&lt;=R290/2,T290&lt;=S290/2)),"Плоские","")</f>
        <v/>
      </c>
      <c r="X290" s="160">
        <f>IF(LARGE($R290:$T290,1)="","",IF(LARGE($R290:$T290,1)&lt;=99,"10-99 мм",IF(LARGE($R290:$T290,1)&lt;=199,"100-199 мм",IF(LARGE($R290:$T290,1)&lt;=299,"200-299 мм",IF(LARGE($R290:$T290,1)&lt;=399,"300-399 мм",IF(LARGE($R290:$T290,1)&lt;=499,"400-499 мм",IF(LARGE($R290:$T290,1)&lt;=599,"500-599 мм",IF(LARGE($R290:$T290,1)&lt;=699,"600-699 мм",IF(LARGE($R290:$T290,1)&lt;=999,"700-999 мм","1000+ мм")))))))))</f>
        <v/>
      </c>
      <c r="Y290" s="160">
        <f>IF(LARGE($R290:$T290,2)="","",IF(LARGE($R290:$T290,2)&lt;=99,"10-99 мм",IF(LARGE($R290:$T290,2)&lt;=199,"100-199 мм",IF(LARGE($R290:$T290,2)&lt;=299,"200-299 мм",IF(LARGE($R290:$T290,2)&lt;=399,"300-399 мм",IF(LARGE($R290:$T290,2)&lt;=499,"400-499 мм",IF(LARGE($R290:$T290,2)&lt;=599,"500-599 мм",IF(LARGE($R290:$T290,2)&lt;=699,"600-699 мм",IF(LARGE($R290:$T290,2)&lt;=999,"700-999 мм","1000+ мм")))))))))</f>
        <v/>
      </c>
      <c r="Z290" s="160">
        <f>IF(SMALL($R290:$T290,1)="","",IF(SMALL($R290:$T290,1)&lt;=99,"10-99 мм",IF(SMALL($R290:$T290,1)&lt;=199,"100-199 мм",IF(SMALL($R290:$T290,1)&lt;=299,"200-299 мм",IF(SMALL($R290:$T290,1)&lt;=399,"300-399 мм",IF(SMALL($R290:$T290,1)&lt;=499,"400-499 мм",IF(SMALL($R290:$T290,1)&lt;=599,"500-599 мм",IF(SMALL($R290:$T290,1)&lt;=699,"600-699 мм",IF(SMALL($R290:$T290,1)&lt;=999,"700-999 мм","1000+ мм")))))))))</f>
        <v/>
      </c>
      <c r="AA290" s="101">
        <f>IF(G290="","",IF(G290="Л","Лист гофрокартона",IF(G290="КД","Крышка-дно",IF(G290="С","Самосборные",IF(G290="Ч","Четырехклапанные",IF(G290="А","Архивные","Неизвестно"))))))</f>
        <v/>
      </c>
      <c r="AB290" s="66" t="n">
        <v>1.73</v>
      </c>
      <c r="AC290" s="101">
        <f>IF(O290="","",IF(O290&lt;=1,"0-1 литров",IF(O290&lt;=3,"2-3 литра",IF(O290&lt;=5,"4-5 литра",IF(O290&lt;=7,"6-7 литра",IF(O290&lt;=9,"8-9 литров",IF(O290&lt;=14,"10-14 литров",IF(O290&lt;=19,"15-19 литров",IF(O290&lt;=29,"20-29 литров",IF(O290&lt;=49,"30-49 литров",IF(O290&lt;=59,"50-59 литров",IF(O290&lt;=70,"60-69 литров",IF(O290&lt;=79,"70-79 литров",IF(O290&lt;=89,"80-89 литров",IF(O290&lt;=99,"90-99 литров",IF(O290&lt;=200,"100-200 литров","200+ литров"))))))))))))))))</f>
        <v/>
      </c>
    </row>
    <row r="291" customFormat="1" s="207">
      <c r="A291" s="64" t="n">
        <v>0.29</v>
      </c>
      <c r="B291" s="65">
        <f>A291*1.2</f>
        <v/>
      </c>
      <c r="C291" s="109" t="n">
        <v>291</v>
      </c>
      <c r="D291" s="116" t="inlineStr">
        <is>
          <t>У</t>
        </is>
      </c>
      <c r="E291" s="88" t="inlineStr">
        <is>
          <t>180х130х100</t>
        </is>
      </c>
      <c r="F291" s="213" t="n"/>
      <c r="G291" s="83" t="inlineStr">
        <is>
          <t>Ч</t>
        </is>
      </c>
      <c r="H291" s="146" t="inlineStr">
        <is>
          <t>0201</t>
        </is>
      </c>
      <c r="I291" s="83" t="inlineStr">
        <is>
          <t>В</t>
        </is>
      </c>
      <c r="J291" s="83" t="inlineStr">
        <is>
          <t>без</t>
        </is>
      </c>
      <c r="K291" s="116" t="inlineStr">
        <is>
          <t>K256</t>
        </is>
      </c>
      <c r="L291" s="103" t="n"/>
      <c r="M291" s="239" t="n"/>
      <c r="N291" s="239">
        <f>IF(D291="","",IF(LEFT(D291,1)="0",0,1))</f>
        <v/>
      </c>
      <c r="O291" s="80">
        <f>ROUND(R291*S291*T291/1000000,2)</f>
        <v/>
      </c>
      <c r="P291" s="160">
        <f>IF(O291="","",
IF(O291&lt;1,"0,1-0,9 литров",
IF(O291&lt;2,"1-1,9 литра",
IF(O291&lt;3,"2-2,9 литра",
IF(O291&lt;4,"3-3,9 литра",
IF(O291&lt;6,"4-5,9 литра",IF(O291&lt;8,"6-7,9 литра",IF(O291&lt;10,"8-9,9 литров",IF(O291&lt;15,"10-14,9 литров",IF(O291&lt;20,"15-19,9 литров",IF(O291&lt;30,"20-29 литров",IF(O291&lt;50,"30-49 литров",IF(O291&lt;60,"50-59 литров",IF(O291&lt;70,"60-69 литров",IF(O291&lt;80,"70-79 литров",IF(O291&lt;90,"80-89 литров",IF(O291&lt;100,"90-99 литров",IF(O291&lt;200,"100-200 литров","200+ литров"))))))))))))))))))</f>
        <v/>
      </c>
      <c r="Q291" s="101">
        <f>IF(O291="","",IF(O291&lt;1,"&lt;1 л",IF(O291&lt;2,"1-2 л",IF(O291&lt;3,"2-3 л",IF(O291&lt;5,"3-5 л",IF(O291&lt;10,"5-10 л",IF(O291&lt;20,"10-20 л",IF(O291&lt;50,"20-50 л",IF(O291&lt;100,"50-100 л","100+ л")))))))))</f>
        <v/>
      </c>
      <c r="R291" s="162">
        <f>IF(E291="","",--LEFT(E291,FIND("х",E291)-1))</f>
        <v/>
      </c>
      <c r="S291" s="162">
        <f>IF(E291="","",--MID(E291,FIND("х",E291)+1,FIND("х",E291,FIND("х",E291)+1)-FIND("х",E291)-1))</f>
        <v/>
      </c>
      <c r="T291" s="162">
        <f>IF(E291="","",--RIGHT(E291,LEN(E291)-FIND("х",E291,FIND("х",E291)+1)))</f>
        <v/>
      </c>
      <c r="U291" s="66">
        <f>(2*(R291+S291)+60)*(S291+T291+8)/1000000</f>
        <v/>
      </c>
      <c r="V291" s="66">
        <f>IF(OR(AND(R291&gt;=2*S291,R291&gt;=2*T291),AND(S291&gt;=2*R291,S291&gt;=2*T291),AND(T291&gt;=2*R291,T291&gt;=2*S291)),"Длинные","")</f>
        <v/>
      </c>
      <c r="W291" s="66">
        <f>IF(OR(AND(R291&lt;=S291/2,R291&lt;=T291/2),AND(S291&lt;=R291/2,S291&lt;=T291/2),AND(T291&lt;=R291/2,T291&lt;=S291/2)),"Плоские","")</f>
        <v/>
      </c>
      <c r="X291" s="160">
        <f>IF(LARGE($R291:$T291,1)="","",IF(LARGE($R291:$T291,1)&lt;=99,"10-99 мм",IF(LARGE($R291:$T291,1)&lt;=199,"100-199 мм",IF(LARGE($R291:$T291,1)&lt;=299,"200-299 мм",IF(LARGE($R291:$T291,1)&lt;=399,"300-399 мм",IF(LARGE($R291:$T291,1)&lt;=499,"400-499 мм",IF(LARGE($R291:$T291,1)&lt;=599,"500-599 мм",IF(LARGE($R291:$T291,1)&lt;=699,"600-699 мм",IF(LARGE($R291:$T291,1)&lt;=999,"700-999 мм","1000+ мм")))))))))</f>
        <v/>
      </c>
      <c r="Y291" s="160">
        <f>IF(LARGE($R291:$T291,2)="","",IF(LARGE($R291:$T291,2)&lt;=99,"10-99 мм",IF(LARGE($R291:$T291,2)&lt;=199,"100-199 мм",IF(LARGE($R291:$T291,2)&lt;=299,"200-299 мм",IF(LARGE($R291:$T291,2)&lt;=399,"300-399 мм",IF(LARGE($R291:$T291,2)&lt;=499,"400-499 мм",IF(LARGE($R291:$T291,2)&lt;=599,"500-599 мм",IF(LARGE($R291:$T291,2)&lt;=699,"600-699 мм",IF(LARGE($R291:$T291,2)&lt;=999,"700-999 мм","1000+ мм")))))))))</f>
        <v/>
      </c>
      <c r="Z291" s="160">
        <f>IF(SMALL($R291:$T291,1)="","",IF(SMALL($R291:$T291,1)&lt;=99,"10-99 мм",IF(SMALL($R291:$T291,1)&lt;=199,"100-199 мм",IF(SMALL($R291:$T291,1)&lt;=299,"200-299 мм",IF(SMALL($R291:$T291,1)&lt;=399,"300-399 мм",IF(SMALL($R291:$T291,1)&lt;=499,"400-499 мм",IF(SMALL($R291:$T291,1)&lt;=599,"500-599 мм",IF(SMALL($R291:$T291,1)&lt;=699,"600-699 мм",IF(SMALL($R291:$T291,1)&lt;=999,"700-999 мм","1000+ мм")))))))))</f>
        <v/>
      </c>
      <c r="AA291" s="101">
        <f>IF(G291="","",IF(G291="Л","Лист гофрокартона",IF(G291="КД","Крышка-дно",IF(G291="С","Самосборные",IF(G291="Ч","Четырехклапанные",IF(G291="А","Архивные","Неизвестно"))))))</f>
        <v/>
      </c>
      <c r="AB291" s="66" t="n">
        <v>1.73</v>
      </c>
      <c r="AC291" s="101">
        <f>IF(O291="","",IF(O291&lt;=1,"0-1 литров",IF(O291&lt;=3,"2-3 литра",IF(O291&lt;=5,"4-5 литра",IF(O291&lt;=7,"6-7 литра",IF(O291&lt;=9,"8-9 литров",IF(O291&lt;=14,"10-14 литров",IF(O291&lt;=19,"15-19 литров",IF(O291&lt;=29,"20-29 литров",IF(O291&lt;=49,"30-49 литров",IF(O291&lt;=59,"50-59 литров",IF(O291&lt;=70,"60-69 литров",IF(O291&lt;=79,"70-79 литров",IF(O291&lt;=89,"80-89 литров",IF(O291&lt;=99,"90-99 литров",IF(O291&lt;=200,"100-200 литров","200+ литров"))))))))))))))))</f>
        <v/>
      </c>
    </row>
    <row r="292" customFormat="1" s="207">
      <c r="A292" s="64" t="n">
        <v>0.2</v>
      </c>
      <c r="B292" s="65">
        <f>A292*1.2</f>
        <v/>
      </c>
      <c r="C292" s="109" t="n">
        <v>292</v>
      </c>
      <c r="D292" s="77" t="inlineStr">
        <is>
          <t>К</t>
        </is>
      </c>
      <c r="E292" s="88" t="inlineStr">
        <is>
          <t>180х80х80</t>
        </is>
      </c>
      <c r="F292" s="213" t="n"/>
      <c r="G292" s="83" t="inlineStr">
        <is>
          <t>Ч</t>
        </is>
      </c>
      <c r="H292" s="146" t="inlineStr">
        <is>
          <t>0201</t>
        </is>
      </c>
      <c r="I292" s="83" t="inlineStr">
        <is>
          <t>В</t>
        </is>
      </c>
      <c r="J292" s="83" t="inlineStr">
        <is>
          <t>К</t>
        </is>
      </c>
      <c r="K292" s="116" t="inlineStr">
        <is>
          <t>K1039</t>
        </is>
      </c>
      <c r="L292" s="103" t="n"/>
      <c r="M292" s="239" t="n"/>
      <c r="N292" s="239">
        <f>IF(D292="","",IF(LEFT(D292,1)="0",0,1))</f>
        <v/>
      </c>
      <c r="O292" s="80">
        <f>ROUND(R292*S292*T292/1000000,2)</f>
        <v/>
      </c>
      <c r="P292" s="160">
        <f>IF(O292="","",
IF(O292&lt;1,"0,1-0,9 литров",
IF(O292&lt;2,"1-1,9 литра",
IF(O292&lt;3,"2-2,9 литра",
IF(O292&lt;4,"3-3,9 литра",
IF(O292&lt;6,"4-5,9 литра",IF(O292&lt;8,"6-7,9 литра",IF(O292&lt;10,"8-9,9 литров",IF(O292&lt;15,"10-14,9 литров",IF(O292&lt;20,"15-19,9 литров",IF(O292&lt;30,"20-29 литров",IF(O292&lt;50,"30-49 литров",IF(O292&lt;60,"50-59 литров",IF(O292&lt;70,"60-69 литров",IF(O292&lt;80,"70-79 литров",IF(O292&lt;90,"80-89 литров",IF(O292&lt;100,"90-99 литров",IF(O292&lt;200,"100-200 литров","200+ литров"))))))))))))))))))</f>
        <v/>
      </c>
      <c r="Q292" s="101">
        <f>IF(O292="","",IF(O292&lt;1,"&lt;1 л",IF(O292&lt;2,"1-2 л",IF(O292&lt;3,"2-3 л",IF(O292&lt;5,"3-5 л",IF(O292&lt;10,"5-10 л",IF(O292&lt;20,"10-20 л",IF(O292&lt;50,"20-50 л",IF(O292&lt;100,"50-100 л","100+ л")))))))))</f>
        <v/>
      </c>
      <c r="R292" s="162">
        <f>IF(E292="","",--LEFT(E292,FIND("х",E292)-1))</f>
        <v/>
      </c>
      <c r="S292" s="162">
        <f>IF(E292="","",--MID(E292,FIND("х",E292)+1,FIND("х",E292,FIND("х",E292)+1)-FIND("х",E292)-1))</f>
        <v/>
      </c>
      <c r="T292" s="162">
        <f>IF(E292="","",--RIGHT(E292,LEN(E292)-FIND("х",E292,FIND("х",E292)+1)))</f>
        <v/>
      </c>
      <c r="U292" s="66">
        <f>(2*(R292+S292)+60)*(S292+T292+8)/1000000</f>
        <v/>
      </c>
      <c r="V292" s="66">
        <f>IF(OR(AND(R292&gt;=2*S292,R292&gt;=2*T292),AND(S292&gt;=2*R292,S292&gt;=2*T292),AND(T292&gt;=2*R292,T292&gt;=2*S292)),"Длинные","")</f>
        <v/>
      </c>
      <c r="W292" s="66">
        <f>IF(OR(AND(R292&lt;=S292/2,R292&lt;=T292/2),AND(S292&lt;=R292/2,S292&lt;=T292/2),AND(T292&lt;=R292/2,T292&lt;=S292/2)),"Плоские","")</f>
        <v/>
      </c>
      <c r="X292" s="160">
        <f>IF(LARGE($R292:$T292,1)="","",IF(LARGE($R292:$T292,1)&lt;=99,"10-99 мм",IF(LARGE($R292:$T292,1)&lt;=199,"100-199 мм",IF(LARGE($R292:$T292,1)&lt;=299,"200-299 мм",IF(LARGE($R292:$T292,1)&lt;=399,"300-399 мм",IF(LARGE($R292:$T292,1)&lt;=499,"400-499 мм",IF(LARGE($R292:$T292,1)&lt;=599,"500-599 мм",IF(LARGE($R292:$T292,1)&lt;=699,"600-699 мм",IF(LARGE($R292:$T292,1)&lt;=999,"700-999 мм","1000+ мм")))))))))</f>
        <v/>
      </c>
      <c r="Y292" s="160">
        <f>IF(LARGE($R292:$T292,2)="","",IF(LARGE($R292:$T292,2)&lt;=99,"10-99 мм",IF(LARGE($R292:$T292,2)&lt;=199,"100-199 мм",IF(LARGE($R292:$T292,2)&lt;=299,"200-299 мм",IF(LARGE($R292:$T292,2)&lt;=399,"300-399 мм",IF(LARGE($R292:$T292,2)&lt;=499,"400-499 мм",IF(LARGE($R292:$T292,2)&lt;=599,"500-599 мм",IF(LARGE($R292:$T292,2)&lt;=699,"600-699 мм",IF(LARGE($R292:$T292,2)&lt;=999,"700-999 мм","1000+ мм")))))))))</f>
        <v/>
      </c>
      <c r="Z292" s="160">
        <f>IF(SMALL($R292:$T292,1)="","",IF(SMALL($R292:$T292,1)&lt;=99,"10-99 мм",IF(SMALL($R292:$T292,1)&lt;=199,"100-199 мм",IF(SMALL($R292:$T292,1)&lt;=299,"200-299 мм",IF(SMALL($R292:$T292,1)&lt;=399,"300-399 мм",IF(SMALL($R292:$T292,1)&lt;=499,"400-499 мм",IF(SMALL($R292:$T292,1)&lt;=599,"500-599 мм",IF(SMALL($R292:$T292,1)&lt;=699,"600-699 мм",IF(SMALL($R292:$T292,1)&lt;=999,"700-999 мм","1000+ мм")))))))))</f>
        <v/>
      </c>
      <c r="AA292" s="101">
        <f>IF(G292="","",IF(G292="Л","Лист гофрокартона",IF(G292="КД","Крышка-дно",IF(G292="С","Самосборные",IF(G292="Ч","Четырехклапанные",IF(G292="А","Архивные","Неизвестно"))))))</f>
        <v/>
      </c>
      <c r="AB292" s="66" t="n">
        <v>1.73</v>
      </c>
      <c r="AC292" s="101">
        <f>IF(O292="","",IF(O292&lt;=1,"0-1 литров",IF(O292&lt;=3,"2-3 литра",IF(O292&lt;=5,"4-5 литра",IF(O292&lt;=7,"6-7 литра",IF(O292&lt;=9,"8-9 литров",IF(O292&lt;=14,"10-14 литров",IF(O292&lt;=19,"15-19 литров",IF(O292&lt;=29,"20-29 литров",IF(O292&lt;=49,"30-49 литров",IF(O292&lt;=59,"50-59 литров",IF(O292&lt;=70,"60-69 литров",IF(O292&lt;=79,"70-79 литров",IF(O292&lt;=89,"80-89 литров",IF(O292&lt;=99,"90-99 литров",IF(O292&lt;=200,"100-200 литров","200+ литров"))))))))))))))))</f>
        <v/>
      </c>
    </row>
    <row r="293" customFormat="1" s="207">
      <c r="A293" s="64" t="n">
        <v>0.64</v>
      </c>
      <c r="B293" s="65">
        <f>A293*1.2</f>
        <v/>
      </c>
      <c r="C293" s="109" t="n">
        <v>293</v>
      </c>
      <c r="D293" s="116" t="inlineStr">
        <is>
          <t>У</t>
        </is>
      </c>
      <c r="E293" s="88" t="inlineStr">
        <is>
          <t>220х165х100</t>
        </is>
      </c>
      <c r="F293" s="213" t="n"/>
      <c r="G293" s="83" t="inlineStr">
        <is>
          <t>С</t>
        </is>
      </c>
      <c r="H293" s="146" t="inlineStr">
        <is>
          <t>0471</t>
        </is>
      </c>
      <c r="I293" s="83" t="inlineStr">
        <is>
          <t>В</t>
        </is>
      </c>
      <c r="J293" s="83" t="inlineStr">
        <is>
          <t>У</t>
        </is>
      </c>
      <c r="K293" s="116" t="inlineStr">
        <is>
          <t>K257</t>
        </is>
      </c>
      <c r="L293" s="103" t="n"/>
      <c r="M293" s="239" t="n"/>
      <c r="N293" s="239">
        <f>IF(D293="","",IF(LEFT(D293,1)="0",0,1))</f>
        <v/>
      </c>
      <c r="O293" s="80">
        <f>ROUND(R293*S293*T293/1000000,2)</f>
        <v/>
      </c>
      <c r="P293" s="160">
        <f>IF(O293="","",
IF(O293&lt;1,"0,1-0,9 литров",
IF(O293&lt;2,"1-1,9 литра",
IF(O293&lt;3,"2-2,9 литра",
IF(O293&lt;4,"3-3,9 литра",
IF(O293&lt;6,"4-5,9 литра",IF(O293&lt;8,"6-7,9 литра",IF(O293&lt;10,"8-9,9 литров",IF(O293&lt;15,"10-14,9 литров",IF(O293&lt;20,"15-19,9 литров",IF(O293&lt;30,"20-29 литров",IF(O293&lt;50,"30-49 литров",IF(O293&lt;60,"50-59 литров",IF(O293&lt;70,"60-69 литров",IF(O293&lt;80,"70-79 литров",IF(O293&lt;90,"80-89 литров",IF(O293&lt;100,"90-99 литров",IF(O293&lt;200,"100-200 литров","200+ литров"))))))))))))))))))</f>
        <v/>
      </c>
      <c r="Q293" s="101">
        <f>IF(O293="","",IF(O293&lt;1,"&lt;1 л",IF(O293&lt;2,"1-2 л",IF(O293&lt;3,"2-3 л",IF(O293&lt;5,"3-5 л",IF(O293&lt;10,"5-10 л",IF(O293&lt;20,"10-20 л",IF(O293&lt;50,"20-50 л",IF(O293&lt;100,"50-100 л","100+ л")))))))))</f>
        <v/>
      </c>
      <c r="R293" s="162">
        <f>IF(E293="","",--LEFT(E293,FIND("х",E293)-1))</f>
        <v/>
      </c>
      <c r="S293" s="162">
        <f>IF(E293="","",--MID(E293,FIND("х",E293)+1,FIND("х",E293,FIND("х",E293)+1)-FIND("х",E293)-1))</f>
        <v/>
      </c>
      <c r="T293" s="162">
        <f>IF(E293="","",--RIGHT(E293,LEN(E293)-FIND("х",E293,FIND("х",E293)+1)))</f>
        <v/>
      </c>
      <c r="U293" s="66">
        <f>(2*(R293+S293)+60)*(S293+T293+8)/1000000</f>
        <v/>
      </c>
      <c r="V293" s="66">
        <f>IF(OR(AND(R293&gt;=2*S293,R293&gt;=2*T293),AND(S293&gt;=2*R293,S293&gt;=2*T293),AND(T293&gt;=2*R293,T293&gt;=2*S293)),"Длинные","")</f>
        <v/>
      </c>
      <c r="W293" s="66">
        <f>IF(OR(AND(R293&lt;=S293/2,R293&lt;=T293/2),AND(S293&lt;=R293/2,S293&lt;=T293/2),AND(T293&lt;=R293/2,T293&lt;=S293/2)),"Плоские","")</f>
        <v/>
      </c>
      <c r="X293" s="160">
        <f>IF(LARGE($R293:$T293,1)="","",IF(LARGE($R293:$T293,1)&lt;=99,"10-99 мм",IF(LARGE($R293:$T293,1)&lt;=199,"100-199 мм",IF(LARGE($R293:$T293,1)&lt;=299,"200-299 мм",IF(LARGE($R293:$T293,1)&lt;=399,"300-399 мм",IF(LARGE($R293:$T293,1)&lt;=499,"400-499 мм",IF(LARGE($R293:$T293,1)&lt;=599,"500-599 мм",IF(LARGE($R293:$T293,1)&lt;=699,"600-699 мм",IF(LARGE($R293:$T293,1)&lt;=999,"700-999 мм","1000+ мм")))))))))</f>
        <v/>
      </c>
      <c r="Y293" s="160">
        <f>IF(LARGE($R293:$T293,2)="","",IF(LARGE($R293:$T293,2)&lt;=99,"10-99 мм",IF(LARGE($R293:$T293,2)&lt;=199,"100-199 мм",IF(LARGE($R293:$T293,2)&lt;=299,"200-299 мм",IF(LARGE($R293:$T293,2)&lt;=399,"300-399 мм",IF(LARGE($R293:$T293,2)&lt;=499,"400-499 мм",IF(LARGE($R293:$T293,2)&lt;=599,"500-599 мм",IF(LARGE($R293:$T293,2)&lt;=699,"600-699 мм",IF(LARGE($R293:$T293,2)&lt;=999,"700-999 мм","1000+ мм")))))))))</f>
        <v/>
      </c>
      <c r="Z293" s="160">
        <f>IF(SMALL($R293:$T293,1)="","",IF(SMALL($R293:$T293,1)&lt;=99,"10-99 мм",IF(SMALL($R293:$T293,1)&lt;=199,"100-199 мм",IF(SMALL($R293:$T293,1)&lt;=299,"200-299 мм",IF(SMALL($R293:$T293,1)&lt;=399,"300-399 мм",IF(SMALL($R293:$T293,1)&lt;=499,"400-499 мм",IF(SMALL($R293:$T293,1)&lt;=599,"500-599 мм",IF(SMALL($R293:$T293,1)&lt;=699,"600-699 мм",IF(SMALL($R293:$T293,1)&lt;=999,"700-999 мм","1000+ мм")))))))))</f>
        <v/>
      </c>
      <c r="AA293" s="101">
        <f>IF(G293="","",IF(G293="Л","Лист гофрокартона",IF(G293="КД","Крышка-дно",IF(G293="С","Самосборные",IF(G293="Ч","Четырехклапанные",IF(G293="А","Архивные","Неизвестно"))))))</f>
        <v/>
      </c>
      <c r="AB293" s="66" t="n">
        <v>1.73</v>
      </c>
      <c r="AC293" s="101">
        <f>IF(O293="","",IF(O293&lt;=1,"0-1 литров",IF(O293&lt;=3,"2-3 литра",IF(O293&lt;=5,"4-5 литра",IF(O293&lt;=7,"6-7 литра",IF(O293&lt;=9,"8-9 литров",IF(O293&lt;=14,"10-14 литров",IF(O293&lt;=19,"15-19 литров",IF(O293&lt;=29,"20-29 литров",IF(O293&lt;=49,"30-49 литров",IF(O293&lt;=59,"50-59 литров",IF(O293&lt;=70,"60-69 литров",IF(O293&lt;=79,"70-79 литров",IF(O293&lt;=89,"80-89 литров",IF(O293&lt;=99,"90-99 литров",IF(O293&lt;=200,"100-200 литров","200+ литров"))))))))))))))))</f>
        <v/>
      </c>
    </row>
    <row r="294" customFormat="1" s="207">
      <c r="A294" s="64" t="n">
        <v>0.82</v>
      </c>
      <c r="B294" s="65">
        <f>A294*1.2</f>
        <v/>
      </c>
      <c r="C294" s="109" t="n">
        <v>294</v>
      </c>
      <c r="D294" s="116" t="inlineStr">
        <is>
          <t>У</t>
        </is>
      </c>
      <c r="E294" s="88" t="inlineStr">
        <is>
          <t>250х250х200</t>
        </is>
      </c>
      <c r="F294" s="213" t="n"/>
      <c r="G294" s="83" t="inlineStr">
        <is>
          <t>Ч</t>
        </is>
      </c>
      <c r="H294" s="146" t="inlineStr">
        <is>
          <t>0201</t>
        </is>
      </c>
      <c r="I294" s="83" t="inlineStr">
        <is>
          <t>В</t>
        </is>
      </c>
      <c r="J294" s="83" t="inlineStr">
        <is>
          <t>без</t>
        </is>
      </c>
      <c r="K294" s="116" t="inlineStr">
        <is>
          <t>K258</t>
        </is>
      </c>
      <c r="L294" s="103" t="n"/>
      <c r="M294" s="239" t="n"/>
      <c r="N294" s="239">
        <f>IF(D294="","",IF(LEFT(D294,1)="0",0,1))</f>
        <v/>
      </c>
      <c r="O294" s="80">
        <f>ROUND(R294*S294*T294/1000000,2)</f>
        <v/>
      </c>
      <c r="P294" s="160">
        <f>IF(O294="","",
IF(O294&lt;1,"0,1-0,9 литров",
IF(O294&lt;2,"1-1,9 литра",
IF(O294&lt;3,"2-2,9 литра",
IF(O294&lt;4,"3-3,9 литра",
IF(O294&lt;6,"4-5,9 литра",IF(O294&lt;8,"6-7,9 литра",IF(O294&lt;10,"8-9,9 литров",IF(O294&lt;15,"10-14,9 литров",IF(O294&lt;20,"15-19,9 литров",IF(O294&lt;30,"20-29 литров",IF(O294&lt;50,"30-49 литров",IF(O294&lt;60,"50-59 литров",IF(O294&lt;70,"60-69 литров",IF(O294&lt;80,"70-79 литров",IF(O294&lt;90,"80-89 литров",IF(O294&lt;100,"90-99 литров",IF(O294&lt;200,"100-200 литров","200+ литров"))))))))))))))))))</f>
        <v/>
      </c>
      <c r="Q294" s="101">
        <f>IF(O294="","",IF(O294&lt;1,"&lt;1 л",IF(O294&lt;2,"1-2 л",IF(O294&lt;3,"2-3 л",IF(O294&lt;5,"3-5 л",IF(O294&lt;10,"5-10 л",IF(O294&lt;20,"10-20 л",IF(O294&lt;50,"20-50 л",IF(O294&lt;100,"50-100 л","100+ л")))))))))</f>
        <v/>
      </c>
      <c r="R294" s="162">
        <f>IF(E294="","",--LEFT(E294,FIND("х",E294)-1))</f>
        <v/>
      </c>
      <c r="S294" s="162">
        <f>IF(E294="","",--MID(E294,FIND("х",E294)+1,FIND("х",E294,FIND("х",E294)+1)-FIND("х",E294)-1))</f>
        <v/>
      </c>
      <c r="T294" s="162">
        <f>IF(E294="","",--RIGHT(E294,LEN(E294)-FIND("х",E294,FIND("х",E294)+1)))</f>
        <v/>
      </c>
      <c r="U294" s="66">
        <f>(2*(R294+S294)+60)*(S294+T294+8)/1000000</f>
        <v/>
      </c>
      <c r="V294" s="66">
        <f>IF(OR(AND(R294&gt;=2*S294,R294&gt;=2*T294),AND(S294&gt;=2*R294,S294&gt;=2*T294),AND(T294&gt;=2*R294,T294&gt;=2*S294)),"Длинные","")</f>
        <v/>
      </c>
      <c r="W294" s="66">
        <f>IF(OR(AND(R294&lt;=S294/2,R294&lt;=T294/2),AND(S294&lt;=R294/2,S294&lt;=T294/2),AND(T294&lt;=R294/2,T294&lt;=S294/2)),"Плоские","")</f>
        <v/>
      </c>
      <c r="X294" s="160">
        <f>IF(LARGE($R294:$T294,1)="","",IF(LARGE($R294:$T294,1)&lt;=99,"10-99 мм",IF(LARGE($R294:$T294,1)&lt;=199,"100-199 мм",IF(LARGE($R294:$T294,1)&lt;=299,"200-299 мм",IF(LARGE($R294:$T294,1)&lt;=399,"300-399 мм",IF(LARGE($R294:$T294,1)&lt;=499,"400-499 мм",IF(LARGE($R294:$T294,1)&lt;=599,"500-599 мм",IF(LARGE($R294:$T294,1)&lt;=699,"600-699 мм",IF(LARGE($R294:$T294,1)&lt;=999,"700-999 мм","1000+ мм")))))))))</f>
        <v/>
      </c>
      <c r="Y294" s="160">
        <f>IF(LARGE($R294:$T294,2)="","",IF(LARGE($R294:$T294,2)&lt;=99,"10-99 мм",IF(LARGE($R294:$T294,2)&lt;=199,"100-199 мм",IF(LARGE($R294:$T294,2)&lt;=299,"200-299 мм",IF(LARGE($R294:$T294,2)&lt;=399,"300-399 мм",IF(LARGE($R294:$T294,2)&lt;=499,"400-499 мм",IF(LARGE($R294:$T294,2)&lt;=599,"500-599 мм",IF(LARGE($R294:$T294,2)&lt;=699,"600-699 мм",IF(LARGE($R294:$T294,2)&lt;=999,"700-999 мм","1000+ мм")))))))))</f>
        <v/>
      </c>
      <c r="Z294" s="160">
        <f>IF(SMALL($R294:$T294,1)="","",IF(SMALL($R294:$T294,1)&lt;=99,"10-99 мм",IF(SMALL($R294:$T294,1)&lt;=199,"100-199 мм",IF(SMALL($R294:$T294,1)&lt;=299,"200-299 мм",IF(SMALL($R294:$T294,1)&lt;=399,"300-399 мм",IF(SMALL($R294:$T294,1)&lt;=499,"400-499 мм",IF(SMALL($R294:$T294,1)&lt;=599,"500-599 мм",IF(SMALL($R294:$T294,1)&lt;=699,"600-699 мм",IF(SMALL($R294:$T294,1)&lt;=999,"700-999 мм","1000+ мм")))))))))</f>
        <v/>
      </c>
      <c r="AA294" s="101">
        <f>IF(G294="","",IF(G294="Л","Лист гофрокартона",IF(G294="КД","Крышка-дно",IF(G294="С","Самосборные",IF(G294="Ч","Четырехклапанные",IF(G294="А","Архивные","Неизвестно"))))))</f>
        <v/>
      </c>
      <c r="AB294" s="66" t="n">
        <v>1.73</v>
      </c>
      <c r="AC294" s="101">
        <f>IF(O294="","",IF(O294&lt;=1,"0-1 литров",IF(O294&lt;=3,"2-3 литра",IF(O294&lt;=5,"4-5 литра",IF(O294&lt;=7,"6-7 литра",IF(O294&lt;=9,"8-9 литров",IF(O294&lt;=14,"10-14 литров",IF(O294&lt;=19,"15-19 литров",IF(O294&lt;=29,"20-29 литров",IF(O294&lt;=49,"30-49 литров",IF(O294&lt;=59,"50-59 литров",IF(O294&lt;=70,"60-69 литров",IF(O294&lt;=79,"70-79 литров",IF(O294&lt;=89,"80-89 литров",IF(O294&lt;=99,"90-99 литров",IF(O294&lt;=200,"100-200 литров","200+ литров"))))))))))))))))</f>
        <v/>
      </c>
    </row>
    <row r="295" customFormat="1" s="207">
      <c r="A295" s="64" t="n">
        <v>0.24</v>
      </c>
      <c r="B295" s="65">
        <f>A295*1.2</f>
        <v/>
      </c>
      <c r="C295" s="109" t="n">
        <v>295</v>
      </c>
      <c r="D295" s="116" t="inlineStr">
        <is>
          <t>У</t>
        </is>
      </c>
      <c r="E295" s="88" t="inlineStr">
        <is>
          <t>203х203х25</t>
        </is>
      </c>
      <c r="F295" s="213" t="n"/>
      <c r="G295" s="83" t="inlineStr">
        <is>
          <t>С</t>
        </is>
      </c>
      <c r="H295" s="146" t="inlineStr">
        <is>
          <t>0426</t>
        </is>
      </c>
      <c r="I295" s="83" t="inlineStr">
        <is>
          <t>Е</t>
        </is>
      </c>
      <c r="J295" s="83" t="inlineStr">
        <is>
          <t>У</t>
        </is>
      </c>
      <c r="K295" s="116" t="inlineStr">
        <is>
          <t>K259</t>
        </is>
      </c>
      <c r="L295" s="103" t="n"/>
      <c r="M295" s="239" t="n"/>
      <c r="N295" s="239">
        <f>IF(D295="","",IF(LEFT(D295,1)="0",0,1))</f>
        <v/>
      </c>
      <c r="O295" s="80">
        <f>ROUND(R295*S295*T295/1000000,2)</f>
        <v/>
      </c>
      <c r="P295" s="160">
        <f>IF(O295="","",
IF(O295&lt;1,"0,1-0,9 литров",
IF(O295&lt;2,"1-1,9 литра",
IF(O295&lt;3,"2-2,9 литра",
IF(O295&lt;4,"3-3,9 литра",
IF(O295&lt;6,"4-5,9 литра",IF(O295&lt;8,"6-7,9 литра",IF(O295&lt;10,"8-9,9 литров",IF(O295&lt;15,"10-14,9 литров",IF(O295&lt;20,"15-19,9 литров",IF(O295&lt;30,"20-29 литров",IF(O295&lt;50,"30-49 литров",IF(O295&lt;60,"50-59 литров",IF(O295&lt;70,"60-69 литров",IF(O295&lt;80,"70-79 литров",IF(O295&lt;90,"80-89 литров",IF(O295&lt;100,"90-99 литров",IF(O295&lt;200,"100-200 литров","200+ литров"))))))))))))))))))</f>
        <v/>
      </c>
      <c r="Q295" s="101">
        <f>IF(O295="","",IF(O295&lt;1,"&lt;1 л",IF(O295&lt;2,"1-2 л",IF(O295&lt;3,"2-3 л",IF(O295&lt;5,"3-5 л",IF(O295&lt;10,"5-10 л",IF(O295&lt;20,"10-20 л",IF(O295&lt;50,"20-50 л",IF(O295&lt;100,"50-100 л","100+ л")))))))))</f>
        <v/>
      </c>
      <c r="R295" s="162">
        <f>IF(E295="","",--LEFT(E295,FIND("х",E295)-1))</f>
        <v/>
      </c>
      <c r="S295" s="162">
        <f>IF(E295="","",--MID(E295,FIND("х",E295)+1,FIND("х",E295,FIND("х",E295)+1)-FIND("х",E295)-1))</f>
        <v/>
      </c>
      <c r="T295" s="162">
        <f>IF(E295="","",--RIGHT(E295,LEN(E295)-FIND("х",E295,FIND("х",E295)+1)))</f>
        <v/>
      </c>
      <c r="U295" s="66">
        <f>(2*(R295+S295)+60)*(S295+T295+8)/1000000</f>
        <v/>
      </c>
      <c r="V295" s="66">
        <f>IF(OR(AND(R295&gt;=2*S295,R295&gt;=2*T295),AND(S295&gt;=2*R295,S295&gt;=2*T295),AND(T295&gt;=2*R295,T295&gt;=2*S295)),"Длинные","")</f>
        <v/>
      </c>
      <c r="W295" s="66">
        <f>IF(OR(AND(R295&lt;=S295/2,R295&lt;=T295/2),AND(S295&lt;=R295/2,S295&lt;=T295/2),AND(T295&lt;=R295/2,T295&lt;=S295/2)),"Плоские","")</f>
        <v/>
      </c>
      <c r="X295" s="160">
        <f>IF(LARGE($R295:$T295,1)="","",IF(LARGE($R295:$T295,1)&lt;=99,"10-99 мм",IF(LARGE($R295:$T295,1)&lt;=199,"100-199 мм",IF(LARGE($R295:$T295,1)&lt;=299,"200-299 мм",IF(LARGE($R295:$T295,1)&lt;=399,"300-399 мм",IF(LARGE($R295:$T295,1)&lt;=499,"400-499 мм",IF(LARGE($R295:$T295,1)&lt;=599,"500-599 мм",IF(LARGE($R295:$T295,1)&lt;=699,"600-699 мм",IF(LARGE($R295:$T295,1)&lt;=999,"700-999 мм","1000+ мм")))))))))</f>
        <v/>
      </c>
      <c r="Y295" s="160">
        <f>IF(LARGE($R295:$T295,2)="","",IF(LARGE($R295:$T295,2)&lt;=99,"10-99 мм",IF(LARGE($R295:$T295,2)&lt;=199,"100-199 мм",IF(LARGE($R295:$T295,2)&lt;=299,"200-299 мм",IF(LARGE($R295:$T295,2)&lt;=399,"300-399 мм",IF(LARGE($R295:$T295,2)&lt;=499,"400-499 мм",IF(LARGE($R295:$T295,2)&lt;=599,"500-599 мм",IF(LARGE($R295:$T295,2)&lt;=699,"600-699 мм",IF(LARGE($R295:$T295,2)&lt;=999,"700-999 мм","1000+ мм")))))))))</f>
        <v/>
      </c>
      <c r="Z295" s="160">
        <f>IF(SMALL($R295:$T295,1)="","",IF(SMALL($R295:$T295,1)&lt;=99,"10-99 мм",IF(SMALL($R295:$T295,1)&lt;=199,"100-199 мм",IF(SMALL($R295:$T295,1)&lt;=299,"200-299 мм",IF(SMALL($R295:$T295,1)&lt;=399,"300-399 мм",IF(SMALL($R295:$T295,1)&lt;=499,"400-499 мм",IF(SMALL($R295:$T295,1)&lt;=599,"500-599 мм",IF(SMALL($R295:$T295,1)&lt;=699,"600-699 мм",IF(SMALL($R295:$T295,1)&lt;=999,"700-999 мм","1000+ мм")))))))))</f>
        <v/>
      </c>
      <c r="AA295" s="101">
        <f>IF(G295="","",IF(G295="Л","Лист гофрокартона",IF(G295="КД","Крышка-дно",IF(G295="С","Самосборные",IF(G295="Ч","Четырехклапанные",IF(G295="А","Архивные","Неизвестно"))))))</f>
        <v/>
      </c>
      <c r="AB295" s="66" t="n">
        <v>1.73</v>
      </c>
      <c r="AC295" s="101">
        <f>IF(O295="","",IF(O295&lt;=1,"0-1 литров",IF(O295&lt;=3,"2-3 литра",IF(O295&lt;=5,"4-5 литра",IF(O295&lt;=7,"6-7 литра",IF(O295&lt;=9,"8-9 литров",IF(O295&lt;=14,"10-14 литров",IF(O295&lt;=19,"15-19 литров",IF(O295&lt;=29,"20-29 литров",IF(O295&lt;=49,"30-49 литров",IF(O295&lt;=59,"50-59 литров",IF(O295&lt;=70,"60-69 литров",IF(O295&lt;=79,"70-79 литров",IF(O295&lt;=89,"80-89 литров",IF(O295&lt;=99,"90-99 литров",IF(O295&lt;=200,"100-200 литров","200+ литров"))))))))))))))))</f>
        <v/>
      </c>
    </row>
    <row r="296" customFormat="1" s="207">
      <c r="A296" s="64" t="n">
        <v>0.29</v>
      </c>
      <c r="B296" s="65">
        <f>A296*1.2</f>
        <v/>
      </c>
      <c r="C296" s="109" t="n">
        <v>296</v>
      </c>
      <c r="D296" s="77" t="inlineStr">
        <is>
          <t>К</t>
        </is>
      </c>
      <c r="E296" s="88" t="inlineStr">
        <is>
          <t>260х85х85</t>
        </is>
      </c>
      <c r="F296" s="213" t="n"/>
      <c r="G296" s="83" t="inlineStr">
        <is>
          <t>С</t>
        </is>
      </c>
      <c r="H296" s="146" t="inlineStr">
        <is>
          <t>0470</t>
        </is>
      </c>
      <c r="I296" s="83" t="inlineStr">
        <is>
          <t>В</t>
        </is>
      </c>
      <c r="J296" s="83" t="inlineStr">
        <is>
          <t>ОП</t>
        </is>
      </c>
      <c r="K296" s="116" t="inlineStr">
        <is>
          <t>K1040</t>
        </is>
      </c>
      <c r="L296" s="103" t="n"/>
      <c r="M296" s="239" t="n"/>
      <c r="N296" s="239">
        <f>IF(D296="","",IF(LEFT(D296,1)="0",0,1))</f>
        <v/>
      </c>
      <c r="O296" s="80">
        <f>ROUND(R296*S296*T296/1000000,2)</f>
        <v/>
      </c>
      <c r="P296" s="160">
        <f>IF(O296="","",
IF(O296&lt;1,"0,1-0,9 литров",
IF(O296&lt;2,"1-1,9 литра",
IF(O296&lt;3,"2-2,9 литра",
IF(O296&lt;4,"3-3,9 литра",
IF(O296&lt;6,"4-5,9 литра",IF(O296&lt;8,"6-7,9 литра",IF(O296&lt;10,"8-9,9 литров",IF(O296&lt;15,"10-14,9 литров",IF(O296&lt;20,"15-19,9 литров",IF(O296&lt;30,"20-29 литров",IF(O296&lt;50,"30-49 литров",IF(O296&lt;60,"50-59 литров",IF(O296&lt;70,"60-69 литров",IF(O296&lt;80,"70-79 литров",IF(O296&lt;90,"80-89 литров",IF(O296&lt;100,"90-99 литров",IF(O296&lt;200,"100-200 литров","200+ литров"))))))))))))))))))</f>
        <v/>
      </c>
      <c r="Q296" s="101">
        <f>IF(O296="","",IF(O296&lt;1,"&lt;1 л",IF(O296&lt;2,"1-2 л",IF(O296&lt;3,"2-3 л",IF(O296&lt;5,"3-5 л",IF(O296&lt;10,"5-10 л",IF(O296&lt;20,"10-20 л",IF(O296&lt;50,"20-50 л",IF(O296&lt;100,"50-100 л","100+ л")))))))))</f>
        <v/>
      </c>
      <c r="R296" s="162">
        <f>IF(E296="","",--LEFT(E296,FIND("х",E296)-1))</f>
        <v/>
      </c>
      <c r="S296" s="162">
        <f>IF(E296="","",--MID(E296,FIND("х",E296)+1,FIND("х",E296,FIND("х",E296)+1)-FIND("х",E296)-1))</f>
        <v/>
      </c>
      <c r="T296" s="162">
        <f>IF(E296="","",--RIGHT(E296,LEN(E296)-FIND("х",E296,FIND("х",E296)+1)))</f>
        <v/>
      </c>
      <c r="U296" s="66">
        <f>(2*(R296+S296)+60)*(S296+T296+8)/1000000</f>
        <v/>
      </c>
      <c r="V296" s="66">
        <f>IF(OR(AND(R296&gt;=2*S296,R296&gt;=2*T296),AND(S296&gt;=2*R296,S296&gt;=2*T296),AND(T296&gt;=2*R296,T296&gt;=2*S296)),"Длинные","")</f>
        <v/>
      </c>
      <c r="W296" s="66">
        <f>IF(OR(AND(R296&lt;=S296/2,R296&lt;=T296/2),AND(S296&lt;=R296/2,S296&lt;=T296/2),AND(T296&lt;=R296/2,T296&lt;=S296/2)),"Плоские","")</f>
        <v/>
      </c>
      <c r="X296" s="160">
        <f>IF(LARGE($R296:$T296,1)="","",IF(LARGE($R296:$T296,1)&lt;=99,"10-99 мм",IF(LARGE($R296:$T296,1)&lt;=199,"100-199 мм",IF(LARGE($R296:$T296,1)&lt;=299,"200-299 мм",IF(LARGE($R296:$T296,1)&lt;=399,"300-399 мм",IF(LARGE($R296:$T296,1)&lt;=499,"400-499 мм",IF(LARGE($R296:$T296,1)&lt;=599,"500-599 мм",IF(LARGE($R296:$T296,1)&lt;=699,"600-699 мм",IF(LARGE($R296:$T296,1)&lt;=999,"700-999 мм","1000+ мм")))))))))</f>
        <v/>
      </c>
      <c r="Y296" s="160">
        <f>IF(LARGE($R296:$T296,2)="","",IF(LARGE($R296:$T296,2)&lt;=99,"10-99 мм",IF(LARGE($R296:$T296,2)&lt;=199,"100-199 мм",IF(LARGE($R296:$T296,2)&lt;=299,"200-299 мм",IF(LARGE($R296:$T296,2)&lt;=399,"300-399 мм",IF(LARGE($R296:$T296,2)&lt;=499,"400-499 мм",IF(LARGE($R296:$T296,2)&lt;=599,"500-599 мм",IF(LARGE($R296:$T296,2)&lt;=699,"600-699 мм",IF(LARGE($R296:$T296,2)&lt;=999,"700-999 мм","1000+ мм")))))))))</f>
        <v/>
      </c>
      <c r="Z296" s="160">
        <f>IF(SMALL($R296:$T296,1)="","",IF(SMALL($R296:$T296,1)&lt;=99,"10-99 мм",IF(SMALL($R296:$T296,1)&lt;=199,"100-199 мм",IF(SMALL($R296:$T296,1)&lt;=299,"200-299 мм",IF(SMALL($R296:$T296,1)&lt;=399,"300-399 мм",IF(SMALL($R296:$T296,1)&lt;=499,"400-499 мм",IF(SMALL($R296:$T296,1)&lt;=599,"500-599 мм",IF(SMALL($R296:$T296,1)&lt;=699,"600-699 мм",IF(SMALL($R296:$T296,1)&lt;=999,"700-999 мм","1000+ мм")))))))))</f>
        <v/>
      </c>
      <c r="AA296" s="101">
        <f>IF(G296="","",IF(G296="Л","Лист гофрокартона",IF(G296="КД","Крышка-дно",IF(G296="С","Самосборные",IF(G296="Ч","Четырехклапанные",IF(G296="А","Архивные","Неизвестно"))))))</f>
        <v/>
      </c>
      <c r="AB296" s="66" t="n">
        <v>1.73</v>
      </c>
      <c r="AC296" s="101">
        <f>IF(O296="","",IF(O296&lt;=1,"0-1 литров",IF(O296&lt;=3,"2-3 литра",IF(O296&lt;=5,"4-5 литра",IF(O296&lt;=7,"6-7 литра",IF(O296&lt;=9,"8-9 литров",IF(O296&lt;=14,"10-14 литров",IF(O296&lt;=19,"15-19 литров",IF(O296&lt;=29,"20-29 литров",IF(O296&lt;=49,"30-49 литров",IF(O296&lt;=59,"50-59 литров",IF(O296&lt;=70,"60-69 литров",IF(O296&lt;=79,"70-79 литров",IF(O296&lt;=89,"80-89 литров",IF(O296&lt;=99,"90-99 литров",IF(O296&lt;=200,"100-200 литров","200+ литров"))))))))))))))))</f>
        <v/>
      </c>
    </row>
    <row r="297" customFormat="1" s="207">
      <c r="A297" s="64" t="n">
        <v>0.45</v>
      </c>
      <c r="B297" s="65">
        <f>A297*1.2</f>
        <v/>
      </c>
      <c r="C297" s="109" t="n">
        <v>297</v>
      </c>
      <c r="D297" s="116" t="inlineStr">
        <is>
          <t>У</t>
        </is>
      </c>
      <c r="E297" s="88" t="inlineStr">
        <is>
          <t>125х125х350</t>
        </is>
      </c>
      <c r="F297" s="213" t="n"/>
      <c r="G297" s="83" t="inlineStr">
        <is>
          <t>Ч</t>
        </is>
      </c>
      <c r="H297" s="146" t="inlineStr">
        <is>
          <t>0201</t>
        </is>
      </c>
      <c r="I297" s="83" t="inlineStr">
        <is>
          <t>В</t>
        </is>
      </c>
      <c r="J297" s="83" t="inlineStr">
        <is>
          <t>без</t>
        </is>
      </c>
      <c r="K297" s="116" t="inlineStr">
        <is>
          <t>K260</t>
        </is>
      </c>
      <c r="L297" s="103" t="n"/>
      <c r="M297" s="239" t="n"/>
      <c r="N297" s="239">
        <f>IF(D297="","",IF(LEFT(D297,1)="0",0,1))</f>
        <v/>
      </c>
      <c r="O297" s="80">
        <f>ROUND(R297*S297*T297/1000000,2)</f>
        <v/>
      </c>
      <c r="P297" s="160">
        <f>IF(O297="","",
IF(O297&lt;1,"0,1-0,9 литров",
IF(O297&lt;2,"1-1,9 литра",
IF(O297&lt;3,"2-2,9 литра",
IF(O297&lt;4,"3-3,9 литра",
IF(O297&lt;6,"4-5,9 литра",IF(O297&lt;8,"6-7,9 литра",IF(O297&lt;10,"8-9,9 литров",IF(O297&lt;15,"10-14,9 литров",IF(O297&lt;20,"15-19,9 литров",IF(O297&lt;30,"20-29 литров",IF(O297&lt;50,"30-49 литров",IF(O297&lt;60,"50-59 литров",IF(O297&lt;70,"60-69 литров",IF(O297&lt;80,"70-79 литров",IF(O297&lt;90,"80-89 литров",IF(O297&lt;100,"90-99 литров",IF(O297&lt;200,"100-200 литров","200+ литров"))))))))))))))))))</f>
        <v/>
      </c>
      <c r="Q297" s="101">
        <f>IF(O297="","",IF(O297&lt;1,"&lt;1 л",IF(O297&lt;2,"1-2 л",IF(O297&lt;3,"2-3 л",IF(O297&lt;5,"3-5 л",IF(O297&lt;10,"5-10 л",IF(O297&lt;20,"10-20 л",IF(O297&lt;50,"20-50 л",IF(O297&lt;100,"50-100 л","100+ л")))))))))</f>
        <v/>
      </c>
      <c r="R297" s="162">
        <f>IF(E297="","",--LEFT(E297,FIND("х",E297)-1))</f>
        <v/>
      </c>
      <c r="S297" s="162">
        <f>IF(E297="","",--MID(E297,FIND("х",E297)+1,FIND("х",E297,FIND("х",E297)+1)-FIND("х",E297)-1))</f>
        <v/>
      </c>
      <c r="T297" s="162">
        <f>IF(E297="","",--RIGHT(E297,LEN(E297)-FIND("х",E297,FIND("х",E297)+1)))</f>
        <v/>
      </c>
      <c r="U297" s="66">
        <f>(2*(R297+S297)+60)*(S297+T297+8)/1000000</f>
        <v/>
      </c>
      <c r="V297" s="66">
        <f>IF(OR(AND(R297&gt;=2*S297,R297&gt;=2*T297),AND(S297&gt;=2*R297,S297&gt;=2*T297),AND(T297&gt;=2*R297,T297&gt;=2*S297)),"Длинные","")</f>
        <v/>
      </c>
      <c r="W297" s="66">
        <f>IF(OR(AND(R297&lt;=S297/2,R297&lt;=T297/2),AND(S297&lt;=R297/2,S297&lt;=T297/2),AND(T297&lt;=R297/2,T297&lt;=S297/2)),"Плоские","")</f>
        <v/>
      </c>
      <c r="X297" s="160">
        <f>IF(LARGE($R297:$T297,1)="","",IF(LARGE($R297:$T297,1)&lt;=99,"10-99 мм",IF(LARGE($R297:$T297,1)&lt;=199,"100-199 мм",IF(LARGE($R297:$T297,1)&lt;=299,"200-299 мм",IF(LARGE($R297:$T297,1)&lt;=399,"300-399 мм",IF(LARGE($R297:$T297,1)&lt;=499,"400-499 мм",IF(LARGE($R297:$T297,1)&lt;=599,"500-599 мм",IF(LARGE($R297:$T297,1)&lt;=699,"600-699 мм",IF(LARGE($R297:$T297,1)&lt;=999,"700-999 мм","1000+ мм")))))))))</f>
        <v/>
      </c>
      <c r="Y297" s="160">
        <f>IF(LARGE($R297:$T297,2)="","",IF(LARGE($R297:$T297,2)&lt;=99,"10-99 мм",IF(LARGE($R297:$T297,2)&lt;=199,"100-199 мм",IF(LARGE($R297:$T297,2)&lt;=299,"200-299 мм",IF(LARGE($R297:$T297,2)&lt;=399,"300-399 мм",IF(LARGE($R297:$T297,2)&lt;=499,"400-499 мм",IF(LARGE($R297:$T297,2)&lt;=599,"500-599 мм",IF(LARGE($R297:$T297,2)&lt;=699,"600-699 мм",IF(LARGE($R297:$T297,2)&lt;=999,"700-999 мм","1000+ мм")))))))))</f>
        <v/>
      </c>
      <c r="Z297" s="160">
        <f>IF(SMALL($R297:$T297,1)="","",IF(SMALL($R297:$T297,1)&lt;=99,"10-99 мм",IF(SMALL($R297:$T297,1)&lt;=199,"100-199 мм",IF(SMALL($R297:$T297,1)&lt;=299,"200-299 мм",IF(SMALL($R297:$T297,1)&lt;=399,"300-399 мм",IF(SMALL($R297:$T297,1)&lt;=499,"400-499 мм",IF(SMALL($R297:$T297,1)&lt;=599,"500-599 мм",IF(SMALL($R297:$T297,1)&lt;=699,"600-699 мм",IF(SMALL($R297:$T297,1)&lt;=999,"700-999 мм","1000+ мм")))))))))</f>
        <v/>
      </c>
      <c r="AA297" s="101">
        <f>IF(G297="","",IF(G297="Л","Лист гофрокартона",IF(G297="КД","Крышка-дно",IF(G297="С","Самосборные",IF(G297="Ч","Четырехклапанные",IF(G297="А","Архивные","Неизвестно"))))))</f>
        <v/>
      </c>
      <c r="AB297" s="66" t="n">
        <v>1.73</v>
      </c>
      <c r="AC297" s="101">
        <f>IF(O297="","",IF(O297&lt;=1,"0-1 литров",IF(O297&lt;=3,"2-3 литра",IF(O297&lt;=5,"4-5 литра",IF(O297&lt;=7,"6-7 литра",IF(O297&lt;=9,"8-9 литров",IF(O297&lt;=14,"10-14 литров",IF(O297&lt;=19,"15-19 литров",IF(O297&lt;=29,"20-29 литров",IF(O297&lt;=49,"30-49 литров",IF(O297&lt;=59,"50-59 литров",IF(O297&lt;=70,"60-69 литров",IF(O297&lt;=79,"70-79 литров",IF(O297&lt;=89,"80-89 литров",IF(O297&lt;=99,"90-99 литров",IF(O297&lt;=200,"100-200 литров","200+ литров"))))))))))))))))</f>
        <v/>
      </c>
    </row>
    <row r="298" customFormat="1" s="207">
      <c r="A298" s="64" t="n">
        <v>0.49</v>
      </c>
      <c r="B298" s="65">
        <f>A298*1.2</f>
        <v/>
      </c>
      <c r="C298" s="109" t="n">
        <v>298</v>
      </c>
      <c r="D298" s="116" t="inlineStr">
        <is>
          <t>У</t>
        </is>
      </c>
      <c r="E298" s="88" t="inlineStr">
        <is>
          <t>125х125х400</t>
        </is>
      </c>
      <c r="F298" s="213" t="n"/>
      <c r="G298" s="83" t="inlineStr">
        <is>
          <t>Ч</t>
        </is>
      </c>
      <c r="H298" s="146" t="inlineStr">
        <is>
          <t>0201</t>
        </is>
      </c>
      <c r="I298" s="83" t="inlineStr">
        <is>
          <t>В</t>
        </is>
      </c>
      <c r="J298" s="83" t="inlineStr">
        <is>
          <t>без</t>
        </is>
      </c>
      <c r="K298" s="116" t="inlineStr">
        <is>
          <t>K261</t>
        </is>
      </c>
      <c r="L298" s="103" t="n"/>
      <c r="M298" s="239" t="n"/>
      <c r="N298" s="239">
        <f>IF(D298="","",IF(LEFT(D298,1)="0",0,1))</f>
        <v/>
      </c>
      <c r="O298" s="80">
        <f>ROUND(R298*S298*T298/1000000,2)</f>
        <v/>
      </c>
      <c r="P298" s="160">
        <f>IF(O298="","",
IF(O298&lt;1,"0,1-0,9 литров",
IF(O298&lt;2,"1-1,9 литра",
IF(O298&lt;3,"2-2,9 литра",
IF(O298&lt;4,"3-3,9 литра",
IF(O298&lt;6,"4-5,9 литра",IF(O298&lt;8,"6-7,9 литра",IF(O298&lt;10,"8-9,9 литров",IF(O298&lt;15,"10-14,9 литров",IF(O298&lt;20,"15-19,9 литров",IF(O298&lt;30,"20-29 литров",IF(O298&lt;50,"30-49 литров",IF(O298&lt;60,"50-59 литров",IF(O298&lt;70,"60-69 литров",IF(O298&lt;80,"70-79 литров",IF(O298&lt;90,"80-89 литров",IF(O298&lt;100,"90-99 литров",IF(O298&lt;200,"100-200 литров","200+ литров"))))))))))))))))))</f>
        <v/>
      </c>
      <c r="Q298" s="101">
        <f>IF(O298="","",IF(O298&lt;1,"&lt;1 л",IF(O298&lt;2,"1-2 л",IF(O298&lt;3,"2-3 л",IF(O298&lt;5,"3-5 л",IF(O298&lt;10,"5-10 л",IF(O298&lt;20,"10-20 л",IF(O298&lt;50,"20-50 л",IF(O298&lt;100,"50-100 л","100+ л")))))))))</f>
        <v/>
      </c>
      <c r="R298" s="162">
        <f>IF(E298="","",--LEFT(E298,FIND("х",E298)-1))</f>
        <v/>
      </c>
      <c r="S298" s="162">
        <f>IF(E298="","",--MID(E298,FIND("х",E298)+1,FIND("х",E298,FIND("х",E298)+1)-FIND("х",E298)-1))</f>
        <v/>
      </c>
      <c r="T298" s="162">
        <f>IF(E298="","",--RIGHT(E298,LEN(E298)-FIND("х",E298,FIND("х",E298)+1)))</f>
        <v/>
      </c>
      <c r="U298" s="66">
        <f>(2*(R298+S298)+60)*(S298+T298+8)/1000000</f>
        <v/>
      </c>
      <c r="V298" s="66">
        <f>IF(OR(AND(R298&gt;=2*S298,R298&gt;=2*T298),AND(S298&gt;=2*R298,S298&gt;=2*T298),AND(T298&gt;=2*R298,T298&gt;=2*S298)),"Длинные","")</f>
        <v/>
      </c>
      <c r="W298" s="66">
        <f>IF(OR(AND(R298&lt;=S298/2,R298&lt;=T298/2),AND(S298&lt;=R298/2,S298&lt;=T298/2),AND(T298&lt;=R298/2,T298&lt;=S298/2)),"Плоские","")</f>
        <v/>
      </c>
      <c r="X298" s="160">
        <f>IF(LARGE($R298:$T298,1)="","",IF(LARGE($R298:$T298,1)&lt;=99,"10-99 мм",IF(LARGE($R298:$T298,1)&lt;=199,"100-199 мм",IF(LARGE($R298:$T298,1)&lt;=299,"200-299 мм",IF(LARGE($R298:$T298,1)&lt;=399,"300-399 мм",IF(LARGE($R298:$T298,1)&lt;=499,"400-499 мм",IF(LARGE($R298:$T298,1)&lt;=599,"500-599 мм",IF(LARGE($R298:$T298,1)&lt;=699,"600-699 мм",IF(LARGE($R298:$T298,1)&lt;=999,"700-999 мм","1000+ мм")))))))))</f>
        <v/>
      </c>
      <c r="Y298" s="160">
        <f>IF(LARGE($R298:$T298,2)="","",IF(LARGE($R298:$T298,2)&lt;=99,"10-99 мм",IF(LARGE($R298:$T298,2)&lt;=199,"100-199 мм",IF(LARGE($R298:$T298,2)&lt;=299,"200-299 мм",IF(LARGE($R298:$T298,2)&lt;=399,"300-399 мм",IF(LARGE($R298:$T298,2)&lt;=499,"400-499 мм",IF(LARGE($R298:$T298,2)&lt;=599,"500-599 мм",IF(LARGE($R298:$T298,2)&lt;=699,"600-699 мм",IF(LARGE($R298:$T298,2)&lt;=999,"700-999 мм","1000+ мм")))))))))</f>
        <v/>
      </c>
      <c r="Z298" s="160">
        <f>IF(SMALL($R298:$T298,1)="","",IF(SMALL($R298:$T298,1)&lt;=99,"10-99 мм",IF(SMALL($R298:$T298,1)&lt;=199,"100-199 мм",IF(SMALL($R298:$T298,1)&lt;=299,"200-299 мм",IF(SMALL($R298:$T298,1)&lt;=399,"300-399 мм",IF(SMALL($R298:$T298,1)&lt;=499,"400-499 мм",IF(SMALL($R298:$T298,1)&lt;=599,"500-599 мм",IF(SMALL($R298:$T298,1)&lt;=699,"600-699 мм",IF(SMALL($R298:$T298,1)&lt;=999,"700-999 мм","1000+ мм")))))))))</f>
        <v/>
      </c>
      <c r="AA298" s="101">
        <f>IF(G298="","",IF(G298="Л","Лист гофрокартона",IF(G298="КД","Крышка-дно",IF(G298="С","Самосборные",IF(G298="Ч","Четырехклапанные",IF(G298="А","Архивные","Неизвестно"))))))</f>
        <v/>
      </c>
      <c r="AB298" s="66" t="n">
        <v>1.73</v>
      </c>
      <c r="AC298" s="101">
        <f>IF(O298="","",IF(O298&lt;=1,"0-1 литров",IF(O298&lt;=3,"2-3 литра",IF(O298&lt;=5,"4-5 литра",IF(O298&lt;=7,"6-7 литра",IF(O298&lt;=9,"8-9 литров",IF(O298&lt;=14,"10-14 литров",IF(O298&lt;=19,"15-19 литров",IF(O298&lt;=29,"20-29 литров",IF(O298&lt;=49,"30-49 литров",IF(O298&lt;=59,"50-59 литров",IF(O298&lt;=70,"60-69 литров",IF(O298&lt;=79,"70-79 литров",IF(O298&lt;=89,"80-89 литров",IF(O298&lt;=99,"90-99 литров",IF(O298&lt;=200,"100-200 литров","200+ литров"))))))))))))))))</f>
        <v/>
      </c>
    </row>
    <row r="299" customFormat="1" s="207">
      <c r="A299" s="64" t="n">
        <v>0.46</v>
      </c>
      <c r="B299" s="65">
        <f>A299*1.2</f>
        <v/>
      </c>
      <c r="C299" s="109" t="n">
        <v>299</v>
      </c>
      <c r="D299" s="77" t="inlineStr">
        <is>
          <t>БМ</t>
        </is>
      </c>
      <c r="E299" s="88" t="inlineStr">
        <is>
          <t>160х160х106</t>
        </is>
      </c>
      <c r="F299" s="213" t="n"/>
      <c r="G299" s="83" t="inlineStr">
        <is>
          <t>С</t>
        </is>
      </c>
      <c r="H299" s="146" t="inlineStr">
        <is>
          <t>0470</t>
        </is>
      </c>
      <c r="I299" s="83" t="inlineStr">
        <is>
          <t>Е</t>
        </is>
      </c>
      <c r="J299" s="83" t="inlineStr">
        <is>
          <t>БМ</t>
        </is>
      </c>
      <c r="K299" s="116" t="inlineStr">
        <is>
          <t>K500</t>
        </is>
      </c>
      <c r="L299" s="103" t="n"/>
      <c r="M299" s="239" t="n"/>
      <c r="N299" s="239">
        <f>IF(D299="","",IF(LEFT(D299,1)="0",0,1))</f>
        <v/>
      </c>
      <c r="O299" s="80">
        <f>ROUND(R299*S299*T299/1000000,2)</f>
        <v/>
      </c>
      <c r="P299" s="160">
        <f>IF(O299="","",
IF(O299&lt;1,"0,1-0,9 литров",
IF(O299&lt;2,"1-1,9 литра",
IF(O299&lt;3,"2-2,9 литра",
IF(O299&lt;4,"3-3,9 литра",
IF(O299&lt;6,"4-5,9 литра",IF(O299&lt;8,"6-7,9 литра",IF(O299&lt;10,"8-9,9 литров",IF(O299&lt;15,"10-14,9 литров",IF(O299&lt;20,"15-19,9 литров",IF(O299&lt;30,"20-29 литров",IF(O299&lt;50,"30-49 литров",IF(O299&lt;60,"50-59 литров",IF(O299&lt;70,"60-69 литров",IF(O299&lt;80,"70-79 литров",IF(O299&lt;90,"80-89 литров",IF(O299&lt;100,"90-99 литров",IF(O299&lt;200,"100-200 литров","200+ литров"))))))))))))))))))</f>
        <v/>
      </c>
      <c r="Q299" s="101">
        <f>IF(O299="","",IF(O299&lt;1,"&lt;1 л",IF(O299&lt;2,"1-2 л",IF(O299&lt;3,"2-3 л",IF(O299&lt;5,"3-5 л",IF(O299&lt;10,"5-10 л",IF(O299&lt;20,"10-20 л",IF(O299&lt;50,"20-50 л",IF(O299&lt;100,"50-100 л","100+ л")))))))))</f>
        <v/>
      </c>
      <c r="R299" s="162">
        <f>IF(E299="","",--LEFT(E299,FIND("х",E299)-1))</f>
        <v/>
      </c>
      <c r="S299" s="162">
        <f>IF(E299="","",--MID(E299,FIND("х",E299)+1,FIND("х",E299,FIND("х",E299)+1)-FIND("х",E299)-1))</f>
        <v/>
      </c>
      <c r="T299" s="162">
        <f>IF(E299="","",--RIGHT(E299,LEN(E299)-FIND("х",E299,FIND("х",E299)+1)))</f>
        <v/>
      </c>
      <c r="U299" s="66">
        <f>(2*(R299+S299)+60)*(S299+T299+8)/1000000</f>
        <v/>
      </c>
      <c r="V299" s="66">
        <f>IF(OR(AND(R299&gt;=2*S299,R299&gt;=2*T299),AND(S299&gt;=2*R299,S299&gt;=2*T299),AND(T299&gt;=2*R299,T299&gt;=2*S299)),"Длинные","")</f>
        <v/>
      </c>
      <c r="W299" s="66">
        <f>IF(OR(AND(R299&lt;=S299/2,R299&lt;=T299/2),AND(S299&lt;=R299/2,S299&lt;=T299/2),AND(T299&lt;=R299/2,T299&lt;=S299/2)),"Плоские","")</f>
        <v/>
      </c>
      <c r="X299" s="160">
        <f>IF(LARGE($R299:$T299,1)="","",IF(LARGE($R299:$T299,1)&lt;=99,"10-99 мм",IF(LARGE($R299:$T299,1)&lt;=199,"100-199 мм",IF(LARGE($R299:$T299,1)&lt;=299,"200-299 мм",IF(LARGE($R299:$T299,1)&lt;=399,"300-399 мм",IF(LARGE($R299:$T299,1)&lt;=499,"400-499 мм",IF(LARGE($R299:$T299,1)&lt;=599,"500-599 мм",IF(LARGE($R299:$T299,1)&lt;=699,"600-699 мм",IF(LARGE($R299:$T299,1)&lt;=999,"700-999 мм","1000+ мм")))))))))</f>
        <v/>
      </c>
      <c r="Y299" s="160">
        <f>IF(LARGE($R299:$T299,2)="","",IF(LARGE($R299:$T299,2)&lt;=99,"10-99 мм",IF(LARGE($R299:$T299,2)&lt;=199,"100-199 мм",IF(LARGE($R299:$T299,2)&lt;=299,"200-299 мм",IF(LARGE($R299:$T299,2)&lt;=399,"300-399 мм",IF(LARGE($R299:$T299,2)&lt;=499,"400-499 мм",IF(LARGE($R299:$T299,2)&lt;=599,"500-599 мм",IF(LARGE($R299:$T299,2)&lt;=699,"600-699 мм",IF(LARGE($R299:$T299,2)&lt;=999,"700-999 мм","1000+ мм")))))))))</f>
        <v/>
      </c>
      <c r="Z299" s="160">
        <f>IF(SMALL($R299:$T299,1)="","",IF(SMALL($R299:$T299,1)&lt;=99,"10-99 мм",IF(SMALL($R299:$T299,1)&lt;=199,"100-199 мм",IF(SMALL($R299:$T299,1)&lt;=299,"200-299 мм",IF(SMALL($R299:$T299,1)&lt;=399,"300-399 мм",IF(SMALL($R299:$T299,1)&lt;=499,"400-499 мм",IF(SMALL($R299:$T299,1)&lt;=599,"500-599 мм",IF(SMALL($R299:$T299,1)&lt;=699,"600-699 мм",IF(SMALL($R299:$T299,1)&lt;=999,"700-999 мм","1000+ мм")))))))))</f>
        <v/>
      </c>
      <c r="AA299" s="101">
        <f>IF(G299="","",IF(G299="Л","Лист гофрокартона",IF(G299="КД","Крышка-дно",IF(G299="С","Самосборные",IF(G299="Ч","Четырехклапанные",IF(G299="А","Архивные","Неизвестно"))))))</f>
        <v/>
      </c>
      <c r="AB299" s="66" t="n">
        <v>1.73</v>
      </c>
      <c r="AC299" s="101">
        <f>IF(O299="","",IF(O299&lt;=1,"0-1 литров",IF(O299&lt;=3,"2-3 литра",IF(O299&lt;=5,"4-5 литра",IF(O299&lt;=7,"6-7 литра",IF(O299&lt;=9,"8-9 литров",IF(O299&lt;=14,"10-14 литров",IF(O299&lt;=19,"15-19 литров",IF(O299&lt;=29,"20-29 литров",IF(O299&lt;=49,"30-49 литров",IF(O299&lt;=59,"50-59 литров",IF(O299&lt;=70,"60-69 литров",IF(O299&lt;=79,"70-79 литров",IF(O299&lt;=89,"80-89 литров",IF(O299&lt;=99,"90-99 литров",IF(O299&lt;=200,"100-200 литров","200+ литров"))))))))))))))))</f>
        <v/>
      </c>
    </row>
    <row r="300" customFormat="1" s="207">
      <c r="A300" s="64" t="n">
        <v>0.87</v>
      </c>
      <c r="B300" s="65">
        <f>A300*1.2</f>
        <v/>
      </c>
      <c r="C300" s="109" t="n">
        <v>300</v>
      </c>
      <c r="D300" s="116" t="inlineStr">
        <is>
          <t>БМ</t>
        </is>
      </c>
      <c r="E300" s="88" t="inlineStr">
        <is>
          <t>240х230х120</t>
        </is>
      </c>
      <c r="F300" s="213" t="n"/>
      <c r="G300" s="83" t="inlineStr">
        <is>
          <t>С</t>
        </is>
      </c>
      <c r="H300" s="146" t="inlineStr">
        <is>
          <t>0470</t>
        </is>
      </c>
      <c r="I300" s="83" t="inlineStr">
        <is>
          <t>В</t>
        </is>
      </c>
      <c r="J300" s="83" t="inlineStr">
        <is>
          <t>БМ</t>
        </is>
      </c>
      <c r="K300" s="116" t="inlineStr">
        <is>
          <t>K501</t>
        </is>
      </c>
      <c r="L300" s="103" t="n"/>
      <c r="M300" s="239" t="n"/>
      <c r="N300" s="239">
        <f>IF(D300="","",IF(LEFT(D300,1)="0",0,1))</f>
        <v/>
      </c>
      <c r="O300" s="80">
        <f>ROUND(R300*S300*T300/1000000,2)</f>
        <v/>
      </c>
      <c r="P300" s="160">
        <f>IF(O300="","",
IF(O300&lt;1,"0,1-0,9 литров",
IF(O300&lt;2,"1-1,9 литра",
IF(O300&lt;3,"2-2,9 литра",
IF(O300&lt;4,"3-3,9 литра",
IF(O300&lt;6,"4-5,9 литра",IF(O300&lt;8,"6-7,9 литра",IF(O300&lt;10,"8-9,9 литров",IF(O300&lt;15,"10-14,9 литров",IF(O300&lt;20,"15-19,9 литров",IF(O300&lt;30,"20-29 литров",IF(O300&lt;50,"30-49 литров",IF(O300&lt;60,"50-59 литров",IF(O300&lt;70,"60-69 литров",IF(O300&lt;80,"70-79 литров",IF(O300&lt;90,"80-89 литров",IF(O300&lt;100,"90-99 литров",IF(O300&lt;200,"100-200 литров","200+ литров"))))))))))))))))))</f>
        <v/>
      </c>
      <c r="Q300" s="101">
        <f>IF(O300="","",IF(O300&lt;1,"&lt;1 л",IF(O300&lt;2,"1-2 л",IF(O300&lt;3,"2-3 л",IF(O300&lt;5,"3-5 л",IF(O300&lt;10,"5-10 л",IF(O300&lt;20,"10-20 л",IF(O300&lt;50,"20-50 л",IF(O300&lt;100,"50-100 л","100+ л")))))))))</f>
        <v/>
      </c>
      <c r="R300" s="162">
        <f>IF(E300="","",--LEFT(E300,FIND("х",E300)-1))</f>
        <v/>
      </c>
      <c r="S300" s="162">
        <f>IF(E300="","",--MID(E300,FIND("х",E300)+1,FIND("х",E300,FIND("х",E300)+1)-FIND("х",E300)-1))</f>
        <v/>
      </c>
      <c r="T300" s="162">
        <f>IF(E300="","",--RIGHT(E300,LEN(E300)-FIND("х",E300,FIND("х",E300)+1)))</f>
        <v/>
      </c>
      <c r="U300" s="66">
        <f>(2*(R300+S300)+60)*(S300+T300+8)/1000000</f>
        <v/>
      </c>
      <c r="V300" s="66">
        <f>IF(OR(AND(R300&gt;=2*S300,R300&gt;=2*T300),AND(S300&gt;=2*R300,S300&gt;=2*T300),AND(T300&gt;=2*R300,T300&gt;=2*S300)),"Длинные","")</f>
        <v/>
      </c>
      <c r="W300" s="66">
        <f>IF(OR(AND(R300&lt;=S300/2,R300&lt;=T300/2),AND(S300&lt;=R300/2,S300&lt;=T300/2),AND(T300&lt;=R300/2,T300&lt;=S300/2)),"Плоские","")</f>
        <v/>
      </c>
      <c r="X300" s="160">
        <f>IF(LARGE($R300:$T300,1)="","",IF(LARGE($R300:$T300,1)&lt;=99,"10-99 мм",IF(LARGE($R300:$T300,1)&lt;=199,"100-199 мм",IF(LARGE($R300:$T300,1)&lt;=299,"200-299 мм",IF(LARGE($R300:$T300,1)&lt;=399,"300-399 мм",IF(LARGE($R300:$T300,1)&lt;=499,"400-499 мм",IF(LARGE($R300:$T300,1)&lt;=599,"500-599 мм",IF(LARGE($R300:$T300,1)&lt;=699,"600-699 мм",IF(LARGE($R300:$T300,1)&lt;=999,"700-999 мм","1000+ мм")))))))))</f>
        <v/>
      </c>
      <c r="Y300" s="160">
        <f>IF(LARGE($R300:$T300,2)="","",IF(LARGE($R300:$T300,2)&lt;=99,"10-99 мм",IF(LARGE($R300:$T300,2)&lt;=199,"100-199 мм",IF(LARGE($R300:$T300,2)&lt;=299,"200-299 мм",IF(LARGE($R300:$T300,2)&lt;=399,"300-399 мм",IF(LARGE($R300:$T300,2)&lt;=499,"400-499 мм",IF(LARGE($R300:$T300,2)&lt;=599,"500-599 мм",IF(LARGE($R300:$T300,2)&lt;=699,"600-699 мм",IF(LARGE($R300:$T300,2)&lt;=999,"700-999 мм","1000+ мм")))))))))</f>
        <v/>
      </c>
      <c r="Z300" s="160">
        <f>IF(SMALL($R300:$T300,1)="","",IF(SMALL($R300:$T300,1)&lt;=99,"10-99 мм",IF(SMALL($R300:$T300,1)&lt;=199,"100-199 мм",IF(SMALL($R300:$T300,1)&lt;=299,"200-299 мм",IF(SMALL($R300:$T300,1)&lt;=399,"300-399 мм",IF(SMALL($R300:$T300,1)&lt;=499,"400-499 мм",IF(SMALL($R300:$T300,1)&lt;=599,"500-599 мм",IF(SMALL($R300:$T300,1)&lt;=699,"600-699 мм",IF(SMALL($R300:$T300,1)&lt;=999,"700-999 мм","1000+ мм")))))))))</f>
        <v/>
      </c>
      <c r="AA300" s="101">
        <f>IF(G300="","",IF(G300="Л","Лист гофрокартона",IF(G300="КД","Крышка-дно",IF(G300="С","Самосборные",IF(G300="Ч","Четырехклапанные",IF(G300="А","Архивные","Неизвестно"))))))</f>
        <v/>
      </c>
      <c r="AB300" s="66" t="n">
        <v>1.73</v>
      </c>
      <c r="AC300" s="101">
        <f>IF(O300="","",IF(O300&lt;=1,"0-1 литров",IF(O300&lt;=3,"2-3 литра",IF(O300&lt;=5,"4-5 литра",IF(O300&lt;=7,"6-7 литра",IF(O300&lt;=9,"8-9 литров",IF(O300&lt;=14,"10-14 литров",IF(O300&lt;=19,"15-19 литров",IF(O300&lt;=29,"20-29 литров",IF(O300&lt;=49,"30-49 литров",IF(O300&lt;=59,"50-59 литров",IF(O300&lt;=70,"60-69 литров",IF(O300&lt;=79,"70-79 литров",IF(O300&lt;=89,"80-89 литров",IF(O300&lt;=99,"90-99 литров",IF(O300&lt;=200,"100-200 литров","200+ литров"))))))))))))))))</f>
        <v/>
      </c>
    </row>
    <row r="301" customFormat="1" s="207">
      <c r="A301" s="64" t="n">
        <v>0.9342</v>
      </c>
      <c r="B301" s="65">
        <f>A301*1.2</f>
        <v/>
      </c>
      <c r="C301" s="109" t="n">
        <v>301</v>
      </c>
      <c r="D301" s="116" t="inlineStr">
        <is>
          <t>БМ</t>
        </is>
      </c>
      <c r="E301" s="88" t="inlineStr">
        <is>
          <t>250х225х95</t>
        </is>
      </c>
      <c r="F301" s="213" t="n"/>
      <c r="G301" s="83" t="inlineStr">
        <is>
          <t>С</t>
        </is>
      </c>
      <c r="H301" s="146" t="inlineStr">
        <is>
          <t>0427</t>
        </is>
      </c>
      <c r="I301" s="83" t="inlineStr">
        <is>
          <t>В</t>
        </is>
      </c>
      <c r="J301" s="83" t="inlineStr">
        <is>
          <t>БМ</t>
        </is>
      </c>
      <c r="K301" s="116" t="inlineStr">
        <is>
          <t>K502</t>
        </is>
      </c>
      <c r="L301" s="103" t="n"/>
      <c r="M301" s="239" t="n"/>
      <c r="N301" s="239">
        <f>IF(D301="","",IF(LEFT(D301,1)="0",0,1))</f>
        <v/>
      </c>
      <c r="O301" s="80">
        <f>ROUND(R301*S301*T301/1000000,2)</f>
        <v/>
      </c>
      <c r="P301" s="160">
        <f>IF(O301="","",
IF(O301&lt;1,"0,1-0,9 литров",
IF(O301&lt;2,"1-1,9 литра",
IF(O301&lt;3,"2-2,9 литра",
IF(O301&lt;4,"3-3,9 литра",
IF(O301&lt;6,"4-5,9 литра",IF(O301&lt;8,"6-7,9 литра",IF(O301&lt;10,"8-9,9 литров",IF(O301&lt;15,"10-14,9 литров",IF(O301&lt;20,"15-19,9 литров",IF(O301&lt;30,"20-29 литров",IF(O301&lt;50,"30-49 литров",IF(O301&lt;60,"50-59 литров",IF(O301&lt;70,"60-69 литров",IF(O301&lt;80,"70-79 литров",IF(O301&lt;90,"80-89 литров",IF(O301&lt;100,"90-99 литров",IF(O301&lt;200,"100-200 литров","200+ литров"))))))))))))))))))</f>
        <v/>
      </c>
      <c r="Q301" s="101">
        <f>IF(O301="","",IF(O301&lt;1,"&lt;1 л",IF(O301&lt;2,"1-2 л",IF(O301&lt;3,"2-3 л",IF(O301&lt;5,"3-5 л",IF(O301&lt;10,"5-10 л",IF(O301&lt;20,"10-20 л",IF(O301&lt;50,"20-50 л",IF(O301&lt;100,"50-100 л","100+ л")))))))))</f>
        <v/>
      </c>
      <c r="R301" s="162">
        <f>IF(E301="","",--LEFT(E301,FIND("х",E301)-1))</f>
        <v/>
      </c>
      <c r="S301" s="162">
        <f>IF(E301="","",--MID(E301,FIND("х",E301)+1,FIND("х",E301,FIND("х",E301)+1)-FIND("х",E301)-1))</f>
        <v/>
      </c>
      <c r="T301" s="162">
        <f>IF(E301="","",--RIGHT(E301,LEN(E301)-FIND("х",E301,FIND("х",E301)+1)))</f>
        <v/>
      </c>
      <c r="U301" s="66">
        <f>(2*(R301+S301)+60)*(S301+T301+8)/1000000</f>
        <v/>
      </c>
      <c r="V301" s="66">
        <f>IF(OR(AND(R301&gt;=2*S301,R301&gt;=2*T301),AND(S301&gt;=2*R301,S301&gt;=2*T301),AND(T301&gt;=2*R301,T301&gt;=2*S301)),"Длинные","")</f>
        <v/>
      </c>
      <c r="W301" s="66">
        <f>IF(OR(AND(R301&lt;=S301/2,R301&lt;=T301/2),AND(S301&lt;=R301/2,S301&lt;=T301/2),AND(T301&lt;=R301/2,T301&lt;=S301/2)),"Плоские","")</f>
        <v/>
      </c>
      <c r="X301" s="160">
        <f>IF(LARGE($R301:$T301,1)="","",IF(LARGE($R301:$T301,1)&lt;=99,"10-99 мм",IF(LARGE($R301:$T301,1)&lt;=199,"100-199 мм",IF(LARGE($R301:$T301,1)&lt;=299,"200-299 мм",IF(LARGE($R301:$T301,1)&lt;=399,"300-399 мм",IF(LARGE($R301:$T301,1)&lt;=499,"400-499 мм",IF(LARGE($R301:$T301,1)&lt;=599,"500-599 мм",IF(LARGE($R301:$T301,1)&lt;=699,"600-699 мм",IF(LARGE($R301:$T301,1)&lt;=999,"700-999 мм","1000+ мм")))))))))</f>
        <v/>
      </c>
      <c r="Y301" s="160">
        <f>IF(LARGE($R301:$T301,2)="","",IF(LARGE($R301:$T301,2)&lt;=99,"10-99 мм",IF(LARGE($R301:$T301,2)&lt;=199,"100-199 мм",IF(LARGE($R301:$T301,2)&lt;=299,"200-299 мм",IF(LARGE($R301:$T301,2)&lt;=399,"300-399 мм",IF(LARGE($R301:$T301,2)&lt;=499,"400-499 мм",IF(LARGE($R301:$T301,2)&lt;=599,"500-599 мм",IF(LARGE($R301:$T301,2)&lt;=699,"600-699 мм",IF(LARGE($R301:$T301,2)&lt;=999,"700-999 мм","1000+ мм")))))))))</f>
        <v/>
      </c>
      <c r="Z301" s="160">
        <f>IF(SMALL($R301:$T301,1)="","",IF(SMALL($R301:$T301,1)&lt;=99,"10-99 мм",IF(SMALL($R301:$T301,1)&lt;=199,"100-199 мм",IF(SMALL($R301:$T301,1)&lt;=299,"200-299 мм",IF(SMALL($R301:$T301,1)&lt;=399,"300-399 мм",IF(SMALL($R301:$T301,1)&lt;=499,"400-499 мм",IF(SMALL($R301:$T301,1)&lt;=599,"500-599 мм",IF(SMALL($R301:$T301,1)&lt;=699,"600-699 мм",IF(SMALL($R301:$T301,1)&lt;=999,"700-999 мм","1000+ мм")))))))))</f>
        <v/>
      </c>
      <c r="AA301" s="101">
        <f>IF(G301="","",IF(G301="Л","Лист гофрокартона",IF(G301="КД","Крышка-дно",IF(G301="С","Самосборные",IF(G301="Ч","Четырехклапанные",IF(G301="А","Архивные","Неизвестно"))))))</f>
        <v/>
      </c>
      <c r="AB301" s="66" t="n">
        <v>1.73</v>
      </c>
      <c r="AC301" s="101">
        <f>IF(O301="","",IF(O301&lt;=1,"0-1 литров",IF(O301&lt;=3,"2-3 литра",IF(O301&lt;=5,"4-5 литра",IF(O301&lt;=7,"6-7 литра",IF(O301&lt;=9,"8-9 литров",IF(O301&lt;=14,"10-14 литров",IF(O301&lt;=19,"15-19 литров",IF(O301&lt;=29,"20-29 литров",IF(O301&lt;=49,"30-49 литров",IF(O301&lt;=59,"50-59 литров",IF(O301&lt;=70,"60-69 литров",IF(O301&lt;=79,"70-79 литров",IF(O301&lt;=89,"80-89 литров",IF(O301&lt;=99,"90-99 литров",IF(O301&lt;=200,"100-200 литров","200+ литров"))))))))))))))))</f>
        <v/>
      </c>
    </row>
    <row r="302" customFormat="1" s="207">
      <c r="A302" s="64" t="n">
        <v>0.64</v>
      </c>
      <c r="B302" s="65">
        <f>A302*1.2</f>
        <v/>
      </c>
      <c r="C302" s="109" t="n">
        <v>302</v>
      </c>
      <c r="D302" s="116" t="inlineStr">
        <is>
          <t>БМ</t>
        </is>
      </c>
      <c r="E302" s="88" t="inlineStr">
        <is>
          <t>225х175х135</t>
        </is>
      </c>
      <c r="F302" s="213" t="n"/>
      <c r="G302" s="83" t="inlineStr">
        <is>
          <t>С</t>
        </is>
      </c>
      <c r="H302" s="146" t="inlineStr">
        <is>
          <t>0470</t>
        </is>
      </c>
      <c r="I302" s="83" t="inlineStr">
        <is>
          <t>В</t>
        </is>
      </c>
      <c r="J302" s="83" t="inlineStr">
        <is>
          <t>БМ</t>
        </is>
      </c>
      <c r="K302" s="116" t="inlineStr">
        <is>
          <t>K503</t>
        </is>
      </c>
      <c r="L302" s="103" t="n"/>
      <c r="M302" s="239" t="n"/>
      <c r="N302" s="239">
        <f>IF(D302="","",IF(LEFT(D302,1)="0",0,1))</f>
        <v/>
      </c>
      <c r="O302" s="80">
        <f>ROUND(R302*S302*T302/1000000,2)</f>
        <v/>
      </c>
      <c r="P302" s="160">
        <f>IF(O302="","",
IF(O302&lt;1,"0,1-0,9 литров",
IF(O302&lt;2,"1-1,9 литра",
IF(O302&lt;3,"2-2,9 литра",
IF(O302&lt;4,"3-3,9 литра",
IF(O302&lt;6,"4-5,9 литра",IF(O302&lt;8,"6-7,9 литра",IF(O302&lt;10,"8-9,9 литров",IF(O302&lt;15,"10-14,9 литров",IF(O302&lt;20,"15-19,9 литров",IF(O302&lt;30,"20-29 литров",IF(O302&lt;50,"30-49 литров",IF(O302&lt;60,"50-59 литров",IF(O302&lt;70,"60-69 литров",IF(O302&lt;80,"70-79 литров",IF(O302&lt;90,"80-89 литров",IF(O302&lt;100,"90-99 литров",IF(O302&lt;200,"100-200 литров","200+ литров"))))))))))))))))))</f>
        <v/>
      </c>
      <c r="Q302" s="101">
        <f>IF(O302="","",IF(O302&lt;1,"&lt;1 л",IF(O302&lt;2,"1-2 л",IF(O302&lt;3,"2-3 л",IF(O302&lt;5,"3-5 л",IF(O302&lt;10,"5-10 л",IF(O302&lt;20,"10-20 л",IF(O302&lt;50,"20-50 л",IF(O302&lt;100,"50-100 л","100+ л")))))))))</f>
        <v/>
      </c>
      <c r="R302" s="162">
        <f>IF(E302="","",--LEFT(E302,FIND("х",E302)-1))</f>
        <v/>
      </c>
      <c r="S302" s="162">
        <f>IF(E302="","",--MID(E302,FIND("х",E302)+1,FIND("х",E302,FIND("х",E302)+1)-FIND("х",E302)-1))</f>
        <v/>
      </c>
      <c r="T302" s="162">
        <f>IF(E302="","",--RIGHT(E302,LEN(E302)-FIND("х",E302,FIND("х",E302)+1)))</f>
        <v/>
      </c>
      <c r="U302" s="66">
        <f>(2*(R302+S302)+60)*(S302+T302+8)/1000000</f>
        <v/>
      </c>
      <c r="V302" s="66">
        <f>IF(OR(AND(R302&gt;=2*S302,R302&gt;=2*T302),AND(S302&gt;=2*R302,S302&gt;=2*T302),AND(T302&gt;=2*R302,T302&gt;=2*S302)),"Длинные","")</f>
        <v/>
      </c>
      <c r="W302" s="66">
        <f>IF(OR(AND(R302&lt;=S302/2,R302&lt;=T302/2),AND(S302&lt;=R302/2,S302&lt;=T302/2),AND(T302&lt;=R302/2,T302&lt;=S302/2)),"Плоские","")</f>
        <v/>
      </c>
      <c r="X302" s="160">
        <f>IF(LARGE($R302:$T302,1)="","",IF(LARGE($R302:$T302,1)&lt;=99,"10-99 мм",IF(LARGE($R302:$T302,1)&lt;=199,"100-199 мм",IF(LARGE($R302:$T302,1)&lt;=299,"200-299 мм",IF(LARGE($R302:$T302,1)&lt;=399,"300-399 мм",IF(LARGE($R302:$T302,1)&lt;=499,"400-499 мм",IF(LARGE($R302:$T302,1)&lt;=599,"500-599 мм",IF(LARGE($R302:$T302,1)&lt;=699,"600-699 мм",IF(LARGE($R302:$T302,1)&lt;=999,"700-999 мм","1000+ мм")))))))))</f>
        <v/>
      </c>
      <c r="Y302" s="160">
        <f>IF(LARGE($R302:$T302,2)="","",IF(LARGE($R302:$T302,2)&lt;=99,"10-99 мм",IF(LARGE($R302:$T302,2)&lt;=199,"100-199 мм",IF(LARGE($R302:$T302,2)&lt;=299,"200-299 мм",IF(LARGE($R302:$T302,2)&lt;=399,"300-399 мм",IF(LARGE($R302:$T302,2)&lt;=499,"400-499 мм",IF(LARGE($R302:$T302,2)&lt;=599,"500-599 мм",IF(LARGE($R302:$T302,2)&lt;=699,"600-699 мм",IF(LARGE($R302:$T302,2)&lt;=999,"700-999 мм","1000+ мм")))))))))</f>
        <v/>
      </c>
      <c r="Z302" s="160">
        <f>IF(SMALL($R302:$T302,1)="","",IF(SMALL($R302:$T302,1)&lt;=99,"10-99 мм",IF(SMALL($R302:$T302,1)&lt;=199,"100-199 мм",IF(SMALL($R302:$T302,1)&lt;=299,"200-299 мм",IF(SMALL($R302:$T302,1)&lt;=399,"300-399 мм",IF(SMALL($R302:$T302,1)&lt;=499,"400-499 мм",IF(SMALL($R302:$T302,1)&lt;=599,"500-599 мм",IF(SMALL($R302:$T302,1)&lt;=699,"600-699 мм",IF(SMALL($R302:$T302,1)&lt;=999,"700-999 мм","1000+ мм")))))))))</f>
        <v/>
      </c>
      <c r="AA302" s="101">
        <f>IF(G302="","",IF(G302="Л","Лист гофрокартона",IF(G302="КД","Крышка-дно",IF(G302="С","Самосборные",IF(G302="Ч","Четырехклапанные",IF(G302="А","Архивные","Неизвестно"))))))</f>
        <v/>
      </c>
      <c r="AB302" s="66" t="n">
        <v>1.73</v>
      </c>
      <c r="AC302" s="101">
        <f>IF(O302="","",IF(O302&lt;=1,"0-1 литров",IF(O302&lt;=3,"2-3 литра",IF(O302&lt;=5,"4-5 литра",IF(O302&lt;=7,"6-7 литра",IF(O302&lt;=9,"8-9 литров",IF(O302&lt;=14,"10-14 литров",IF(O302&lt;=19,"15-19 литров",IF(O302&lt;=29,"20-29 литров",IF(O302&lt;=49,"30-49 литров",IF(O302&lt;=59,"50-59 литров",IF(O302&lt;=70,"60-69 литров",IF(O302&lt;=79,"70-79 литров",IF(O302&lt;=89,"80-89 литров",IF(O302&lt;=99,"90-99 литров",IF(O302&lt;=200,"100-200 литров","200+ литров"))))))))))))))))</f>
        <v/>
      </c>
    </row>
    <row r="303" customFormat="1" s="207">
      <c r="A303" s="64" t="n">
        <v>0.36</v>
      </c>
      <c r="B303" s="65">
        <f>A303*1.2</f>
        <v/>
      </c>
      <c r="C303" s="109" t="n">
        <v>303</v>
      </c>
      <c r="D303" s="77" t="inlineStr">
        <is>
          <t>БМ</t>
        </is>
      </c>
      <c r="E303" s="88" t="inlineStr">
        <is>
          <t>265х90х55</t>
        </is>
      </c>
      <c r="F303" s="213" t="n"/>
      <c r="G303" s="83" t="inlineStr">
        <is>
          <t>С</t>
        </is>
      </c>
      <c r="H303" s="146" t="inlineStr">
        <is>
          <t>0427</t>
        </is>
      </c>
      <c r="I303" s="83" t="inlineStr">
        <is>
          <t>Е</t>
        </is>
      </c>
      <c r="J303" s="83" t="inlineStr">
        <is>
          <t>БМ</t>
        </is>
      </c>
      <c r="K303" s="116" t="inlineStr">
        <is>
          <t>K504</t>
        </is>
      </c>
      <c r="L303" s="103" t="n"/>
      <c r="M303" s="239" t="n"/>
      <c r="N303" s="239">
        <f>IF(D303="","",IF(LEFT(D303,1)="0",0,1))</f>
        <v/>
      </c>
      <c r="O303" s="80">
        <f>ROUND(R303*S303*T303/1000000,2)</f>
        <v/>
      </c>
      <c r="P303" s="160">
        <f>IF(O303="","",
IF(O303&lt;1,"0,1-0,9 литров",
IF(O303&lt;2,"1-1,9 литра",
IF(O303&lt;3,"2-2,9 литра",
IF(O303&lt;4,"3-3,9 литра",
IF(O303&lt;6,"4-5,9 литра",IF(O303&lt;8,"6-7,9 литра",IF(O303&lt;10,"8-9,9 литров",IF(O303&lt;15,"10-14,9 литров",IF(O303&lt;20,"15-19,9 литров",IF(O303&lt;30,"20-29 литров",IF(O303&lt;50,"30-49 литров",IF(O303&lt;60,"50-59 литров",IF(O303&lt;70,"60-69 литров",IF(O303&lt;80,"70-79 литров",IF(O303&lt;90,"80-89 литров",IF(O303&lt;100,"90-99 литров",IF(O303&lt;200,"100-200 литров","200+ литров"))))))))))))))))))</f>
        <v/>
      </c>
      <c r="Q303" s="101">
        <f>IF(O303="","",IF(O303&lt;1,"&lt;1 л",IF(O303&lt;2,"1-2 л",IF(O303&lt;3,"2-3 л",IF(O303&lt;5,"3-5 л",IF(O303&lt;10,"5-10 л",IF(O303&lt;20,"10-20 л",IF(O303&lt;50,"20-50 л",IF(O303&lt;100,"50-100 л","100+ л")))))))))</f>
        <v/>
      </c>
      <c r="R303" s="162">
        <f>IF(E303="","",--LEFT(E303,FIND("х",E303)-1))</f>
        <v/>
      </c>
      <c r="S303" s="162">
        <f>IF(E303="","",--MID(E303,FIND("х",E303)+1,FIND("х",E303,FIND("х",E303)+1)-FIND("х",E303)-1))</f>
        <v/>
      </c>
      <c r="T303" s="162">
        <f>IF(E303="","",--RIGHT(E303,LEN(E303)-FIND("х",E303,FIND("х",E303)+1)))</f>
        <v/>
      </c>
      <c r="U303" s="66">
        <f>(2*(R303+S303)+60)*(S303+T303+8)/1000000</f>
        <v/>
      </c>
      <c r="V303" s="66">
        <f>IF(OR(AND(R303&gt;=2*S303,R303&gt;=2*T303),AND(S303&gt;=2*R303,S303&gt;=2*T303),AND(T303&gt;=2*R303,T303&gt;=2*S303)),"Длинные","")</f>
        <v/>
      </c>
      <c r="W303" s="66">
        <f>IF(OR(AND(R303&lt;=S303/2,R303&lt;=T303/2),AND(S303&lt;=R303/2,S303&lt;=T303/2),AND(T303&lt;=R303/2,T303&lt;=S303/2)),"Плоские","")</f>
        <v/>
      </c>
      <c r="X303" s="160">
        <f>IF(LARGE($R303:$T303,1)="","",IF(LARGE($R303:$T303,1)&lt;=99,"10-99 мм",IF(LARGE($R303:$T303,1)&lt;=199,"100-199 мм",IF(LARGE($R303:$T303,1)&lt;=299,"200-299 мм",IF(LARGE($R303:$T303,1)&lt;=399,"300-399 мм",IF(LARGE($R303:$T303,1)&lt;=499,"400-499 мм",IF(LARGE($R303:$T303,1)&lt;=599,"500-599 мм",IF(LARGE($R303:$T303,1)&lt;=699,"600-699 мм",IF(LARGE($R303:$T303,1)&lt;=999,"700-999 мм","1000+ мм")))))))))</f>
        <v/>
      </c>
      <c r="Y303" s="160">
        <f>IF(LARGE($R303:$T303,2)="","",IF(LARGE($R303:$T303,2)&lt;=99,"10-99 мм",IF(LARGE($R303:$T303,2)&lt;=199,"100-199 мм",IF(LARGE($R303:$T303,2)&lt;=299,"200-299 мм",IF(LARGE($R303:$T303,2)&lt;=399,"300-399 мм",IF(LARGE($R303:$T303,2)&lt;=499,"400-499 мм",IF(LARGE($R303:$T303,2)&lt;=599,"500-599 мм",IF(LARGE($R303:$T303,2)&lt;=699,"600-699 мм",IF(LARGE($R303:$T303,2)&lt;=999,"700-999 мм","1000+ мм")))))))))</f>
        <v/>
      </c>
      <c r="Z303" s="160">
        <f>IF(SMALL($R303:$T303,1)="","",IF(SMALL($R303:$T303,1)&lt;=99,"10-99 мм",IF(SMALL($R303:$T303,1)&lt;=199,"100-199 мм",IF(SMALL($R303:$T303,1)&lt;=299,"200-299 мм",IF(SMALL($R303:$T303,1)&lt;=399,"300-399 мм",IF(SMALL($R303:$T303,1)&lt;=499,"400-499 мм",IF(SMALL($R303:$T303,1)&lt;=599,"500-599 мм",IF(SMALL($R303:$T303,1)&lt;=699,"600-699 мм",IF(SMALL($R303:$T303,1)&lt;=999,"700-999 мм","1000+ мм")))))))))</f>
        <v/>
      </c>
      <c r="AA303" s="101">
        <f>IF(G303="","",IF(G303="Л","Лист гофрокартона",IF(G303="КД","Крышка-дно",IF(G303="С","Самосборные",IF(G303="Ч","Четырехклапанные",IF(G303="А","Архивные","Неизвестно"))))))</f>
        <v/>
      </c>
      <c r="AB303" s="66" t="n">
        <v>1.73</v>
      </c>
      <c r="AC303" s="101">
        <f>IF(O303="","",IF(O303&lt;=1,"0-1 литров",IF(O303&lt;=3,"2-3 литра",IF(O303&lt;=5,"4-5 литра",IF(O303&lt;=7,"6-7 литра",IF(O303&lt;=9,"8-9 литров",IF(O303&lt;=14,"10-14 литров",IF(O303&lt;=19,"15-19 литров",IF(O303&lt;=29,"20-29 литров",IF(O303&lt;=49,"30-49 литров",IF(O303&lt;=59,"50-59 литров",IF(O303&lt;=70,"60-69 литров",IF(O303&lt;=79,"70-79 литров",IF(O303&lt;=89,"80-89 литров",IF(O303&lt;=99,"90-99 литров",IF(O303&lt;=200,"100-200 литров","200+ литров"))))))))))))))))</f>
        <v/>
      </c>
    </row>
    <row r="304" customFormat="1" s="207">
      <c r="A304" s="64" t="n">
        <v>0.23</v>
      </c>
      <c r="B304" s="65">
        <f>A304*1.2</f>
        <v/>
      </c>
      <c r="C304" s="109" t="n">
        <v>304</v>
      </c>
      <c r="D304" s="77" t="inlineStr">
        <is>
          <t>БМ</t>
        </is>
      </c>
      <c r="E304" s="88" t="inlineStr">
        <is>
          <t>150х105х70</t>
        </is>
      </c>
      <c r="F304" s="213" t="n"/>
      <c r="G304" s="83" t="inlineStr">
        <is>
          <t>С</t>
        </is>
      </c>
      <c r="H304" s="146" t="inlineStr">
        <is>
          <t>0470</t>
        </is>
      </c>
      <c r="I304" s="83" t="inlineStr">
        <is>
          <t>Е</t>
        </is>
      </c>
      <c r="J304" s="83" t="inlineStr">
        <is>
          <t>БМ</t>
        </is>
      </c>
      <c r="K304" s="116" t="inlineStr">
        <is>
          <t>K505</t>
        </is>
      </c>
      <c r="L304" s="103" t="n"/>
      <c r="M304" s="239" t="n"/>
      <c r="N304" s="239">
        <f>IF(D304="","",IF(LEFT(D304,1)="0",0,1))</f>
        <v/>
      </c>
      <c r="O304" s="80">
        <f>ROUND(R304*S304*T304/1000000,2)</f>
        <v/>
      </c>
      <c r="P304" s="160">
        <f>IF(O304="","",
IF(O304&lt;1,"0,1-0,9 литров",
IF(O304&lt;2,"1-1,9 литра",
IF(O304&lt;3,"2-2,9 литра",
IF(O304&lt;4,"3-3,9 литра",
IF(O304&lt;6,"4-5,9 литра",IF(O304&lt;8,"6-7,9 литра",IF(O304&lt;10,"8-9,9 литров",IF(O304&lt;15,"10-14,9 литров",IF(O304&lt;20,"15-19,9 литров",IF(O304&lt;30,"20-29 литров",IF(O304&lt;50,"30-49 литров",IF(O304&lt;60,"50-59 литров",IF(O304&lt;70,"60-69 литров",IF(O304&lt;80,"70-79 литров",IF(O304&lt;90,"80-89 литров",IF(O304&lt;100,"90-99 литров",IF(O304&lt;200,"100-200 литров","200+ литров"))))))))))))))))))</f>
        <v/>
      </c>
      <c r="Q304" s="101">
        <f>IF(O304="","",IF(O304&lt;1,"&lt;1 л",IF(O304&lt;2,"1-2 л",IF(O304&lt;3,"2-3 л",IF(O304&lt;5,"3-5 л",IF(O304&lt;10,"5-10 л",IF(O304&lt;20,"10-20 л",IF(O304&lt;50,"20-50 л",IF(O304&lt;100,"50-100 л","100+ л")))))))))</f>
        <v/>
      </c>
      <c r="R304" s="162">
        <f>IF(E304="","",--LEFT(E304,FIND("х",E304)-1))</f>
        <v/>
      </c>
      <c r="S304" s="162">
        <f>IF(E304="","",--MID(E304,FIND("х",E304)+1,FIND("х",E304,FIND("х",E304)+1)-FIND("х",E304)-1))</f>
        <v/>
      </c>
      <c r="T304" s="162">
        <f>IF(E304="","",--RIGHT(E304,LEN(E304)-FIND("х",E304,FIND("х",E304)+1)))</f>
        <v/>
      </c>
      <c r="U304" s="66">
        <f>(2*(R304+S304)+60)*(S304+T304+8)/1000000</f>
        <v/>
      </c>
      <c r="V304" s="66">
        <f>IF(OR(AND(R304&gt;=2*S304,R304&gt;=2*T304),AND(S304&gt;=2*R304,S304&gt;=2*T304),AND(T304&gt;=2*R304,T304&gt;=2*S304)),"Длинные","")</f>
        <v/>
      </c>
      <c r="W304" s="66">
        <f>IF(OR(AND(R304&lt;=S304/2,R304&lt;=T304/2),AND(S304&lt;=R304/2,S304&lt;=T304/2),AND(T304&lt;=R304/2,T304&lt;=S304/2)),"Плоские","")</f>
        <v/>
      </c>
      <c r="X304" s="160">
        <f>IF(LARGE($R304:$T304,1)="","",IF(LARGE($R304:$T304,1)&lt;=99,"10-99 мм",IF(LARGE($R304:$T304,1)&lt;=199,"100-199 мм",IF(LARGE($R304:$T304,1)&lt;=299,"200-299 мм",IF(LARGE($R304:$T304,1)&lt;=399,"300-399 мм",IF(LARGE($R304:$T304,1)&lt;=499,"400-499 мм",IF(LARGE($R304:$T304,1)&lt;=599,"500-599 мм",IF(LARGE($R304:$T304,1)&lt;=699,"600-699 мм",IF(LARGE($R304:$T304,1)&lt;=999,"700-999 мм","1000+ мм")))))))))</f>
        <v/>
      </c>
      <c r="Y304" s="160">
        <f>IF(LARGE($R304:$T304,2)="","",IF(LARGE($R304:$T304,2)&lt;=99,"10-99 мм",IF(LARGE($R304:$T304,2)&lt;=199,"100-199 мм",IF(LARGE($R304:$T304,2)&lt;=299,"200-299 мм",IF(LARGE($R304:$T304,2)&lt;=399,"300-399 мм",IF(LARGE($R304:$T304,2)&lt;=499,"400-499 мм",IF(LARGE($R304:$T304,2)&lt;=599,"500-599 мм",IF(LARGE($R304:$T304,2)&lt;=699,"600-699 мм",IF(LARGE($R304:$T304,2)&lt;=999,"700-999 мм","1000+ мм")))))))))</f>
        <v/>
      </c>
      <c r="Z304" s="160">
        <f>IF(SMALL($R304:$T304,1)="","",IF(SMALL($R304:$T304,1)&lt;=99,"10-99 мм",IF(SMALL($R304:$T304,1)&lt;=199,"100-199 мм",IF(SMALL($R304:$T304,1)&lt;=299,"200-299 мм",IF(SMALL($R304:$T304,1)&lt;=399,"300-399 мм",IF(SMALL($R304:$T304,1)&lt;=499,"400-499 мм",IF(SMALL($R304:$T304,1)&lt;=599,"500-599 мм",IF(SMALL($R304:$T304,1)&lt;=699,"600-699 мм",IF(SMALL($R304:$T304,1)&lt;=999,"700-999 мм","1000+ мм")))))))))</f>
        <v/>
      </c>
      <c r="AA304" s="101">
        <f>IF(G304="","",IF(G304="Л","Лист гофрокартона",IF(G304="КД","Крышка-дно",IF(G304="С","Самосборные",IF(G304="Ч","Четырехклапанные",IF(G304="А","Архивные","Неизвестно"))))))</f>
        <v/>
      </c>
      <c r="AB304" s="66" t="n">
        <v>1.73</v>
      </c>
      <c r="AC304" s="101">
        <f>IF(O304="","",IF(O304&lt;=1,"0-1 литров",IF(O304&lt;=3,"2-3 литра",IF(O304&lt;=5,"4-5 литра",IF(O304&lt;=7,"6-7 литра",IF(O304&lt;=9,"8-9 литров",IF(O304&lt;=14,"10-14 литров",IF(O304&lt;=19,"15-19 литров",IF(O304&lt;=29,"20-29 литров",IF(O304&lt;=49,"30-49 литров",IF(O304&lt;=59,"50-59 литров",IF(O304&lt;=70,"60-69 литров",IF(O304&lt;=79,"70-79 литров",IF(O304&lt;=89,"80-89 литров",IF(O304&lt;=99,"90-99 литров",IF(O304&lt;=200,"100-200 литров","200+ литров"))))))))))))))))</f>
        <v/>
      </c>
    </row>
    <row r="305" customFormat="1" s="207">
      <c r="A305" s="64" t="n">
        <v>0.21</v>
      </c>
      <c r="B305" s="65">
        <f>A305*1.2</f>
        <v/>
      </c>
      <c r="C305" s="109" t="n">
        <v>305</v>
      </c>
      <c r="D305" s="77" t="inlineStr">
        <is>
          <t>БМ</t>
        </is>
      </c>
      <c r="E305" s="88" t="inlineStr">
        <is>
          <t>180х150х17</t>
        </is>
      </c>
      <c r="F305" s="213" t="n"/>
      <c r="G305" s="83" t="inlineStr">
        <is>
          <t>С</t>
        </is>
      </c>
      <c r="H305" s="146" t="inlineStr">
        <is>
          <t>0427</t>
        </is>
      </c>
      <c r="I305" s="83" t="inlineStr">
        <is>
          <t>Е</t>
        </is>
      </c>
      <c r="J305" s="83" t="inlineStr">
        <is>
          <t>БМ</t>
        </is>
      </c>
      <c r="K305" s="116" t="inlineStr">
        <is>
          <t>K506</t>
        </is>
      </c>
      <c r="L305" s="103" t="n"/>
      <c r="M305" s="239" t="n"/>
      <c r="N305" s="239">
        <f>IF(D305="","",IF(LEFT(D305,1)="0",0,1))</f>
        <v/>
      </c>
      <c r="O305" s="80">
        <f>ROUND(R305*S305*T305/1000000,2)</f>
        <v/>
      </c>
      <c r="P305" s="160">
        <f>IF(O305="","",
IF(O305&lt;1,"0,1-0,9 литров",
IF(O305&lt;2,"1-1,9 литра",
IF(O305&lt;3,"2-2,9 литра",
IF(O305&lt;4,"3-3,9 литра",
IF(O305&lt;6,"4-5,9 литра",IF(O305&lt;8,"6-7,9 литра",IF(O305&lt;10,"8-9,9 литров",IF(O305&lt;15,"10-14,9 литров",IF(O305&lt;20,"15-19,9 литров",IF(O305&lt;30,"20-29 литров",IF(O305&lt;50,"30-49 литров",IF(O305&lt;60,"50-59 литров",IF(O305&lt;70,"60-69 литров",IF(O305&lt;80,"70-79 литров",IF(O305&lt;90,"80-89 литров",IF(O305&lt;100,"90-99 литров",IF(O305&lt;200,"100-200 литров","200+ литров"))))))))))))))))))</f>
        <v/>
      </c>
      <c r="Q305" s="101">
        <f>IF(O305="","",IF(O305&lt;1,"&lt;1 л",IF(O305&lt;2,"1-2 л",IF(O305&lt;3,"2-3 л",IF(O305&lt;5,"3-5 л",IF(O305&lt;10,"5-10 л",IF(O305&lt;20,"10-20 л",IF(O305&lt;50,"20-50 л",IF(O305&lt;100,"50-100 л","100+ л")))))))))</f>
        <v/>
      </c>
      <c r="R305" s="162">
        <f>IF(E305="","",--LEFT(E305,FIND("х",E305)-1))</f>
        <v/>
      </c>
      <c r="S305" s="162">
        <f>IF(E305="","",--MID(E305,FIND("х",E305)+1,FIND("х",E305,FIND("х",E305)+1)-FIND("х",E305)-1))</f>
        <v/>
      </c>
      <c r="T305" s="162">
        <f>IF(E305="","",--RIGHT(E305,LEN(E305)-FIND("х",E305,FIND("х",E305)+1)))</f>
        <v/>
      </c>
      <c r="U305" s="66">
        <f>(2*(R305+S305)+60)*(S305+T305+8)/1000000</f>
        <v/>
      </c>
      <c r="V305" s="66">
        <f>IF(OR(AND(R305&gt;=2*S305,R305&gt;=2*T305),AND(S305&gt;=2*R305,S305&gt;=2*T305),AND(T305&gt;=2*R305,T305&gt;=2*S305)),"Длинные","")</f>
        <v/>
      </c>
      <c r="W305" s="66">
        <f>IF(OR(AND(R305&lt;=S305/2,R305&lt;=T305/2),AND(S305&lt;=R305/2,S305&lt;=T305/2),AND(T305&lt;=R305/2,T305&lt;=S305/2)),"Плоские","")</f>
        <v/>
      </c>
      <c r="X305" s="160">
        <f>IF(LARGE($R305:$T305,1)="","",IF(LARGE($R305:$T305,1)&lt;=99,"10-99 мм",IF(LARGE($R305:$T305,1)&lt;=199,"100-199 мм",IF(LARGE($R305:$T305,1)&lt;=299,"200-299 мм",IF(LARGE($R305:$T305,1)&lt;=399,"300-399 мм",IF(LARGE($R305:$T305,1)&lt;=499,"400-499 мм",IF(LARGE($R305:$T305,1)&lt;=599,"500-599 мм",IF(LARGE($R305:$T305,1)&lt;=699,"600-699 мм",IF(LARGE($R305:$T305,1)&lt;=999,"700-999 мм","1000+ мм")))))))))</f>
        <v/>
      </c>
      <c r="Y305" s="160">
        <f>IF(LARGE($R305:$T305,2)="","",IF(LARGE($R305:$T305,2)&lt;=99,"10-99 мм",IF(LARGE($R305:$T305,2)&lt;=199,"100-199 мм",IF(LARGE($R305:$T305,2)&lt;=299,"200-299 мм",IF(LARGE($R305:$T305,2)&lt;=399,"300-399 мм",IF(LARGE($R305:$T305,2)&lt;=499,"400-499 мм",IF(LARGE($R305:$T305,2)&lt;=599,"500-599 мм",IF(LARGE($R305:$T305,2)&lt;=699,"600-699 мм",IF(LARGE($R305:$T305,2)&lt;=999,"700-999 мм","1000+ мм")))))))))</f>
        <v/>
      </c>
      <c r="Z305" s="160">
        <f>IF(SMALL($R305:$T305,1)="","",IF(SMALL($R305:$T305,1)&lt;=99,"10-99 мм",IF(SMALL($R305:$T305,1)&lt;=199,"100-199 мм",IF(SMALL($R305:$T305,1)&lt;=299,"200-299 мм",IF(SMALL($R305:$T305,1)&lt;=399,"300-399 мм",IF(SMALL($R305:$T305,1)&lt;=499,"400-499 мм",IF(SMALL($R305:$T305,1)&lt;=599,"500-599 мм",IF(SMALL($R305:$T305,1)&lt;=699,"600-699 мм",IF(SMALL($R305:$T305,1)&lt;=999,"700-999 мм","1000+ мм")))))))))</f>
        <v/>
      </c>
      <c r="AA305" s="101">
        <f>IF(G305="","",IF(G305="Л","Лист гофрокартона",IF(G305="КД","Крышка-дно",IF(G305="С","Самосборные",IF(G305="Ч","Четырехклапанные",IF(G305="А","Архивные","Неизвестно"))))))</f>
        <v/>
      </c>
      <c r="AB305" s="66" t="n">
        <v>1.73</v>
      </c>
      <c r="AC305" s="101">
        <f>IF(O305="","",IF(O305&lt;=1,"0-1 литров",IF(O305&lt;=3,"2-3 литра",IF(O305&lt;=5,"4-5 литра",IF(O305&lt;=7,"6-7 литра",IF(O305&lt;=9,"8-9 литров",IF(O305&lt;=14,"10-14 литров",IF(O305&lt;=19,"15-19 литров",IF(O305&lt;=29,"20-29 литров",IF(O305&lt;=49,"30-49 литров",IF(O305&lt;=59,"50-59 литров",IF(O305&lt;=70,"60-69 литров",IF(O305&lt;=79,"70-79 литров",IF(O305&lt;=89,"80-89 литров",IF(O305&lt;=99,"90-99 литров",IF(O305&lt;=200,"100-200 литров","200+ литров"))))))))))))))))</f>
        <v/>
      </c>
    </row>
    <row r="306" customFormat="1" s="207">
      <c r="A306" s="64" t="n">
        <v>0.28</v>
      </c>
      <c r="B306" s="65">
        <f>A306*1.2</f>
        <v/>
      </c>
      <c r="C306" s="109" t="n">
        <v>306</v>
      </c>
      <c r="D306" s="77" t="inlineStr">
        <is>
          <t>БМ</t>
        </is>
      </c>
      <c r="E306" s="88" t="inlineStr">
        <is>
          <t>90х90х160</t>
        </is>
      </c>
      <c r="F306" s="213" t="n"/>
      <c r="G306" s="83" t="inlineStr">
        <is>
          <t>С</t>
        </is>
      </c>
      <c r="H306" s="146" t="inlineStr">
        <is>
          <t>0215</t>
        </is>
      </c>
      <c r="I306" s="83" t="inlineStr">
        <is>
          <t>Е</t>
        </is>
      </c>
      <c r="J306" s="83" t="inlineStr">
        <is>
          <t>БМ</t>
        </is>
      </c>
      <c r="K306" s="116" t="inlineStr">
        <is>
          <t>K507</t>
        </is>
      </c>
      <c r="L306" s="103" t="n"/>
      <c r="M306" s="239" t="n"/>
      <c r="N306" s="239">
        <f>IF(D306="","",IF(LEFT(D306,1)="0",0,1))</f>
        <v/>
      </c>
      <c r="O306" s="80">
        <f>ROUND(R306*S306*T306/1000000,2)</f>
        <v/>
      </c>
      <c r="P306" s="160">
        <f>IF(O306="","",
IF(O306&lt;1,"0,1-0,9 литров",
IF(O306&lt;2,"1-1,9 литра",
IF(O306&lt;3,"2-2,9 литра",
IF(O306&lt;4,"3-3,9 литра",
IF(O306&lt;6,"4-5,9 литра",IF(O306&lt;8,"6-7,9 литра",IF(O306&lt;10,"8-9,9 литров",IF(O306&lt;15,"10-14,9 литров",IF(O306&lt;20,"15-19,9 литров",IF(O306&lt;30,"20-29 литров",IF(O306&lt;50,"30-49 литров",IF(O306&lt;60,"50-59 литров",IF(O306&lt;70,"60-69 литров",IF(O306&lt;80,"70-79 литров",IF(O306&lt;90,"80-89 литров",IF(O306&lt;100,"90-99 литров",IF(O306&lt;200,"100-200 литров","200+ литров"))))))))))))))))))</f>
        <v/>
      </c>
      <c r="Q306" s="101">
        <f>IF(O306="","",IF(O306&lt;1,"&lt;1 л",IF(O306&lt;2,"1-2 л",IF(O306&lt;3,"2-3 л",IF(O306&lt;5,"3-5 л",IF(O306&lt;10,"5-10 л",IF(O306&lt;20,"10-20 л",IF(O306&lt;50,"20-50 л",IF(O306&lt;100,"50-100 л","100+ л")))))))))</f>
        <v/>
      </c>
      <c r="R306" s="162">
        <f>IF(E306="","",--LEFT(E306,FIND("х",E306)-1))</f>
        <v/>
      </c>
      <c r="S306" s="162">
        <f>IF(E306="","",--MID(E306,FIND("х",E306)+1,FIND("х",E306,FIND("х",E306)+1)-FIND("х",E306)-1))</f>
        <v/>
      </c>
      <c r="T306" s="162">
        <f>IF(E306="","",--RIGHT(E306,LEN(E306)-FIND("х",E306,FIND("х",E306)+1)))</f>
        <v/>
      </c>
      <c r="U306" s="66">
        <f>(2*(R306+S306)+60)*(S306+T306+8)/1000000</f>
        <v/>
      </c>
      <c r="V306" s="66">
        <f>IF(OR(AND(R306&gt;=2*S306,R306&gt;=2*T306),AND(S306&gt;=2*R306,S306&gt;=2*T306),AND(T306&gt;=2*R306,T306&gt;=2*S306)),"Длинные","")</f>
        <v/>
      </c>
      <c r="W306" s="66">
        <f>IF(OR(AND(R306&lt;=S306/2,R306&lt;=T306/2),AND(S306&lt;=R306/2,S306&lt;=T306/2),AND(T306&lt;=R306/2,T306&lt;=S306/2)),"Плоские","")</f>
        <v/>
      </c>
      <c r="X306" s="160">
        <f>IF(LARGE($R306:$T306,1)="","",IF(LARGE($R306:$T306,1)&lt;=99,"10-99 мм",IF(LARGE($R306:$T306,1)&lt;=199,"100-199 мм",IF(LARGE($R306:$T306,1)&lt;=299,"200-299 мм",IF(LARGE($R306:$T306,1)&lt;=399,"300-399 мм",IF(LARGE($R306:$T306,1)&lt;=499,"400-499 мм",IF(LARGE($R306:$T306,1)&lt;=599,"500-599 мм",IF(LARGE($R306:$T306,1)&lt;=699,"600-699 мм",IF(LARGE($R306:$T306,1)&lt;=999,"700-999 мм","1000+ мм")))))))))</f>
        <v/>
      </c>
      <c r="Y306" s="160">
        <f>IF(LARGE($R306:$T306,2)="","",IF(LARGE($R306:$T306,2)&lt;=99,"10-99 мм",IF(LARGE($R306:$T306,2)&lt;=199,"100-199 мм",IF(LARGE($R306:$T306,2)&lt;=299,"200-299 мм",IF(LARGE($R306:$T306,2)&lt;=399,"300-399 мм",IF(LARGE($R306:$T306,2)&lt;=499,"400-499 мм",IF(LARGE($R306:$T306,2)&lt;=599,"500-599 мм",IF(LARGE($R306:$T306,2)&lt;=699,"600-699 мм",IF(LARGE($R306:$T306,2)&lt;=999,"700-999 мм","1000+ мм")))))))))</f>
        <v/>
      </c>
      <c r="Z306" s="160">
        <f>IF(SMALL($R306:$T306,1)="","",IF(SMALL($R306:$T306,1)&lt;=99,"10-99 мм",IF(SMALL($R306:$T306,1)&lt;=199,"100-199 мм",IF(SMALL($R306:$T306,1)&lt;=299,"200-299 мм",IF(SMALL($R306:$T306,1)&lt;=399,"300-399 мм",IF(SMALL($R306:$T306,1)&lt;=499,"400-499 мм",IF(SMALL($R306:$T306,1)&lt;=599,"500-599 мм",IF(SMALL($R306:$T306,1)&lt;=699,"600-699 мм",IF(SMALL($R306:$T306,1)&lt;=999,"700-999 мм","1000+ мм")))))))))</f>
        <v/>
      </c>
      <c r="AA306" s="101">
        <f>IF(G306="","",IF(G306="Л","Лист гофрокартона",IF(G306="КД","Крышка-дно",IF(G306="С","Самосборные",IF(G306="Ч","Четырехклапанные",IF(G306="А","Архивные","Неизвестно"))))))</f>
        <v/>
      </c>
      <c r="AB306" s="66" t="n">
        <v>1.73</v>
      </c>
      <c r="AC306" s="101">
        <f>IF(O306="","",IF(O306&lt;=1,"0-1 литров",IF(O306&lt;=3,"2-3 литра",IF(O306&lt;=5,"4-5 литра",IF(O306&lt;=7,"6-7 литра",IF(O306&lt;=9,"8-9 литров",IF(O306&lt;=14,"10-14 литров",IF(O306&lt;=19,"15-19 литров",IF(O306&lt;=29,"20-29 литров",IF(O306&lt;=49,"30-49 литров",IF(O306&lt;=59,"50-59 литров",IF(O306&lt;=70,"60-69 литров",IF(O306&lt;=79,"70-79 литров",IF(O306&lt;=89,"80-89 литров",IF(O306&lt;=99,"90-99 литров",IF(O306&lt;=200,"100-200 литров","200+ литров"))))))))))))))))</f>
        <v/>
      </c>
    </row>
    <row r="307" customFormat="1" s="207">
      <c r="A307" s="64" t="n">
        <v>0.4</v>
      </c>
      <c r="B307" s="65">
        <f>A307*1.2</f>
        <v/>
      </c>
      <c r="C307" s="109" t="n">
        <v>307</v>
      </c>
      <c r="D307" s="77" t="inlineStr">
        <is>
          <t>БМ</t>
        </is>
      </c>
      <c r="E307" s="88" t="inlineStr">
        <is>
          <t>150х150х100</t>
        </is>
      </c>
      <c r="F307" s="213" t="n"/>
      <c r="G307" s="83" t="inlineStr">
        <is>
          <t>С</t>
        </is>
      </c>
      <c r="H307" s="146" t="inlineStr">
        <is>
          <t>0470</t>
        </is>
      </c>
      <c r="I307" s="83" t="inlineStr">
        <is>
          <t>Е</t>
        </is>
      </c>
      <c r="J307" s="83" t="inlineStr">
        <is>
          <t>БМ</t>
        </is>
      </c>
      <c r="K307" s="116" t="inlineStr">
        <is>
          <t>K508</t>
        </is>
      </c>
      <c r="L307" s="103" t="n"/>
      <c r="M307" s="239" t="n"/>
      <c r="N307" s="239">
        <f>IF(D307="","",IF(LEFT(D307,1)="0",0,1))</f>
        <v/>
      </c>
      <c r="O307" s="80">
        <f>ROUND(R307*S307*T307/1000000,2)</f>
        <v/>
      </c>
      <c r="P307" s="160">
        <f>IF(O307="","",
IF(O307&lt;1,"0,1-0,9 литров",
IF(O307&lt;2,"1-1,9 литра",
IF(O307&lt;3,"2-2,9 литра",
IF(O307&lt;4,"3-3,9 литра",
IF(O307&lt;6,"4-5,9 литра",IF(O307&lt;8,"6-7,9 литра",IF(O307&lt;10,"8-9,9 литров",IF(O307&lt;15,"10-14,9 литров",IF(O307&lt;20,"15-19,9 литров",IF(O307&lt;30,"20-29 литров",IF(O307&lt;50,"30-49 литров",IF(O307&lt;60,"50-59 литров",IF(O307&lt;70,"60-69 литров",IF(O307&lt;80,"70-79 литров",IF(O307&lt;90,"80-89 литров",IF(O307&lt;100,"90-99 литров",IF(O307&lt;200,"100-200 литров","200+ литров"))))))))))))))))))</f>
        <v/>
      </c>
      <c r="Q307" s="101">
        <f>IF(O307="","",IF(O307&lt;1,"&lt;1 л",IF(O307&lt;2,"1-2 л",IF(O307&lt;3,"2-3 л",IF(O307&lt;5,"3-5 л",IF(O307&lt;10,"5-10 л",IF(O307&lt;20,"10-20 л",IF(O307&lt;50,"20-50 л",IF(O307&lt;100,"50-100 л","100+ л")))))))))</f>
        <v/>
      </c>
      <c r="R307" s="162">
        <f>IF(E307="","",--LEFT(E307,FIND("х",E307)-1))</f>
        <v/>
      </c>
      <c r="S307" s="162">
        <f>IF(E307="","",--MID(E307,FIND("х",E307)+1,FIND("х",E307,FIND("х",E307)+1)-FIND("х",E307)-1))</f>
        <v/>
      </c>
      <c r="T307" s="162">
        <f>IF(E307="","",--RIGHT(E307,LEN(E307)-FIND("х",E307,FIND("х",E307)+1)))</f>
        <v/>
      </c>
      <c r="U307" s="66">
        <f>(2*(R307+S307)+60)*(S307+T307+8)/1000000</f>
        <v/>
      </c>
      <c r="V307" s="66">
        <f>IF(OR(AND(R307&gt;=2*S307,R307&gt;=2*T307),AND(S307&gt;=2*R307,S307&gt;=2*T307),AND(T307&gt;=2*R307,T307&gt;=2*S307)),"Длинные","")</f>
        <v/>
      </c>
      <c r="W307" s="66">
        <f>IF(OR(AND(R307&lt;=S307/2,R307&lt;=T307/2),AND(S307&lt;=R307/2,S307&lt;=T307/2),AND(T307&lt;=R307/2,T307&lt;=S307/2)),"Плоские","")</f>
        <v/>
      </c>
      <c r="X307" s="160">
        <f>IF(LARGE($R307:$T307,1)="","",IF(LARGE($R307:$T307,1)&lt;=99,"10-99 мм",IF(LARGE($R307:$T307,1)&lt;=199,"100-199 мм",IF(LARGE($R307:$T307,1)&lt;=299,"200-299 мм",IF(LARGE($R307:$T307,1)&lt;=399,"300-399 мм",IF(LARGE($R307:$T307,1)&lt;=499,"400-499 мм",IF(LARGE($R307:$T307,1)&lt;=599,"500-599 мм",IF(LARGE($R307:$T307,1)&lt;=699,"600-699 мм",IF(LARGE($R307:$T307,1)&lt;=999,"700-999 мм","1000+ мм")))))))))</f>
        <v/>
      </c>
      <c r="Y307" s="160">
        <f>IF(LARGE($R307:$T307,2)="","",IF(LARGE($R307:$T307,2)&lt;=99,"10-99 мм",IF(LARGE($R307:$T307,2)&lt;=199,"100-199 мм",IF(LARGE($R307:$T307,2)&lt;=299,"200-299 мм",IF(LARGE($R307:$T307,2)&lt;=399,"300-399 мм",IF(LARGE($R307:$T307,2)&lt;=499,"400-499 мм",IF(LARGE($R307:$T307,2)&lt;=599,"500-599 мм",IF(LARGE($R307:$T307,2)&lt;=699,"600-699 мм",IF(LARGE($R307:$T307,2)&lt;=999,"700-999 мм","1000+ мм")))))))))</f>
        <v/>
      </c>
      <c r="Z307" s="160">
        <f>IF(SMALL($R307:$T307,1)="","",IF(SMALL($R307:$T307,1)&lt;=99,"10-99 мм",IF(SMALL($R307:$T307,1)&lt;=199,"100-199 мм",IF(SMALL($R307:$T307,1)&lt;=299,"200-299 мм",IF(SMALL($R307:$T307,1)&lt;=399,"300-399 мм",IF(SMALL($R307:$T307,1)&lt;=499,"400-499 мм",IF(SMALL($R307:$T307,1)&lt;=599,"500-599 мм",IF(SMALL($R307:$T307,1)&lt;=699,"600-699 мм",IF(SMALL($R307:$T307,1)&lt;=999,"700-999 мм","1000+ мм")))))))))</f>
        <v/>
      </c>
      <c r="AA307" s="101">
        <f>IF(G307="","",IF(G307="Л","Лист гофрокартона",IF(G307="КД","Крышка-дно",IF(G307="С","Самосборные",IF(G307="Ч","Четырехклапанные",IF(G307="А","Архивные","Неизвестно"))))))</f>
        <v/>
      </c>
      <c r="AB307" s="66" t="n">
        <v>1.73</v>
      </c>
      <c r="AC307" s="101">
        <f>IF(O307="","",IF(O307&lt;=1,"0-1 литров",IF(O307&lt;=3,"2-3 литра",IF(O307&lt;=5,"4-5 литра",IF(O307&lt;=7,"6-7 литра",IF(O307&lt;=9,"8-9 литров",IF(O307&lt;=14,"10-14 литров",IF(O307&lt;=19,"15-19 литров",IF(O307&lt;=29,"20-29 литров",IF(O307&lt;=49,"30-49 литров",IF(O307&lt;=59,"50-59 литров",IF(O307&lt;=70,"60-69 литров",IF(O307&lt;=79,"70-79 литров",IF(O307&lt;=89,"80-89 литров",IF(O307&lt;=99,"90-99 литров",IF(O307&lt;=200,"100-200 литров","200+ литров"))))))))))))))))</f>
        <v/>
      </c>
    </row>
    <row r="308" customFormat="1" s="207">
      <c r="A308" s="64" t="n">
        <v>0.36</v>
      </c>
      <c r="B308" s="65">
        <f>A308*1.2</f>
        <v/>
      </c>
      <c r="C308" s="109" t="n">
        <v>308</v>
      </c>
      <c r="D308" s="77" t="inlineStr">
        <is>
          <t>БМ</t>
        </is>
      </c>
      <c r="E308" s="88" t="inlineStr">
        <is>
          <t>120х120х120</t>
        </is>
      </c>
      <c r="F308" s="213" t="n"/>
      <c r="G308" s="83" t="inlineStr">
        <is>
          <t>С</t>
        </is>
      </c>
      <c r="H308" s="146" t="inlineStr">
        <is>
          <t>0215</t>
        </is>
      </c>
      <c r="I308" s="83" t="inlineStr">
        <is>
          <t>Е</t>
        </is>
      </c>
      <c r="J308" s="83" t="inlineStr">
        <is>
          <t>БМ</t>
        </is>
      </c>
      <c r="K308" s="116" t="inlineStr">
        <is>
          <t>K509</t>
        </is>
      </c>
      <c r="L308" s="103" t="n"/>
      <c r="M308" s="239" t="n"/>
      <c r="N308" s="239">
        <f>IF(D308="","",IF(LEFT(D308,1)="0",0,1))</f>
        <v/>
      </c>
      <c r="O308" s="80">
        <f>ROUND(R308*S308*T308/1000000,2)</f>
        <v/>
      </c>
      <c r="P308" s="160">
        <f>IF(O308="","",
IF(O308&lt;1,"0,1-0,9 литров",
IF(O308&lt;2,"1-1,9 литра",
IF(O308&lt;3,"2-2,9 литра",
IF(O308&lt;4,"3-3,9 литра",
IF(O308&lt;6,"4-5,9 литра",IF(O308&lt;8,"6-7,9 литра",IF(O308&lt;10,"8-9,9 литров",IF(O308&lt;15,"10-14,9 литров",IF(O308&lt;20,"15-19,9 литров",IF(O308&lt;30,"20-29 литров",IF(O308&lt;50,"30-49 литров",IF(O308&lt;60,"50-59 литров",IF(O308&lt;70,"60-69 литров",IF(O308&lt;80,"70-79 литров",IF(O308&lt;90,"80-89 литров",IF(O308&lt;100,"90-99 литров",IF(O308&lt;200,"100-200 литров","200+ литров"))))))))))))))))))</f>
        <v/>
      </c>
      <c r="Q308" s="101">
        <f>IF(O308="","",IF(O308&lt;1,"&lt;1 л",IF(O308&lt;2,"1-2 л",IF(O308&lt;3,"2-3 л",IF(O308&lt;5,"3-5 л",IF(O308&lt;10,"5-10 л",IF(O308&lt;20,"10-20 л",IF(O308&lt;50,"20-50 л",IF(O308&lt;100,"50-100 л","100+ л")))))))))</f>
        <v/>
      </c>
      <c r="R308" s="162">
        <f>IF(E308="","",--LEFT(E308,FIND("х",E308)-1))</f>
        <v/>
      </c>
      <c r="S308" s="162">
        <f>IF(E308="","",--MID(E308,FIND("х",E308)+1,FIND("х",E308,FIND("х",E308)+1)-FIND("х",E308)-1))</f>
        <v/>
      </c>
      <c r="T308" s="162">
        <f>IF(E308="","",--RIGHT(E308,LEN(E308)-FIND("х",E308,FIND("х",E308)+1)))</f>
        <v/>
      </c>
      <c r="U308" s="66">
        <f>(2*(R308+S308)+60)*(S308+T308+8)/1000000</f>
        <v/>
      </c>
      <c r="V308" s="66">
        <f>IF(OR(AND(R308&gt;=2*S308,R308&gt;=2*T308),AND(S308&gt;=2*R308,S308&gt;=2*T308),AND(T308&gt;=2*R308,T308&gt;=2*S308)),"Длинные","")</f>
        <v/>
      </c>
      <c r="W308" s="66">
        <f>IF(OR(AND(R308&lt;=S308/2,R308&lt;=T308/2),AND(S308&lt;=R308/2,S308&lt;=T308/2),AND(T308&lt;=R308/2,T308&lt;=S308/2)),"Плоские","")</f>
        <v/>
      </c>
      <c r="X308" s="160">
        <f>IF(LARGE($R308:$T308,1)="","",IF(LARGE($R308:$T308,1)&lt;=99,"10-99 мм",IF(LARGE($R308:$T308,1)&lt;=199,"100-199 мм",IF(LARGE($R308:$T308,1)&lt;=299,"200-299 мм",IF(LARGE($R308:$T308,1)&lt;=399,"300-399 мм",IF(LARGE($R308:$T308,1)&lt;=499,"400-499 мм",IF(LARGE($R308:$T308,1)&lt;=599,"500-599 мм",IF(LARGE($R308:$T308,1)&lt;=699,"600-699 мм",IF(LARGE($R308:$T308,1)&lt;=999,"700-999 мм","1000+ мм")))))))))</f>
        <v/>
      </c>
      <c r="Y308" s="160">
        <f>IF(LARGE($R308:$T308,2)="","",IF(LARGE($R308:$T308,2)&lt;=99,"10-99 мм",IF(LARGE($R308:$T308,2)&lt;=199,"100-199 мм",IF(LARGE($R308:$T308,2)&lt;=299,"200-299 мм",IF(LARGE($R308:$T308,2)&lt;=399,"300-399 мм",IF(LARGE($R308:$T308,2)&lt;=499,"400-499 мм",IF(LARGE($R308:$T308,2)&lt;=599,"500-599 мм",IF(LARGE($R308:$T308,2)&lt;=699,"600-699 мм",IF(LARGE($R308:$T308,2)&lt;=999,"700-999 мм","1000+ мм")))))))))</f>
        <v/>
      </c>
      <c r="Z308" s="160">
        <f>IF(SMALL($R308:$T308,1)="","",IF(SMALL($R308:$T308,1)&lt;=99,"10-99 мм",IF(SMALL($R308:$T308,1)&lt;=199,"100-199 мм",IF(SMALL($R308:$T308,1)&lt;=299,"200-299 мм",IF(SMALL($R308:$T308,1)&lt;=399,"300-399 мм",IF(SMALL($R308:$T308,1)&lt;=499,"400-499 мм",IF(SMALL($R308:$T308,1)&lt;=599,"500-599 мм",IF(SMALL($R308:$T308,1)&lt;=699,"600-699 мм",IF(SMALL($R308:$T308,1)&lt;=999,"700-999 мм","1000+ мм")))))))))</f>
        <v/>
      </c>
      <c r="AA308" s="101">
        <f>IF(G308="","",IF(G308="Л","Лист гофрокартона",IF(G308="КД","Крышка-дно",IF(G308="С","Самосборные",IF(G308="Ч","Четырехклапанные",IF(G308="А","Архивные","Неизвестно"))))))</f>
        <v/>
      </c>
      <c r="AB308" s="66" t="n">
        <v>1.73</v>
      </c>
      <c r="AC308" s="101">
        <f>IF(O308="","",IF(O308&lt;=1,"0-1 литров",IF(O308&lt;=3,"2-3 литра",IF(O308&lt;=5,"4-5 литра",IF(O308&lt;=7,"6-7 литра",IF(O308&lt;=9,"8-9 литров",IF(O308&lt;=14,"10-14 литров",IF(O308&lt;=19,"15-19 литров",IF(O308&lt;=29,"20-29 литров",IF(O308&lt;=49,"30-49 литров",IF(O308&lt;=59,"50-59 литров",IF(O308&lt;=70,"60-69 литров",IF(O308&lt;=79,"70-79 литров",IF(O308&lt;=89,"80-89 литров",IF(O308&lt;=99,"90-99 литров",IF(O308&lt;=200,"100-200 литров","200+ литров"))))))))))))))))</f>
        <v/>
      </c>
    </row>
    <row r="309" customFormat="1" s="207">
      <c r="A309" s="64" t="n">
        <v>0.4152</v>
      </c>
      <c r="B309" s="65">
        <f>A309*1.2</f>
        <v/>
      </c>
      <c r="C309" s="109" t="n">
        <v>309</v>
      </c>
      <c r="D309" s="77" t="inlineStr">
        <is>
          <t>БМ</t>
        </is>
      </c>
      <c r="E309" s="88" t="inlineStr">
        <is>
          <t>240х230х25</t>
        </is>
      </c>
      <c r="F309" s="213" t="n"/>
      <c r="G309" s="83" t="inlineStr">
        <is>
          <t>С</t>
        </is>
      </c>
      <c r="H309" s="146" t="inlineStr">
        <is>
          <t>0427</t>
        </is>
      </c>
      <c r="I309" s="83" t="inlineStr">
        <is>
          <t>Е</t>
        </is>
      </c>
      <c r="J309" s="83" t="inlineStr">
        <is>
          <t>БМ</t>
        </is>
      </c>
      <c r="K309" s="116" t="inlineStr">
        <is>
          <t>K510</t>
        </is>
      </c>
      <c r="L309" s="103" t="n"/>
      <c r="M309" s="239" t="n"/>
      <c r="N309" s="239">
        <f>IF(D309="","",IF(LEFT(D309,1)="0",0,1))</f>
        <v/>
      </c>
      <c r="O309" s="80">
        <f>ROUND(R309*S309*T309/1000000,2)</f>
        <v/>
      </c>
      <c r="P309" s="160">
        <f>IF(O309="","",
IF(O309&lt;1,"0,1-0,9 литров",
IF(O309&lt;2,"1-1,9 литра",
IF(O309&lt;3,"2-2,9 литра",
IF(O309&lt;4,"3-3,9 литра",
IF(O309&lt;6,"4-5,9 литра",IF(O309&lt;8,"6-7,9 литра",IF(O309&lt;10,"8-9,9 литров",IF(O309&lt;15,"10-14,9 литров",IF(O309&lt;20,"15-19,9 литров",IF(O309&lt;30,"20-29 литров",IF(O309&lt;50,"30-49 литров",IF(O309&lt;60,"50-59 литров",IF(O309&lt;70,"60-69 литров",IF(O309&lt;80,"70-79 литров",IF(O309&lt;90,"80-89 литров",IF(O309&lt;100,"90-99 литров",IF(O309&lt;200,"100-200 литров","200+ литров"))))))))))))))))))</f>
        <v/>
      </c>
      <c r="Q309" s="101">
        <f>IF(O309="","",IF(O309&lt;1,"&lt;1 л",IF(O309&lt;2,"1-2 л",IF(O309&lt;3,"2-3 л",IF(O309&lt;5,"3-5 л",IF(O309&lt;10,"5-10 л",IF(O309&lt;20,"10-20 л",IF(O309&lt;50,"20-50 л",IF(O309&lt;100,"50-100 л","100+ л")))))))))</f>
        <v/>
      </c>
      <c r="R309" s="162">
        <f>IF(E309="","",--LEFT(E309,FIND("х",E309)-1))</f>
        <v/>
      </c>
      <c r="S309" s="162">
        <f>IF(E309="","",--MID(E309,FIND("х",E309)+1,FIND("х",E309,FIND("х",E309)+1)-FIND("х",E309)-1))</f>
        <v/>
      </c>
      <c r="T309" s="162">
        <f>IF(E309="","",--RIGHT(E309,LEN(E309)-FIND("х",E309,FIND("х",E309)+1)))</f>
        <v/>
      </c>
      <c r="U309" s="66">
        <f>(2*(R309+S309)+60)*(S309+T309+8)/1000000</f>
        <v/>
      </c>
      <c r="V309" s="66">
        <f>IF(OR(AND(R309&gt;=2*S309,R309&gt;=2*T309),AND(S309&gt;=2*R309,S309&gt;=2*T309),AND(T309&gt;=2*R309,T309&gt;=2*S309)),"Длинные","")</f>
        <v/>
      </c>
      <c r="W309" s="66">
        <f>IF(OR(AND(R309&lt;=S309/2,R309&lt;=T309/2),AND(S309&lt;=R309/2,S309&lt;=T309/2),AND(T309&lt;=R309/2,T309&lt;=S309/2)),"Плоские","")</f>
        <v/>
      </c>
      <c r="X309" s="160">
        <f>IF(LARGE($R309:$T309,1)="","",IF(LARGE($R309:$T309,1)&lt;=99,"10-99 мм",IF(LARGE($R309:$T309,1)&lt;=199,"100-199 мм",IF(LARGE($R309:$T309,1)&lt;=299,"200-299 мм",IF(LARGE($R309:$T309,1)&lt;=399,"300-399 мм",IF(LARGE($R309:$T309,1)&lt;=499,"400-499 мм",IF(LARGE($R309:$T309,1)&lt;=599,"500-599 мм",IF(LARGE($R309:$T309,1)&lt;=699,"600-699 мм",IF(LARGE($R309:$T309,1)&lt;=999,"700-999 мм","1000+ мм")))))))))</f>
        <v/>
      </c>
      <c r="Y309" s="160">
        <f>IF(LARGE($R309:$T309,2)="","",IF(LARGE($R309:$T309,2)&lt;=99,"10-99 мм",IF(LARGE($R309:$T309,2)&lt;=199,"100-199 мм",IF(LARGE($R309:$T309,2)&lt;=299,"200-299 мм",IF(LARGE($R309:$T309,2)&lt;=399,"300-399 мм",IF(LARGE($R309:$T309,2)&lt;=499,"400-499 мм",IF(LARGE($R309:$T309,2)&lt;=599,"500-599 мм",IF(LARGE($R309:$T309,2)&lt;=699,"600-699 мм",IF(LARGE($R309:$T309,2)&lt;=999,"700-999 мм","1000+ мм")))))))))</f>
        <v/>
      </c>
      <c r="Z309" s="160">
        <f>IF(SMALL($R309:$T309,1)="","",IF(SMALL($R309:$T309,1)&lt;=99,"10-99 мм",IF(SMALL($R309:$T309,1)&lt;=199,"100-199 мм",IF(SMALL($R309:$T309,1)&lt;=299,"200-299 мм",IF(SMALL($R309:$T309,1)&lt;=399,"300-399 мм",IF(SMALL($R309:$T309,1)&lt;=499,"400-499 мм",IF(SMALL($R309:$T309,1)&lt;=599,"500-599 мм",IF(SMALL($R309:$T309,1)&lt;=699,"600-699 мм",IF(SMALL($R309:$T309,1)&lt;=999,"700-999 мм","1000+ мм")))))))))</f>
        <v/>
      </c>
      <c r="AA309" s="101">
        <f>IF(G309="","",IF(G309="Л","Лист гофрокартона",IF(G309="КД","Крышка-дно",IF(G309="С","Самосборные",IF(G309="Ч","Четырехклапанные",IF(G309="А","Архивные","Неизвестно"))))))</f>
        <v/>
      </c>
      <c r="AB309" s="66" t="n">
        <v>1.73</v>
      </c>
      <c r="AC309" s="101">
        <f>IF(O309="","",IF(O309&lt;=1,"0-1 литров",IF(O309&lt;=3,"2-3 литра",IF(O309&lt;=5,"4-5 литра",IF(O309&lt;=7,"6-7 литра",IF(O309&lt;=9,"8-9 литров",IF(O309&lt;=14,"10-14 литров",IF(O309&lt;=19,"15-19 литров",IF(O309&lt;=29,"20-29 литров",IF(O309&lt;=49,"30-49 литров",IF(O309&lt;=59,"50-59 литров",IF(O309&lt;=70,"60-69 литров",IF(O309&lt;=79,"70-79 литров",IF(O309&lt;=89,"80-89 литров",IF(O309&lt;=99,"90-99 литров",IF(O309&lt;=200,"100-200 литров","200+ литров"))))))))))))))))</f>
        <v/>
      </c>
    </row>
    <row r="310" customFormat="1" s="207">
      <c r="A310" s="64" t="n">
        <v>0.1</v>
      </c>
      <c r="B310" s="65">
        <f>A310*1.2</f>
        <v/>
      </c>
      <c r="C310" s="109" t="n">
        <v>310</v>
      </c>
      <c r="D310" s="116" t="inlineStr">
        <is>
          <t>У</t>
        </is>
      </c>
      <c r="E310" s="88" t="inlineStr">
        <is>
          <t>40х40х150</t>
        </is>
      </c>
      <c r="F310" s="213" t="n"/>
      <c r="G310" s="83" t="inlineStr">
        <is>
          <t>С</t>
        </is>
      </c>
      <c r="H310" s="146" t="inlineStr">
        <is>
          <t>0215</t>
        </is>
      </c>
      <c r="I310" s="83" t="inlineStr">
        <is>
          <t>Е</t>
        </is>
      </c>
      <c r="J310" s="83" t="inlineStr">
        <is>
          <t>У</t>
        </is>
      </c>
      <c r="K310" s="116" t="inlineStr">
        <is>
          <t>K262</t>
        </is>
      </c>
      <c r="L310" s="103" t="n"/>
      <c r="M310" s="239" t="n"/>
      <c r="N310" s="239">
        <f>IF(D310="","",IF(LEFT(D310,1)="0",0,1))</f>
        <v/>
      </c>
      <c r="O310" s="80">
        <f>ROUND(R310*S310*T310/1000000,2)</f>
        <v/>
      </c>
      <c r="P310" s="160">
        <f>IF(O310="","",
IF(O310&lt;1,"0,1-0,9 литров",
IF(O310&lt;2,"1-1,9 литра",
IF(O310&lt;3,"2-2,9 литра",
IF(O310&lt;4,"3-3,9 литра",
IF(O310&lt;6,"4-5,9 литра",IF(O310&lt;8,"6-7,9 литра",IF(O310&lt;10,"8-9,9 литров",IF(O310&lt;15,"10-14,9 литров",IF(O310&lt;20,"15-19,9 литров",IF(O310&lt;30,"20-29 литров",IF(O310&lt;50,"30-49 литров",IF(O310&lt;60,"50-59 литров",IF(O310&lt;70,"60-69 литров",IF(O310&lt;80,"70-79 литров",IF(O310&lt;90,"80-89 литров",IF(O310&lt;100,"90-99 литров",IF(O310&lt;200,"100-200 литров","200+ литров"))))))))))))))))))</f>
        <v/>
      </c>
      <c r="Q310" s="101">
        <f>IF(O310="","",IF(O310&lt;1,"&lt;1 л",IF(O310&lt;2,"1-2 л",IF(O310&lt;3,"2-3 л",IF(O310&lt;5,"3-5 л",IF(O310&lt;10,"5-10 л",IF(O310&lt;20,"10-20 л",IF(O310&lt;50,"20-50 л",IF(O310&lt;100,"50-100 л","100+ л")))))))))</f>
        <v/>
      </c>
      <c r="R310" s="162">
        <f>IF(E310="","",--LEFT(E310,FIND("х",E310)-1))</f>
        <v/>
      </c>
      <c r="S310" s="162">
        <f>IF(E310="","",--MID(E310,FIND("х",E310)+1,FIND("х",E310,FIND("х",E310)+1)-FIND("х",E310)-1))</f>
        <v/>
      </c>
      <c r="T310" s="162">
        <f>IF(E310="","",--RIGHT(E310,LEN(E310)-FIND("х",E310,FIND("х",E310)+1)))</f>
        <v/>
      </c>
      <c r="U310" s="66">
        <f>(2*(R310+S310)+60)*(S310+T310+8)/1000000</f>
        <v/>
      </c>
      <c r="V310" s="66">
        <f>IF(OR(AND(R310&gt;=2*S310,R310&gt;=2*T310),AND(S310&gt;=2*R310,S310&gt;=2*T310),AND(T310&gt;=2*R310,T310&gt;=2*S310)),"Длинные","")</f>
        <v/>
      </c>
      <c r="W310" s="66">
        <f>IF(OR(AND(R310&lt;=S310/2,R310&lt;=T310/2),AND(S310&lt;=R310/2,S310&lt;=T310/2),AND(T310&lt;=R310/2,T310&lt;=S310/2)),"Плоские","")</f>
        <v/>
      </c>
      <c r="X310" s="160">
        <f>IF(LARGE($R310:$T310,1)="","",IF(LARGE($R310:$T310,1)&lt;=99,"10-99 мм",IF(LARGE($R310:$T310,1)&lt;=199,"100-199 мм",IF(LARGE($R310:$T310,1)&lt;=299,"200-299 мм",IF(LARGE($R310:$T310,1)&lt;=399,"300-399 мм",IF(LARGE($R310:$T310,1)&lt;=499,"400-499 мм",IF(LARGE($R310:$T310,1)&lt;=599,"500-599 мм",IF(LARGE($R310:$T310,1)&lt;=699,"600-699 мм",IF(LARGE($R310:$T310,1)&lt;=999,"700-999 мм","1000+ мм")))))))))</f>
        <v/>
      </c>
      <c r="Y310" s="160">
        <f>IF(LARGE($R310:$T310,2)="","",IF(LARGE($R310:$T310,2)&lt;=99,"10-99 мм",IF(LARGE($R310:$T310,2)&lt;=199,"100-199 мм",IF(LARGE($R310:$T310,2)&lt;=299,"200-299 мм",IF(LARGE($R310:$T310,2)&lt;=399,"300-399 мм",IF(LARGE($R310:$T310,2)&lt;=499,"400-499 мм",IF(LARGE($R310:$T310,2)&lt;=599,"500-599 мм",IF(LARGE($R310:$T310,2)&lt;=699,"600-699 мм",IF(LARGE($R310:$T310,2)&lt;=999,"700-999 мм","1000+ мм")))))))))</f>
        <v/>
      </c>
      <c r="Z310" s="160">
        <f>IF(SMALL($R310:$T310,1)="","",IF(SMALL($R310:$T310,1)&lt;=99,"10-99 мм",IF(SMALL($R310:$T310,1)&lt;=199,"100-199 мм",IF(SMALL($R310:$T310,1)&lt;=299,"200-299 мм",IF(SMALL($R310:$T310,1)&lt;=399,"300-399 мм",IF(SMALL($R310:$T310,1)&lt;=499,"400-499 мм",IF(SMALL($R310:$T310,1)&lt;=599,"500-599 мм",IF(SMALL($R310:$T310,1)&lt;=699,"600-699 мм",IF(SMALL($R310:$T310,1)&lt;=999,"700-999 мм","1000+ мм")))))))))</f>
        <v/>
      </c>
      <c r="AA310" s="101">
        <f>IF(G310="","",IF(G310="Л","Лист гофрокартона",IF(G310="КД","Крышка-дно",IF(G310="С","Самосборные",IF(G310="Ч","Четырехклапанные",IF(G310="А","Архивные","Неизвестно"))))))</f>
        <v/>
      </c>
      <c r="AB310" s="66" t="n">
        <v>1.73</v>
      </c>
      <c r="AC310" s="101">
        <f>IF(O310="","",IF(O310&lt;=1,"0-1 литров",IF(O310&lt;=3,"2-3 литра",IF(O310&lt;=5,"4-5 литра",IF(O310&lt;=7,"6-7 литра",IF(O310&lt;=9,"8-9 литров",IF(O310&lt;=14,"10-14 литров",IF(O310&lt;=19,"15-19 литров",IF(O310&lt;=29,"20-29 литров",IF(O310&lt;=49,"30-49 литров",IF(O310&lt;=59,"50-59 литров",IF(O310&lt;=70,"60-69 литров",IF(O310&lt;=79,"70-79 литров",IF(O310&lt;=89,"80-89 литров",IF(O310&lt;=99,"90-99 литров",IF(O310&lt;=200,"100-200 литров","200+ литров"))))))))))))))))</f>
        <v/>
      </c>
    </row>
    <row r="311" customFormat="1" s="207">
      <c r="A311" s="64" t="n">
        <v>0.38</v>
      </c>
      <c r="B311" s="65">
        <f>A311*1.2</f>
        <v/>
      </c>
      <c r="C311" s="109" t="n">
        <v>311</v>
      </c>
      <c r="D311" s="116" t="inlineStr">
        <is>
          <t>У</t>
        </is>
      </c>
      <c r="E311" s="88" t="inlineStr">
        <is>
          <t>230х140х130</t>
        </is>
      </c>
      <c r="F311" s="213" t="n"/>
      <c r="G311" s="83" t="inlineStr">
        <is>
          <t>Ч</t>
        </is>
      </c>
      <c r="H311" s="146" t="inlineStr">
        <is>
          <t>0201</t>
        </is>
      </c>
      <c r="I311" s="83" t="inlineStr">
        <is>
          <t>В</t>
        </is>
      </c>
      <c r="J311" s="83" t="inlineStr">
        <is>
          <t>У</t>
        </is>
      </c>
      <c r="K311" s="116" t="inlineStr">
        <is>
          <t>K263</t>
        </is>
      </c>
      <c r="L311" s="103" t="n"/>
      <c r="M311" s="239" t="n"/>
      <c r="N311" s="239">
        <f>IF(D311="","",IF(LEFT(D311,1)="0",0,1))</f>
        <v/>
      </c>
      <c r="O311" s="80">
        <f>ROUND(R311*S311*T311/1000000,2)</f>
        <v/>
      </c>
      <c r="P311" s="160">
        <f>IF(O311="","",
IF(O311&lt;1,"0,1-0,9 литров",
IF(O311&lt;2,"1-1,9 литра",
IF(O311&lt;3,"2-2,9 литра",
IF(O311&lt;4,"3-3,9 литра",
IF(O311&lt;6,"4-5,9 литра",IF(O311&lt;8,"6-7,9 литра",IF(O311&lt;10,"8-9,9 литров",IF(O311&lt;15,"10-14,9 литров",IF(O311&lt;20,"15-19,9 литров",IF(O311&lt;30,"20-29 литров",IF(O311&lt;50,"30-49 литров",IF(O311&lt;60,"50-59 литров",IF(O311&lt;70,"60-69 литров",IF(O311&lt;80,"70-79 литров",IF(O311&lt;90,"80-89 литров",IF(O311&lt;100,"90-99 литров",IF(O311&lt;200,"100-200 литров","200+ литров"))))))))))))))))))</f>
        <v/>
      </c>
      <c r="Q311" s="101">
        <f>IF(O311="","",IF(O311&lt;1,"&lt;1 л",IF(O311&lt;2,"1-2 л",IF(O311&lt;3,"2-3 л",IF(O311&lt;5,"3-5 л",IF(O311&lt;10,"5-10 л",IF(O311&lt;20,"10-20 л",IF(O311&lt;50,"20-50 л",IF(O311&lt;100,"50-100 л","100+ л")))))))))</f>
        <v/>
      </c>
      <c r="R311" s="162">
        <f>IF(E311="","",--LEFT(E311,FIND("х",E311)-1))</f>
        <v/>
      </c>
      <c r="S311" s="162">
        <f>IF(E311="","",--MID(E311,FIND("х",E311)+1,FIND("х",E311,FIND("х",E311)+1)-FIND("х",E311)-1))</f>
        <v/>
      </c>
      <c r="T311" s="162">
        <f>IF(E311="","",--RIGHT(E311,LEN(E311)-FIND("х",E311,FIND("х",E311)+1)))</f>
        <v/>
      </c>
      <c r="U311" s="66">
        <f>(2*(R311+S311)+60)*(S311+T311+8)/1000000</f>
        <v/>
      </c>
      <c r="V311" s="66">
        <f>IF(OR(AND(R311&gt;=2*S311,R311&gt;=2*T311),AND(S311&gt;=2*R311,S311&gt;=2*T311),AND(T311&gt;=2*R311,T311&gt;=2*S311)),"Длинные","")</f>
        <v/>
      </c>
      <c r="W311" s="66">
        <f>IF(OR(AND(R311&lt;=S311/2,R311&lt;=T311/2),AND(S311&lt;=R311/2,S311&lt;=T311/2),AND(T311&lt;=R311/2,T311&lt;=S311/2)),"Плоские","")</f>
        <v/>
      </c>
      <c r="X311" s="160">
        <f>IF(LARGE($R311:$T311,1)="","",IF(LARGE($R311:$T311,1)&lt;=99,"10-99 мм",IF(LARGE($R311:$T311,1)&lt;=199,"100-199 мм",IF(LARGE($R311:$T311,1)&lt;=299,"200-299 мм",IF(LARGE($R311:$T311,1)&lt;=399,"300-399 мм",IF(LARGE($R311:$T311,1)&lt;=499,"400-499 мм",IF(LARGE($R311:$T311,1)&lt;=599,"500-599 мм",IF(LARGE($R311:$T311,1)&lt;=699,"600-699 мм",IF(LARGE($R311:$T311,1)&lt;=999,"700-999 мм","1000+ мм")))))))))</f>
        <v/>
      </c>
      <c r="Y311" s="160">
        <f>IF(LARGE($R311:$T311,2)="","",IF(LARGE($R311:$T311,2)&lt;=99,"10-99 мм",IF(LARGE($R311:$T311,2)&lt;=199,"100-199 мм",IF(LARGE($R311:$T311,2)&lt;=299,"200-299 мм",IF(LARGE($R311:$T311,2)&lt;=399,"300-399 мм",IF(LARGE($R311:$T311,2)&lt;=499,"400-499 мм",IF(LARGE($R311:$T311,2)&lt;=599,"500-599 мм",IF(LARGE($R311:$T311,2)&lt;=699,"600-699 мм",IF(LARGE($R311:$T311,2)&lt;=999,"700-999 мм","1000+ мм")))))))))</f>
        <v/>
      </c>
      <c r="Z311" s="160">
        <f>IF(SMALL($R311:$T311,1)="","",IF(SMALL($R311:$T311,1)&lt;=99,"10-99 мм",IF(SMALL($R311:$T311,1)&lt;=199,"100-199 мм",IF(SMALL($R311:$T311,1)&lt;=299,"200-299 мм",IF(SMALL($R311:$T311,1)&lt;=399,"300-399 мм",IF(SMALL($R311:$T311,1)&lt;=499,"400-499 мм",IF(SMALL($R311:$T311,1)&lt;=599,"500-599 мм",IF(SMALL($R311:$T311,1)&lt;=699,"600-699 мм",IF(SMALL($R311:$T311,1)&lt;=999,"700-999 мм","1000+ мм")))))))))</f>
        <v/>
      </c>
      <c r="AA311" s="101">
        <f>IF(G311="","",IF(G311="Л","Лист гофрокартона",IF(G311="КД","Крышка-дно",IF(G311="С","Самосборные",IF(G311="Ч","Четырехклапанные",IF(G311="А","Архивные","Неизвестно"))))))</f>
        <v/>
      </c>
      <c r="AB311" s="66" t="n">
        <v>1.73</v>
      </c>
      <c r="AC311" s="101">
        <f>IF(O311="","",IF(O311&lt;=1,"0-1 литров",IF(O311&lt;=3,"2-3 литра",IF(O311&lt;=5,"4-5 литра",IF(O311&lt;=7,"6-7 литра",IF(O311&lt;=9,"8-9 литров",IF(O311&lt;=14,"10-14 литров",IF(O311&lt;=19,"15-19 литров",IF(O311&lt;=29,"20-29 литров",IF(O311&lt;=49,"30-49 литров",IF(O311&lt;=59,"50-59 литров",IF(O311&lt;=70,"60-69 литров",IF(O311&lt;=79,"70-79 литров",IF(O311&lt;=89,"80-89 литров",IF(O311&lt;=99,"90-99 литров",IF(O311&lt;=200,"100-200 литров","200+ литров"))))))))))))))))</f>
        <v/>
      </c>
    </row>
    <row r="312" customFormat="1" s="207">
      <c r="A312" s="92" t="n">
        <v>0.45</v>
      </c>
      <c r="B312" s="65">
        <f>A312*1.2</f>
        <v/>
      </c>
      <c r="C312" s="109" t="n">
        <v>312</v>
      </c>
      <c r="D312" s="116" t="inlineStr">
        <is>
          <t>0-БМ</t>
        </is>
      </c>
      <c r="E312" s="88" t="inlineStr">
        <is>
          <t>320х240х100</t>
        </is>
      </c>
      <c r="F312" s="213" t="inlineStr">
        <is>
          <t>обр</t>
        </is>
      </c>
      <c r="G312" s="83" t="inlineStr">
        <is>
          <t>Ч</t>
        </is>
      </c>
      <c r="H312" s="146" t="inlineStr">
        <is>
          <t>0201</t>
        </is>
      </c>
      <c r="I312" s="83" t="inlineStr">
        <is>
          <t>В</t>
        </is>
      </c>
      <c r="J312" s="83" t="inlineStr">
        <is>
          <t>без</t>
        </is>
      </c>
      <c r="K312" s="116" t="inlineStr">
        <is>
          <t>K511</t>
        </is>
      </c>
      <c r="L312" s="103" t="inlineStr">
        <is>
          <t>Sale</t>
        </is>
      </c>
      <c r="M312" s="239" t="n"/>
      <c r="N312" s="239">
        <f>IF(D312="","",IF(LEFT(D312,1)="0",0,1))</f>
        <v/>
      </c>
      <c r="O312" s="80">
        <f>ROUND(R312*S312*T312/1000000,2)</f>
        <v/>
      </c>
      <c r="P312" s="160">
        <f>IF(O312="","",
IF(O312&lt;1,"0,1-0,9 литров",
IF(O312&lt;2,"1-1,9 литра",
IF(O312&lt;3,"2-2,9 литра",
IF(O312&lt;4,"3-3,9 литра",
IF(O312&lt;6,"4-5,9 литра",IF(O312&lt;8,"6-7,9 литра",IF(O312&lt;10,"8-9,9 литров",IF(O312&lt;15,"10-14,9 литров",IF(O312&lt;20,"15-19,9 литров",IF(O312&lt;30,"20-29 литров",IF(O312&lt;50,"30-49 литров",IF(O312&lt;60,"50-59 литров",IF(O312&lt;70,"60-69 литров",IF(O312&lt;80,"70-79 литров",IF(O312&lt;90,"80-89 литров",IF(O312&lt;100,"90-99 литров",IF(O312&lt;200,"100-200 литров","200+ литров"))))))))))))))))))</f>
        <v/>
      </c>
      <c r="Q312" s="101">
        <f>IF(O312="","",IF(O312&lt;1,"&lt;1 л",IF(O312&lt;2,"1-2 л",IF(O312&lt;3,"2-3 л",IF(O312&lt;5,"3-5 л",IF(O312&lt;10,"5-10 л",IF(O312&lt;20,"10-20 л",IF(O312&lt;50,"20-50 л",IF(O312&lt;100,"50-100 л","100+ л")))))))))</f>
        <v/>
      </c>
      <c r="R312" s="162">
        <f>IF(E312="","",--LEFT(E312,FIND("х",E312)-1))</f>
        <v/>
      </c>
      <c r="S312" s="162">
        <f>IF(E312="","",--MID(E312,FIND("х",E312)+1,FIND("х",E312,FIND("х",E312)+1)-FIND("х",E312)-1))</f>
        <v/>
      </c>
      <c r="T312" s="162">
        <f>IF(E312="","",--RIGHT(E312,LEN(E312)-FIND("х",E312,FIND("х",E312)+1)))</f>
        <v/>
      </c>
      <c r="U312" s="66">
        <f>(2*(R312+S312)+60)*(S312+T312+8)/1000000</f>
        <v/>
      </c>
      <c r="V312" s="66">
        <f>IF(OR(AND(R312&gt;=2*S312,R312&gt;=2*T312),AND(S312&gt;=2*R312,S312&gt;=2*T312),AND(T312&gt;=2*R312,T312&gt;=2*S312)),"Длинные","")</f>
        <v/>
      </c>
      <c r="W312" s="66">
        <f>IF(OR(AND(R312&lt;=S312/2,R312&lt;=T312/2),AND(S312&lt;=R312/2,S312&lt;=T312/2),AND(T312&lt;=R312/2,T312&lt;=S312/2)),"Плоские","")</f>
        <v/>
      </c>
      <c r="X312" s="160">
        <f>IF(LARGE($R312:$T312,1)="","",IF(LARGE($R312:$T312,1)&lt;=99,"10-99 мм",IF(LARGE($R312:$T312,1)&lt;=199,"100-199 мм",IF(LARGE($R312:$T312,1)&lt;=299,"200-299 мм",IF(LARGE($R312:$T312,1)&lt;=399,"300-399 мм",IF(LARGE($R312:$T312,1)&lt;=499,"400-499 мм",IF(LARGE($R312:$T312,1)&lt;=599,"500-599 мм",IF(LARGE($R312:$T312,1)&lt;=699,"600-699 мм",IF(LARGE($R312:$T312,1)&lt;=999,"700-999 мм","1000+ мм")))))))))</f>
        <v/>
      </c>
      <c r="Y312" s="160">
        <f>IF(LARGE($R312:$T312,2)="","",IF(LARGE($R312:$T312,2)&lt;=99,"10-99 мм",IF(LARGE($R312:$T312,2)&lt;=199,"100-199 мм",IF(LARGE($R312:$T312,2)&lt;=299,"200-299 мм",IF(LARGE($R312:$T312,2)&lt;=399,"300-399 мм",IF(LARGE($R312:$T312,2)&lt;=499,"400-499 мм",IF(LARGE($R312:$T312,2)&lt;=599,"500-599 мм",IF(LARGE($R312:$T312,2)&lt;=699,"600-699 мм",IF(LARGE($R312:$T312,2)&lt;=999,"700-999 мм","1000+ мм")))))))))</f>
        <v/>
      </c>
      <c r="Z312" s="160">
        <f>IF(SMALL($R312:$T312,1)="","",IF(SMALL($R312:$T312,1)&lt;=99,"10-99 мм",IF(SMALL($R312:$T312,1)&lt;=199,"100-199 мм",IF(SMALL($R312:$T312,1)&lt;=299,"200-299 мм",IF(SMALL($R312:$T312,1)&lt;=399,"300-399 мм",IF(SMALL($R312:$T312,1)&lt;=499,"400-499 мм",IF(SMALL($R312:$T312,1)&lt;=599,"500-599 мм",IF(SMALL($R312:$T312,1)&lt;=699,"600-699 мм",IF(SMALL($R312:$T312,1)&lt;=999,"700-999 мм","1000+ мм")))))))))</f>
        <v/>
      </c>
      <c r="AA312" s="101">
        <f>IF(G312="","",IF(G312="Л","Лист гофрокартона",IF(G312="КД","Крышка-дно",IF(G312="С","Самосборные",IF(G312="Ч","Четырехклапанные",IF(G312="А","Архивные","Неизвестно"))))))</f>
        <v/>
      </c>
      <c r="AB312" s="66" t="n">
        <v>1.73</v>
      </c>
      <c r="AC312" s="101">
        <f>IF(O312="","",IF(O312&lt;=1,"0-1 литров",IF(O312&lt;=3,"2-3 литра",IF(O312&lt;=5,"4-5 литра",IF(O312&lt;=7,"6-7 литра",IF(O312&lt;=9,"8-9 литров",IF(O312&lt;=14,"10-14 литров",IF(O312&lt;=19,"15-19 литров",IF(O312&lt;=29,"20-29 литров",IF(O312&lt;=49,"30-49 литров",IF(O312&lt;=59,"50-59 литров",IF(O312&lt;=70,"60-69 литров",IF(O312&lt;=79,"70-79 литров",IF(O312&lt;=89,"80-89 литров",IF(O312&lt;=99,"90-99 литров",IF(O312&lt;=200,"100-200 литров","200+ литров"))))))))))))))))</f>
        <v/>
      </c>
    </row>
    <row r="313" customFormat="1" s="207">
      <c r="A313" s="92" t="n">
        <v>1.65</v>
      </c>
      <c r="B313" s="65">
        <f>A313*1.2</f>
        <v/>
      </c>
      <c r="C313" s="109" t="n">
        <v>313</v>
      </c>
      <c r="D313" s="116" t="inlineStr">
        <is>
          <t>0-БМ</t>
        </is>
      </c>
      <c r="E313" s="88" t="inlineStr">
        <is>
          <t>530х390х390</t>
        </is>
      </c>
      <c r="F313" s="213" t="inlineStr">
        <is>
          <t>обр</t>
        </is>
      </c>
      <c r="G313" s="83" t="inlineStr">
        <is>
          <t>Ч</t>
        </is>
      </c>
      <c r="H313" s="146" t="inlineStr">
        <is>
          <t>0201</t>
        </is>
      </c>
      <c r="I313" s="83" t="inlineStr">
        <is>
          <t>В</t>
        </is>
      </c>
      <c r="J313" s="83" t="inlineStr">
        <is>
          <t>без</t>
        </is>
      </c>
      <c r="K313" s="116" t="inlineStr">
        <is>
          <t>K512</t>
        </is>
      </c>
      <c r="L313" s="103" t="n"/>
      <c r="M313" s="239" t="n"/>
      <c r="N313" s="239">
        <f>IF(D313="","",IF(LEFT(D313,1)="0",0,1))</f>
        <v/>
      </c>
      <c r="O313" s="80">
        <f>ROUND(R313*S313*T313/1000000,2)</f>
        <v/>
      </c>
      <c r="P313" s="160">
        <f>IF(O313="","",
IF(O313&lt;1,"0,1-0,9 литров",
IF(O313&lt;2,"1-1,9 литра",
IF(O313&lt;3,"2-2,9 литра",
IF(O313&lt;4,"3-3,9 литра",
IF(O313&lt;6,"4-5,9 литра",IF(O313&lt;8,"6-7,9 литра",IF(O313&lt;10,"8-9,9 литров",IF(O313&lt;15,"10-14,9 литров",IF(O313&lt;20,"15-19,9 литров",IF(O313&lt;30,"20-29 литров",IF(O313&lt;50,"30-49 литров",IF(O313&lt;60,"50-59 литров",IF(O313&lt;70,"60-69 литров",IF(O313&lt;80,"70-79 литров",IF(O313&lt;90,"80-89 литров",IF(O313&lt;100,"90-99 литров",IF(O313&lt;200,"100-200 литров","200+ литров"))))))))))))))))))</f>
        <v/>
      </c>
      <c r="Q313" s="101">
        <f>IF(O313="","",IF(O313&lt;1,"&lt;1 л",IF(O313&lt;2,"1-2 л",IF(O313&lt;3,"2-3 л",IF(O313&lt;5,"3-5 л",IF(O313&lt;10,"5-10 л",IF(O313&lt;20,"10-20 л",IF(O313&lt;50,"20-50 л",IF(O313&lt;100,"50-100 л","100+ л")))))))))</f>
        <v/>
      </c>
      <c r="R313" s="162">
        <f>IF(E313="","",--LEFT(E313,FIND("х",E313)-1))</f>
        <v/>
      </c>
      <c r="S313" s="162">
        <f>IF(E313="","",--MID(E313,FIND("х",E313)+1,FIND("х",E313,FIND("х",E313)+1)-FIND("х",E313)-1))</f>
        <v/>
      </c>
      <c r="T313" s="162">
        <f>IF(E313="","",--RIGHT(E313,LEN(E313)-FIND("х",E313,FIND("х",E313)+1)))</f>
        <v/>
      </c>
      <c r="U313" s="66">
        <f>(2*(R313+S313)+60)*(S313+T313+8)/1000000</f>
        <v/>
      </c>
      <c r="V313" s="66">
        <f>IF(OR(AND(R313&gt;=2*S313,R313&gt;=2*T313),AND(S313&gt;=2*R313,S313&gt;=2*T313),AND(T313&gt;=2*R313,T313&gt;=2*S313)),"Длинные","")</f>
        <v/>
      </c>
      <c r="W313" s="66">
        <f>IF(OR(AND(R313&lt;=S313/2,R313&lt;=T313/2),AND(S313&lt;=R313/2,S313&lt;=T313/2),AND(T313&lt;=R313/2,T313&lt;=S313/2)),"Плоские","")</f>
        <v/>
      </c>
      <c r="X313" s="160">
        <f>IF(LARGE($R313:$T313,1)="","",IF(LARGE($R313:$T313,1)&lt;=99,"10-99 мм",IF(LARGE($R313:$T313,1)&lt;=199,"100-199 мм",IF(LARGE($R313:$T313,1)&lt;=299,"200-299 мм",IF(LARGE($R313:$T313,1)&lt;=399,"300-399 мм",IF(LARGE($R313:$T313,1)&lt;=499,"400-499 мм",IF(LARGE($R313:$T313,1)&lt;=599,"500-599 мм",IF(LARGE($R313:$T313,1)&lt;=699,"600-699 мм",IF(LARGE($R313:$T313,1)&lt;=999,"700-999 мм","1000+ мм")))))))))</f>
        <v/>
      </c>
      <c r="Y313" s="160">
        <f>IF(LARGE($R313:$T313,2)="","",IF(LARGE($R313:$T313,2)&lt;=99,"10-99 мм",IF(LARGE($R313:$T313,2)&lt;=199,"100-199 мм",IF(LARGE($R313:$T313,2)&lt;=299,"200-299 мм",IF(LARGE($R313:$T313,2)&lt;=399,"300-399 мм",IF(LARGE($R313:$T313,2)&lt;=499,"400-499 мм",IF(LARGE($R313:$T313,2)&lt;=599,"500-599 мм",IF(LARGE($R313:$T313,2)&lt;=699,"600-699 мм",IF(LARGE($R313:$T313,2)&lt;=999,"700-999 мм","1000+ мм")))))))))</f>
        <v/>
      </c>
      <c r="Z313" s="160">
        <f>IF(SMALL($R313:$T313,1)="","",IF(SMALL($R313:$T313,1)&lt;=99,"10-99 мм",IF(SMALL($R313:$T313,1)&lt;=199,"100-199 мм",IF(SMALL($R313:$T313,1)&lt;=299,"200-299 мм",IF(SMALL($R313:$T313,1)&lt;=399,"300-399 мм",IF(SMALL($R313:$T313,1)&lt;=499,"400-499 мм",IF(SMALL($R313:$T313,1)&lt;=599,"500-599 мм",IF(SMALL($R313:$T313,1)&lt;=699,"600-699 мм",IF(SMALL($R313:$T313,1)&lt;=999,"700-999 мм","1000+ мм")))))))))</f>
        <v/>
      </c>
      <c r="AA313" s="101">
        <f>IF(G313="","",IF(G313="Л","Лист гофрокартона",IF(G313="КД","Крышка-дно",IF(G313="С","Самосборные",IF(G313="Ч","Четырехклапанные",IF(G313="А","Архивные","Неизвестно"))))))</f>
        <v/>
      </c>
      <c r="AB313" s="66" t="n">
        <v>1.73</v>
      </c>
      <c r="AC313" s="101">
        <f>IF(O313="","",IF(O313&lt;=1,"0-1 литров",IF(O313&lt;=3,"2-3 литра",IF(O313&lt;=5,"4-5 литра",IF(O313&lt;=7,"6-7 литра",IF(O313&lt;=9,"8-9 литров",IF(O313&lt;=14,"10-14 литров",IF(O313&lt;=19,"15-19 литров",IF(O313&lt;=29,"20-29 литров",IF(O313&lt;=49,"30-49 литров",IF(O313&lt;=59,"50-59 литров",IF(O313&lt;=70,"60-69 литров",IF(O313&lt;=79,"70-79 литров",IF(O313&lt;=89,"80-89 литров",IF(O313&lt;=99,"90-99 литров",IF(O313&lt;=200,"100-200 литров","200+ литров"))))))))))))))))</f>
        <v/>
      </c>
    </row>
    <row r="314" customFormat="1" s="207">
      <c r="A314" s="92" t="n">
        <v>0.37</v>
      </c>
      <c r="B314" s="65">
        <f>A314*1.2</f>
        <v/>
      </c>
      <c r="C314" s="109" t="n">
        <v>314</v>
      </c>
      <c r="D314" s="116" t="inlineStr">
        <is>
          <t>0-БМ</t>
        </is>
      </c>
      <c r="E314" s="88" t="inlineStr">
        <is>
          <t>250х150х140</t>
        </is>
      </c>
      <c r="F314" s="213" t="inlineStr">
        <is>
          <t>обр</t>
        </is>
      </c>
      <c r="G314" s="83" t="inlineStr">
        <is>
          <t>Ч</t>
        </is>
      </c>
      <c r="H314" s="146" t="inlineStr">
        <is>
          <t>0201</t>
        </is>
      </c>
      <c r="I314" s="83" t="inlineStr">
        <is>
          <t>В</t>
        </is>
      </c>
      <c r="J314" s="83" t="inlineStr">
        <is>
          <t>без</t>
        </is>
      </c>
      <c r="K314" s="116" t="inlineStr">
        <is>
          <t>K513</t>
        </is>
      </c>
      <c r="L314" s="103" t="inlineStr">
        <is>
          <t>Sale</t>
        </is>
      </c>
      <c r="M314" s="239" t="n"/>
      <c r="N314" s="239">
        <f>IF(D314="","",IF(LEFT(D314,1)="0",0,1))</f>
        <v/>
      </c>
      <c r="O314" s="80">
        <f>ROUND(R314*S314*T314/1000000,2)</f>
        <v/>
      </c>
      <c r="P314" s="160">
        <f>IF(O314="","",
IF(O314&lt;1,"0,1-0,9 литров",
IF(O314&lt;2,"1-1,9 литра",
IF(O314&lt;3,"2-2,9 литра",
IF(O314&lt;4,"3-3,9 литра",
IF(O314&lt;6,"4-5,9 литра",IF(O314&lt;8,"6-7,9 литра",IF(O314&lt;10,"8-9,9 литров",IF(O314&lt;15,"10-14,9 литров",IF(O314&lt;20,"15-19,9 литров",IF(O314&lt;30,"20-29 литров",IF(O314&lt;50,"30-49 литров",IF(O314&lt;60,"50-59 литров",IF(O314&lt;70,"60-69 литров",IF(O314&lt;80,"70-79 литров",IF(O314&lt;90,"80-89 литров",IF(O314&lt;100,"90-99 литров",IF(O314&lt;200,"100-200 литров","200+ литров"))))))))))))))))))</f>
        <v/>
      </c>
      <c r="Q314" s="101">
        <f>IF(O314="","",IF(O314&lt;1,"&lt;1 л",IF(O314&lt;2,"1-2 л",IF(O314&lt;3,"2-3 л",IF(O314&lt;5,"3-5 л",IF(O314&lt;10,"5-10 л",IF(O314&lt;20,"10-20 л",IF(O314&lt;50,"20-50 л",IF(O314&lt;100,"50-100 л","100+ л")))))))))</f>
        <v/>
      </c>
      <c r="R314" s="162">
        <f>IF(E314="","",--LEFT(E314,FIND("х",E314)-1))</f>
        <v/>
      </c>
      <c r="S314" s="162">
        <f>IF(E314="","",--MID(E314,FIND("х",E314)+1,FIND("х",E314,FIND("х",E314)+1)-FIND("х",E314)-1))</f>
        <v/>
      </c>
      <c r="T314" s="162">
        <f>IF(E314="","",--RIGHT(E314,LEN(E314)-FIND("х",E314,FIND("х",E314)+1)))</f>
        <v/>
      </c>
      <c r="U314" s="66">
        <f>(2*(R314+S314)+60)*(S314+T314+8)/1000000</f>
        <v/>
      </c>
      <c r="V314" s="66">
        <f>IF(OR(AND(R314&gt;=2*S314,R314&gt;=2*T314),AND(S314&gt;=2*R314,S314&gt;=2*T314),AND(T314&gt;=2*R314,T314&gt;=2*S314)),"Длинные","")</f>
        <v/>
      </c>
      <c r="W314" s="66">
        <f>IF(OR(AND(R314&lt;=S314/2,R314&lt;=T314/2),AND(S314&lt;=R314/2,S314&lt;=T314/2),AND(T314&lt;=R314/2,T314&lt;=S314/2)),"Плоские","")</f>
        <v/>
      </c>
      <c r="X314" s="160">
        <f>IF(LARGE($R314:$T314,1)="","",IF(LARGE($R314:$T314,1)&lt;=99,"10-99 мм",IF(LARGE($R314:$T314,1)&lt;=199,"100-199 мм",IF(LARGE($R314:$T314,1)&lt;=299,"200-299 мм",IF(LARGE($R314:$T314,1)&lt;=399,"300-399 мм",IF(LARGE($R314:$T314,1)&lt;=499,"400-499 мм",IF(LARGE($R314:$T314,1)&lt;=599,"500-599 мм",IF(LARGE($R314:$T314,1)&lt;=699,"600-699 мм",IF(LARGE($R314:$T314,1)&lt;=999,"700-999 мм","1000+ мм")))))))))</f>
        <v/>
      </c>
      <c r="Y314" s="160">
        <f>IF(LARGE($R314:$T314,2)="","",IF(LARGE($R314:$T314,2)&lt;=99,"10-99 мм",IF(LARGE($R314:$T314,2)&lt;=199,"100-199 мм",IF(LARGE($R314:$T314,2)&lt;=299,"200-299 мм",IF(LARGE($R314:$T314,2)&lt;=399,"300-399 мм",IF(LARGE($R314:$T314,2)&lt;=499,"400-499 мм",IF(LARGE($R314:$T314,2)&lt;=599,"500-599 мм",IF(LARGE($R314:$T314,2)&lt;=699,"600-699 мм",IF(LARGE($R314:$T314,2)&lt;=999,"700-999 мм","1000+ мм")))))))))</f>
        <v/>
      </c>
      <c r="Z314" s="160">
        <f>IF(SMALL($R314:$T314,1)="","",IF(SMALL($R314:$T314,1)&lt;=99,"10-99 мм",IF(SMALL($R314:$T314,1)&lt;=199,"100-199 мм",IF(SMALL($R314:$T314,1)&lt;=299,"200-299 мм",IF(SMALL($R314:$T314,1)&lt;=399,"300-399 мм",IF(SMALL($R314:$T314,1)&lt;=499,"400-499 мм",IF(SMALL($R314:$T314,1)&lt;=599,"500-599 мм",IF(SMALL($R314:$T314,1)&lt;=699,"600-699 мм",IF(SMALL($R314:$T314,1)&lt;=999,"700-999 мм","1000+ мм")))))))))</f>
        <v/>
      </c>
      <c r="AA314" s="101">
        <f>IF(G314="","",IF(G314="Л","Лист гофрокартона",IF(G314="КД","Крышка-дно",IF(G314="С","Самосборные",IF(G314="Ч","Четырехклапанные",IF(G314="А","Архивные","Неизвестно"))))))</f>
        <v/>
      </c>
      <c r="AB314" s="66" t="n">
        <v>1.73</v>
      </c>
      <c r="AC314" s="101">
        <f>IF(O314="","",IF(O314&lt;=1,"0-1 литров",IF(O314&lt;=3,"2-3 литра",IF(O314&lt;=5,"4-5 литра",IF(O314&lt;=7,"6-7 литра",IF(O314&lt;=9,"8-9 литров",IF(O314&lt;=14,"10-14 литров",IF(O314&lt;=19,"15-19 литров",IF(O314&lt;=29,"20-29 литров",IF(O314&lt;=49,"30-49 литров",IF(O314&lt;=59,"50-59 литров",IF(O314&lt;=70,"60-69 литров",IF(O314&lt;=79,"70-79 литров",IF(O314&lt;=89,"80-89 литров",IF(O314&lt;=99,"90-99 литров",IF(O314&lt;=200,"100-200 литров","200+ литров"))))))))))))))))</f>
        <v/>
      </c>
    </row>
    <row r="315" customFormat="1" s="207">
      <c r="A315" s="92" t="n">
        <v>0.46</v>
      </c>
      <c r="B315" s="65">
        <f>A315*1.2</f>
        <v/>
      </c>
      <c r="C315" s="109" t="n">
        <v>315</v>
      </c>
      <c r="D315" s="116" t="inlineStr">
        <is>
          <t>БМ</t>
        </is>
      </c>
      <c r="E315" s="88" t="inlineStr">
        <is>
          <t>260х170х170</t>
        </is>
      </c>
      <c r="F315" s="213" t="inlineStr">
        <is>
          <t>обр</t>
        </is>
      </c>
      <c r="G315" s="83" t="inlineStr">
        <is>
          <t>Ч</t>
        </is>
      </c>
      <c r="H315" s="146" t="inlineStr">
        <is>
          <t>0201</t>
        </is>
      </c>
      <c r="I315" s="83" t="inlineStr">
        <is>
          <t>В</t>
        </is>
      </c>
      <c r="J315" s="83" t="inlineStr">
        <is>
          <t>без</t>
        </is>
      </c>
      <c r="K315" s="116" t="inlineStr">
        <is>
          <t>K514</t>
        </is>
      </c>
      <c r="L315" s="103" t="n"/>
      <c r="M315" s="239" t="n"/>
      <c r="N315" s="239">
        <f>IF(D315="","",IF(LEFT(D315,1)="0",0,1))</f>
        <v/>
      </c>
      <c r="O315" s="80">
        <f>ROUND(R315*S315*T315/1000000,2)</f>
        <v/>
      </c>
      <c r="P315" s="160">
        <f>IF(O315="","",
IF(O315&lt;1,"0,1-0,9 литров",
IF(O315&lt;2,"1-1,9 литра",
IF(O315&lt;3,"2-2,9 литра",
IF(O315&lt;4,"3-3,9 литра",
IF(O315&lt;6,"4-5,9 литра",IF(O315&lt;8,"6-7,9 литра",IF(O315&lt;10,"8-9,9 литров",IF(O315&lt;15,"10-14,9 литров",IF(O315&lt;20,"15-19,9 литров",IF(O315&lt;30,"20-29 литров",IF(O315&lt;50,"30-49 литров",IF(O315&lt;60,"50-59 литров",IF(O315&lt;70,"60-69 литров",IF(O315&lt;80,"70-79 литров",IF(O315&lt;90,"80-89 литров",IF(O315&lt;100,"90-99 литров",IF(O315&lt;200,"100-200 литров","200+ литров"))))))))))))))))))</f>
        <v/>
      </c>
      <c r="Q315" s="101">
        <f>IF(O315="","",IF(O315&lt;1,"&lt;1 л",IF(O315&lt;2,"1-2 л",IF(O315&lt;3,"2-3 л",IF(O315&lt;5,"3-5 л",IF(O315&lt;10,"5-10 л",IF(O315&lt;20,"10-20 л",IF(O315&lt;50,"20-50 л",IF(O315&lt;100,"50-100 л","100+ л")))))))))</f>
        <v/>
      </c>
      <c r="R315" s="162">
        <f>IF(E315="","",--LEFT(E315,FIND("х",E315)-1))</f>
        <v/>
      </c>
      <c r="S315" s="162">
        <f>IF(E315="","",--MID(E315,FIND("х",E315)+1,FIND("х",E315,FIND("х",E315)+1)-FIND("х",E315)-1))</f>
        <v/>
      </c>
      <c r="T315" s="162">
        <f>IF(E315="","",--RIGHT(E315,LEN(E315)-FIND("х",E315,FIND("х",E315)+1)))</f>
        <v/>
      </c>
      <c r="U315" s="66">
        <f>(2*(R315+S315)+60)*(S315+T315+8)/1000000</f>
        <v/>
      </c>
      <c r="V315" s="66">
        <f>IF(OR(AND(R315&gt;=2*S315,R315&gt;=2*T315),AND(S315&gt;=2*R315,S315&gt;=2*T315),AND(T315&gt;=2*R315,T315&gt;=2*S315)),"Длинные","")</f>
        <v/>
      </c>
      <c r="W315" s="66">
        <f>IF(OR(AND(R315&lt;=S315/2,R315&lt;=T315/2),AND(S315&lt;=R315/2,S315&lt;=T315/2),AND(T315&lt;=R315/2,T315&lt;=S315/2)),"Плоские","")</f>
        <v/>
      </c>
      <c r="X315" s="160">
        <f>IF(LARGE($R315:$T315,1)="","",IF(LARGE($R315:$T315,1)&lt;=99,"10-99 мм",IF(LARGE($R315:$T315,1)&lt;=199,"100-199 мм",IF(LARGE($R315:$T315,1)&lt;=299,"200-299 мм",IF(LARGE($R315:$T315,1)&lt;=399,"300-399 мм",IF(LARGE($R315:$T315,1)&lt;=499,"400-499 мм",IF(LARGE($R315:$T315,1)&lt;=599,"500-599 мм",IF(LARGE($R315:$T315,1)&lt;=699,"600-699 мм",IF(LARGE($R315:$T315,1)&lt;=999,"700-999 мм","1000+ мм")))))))))</f>
        <v/>
      </c>
      <c r="Y315" s="160">
        <f>IF(LARGE($R315:$T315,2)="","",IF(LARGE($R315:$T315,2)&lt;=99,"10-99 мм",IF(LARGE($R315:$T315,2)&lt;=199,"100-199 мм",IF(LARGE($R315:$T315,2)&lt;=299,"200-299 мм",IF(LARGE($R315:$T315,2)&lt;=399,"300-399 мм",IF(LARGE($R315:$T315,2)&lt;=499,"400-499 мм",IF(LARGE($R315:$T315,2)&lt;=599,"500-599 мм",IF(LARGE($R315:$T315,2)&lt;=699,"600-699 мм",IF(LARGE($R315:$T315,2)&lt;=999,"700-999 мм","1000+ мм")))))))))</f>
        <v/>
      </c>
      <c r="Z315" s="160">
        <f>IF(SMALL($R315:$T315,1)="","",IF(SMALL($R315:$T315,1)&lt;=99,"10-99 мм",IF(SMALL($R315:$T315,1)&lt;=199,"100-199 мм",IF(SMALL($R315:$T315,1)&lt;=299,"200-299 мм",IF(SMALL($R315:$T315,1)&lt;=399,"300-399 мм",IF(SMALL($R315:$T315,1)&lt;=499,"400-499 мм",IF(SMALL($R315:$T315,1)&lt;=599,"500-599 мм",IF(SMALL($R315:$T315,1)&lt;=699,"600-699 мм",IF(SMALL($R315:$T315,1)&lt;=999,"700-999 мм","1000+ мм")))))))))</f>
        <v/>
      </c>
      <c r="AA315" s="101">
        <f>IF(G315="","",IF(G315="Л","Лист гофрокартона",IF(G315="КД","Крышка-дно",IF(G315="С","Самосборные",IF(G315="Ч","Четырехклапанные",IF(G315="А","Архивные","Неизвестно"))))))</f>
        <v/>
      </c>
      <c r="AB315" s="66" t="n">
        <v>1.73</v>
      </c>
      <c r="AC315" s="101">
        <f>IF(O315="","",IF(O315&lt;=1,"0-1 литров",IF(O315&lt;=3,"2-3 литра",IF(O315&lt;=5,"4-5 литра",IF(O315&lt;=7,"6-7 литра",IF(O315&lt;=9,"8-9 литров",IF(O315&lt;=14,"10-14 литров",IF(O315&lt;=19,"15-19 литров",IF(O315&lt;=29,"20-29 литров",IF(O315&lt;=49,"30-49 литров",IF(O315&lt;=59,"50-59 литров",IF(O315&lt;=70,"60-69 литров",IF(O315&lt;=79,"70-79 литров",IF(O315&lt;=89,"80-89 литров",IF(O315&lt;=99,"90-99 литров",IF(O315&lt;=200,"100-200 литров","200+ литров"))))))))))))))))</f>
        <v/>
      </c>
    </row>
    <row r="316" customFormat="1" s="207">
      <c r="A316" s="64" t="n">
        <v>0.39</v>
      </c>
      <c r="B316" s="65">
        <f>A316*1.2</f>
        <v/>
      </c>
      <c r="C316" s="109" t="n">
        <v>316</v>
      </c>
      <c r="D316" s="116" t="inlineStr">
        <is>
          <t>У</t>
        </is>
      </c>
      <c r="E316" s="88" t="inlineStr">
        <is>
          <t xml:space="preserve">147х127х257 </t>
        </is>
      </c>
      <c r="F316" s="213" t="n"/>
      <c r="G316" s="83" t="inlineStr">
        <is>
          <t>Ч</t>
        </is>
      </c>
      <c r="H316" s="146" t="inlineStr">
        <is>
          <t>0201</t>
        </is>
      </c>
      <c r="I316" s="83" t="inlineStr">
        <is>
          <t>В</t>
        </is>
      </c>
      <c r="J316" s="83" t="inlineStr">
        <is>
          <t>У</t>
        </is>
      </c>
      <c r="K316" s="116" t="inlineStr">
        <is>
          <t>K264</t>
        </is>
      </c>
      <c r="L316" s="103" t="n"/>
      <c r="M316" s="239" t="n"/>
      <c r="N316" s="239">
        <f>IF(D316="","",IF(LEFT(D316,1)="0",0,1))</f>
        <v/>
      </c>
      <c r="O316" s="80">
        <f>ROUND(R316*S316*T316/1000000,2)</f>
        <v/>
      </c>
      <c r="P316" s="160">
        <f>IF(O316="","",
IF(O316&lt;1,"0,1-0,9 литров",
IF(O316&lt;2,"1-1,9 литра",
IF(O316&lt;3,"2-2,9 литра",
IF(O316&lt;4,"3-3,9 литра",
IF(O316&lt;6,"4-5,9 литра",IF(O316&lt;8,"6-7,9 литра",IF(O316&lt;10,"8-9,9 литров",IF(O316&lt;15,"10-14,9 литров",IF(O316&lt;20,"15-19,9 литров",IF(O316&lt;30,"20-29 литров",IF(O316&lt;50,"30-49 литров",IF(O316&lt;60,"50-59 литров",IF(O316&lt;70,"60-69 литров",IF(O316&lt;80,"70-79 литров",IF(O316&lt;90,"80-89 литров",IF(O316&lt;100,"90-99 литров",IF(O316&lt;200,"100-200 литров","200+ литров"))))))))))))))))))</f>
        <v/>
      </c>
      <c r="Q316" s="101">
        <f>IF(O316="","",IF(O316&lt;1,"&lt;1 л",IF(O316&lt;2,"1-2 л",IF(O316&lt;3,"2-3 л",IF(O316&lt;5,"3-5 л",IF(O316&lt;10,"5-10 л",IF(O316&lt;20,"10-20 л",IF(O316&lt;50,"20-50 л",IF(O316&lt;100,"50-100 л","100+ л")))))))))</f>
        <v/>
      </c>
      <c r="R316" s="162">
        <f>IF(E316="","",--LEFT(E316,FIND("х",E316)-1))</f>
        <v/>
      </c>
      <c r="S316" s="162">
        <f>IF(E316="","",--MID(E316,FIND("х",E316)+1,FIND("х",E316,FIND("х",E316)+1)-FIND("х",E316)-1))</f>
        <v/>
      </c>
      <c r="T316" s="162">
        <f>IF(E316="","",--RIGHT(E316,LEN(E316)-FIND("х",E316,FIND("х",E316)+1)))</f>
        <v/>
      </c>
      <c r="U316" s="66">
        <f>(2*(R316+S316)+60)*(S316+T316+8)/1000000</f>
        <v/>
      </c>
      <c r="V316" s="66">
        <f>IF(OR(AND(R316&gt;=2*S316,R316&gt;=2*T316),AND(S316&gt;=2*R316,S316&gt;=2*T316),AND(T316&gt;=2*R316,T316&gt;=2*S316)),"Длинные","")</f>
        <v/>
      </c>
      <c r="W316" s="66">
        <f>IF(OR(AND(R316&lt;=S316/2,R316&lt;=T316/2),AND(S316&lt;=R316/2,S316&lt;=T316/2),AND(T316&lt;=R316/2,T316&lt;=S316/2)),"Плоские","")</f>
        <v/>
      </c>
      <c r="X316" s="160">
        <f>IF(LARGE($R316:$T316,1)="","",IF(LARGE($R316:$T316,1)&lt;=99,"10-99 мм",IF(LARGE($R316:$T316,1)&lt;=199,"100-199 мм",IF(LARGE($R316:$T316,1)&lt;=299,"200-299 мм",IF(LARGE($R316:$T316,1)&lt;=399,"300-399 мм",IF(LARGE($R316:$T316,1)&lt;=499,"400-499 мм",IF(LARGE($R316:$T316,1)&lt;=599,"500-599 мм",IF(LARGE($R316:$T316,1)&lt;=699,"600-699 мм",IF(LARGE($R316:$T316,1)&lt;=999,"700-999 мм","1000+ мм")))))))))</f>
        <v/>
      </c>
      <c r="Y316" s="160">
        <f>IF(LARGE($R316:$T316,2)="","",IF(LARGE($R316:$T316,2)&lt;=99,"10-99 мм",IF(LARGE($R316:$T316,2)&lt;=199,"100-199 мм",IF(LARGE($R316:$T316,2)&lt;=299,"200-299 мм",IF(LARGE($R316:$T316,2)&lt;=399,"300-399 мм",IF(LARGE($R316:$T316,2)&lt;=499,"400-499 мм",IF(LARGE($R316:$T316,2)&lt;=599,"500-599 мм",IF(LARGE($R316:$T316,2)&lt;=699,"600-699 мм",IF(LARGE($R316:$T316,2)&lt;=999,"700-999 мм","1000+ мм")))))))))</f>
        <v/>
      </c>
      <c r="Z316" s="160">
        <f>IF(SMALL($R316:$T316,1)="","",IF(SMALL($R316:$T316,1)&lt;=99,"10-99 мм",IF(SMALL($R316:$T316,1)&lt;=199,"100-199 мм",IF(SMALL($R316:$T316,1)&lt;=299,"200-299 мм",IF(SMALL($R316:$T316,1)&lt;=399,"300-399 мм",IF(SMALL($R316:$T316,1)&lt;=499,"400-499 мм",IF(SMALL($R316:$T316,1)&lt;=599,"500-599 мм",IF(SMALL($R316:$T316,1)&lt;=699,"600-699 мм",IF(SMALL($R316:$T316,1)&lt;=999,"700-999 мм","1000+ мм")))))))))</f>
        <v/>
      </c>
      <c r="AA316" s="101">
        <f>IF(G316="","",IF(G316="Л","Лист гофрокартона",IF(G316="КД","Крышка-дно",IF(G316="С","Самосборные",IF(G316="Ч","Четырехклапанные",IF(G316="А","Архивные","Неизвестно"))))))</f>
        <v/>
      </c>
      <c r="AB316" s="66" t="n">
        <v>1.73</v>
      </c>
      <c r="AC316" s="101">
        <f>IF(O316="","",IF(O316&lt;=1,"0-1 литров",IF(O316&lt;=3,"2-3 литра",IF(O316&lt;=5,"4-5 литра",IF(O316&lt;=7,"6-7 литра",IF(O316&lt;=9,"8-9 литров",IF(O316&lt;=14,"10-14 литров",IF(O316&lt;=19,"15-19 литров",IF(O316&lt;=29,"20-29 литров",IF(O316&lt;=49,"30-49 литров",IF(O316&lt;=59,"50-59 литров",IF(O316&lt;=70,"60-69 литров",IF(O316&lt;=79,"70-79 литров",IF(O316&lt;=89,"80-89 литров",IF(O316&lt;=99,"90-99 литров",IF(O316&lt;=200,"100-200 литров","200+ литров"))))))))))))))))</f>
        <v/>
      </c>
    </row>
    <row r="317" customFormat="1" s="207">
      <c r="A317" s="64" t="n">
        <v>0.67</v>
      </c>
      <c r="B317" s="65">
        <f>A317*1.2</f>
        <v/>
      </c>
      <c r="C317" s="109" t="n">
        <v>317</v>
      </c>
      <c r="D317" s="116" t="inlineStr">
        <is>
          <t>У</t>
        </is>
      </c>
      <c r="E317" s="88" t="inlineStr">
        <is>
          <t xml:space="preserve">207х157х347 </t>
        </is>
      </c>
      <c r="F317" s="213" t="n"/>
      <c r="G317" s="83" t="inlineStr">
        <is>
          <t>Ч</t>
        </is>
      </c>
      <c r="H317" s="146" t="inlineStr">
        <is>
          <t>0201</t>
        </is>
      </c>
      <c r="I317" s="83" t="inlineStr">
        <is>
          <t>В</t>
        </is>
      </c>
      <c r="J317" s="83" t="inlineStr">
        <is>
          <t>У</t>
        </is>
      </c>
      <c r="K317" s="116" t="inlineStr">
        <is>
          <t>K265</t>
        </is>
      </c>
      <c r="L317" s="103" t="n"/>
      <c r="M317" s="239" t="n"/>
      <c r="N317" s="239">
        <f>IF(D317="","",IF(LEFT(D317,1)="0",0,1))</f>
        <v/>
      </c>
      <c r="O317" s="80">
        <f>ROUND(R317*S317*T317/1000000,2)</f>
        <v/>
      </c>
      <c r="P317" s="160">
        <f>IF(O317="","",
IF(O317&lt;1,"0,1-0,9 литров",
IF(O317&lt;2,"1-1,9 литра",
IF(O317&lt;3,"2-2,9 литра",
IF(O317&lt;4,"3-3,9 литра",
IF(O317&lt;6,"4-5,9 литра",IF(O317&lt;8,"6-7,9 литра",IF(O317&lt;10,"8-9,9 литров",IF(O317&lt;15,"10-14,9 литров",IF(O317&lt;20,"15-19,9 литров",IF(O317&lt;30,"20-29 литров",IF(O317&lt;50,"30-49 литров",IF(O317&lt;60,"50-59 литров",IF(O317&lt;70,"60-69 литров",IF(O317&lt;80,"70-79 литров",IF(O317&lt;90,"80-89 литров",IF(O317&lt;100,"90-99 литров",IF(O317&lt;200,"100-200 литров","200+ литров"))))))))))))))))))</f>
        <v/>
      </c>
      <c r="Q317" s="101">
        <f>IF(O317="","",IF(O317&lt;1,"&lt;1 л",IF(O317&lt;2,"1-2 л",IF(O317&lt;3,"2-3 л",IF(O317&lt;5,"3-5 л",IF(O317&lt;10,"5-10 л",IF(O317&lt;20,"10-20 л",IF(O317&lt;50,"20-50 л",IF(O317&lt;100,"50-100 л","100+ л")))))))))</f>
        <v/>
      </c>
      <c r="R317" s="162">
        <f>IF(E317="","",--LEFT(E317,FIND("х",E317)-1))</f>
        <v/>
      </c>
      <c r="S317" s="162">
        <f>IF(E317="","",--MID(E317,FIND("х",E317)+1,FIND("х",E317,FIND("х",E317)+1)-FIND("х",E317)-1))</f>
        <v/>
      </c>
      <c r="T317" s="162">
        <f>IF(E317="","",--RIGHT(E317,LEN(E317)-FIND("х",E317,FIND("х",E317)+1)))</f>
        <v/>
      </c>
      <c r="U317" s="66">
        <f>(2*(R317+S317)+60)*(S317+T317+8)/1000000</f>
        <v/>
      </c>
      <c r="V317" s="66">
        <f>IF(OR(AND(R317&gt;=2*S317,R317&gt;=2*T317),AND(S317&gt;=2*R317,S317&gt;=2*T317),AND(T317&gt;=2*R317,T317&gt;=2*S317)),"Длинные","")</f>
        <v/>
      </c>
      <c r="W317" s="66">
        <f>IF(OR(AND(R317&lt;=S317/2,R317&lt;=T317/2),AND(S317&lt;=R317/2,S317&lt;=T317/2),AND(T317&lt;=R317/2,T317&lt;=S317/2)),"Плоские","")</f>
        <v/>
      </c>
      <c r="X317" s="160">
        <f>IF(LARGE($R317:$T317,1)="","",IF(LARGE($R317:$T317,1)&lt;=99,"10-99 мм",IF(LARGE($R317:$T317,1)&lt;=199,"100-199 мм",IF(LARGE($R317:$T317,1)&lt;=299,"200-299 мм",IF(LARGE($R317:$T317,1)&lt;=399,"300-399 мм",IF(LARGE($R317:$T317,1)&lt;=499,"400-499 мм",IF(LARGE($R317:$T317,1)&lt;=599,"500-599 мм",IF(LARGE($R317:$T317,1)&lt;=699,"600-699 мм",IF(LARGE($R317:$T317,1)&lt;=999,"700-999 мм","1000+ мм")))))))))</f>
        <v/>
      </c>
      <c r="Y317" s="160">
        <f>IF(LARGE($R317:$T317,2)="","",IF(LARGE($R317:$T317,2)&lt;=99,"10-99 мм",IF(LARGE($R317:$T317,2)&lt;=199,"100-199 мм",IF(LARGE($R317:$T317,2)&lt;=299,"200-299 мм",IF(LARGE($R317:$T317,2)&lt;=399,"300-399 мм",IF(LARGE($R317:$T317,2)&lt;=499,"400-499 мм",IF(LARGE($R317:$T317,2)&lt;=599,"500-599 мм",IF(LARGE($R317:$T317,2)&lt;=699,"600-699 мм",IF(LARGE($R317:$T317,2)&lt;=999,"700-999 мм","1000+ мм")))))))))</f>
        <v/>
      </c>
      <c r="Z317" s="160">
        <f>IF(SMALL($R317:$T317,1)="","",IF(SMALL($R317:$T317,1)&lt;=99,"10-99 мм",IF(SMALL($R317:$T317,1)&lt;=199,"100-199 мм",IF(SMALL($R317:$T317,1)&lt;=299,"200-299 мм",IF(SMALL($R317:$T317,1)&lt;=399,"300-399 мм",IF(SMALL($R317:$T317,1)&lt;=499,"400-499 мм",IF(SMALL($R317:$T317,1)&lt;=599,"500-599 мм",IF(SMALL($R317:$T317,1)&lt;=699,"600-699 мм",IF(SMALL($R317:$T317,1)&lt;=999,"700-999 мм","1000+ мм")))))))))</f>
        <v/>
      </c>
      <c r="AA317" s="101">
        <f>IF(G317="","",IF(G317="Л","Лист гофрокартона",IF(G317="КД","Крышка-дно",IF(G317="С","Самосборные",IF(G317="Ч","Четырехклапанные",IF(G317="А","Архивные","Неизвестно"))))))</f>
        <v/>
      </c>
      <c r="AB317" s="66" t="n">
        <v>1.73</v>
      </c>
      <c r="AC317" s="101">
        <f>IF(O317="","",IF(O317&lt;=1,"0-1 литров",IF(O317&lt;=3,"2-3 литра",IF(O317&lt;=5,"4-5 литра",IF(O317&lt;=7,"6-7 литра",IF(O317&lt;=9,"8-9 литров",IF(O317&lt;=14,"10-14 литров",IF(O317&lt;=19,"15-19 литров",IF(O317&lt;=29,"20-29 литров",IF(O317&lt;=49,"30-49 литров",IF(O317&lt;=59,"50-59 литров",IF(O317&lt;=70,"60-69 литров",IF(O317&lt;=79,"70-79 литров",IF(O317&lt;=89,"80-89 литров",IF(O317&lt;=99,"90-99 литров",IF(O317&lt;=200,"100-200 литров","200+ литров"))))))))))))))))</f>
        <v/>
      </c>
    </row>
    <row r="318" customFormat="1" s="207">
      <c r="A318" s="64" t="n">
        <v>0.89</v>
      </c>
      <c r="B318" s="65">
        <f>A318*1.2</f>
        <v/>
      </c>
      <c r="C318" s="109" t="n">
        <v>318</v>
      </c>
      <c r="D318" s="116" t="inlineStr">
        <is>
          <t>У</t>
        </is>
      </c>
      <c r="E318" s="88" t="inlineStr">
        <is>
          <t xml:space="preserve">327х157х347 </t>
        </is>
      </c>
      <c r="F318" s="213" t="n"/>
      <c r="G318" s="83" t="inlineStr">
        <is>
          <t>Ч</t>
        </is>
      </c>
      <c r="H318" s="146" t="inlineStr">
        <is>
          <t>0201</t>
        </is>
      </c>
      <c r="I318" s="83" t="inlineStr">
        <is>
          <t>В</t>
        </is>
      </c>
      <c r="J318" s="83" t="inlineStr">
        <is>
          <t>У</t>
        </is>
      </c>
      <c r="K318" s="116" t="inlineStr">
        <is>
          <t>K266</t>
        </is>
      </c>
      <c r="L318" s="103" t="n"/>
      <c r="M318" s="239" t="n"/>
      <c r="N318" s="239">
        <f>IF(D318="","",IF(LEFT(D318,1)="0",0,1))</f>
        <v/>
      </c>
      <c r="O318" s="80">
        <f>ROUND(R318*S318*T318/1000000,2)</f>
        <v/>
      </c>
      <c r="P318" s="160">
        <f>IF(O318="","",
IF(O318&lt;1,"0,1-0,9 литров",
IF(O318&lt;2,"1-1,9 литра",
IF(O318&lt;3,"2-2,9 литра",
IF(O318&lt;4,"3-3,9 литра",
IF(O318&lt;6,"4-5,9 литра",IF(O318&lt;8,"6-7,9 литра",IF(O318&lt;10,"8-9,9 литров",IF(O318&lt;15,"10-14,9 литров",IF(O318&lt;20,"15-19,9 литров",IF(O318&lt;30,"20-29 литров",IF(O318&lt;50,"30-49 литров",IF(O318&lt;60,"50-59 литров",IF(O318&lt;70,"60-69 литров",IF(O318&lt;80,"70-79 литров",IF(O318&lt;90,"80-89 литров",IF(O318&lt;100,"90-99 литров",IF(O318&lt;200,"100-200 литров","200+ литров"))))))))))))))))))</f>
        <v/>
      </c>
      <c r="Q318" s="101">
        <f>IF(O318="","",IF(O318&lt;1,"&lt;1 л",IF(O318&lt;2,"1-2 л",IF(O318&lt;3,"2-3 л",IF(O318&lt;5,"3-5 л",IF(O318&lt;10,"5-10 л",IF(O318&lt;20,"10-20 л",IF(O318&lt;50,"20-50 л",IF(O318&lt;100,"50-100 л","100+ л")))))))))</f>
        <v/>
      </c>
      <c r="R318" s="162">
        <f>IF(E318="","",--LEFT(E318,FIND("х",E318)-1))</f>
        <v/>
      </c>
      <c r="S318" s="162">
        <f>IF(E318="","",--MID(E318,FIND("х",E318)+1,FIND("х",E318,FIND("х",E318)+1)-FIND("х",E318)-1))</f>
        <v/>
      </c>
      <c r="T318" s="162">
        <f>IF(E318="","",--RIGHT(E318,LEN(E318)-FIND("х",E318,FIND("х",E318)+1)))</f>
        <v/>
      </c>
      <c r="U318" s="66">
        <f>(2*(R318+S318)+60)*(S318+T318+8)/1000000</f>
        <v/>
      </c>
      <c r="V318" s="66">
        <f>IF(OR(AND(R318&gt;=2*S318,R318&gt;=2*T318),AND(S318&gt;=2*R318,S318&gt;=2*T318),AND(T318&gt;=2*R318,T318&gt;=2*S318)),"Длинные","")</f>
        <v/>
      </c>
      <c r="W318" s="66">
        <f>IF(OR(AND(R318&lt;=S318/2,R318&lt;=T318/2),AND(S318&lt;=R318/2,S318&lt;=T318/2),AND(T318&lt;=R318/2,T318&lt;=S318/2)),"Плоские","")</f>
        <v/>
      </c>
      <c r="X318" s="160">
        <f>IF(LARGE($R318:$T318,1)="","",IF(LARGE($R318:$T318,1)&lt;=99,"10-99 мм",IF(LARGE($R318:$T318,1)&lt;=199,"100-199 мм",IF(LARGE($R318:$T318,1)&lt;=299,"200-299 мм",IF(LARGE($R318:$T318,1)&lt;=399,"300-399 мм",IF(LARGE($R318:$T318,1)&lt;=499,"400-499 мм",IF(LARGE($R318:$T318,1)&lt;=599,"500-599 мм",IF(LARGE($R318:$T318,1)&lt;=699,"600-699 мм",IF(LARGE($R318:$T318,1)&lt;=999,"700-999 мм","1000+ мм")))))))))</f>
        <v/>
      </c>
      <c r="Y318" s="160">
        <f>IF(LARGE($R318:$T318,2)="","",IF(LARGE($R318:$T318,2)&lt;=99,"10-99 мм",IF(LARGE($R318:$T318,2)&lt;=199,"100-199 мм",IF(LARGE($R318:$T318,2)&lt;=299,"200-299 мм",IF(LARGE($R318:$T318,2)&lt;=399,"300-399 мм",IF(LARGE($R318:$T318,2)&lt;=499,"400-499 мм",IF(LARGE($R318:$T318,2)&lt;=599,"500-599 мм",IF(LARGE($R318:$T318,2)&lt;=699,"600-699 мм",IF(LARGE($R318:$T318,2)&lt;=999,"700-999 мм","1000+ мм")))))))))</f>
        <v/>
      </c>
      <c r="Z318" s="160">
        <f>IF(SMALL($R318:$T318,1)="","",IF(SMALL($R318:$T318,1)&lt;=99,"10-99 мм",IF(SMALL($R318:$T318,1)&lt;=199,"100-199 мм",IF(SMALL($R318:$T318,1)&lt;=299,"200-299 мм",IF(SMALL($R318:$T318,1)&lt;=399,"300-399 мм",IF(SMALL($R318:$T318,1)&lt;=499,"400-499 мм",IF(SMALL($R318:$T318,1)&lt;=599,"500-599 мм",IF(SMALL($R318:$T318,1)&lt;=699,"600-699 мм",IF(SMALL($R318:$T318,1)&lt;=999,"700-999 мм","1000+ мм")))))))))</f>
        <v/>
      </c>
      <c r="AA318" s="101">
        <f>IF(G318="","",IF(G318="Л","Лист гофрокартона",IF(G318="КД","Крышка-дно",IF(G318="С","Самосборные",IF(G318="Ч","Четырехклапанные",IF(G318="А","Архивные","Неизвестно"))))))</f>
        <v/>
      </c>
      <c r="AB318" s="66" t="n">
        <v>1.73</v>
      </c>
      <c r="AC318" s="101">
        <f>IF(O318="","",IF(O318&lt;=1,"0-1 литров",IF(O318&lt;=3,"2-3 литра",IF(O318&lt;=5,"4-5 литра",IF(O318&lt;=7,"6-7 литра",IF(O318&lt;=9,"8-9 литров",IF(O318&lt;=14,"10-14 литров",IF(O318&lt;=19,"15-19 литров",IF(O318&lt;=29,"20-29 литров",IF(O318&lt;=49,"30-49 литров",IF(O318&lt;=59,"50-59 литров",IF(O318&lt;=70,"60-69 литров",IF(O318&lt;=79,"70-79 литров",IF(O318&lt;=89,"80-89 литров",IF(O318&lt;=99,"90-99 литров",IF(O318&lt;=200,"100-200 литров","200+ литров"))))))))))))))))</f>
        <v/>
      </c>
    </row>
    <row r="319" customFormat="1" s="207">
      <c r="A319" s="64" t="n">
        <v>0.24</v>
      </c>
      <c r="B319" s="65">
        <f>A319*1.2</f>
        <v/>
      </c>
      <c r="C319" s="109" t="n">
        <v>319</v>
      </c>
      <c r="D319" s="116" t="inlineStr">
        <is>
          <t>У</t>
        </is>
      </c>
      <c r="E319" s="88" t="inlineStr">
        <is>
          <t xml:space="preserve">127х67х257 </t>
        </is>
      </c>
      <c r="F319" s="213" t="n"/>
      <c r="G319" s="83" t="inlineStr">
        <is>
          <t>Ч</t>
        </is>
      </c>
      <c r="H319" s="146" t="inlineStr">
        <is>
          <t>0201</t>
        </is>
      </c>
      <c r="I319" s="83" t="inlineStr">
        <is>
          <t>В</t>
        </is>
      </c>
      <c r="J319" s="83" t="inlineStr">
        <is>
          <t>У</t>
        </is>
      </c>
      <c r="K319" s="116" t="inlineStr">
        <is>
          <t>K267</t>
        </is>
      </c>
      <c r="L319" s="103" t="n"/>
      <c r="M319" s="239" t="n"/>
      <c r="N319" s="239">
        <f>IF(D319="","",IF(LEFT(D319,1)="0",0,1))</f>
        <v/>
      </c>
      <c r="O319" s="80">
        <f>ROUND(R319*S319*T319/1000000,2)</f>
        <v/>
      </c>
      <c r="P319" s="160">
        <f>IF(O319="","",
IF(O319&lt;1,"0,1-0,9 литров",
IF(O319&lt;2,"1-1,9 литра",
IF(O319&lt;3,"2-2,9 литра",
IF(O319&lt;4,"3-3,9 литра",
IF(O319&lt;6,"4-5,9 литра",IF(O319&lt;8,"6-7,9 литра",IF(O319&lt;10,"8-9,9 литров",IF(O319&lt;15,"10-14,9 литров",IF(O319&lt;20,"15-19,9 литров",IF(O319&lt;30,"20-29 литров",IF(O319&lt;50,"30-49 литров",IF(O319&lt;60,"50-59 литров",IF(O319&lt;70,"60-69 литров",IF(O319&lt;80,"70-79 литров",IF(O319&lt;90,"80-89 литров",IF(O319&lt;100,"90-99 литров",IF(O319&lt;200,"100-200 литров","200+ литров"))))))))))))))))))</f>
        <v/>
      </c>
      <c r="Q319" s="101">
        <f>IF(O319="","",IF(O319&lt;1,"&lt;1 л",IF(O319&lt;2,"1-2 л",IF(O319&lt;3,"2-3 л",IF(O319&lt;5,"3-5 л",IF(O319&lt;10,"5-10 л",IF(O319&lt;20,"10-20 л",IF(O319&lt;50,"20-50 л",IF(O319&lt;100,"50-100 л","100+ л")))))))))</f>
        <v/>
      </c>
      <c r="R319" s="162">
        <f>IF(E319="","",--LEFT(E319,FIND("х",E319)-1))</f>
        <v/>
      </c>
      <c r="S319" s="162">
        <f>IF(E319="","",--MID(E319,FIND("х",E319)+1,FIND("х",E319,FIND("х",E319)+1)-FIND("х",E319)-1))</f>
        <v/>
      </c>
      <c r="T319" s="162">
        <f>IF(E319="","",--RIGHT(E319,LEN(E319)-FIND("х",E319,FIND("х",E319)+1)))</f>
        <v/>
      </c>
      <c r="U319" s="66">
        <f>(2*(R319+S319)+60)*(S319+T319+8)/1000000</f>
        <v/>
      </c>
      <c r="V319" s="66">
        <f>IF(OR(AND(R319&gt;=2*S319,R319&gt;=2*T319),AND(S319&gt;=2*R319,S319&gt;=2*T319),AND(T319&gt;=2*R319,T319&gt;=2*S319)),"Длинные","")</f>
        <v/>
      </c>
      <c r="W319" s="66">
        <f>IF(OR(AND(R319&lt;=S319/2,R319&lt;=T319/2),AND(S319&lt;=R319/2,S319&lt;=T319/2),AND(T319&lt;=R319/2,T319&lt;=S319/2)),"Плоские","")</f>
        <v/>
      </c>
      <c r="X319" s="160">
        <f>IF(LARGE($R319:$T319,1)="","",IF(LARGE($R319:$T319,1)&lt;=99,"10-99 мм",IF(LARGE($R319:$T319,1)&lt;=199,"100-199 мм",IF(LARGE($R319:$T319,1)&lt;=299,"200-299 мм",IF(LARGE($R319:$T319,1)&lt;=399,"300-399 мм",IF(LARGE($R319:$T319,1)&lt;=499,"400-499 мм",IF(LARGE($R319:$T319,1)&lt;=599,"500-599 мм",IF(LARGE($R319:$T319,1)&lt;=699,"600-699 мм",IF(LARGE($R319:$T319,1)&lt;=999,"700-999 мм","1000+ мм")))))))))</f>
        <v/>
      </c>
      <c r="Y319" s="160">
        <f>IF(LARGE($R319:$T319,2)="","",IF(LARGE($R319:$T319,2)&lt;=99,"10-99 мм",IF(LARGE($R319:$T319,2)&lt;=199,"100-199 мм",IF(LARGE($R319:$T319,2)&lt;=299,"200-299 мм",IF(LARGE($R319:$T319,2)&lt;=399,"300-399 мм",IF(LARGE($R319:$T319,2)&lt;=499,"400-499 мм",IF(LARGE($R319:$T319,2)&lt;=599,"500-599 мм",IF(LARGE($R319:$T319,2)&lt;=699,"600-699 мм",IF(LARGE($R319:$T319,2)&lt;=999,"700-999 мм","1000+ мм")))))))))</f>
        <v/>
      </c>
      <c r="Z319" s="160">
        <f>IF(SMALL($R319:$T319,1)="","",IF(SMALL($R319:$T319,1)&lt;=99,"10-99 мм",IF(SMALL($R319:$T319,1)&lt;=199,"100-199 мм",IF(SMALL($R319:$T319,1)&lt;=299,"200-299 мм",IF(SMALL($R319:$T319,1)&lt;=399,"300-399 мм",IF(SMALL($R319:$T319,1)&lt;=499,"400-499 мм",IF(SMALL($R319:$T319,1)&lt;=599,"500-599 мм",IF(SMALL($R319:$T319,1)&lt;=699,"600-699 мм",IF(SMALL($R319:$T319,1)&lt;=999,"700-999 мм","1000+ мм")))))))))</f>
        <v/>
      </c>
      <c r="AA319" s="101">
        <f>IF(G319="","",IF(G319="Л","Лист гофрокартона",IF(G319="КД","Крышка-дно",IF(G319="С","Самосборные",IF(G319="Ч","Четырехклапанные",IF(G319="А","Архивные","Неизвестно"))))))</f>
        <v/>
      </c>
      <c r="AB319" s="66" t="n">
        <v>1.73</v>
      </c>
      <c r="AC319" s="101">
        <f>IF(O319="","",IF(O319&lt;=1,"0-1 литров",IF(O319&lt;=3,"2-3 литра",IF(O319&lt;=5,"4-5 литра",IF(O319&lt;=7,"6-7 литра",IF(O319&lt;=9,"8-9 литров",IF(O319&lt;=14,"10-14 литров",IF(O319&lt;=19,"15-19 литров",IF(O319&lt;=29,"20-29 литров",IF(O319&lt;=49,"30-49 литров",IF(O319&lt;=59,"50-59 литров",IF(O319&lt;=70,"60-69 литров",IF(O319&lt;=79,"70-79 литров",IF(O319&lt;=89,"80-89 литров",IF(O319&lt;=99,"90-99 литров",IF(O319&lt;=200,"100-200 литров","200+ литров"))))))))))))))))</f>
        <v/>
      </c>
    </row>
    <row r="320" customFormat="1" s="207">
      <c r="A320" s="64" t="n">
        <v>0.5</v>
      </c>
      <c r="B320" s="65">
        <f>A320*1.2</f>
        <v/>
      </c>
      <c r="C320" s="109" t="n">
        <v>320</v>
      </c>
      <c r="D320" s="116" t="inlineStr">
        <is>
          <t>У</t>
        </is>
      </c>
      <c r="E320" s="88" t="inlineStr">
        <is>
          <t xml:space="preserve">227х127х257 </t>
        </is>
      </c>
      <c r="F320" s="213" t="n"/>
      <c r="G320" s="83" t="inlineStr">
        <is>
          <t>Ч</t>
        </is>
      </c>
      <c r="H320" s="146" t="inlineStr">
        <is>
          <t>0201</t>
        </is>
      </c>
      <c r="I320" s="83" t="inlineStr">
        <is>
          <t>В</t>
        </is>
      </c>
      <c r="J320" s="83" t="inlineStr">
        <is>
          <t>У</t>
        </is>
      </c>
      <c r="K320" s="116" t="inlineStr">
        <is>
          <t>K268</t>
        </is>
      </c>
      <c r="L320" s="103" t="n"/>
      <c r="M320" s="239" t="n"/>
      <c r="N320" s="239">
        <f>IF(D320="","",IF(LEFT(D320,1)="0",0,1))</f>
        <v/>
      </c>
      <c r="O320" s="80">
        <f>ROUND(R320*S320*T320/1000000,2)</f>
        <v/>
      </c>
      <c r="P320" s="160">
        <f>IF(O320="","",
IF(O320&lt;1,"0,1-0,9 литров",
IF(O320&lt;2,"1-1,9 литра",
IF(O320&lt;3,"2-2,9 литра",
IF(O320&lt;4,"3-3,9 литра",
IF(O320&lt;6,"4-5,9 литра",IF(O320&lt;8,"6-7,9 литра",IF(O320&lt;10,"8-9,9 литров",IF(O320&lt;15,"10-14,9 литров",IF(O320&lt;20,"15-19,9 литров",IF(O320&lt;30,"20-29 литров",IF(O320&lt;50,"30-49 литров",IF(O320&lt;60,"50-59 литров",IF(O320&lt;70,"60-69 литров",IF(O320&lt;80,"70-79 литров",IF(O320&lt;90,"80-89 литров",IF(O320&lt;100,"90-99 литров",IF(O320&lt;200,"100-200 литров","200+ литров"))))))))))))))))))</f>
        <v/>
      </c>
      <c r="Q320" s="101">
        <f>IF(O320="","",IF(O320&lt;1,"&lt;1 л",IF(O320&lt;2,"1-2 л",IF(O320&lt;3,"2-3 л",IF(O320&lt;5,"3-5 л",IF(O320&lt;10,"5-10 л",IF(O320&lt;20,"10-20 л",IF(O320&lt;50,"20-50 л",IF(O320&lt;100,"50-100 л","100+ л")))))))))</f>
        <v/>
      </c>
      <c r="R320" s="162">
        <f>IF(E320="","",--LEFT(E320,FIND("х",E320)-1))</f>
        <v/>
      </c>
      <c r="S320" s="162">
        <f>IF(E320="","",--MID(E320,FIND("х",E320)+1,FIND("х",E320,FIND("х",E320)+1)-FIND("х",E320)-1))</f>
        <v/>
      </c>
      <c r="T320" s="162">
        <f>IF(E320="","",--RIGHT(E320,LEN(E320)-FIND("х",E320,FIND("х",E320)+1)))</f>
        <v/>
      </c>
      <c r="U320" s="66">
        <f>(2*(R320+S320)+60)*(S320+T320+8)/1000000</f>
        <v/>
      </c>
      <c r="V320" s="66">
        <f>IF(OR(AND(R320&gt;=2*S320,R320&gt;=2*T320),AND(S320&gt;=2*R320,S320&gt;=2*T320),AND(T320&gt;=2*R320,T320&gt;=2*S320)),"Длинные","")</f>
        <v/>
      </c>
      <c r="W320" s="66">
        <f>IF(OR(AND(R320&lt;=S320/2,R320&lt;=T320/2),AND(S320&lt;=R320/2,S320&lt;=T320/2),AND(T320&lt;=R320/2,T320&lt;=S320/2)),"Плоские","")</f>
        <v/>
      </c>
      <c r="X320" s="160">
        <f>IF(LARGE($R320:$T320,1)="","",IF(LARGE($R320:$T320,1)&lt;=99,"10-99 мм",IF(LARGE($R320:$T320,1)&lt;=199,"100-199 мм",IF(LARGE($R320:$T320,1)&lt;=299,"200-299 мм",IF(LARGE($R320:$T320,1)&lt;=399,"300-399 мм",IF(LARGE($R320:$T320,1)&lt;=499,"400-499 мм",IF(LARGE($R320:$T320,1)&lt;=599,"500-599 мм",IF(LARGE($R320:$T320,1)&lt;=699,"600-699 мм",IF(LARGE($R320:$T320,1)&lt;=999,"700-999 мм","1000+ мм")))))))))</f>
        <v/>
      </c>
      <c r="Y320" s="160">
        <f>IF(LARGE($R320:$T320,2)="","",IF(LARGE($R320:$T320,2)&lt;=99,"10-99 мм",IF(LARGE($R320:$T320,2)&lt;=199,"100-199 мм",IF(LARGE($R320:$T320,2)&lt;=299,"200-299 мм",IF(LARGE($R320:$T320,2)&lt;=399,"300-399 мм",IF(LARGE($R320:$T320,2)&lt;=499,"400-499 мм",IF(LARGE($R320:$T320,2)&lt;=599,"500-599 мм",IF(LARGE($R320:$T320,2)&lt;=699,"600-699 мм",IF(LARGE($R320:$T320,2)&lt;=999,"700-999 мм","1000+ мм")))))))))</f>
        <v/>
      </c>
      <c r="Z320" s="160">
        <f>IF(SMALL($R320:$T320,1)="","",IF(SMALL($R320:$T320,1)&lt;=99,"10-99 мм",IF(SMALL($R320:$T320,1)&lt;=199,"100-199 мм",IF(SMALL($R320:$T320,1)&lt;=299,"200-299 мм",IF(SMALL($R320:$T320,1)&lt;=399,"300-399 мм",IF(SMALL($R320:$T320,1)&lt;=499,"400-499 мм",IF(SMALL($R320:$T320,1)&lt;=599,"500-599 мм",IF(SMALL($R320:$T320,1)&lt;=699,"600-699 мм",IF(SMALL($R320:$T320,1)&lt;=999,"700-999 мм","1000+ мм")))))))))</f>
        <v/>
      </c>
      <c r="AA320" s="101">
        <f>IF(G320="","",IF(G320="Л","Лист гофрокартона",IF(G320="КД","Крышка-дно",IF(G320="С","Самосборные",IF(G320="Ч","Четырехклапанные",IF(G320="А","Архивные","Неизвестно"))))))</f>
        <v/>
      </c>
      <c r="AB320" s="66" t="n">
        <v>1.73</v>
      </c>
      <c r="AC320" s="101">
        <f>IF(O320="","",IF(O320&lt;=1,"0-1 литров",IF(O320&lt;=3,"2-3 литра",IF(O320&lt;=5,"4-5 литра",IF(O320&lt;=7,"6-7 литра",IF(O320&lt;=9,"8-9 литров",IF(O320&lt;=14,"10-14 литров",IF(O320&lt;=19,"15-19 литров",IF(O320&lt;=29,"20-29 литров",IF(O320&lt;=49,"30-49 литров",IF(O320&lt;=59,"50-59 литров",IF(O320&lt;=70,"60-69 литров",IF(O320&lt;=79,"70-79 литров",IF(O320&lt;=89,"80-89 литров",IF(O320&lt;=99,"90-99 литров",IF(O320&lt;=200,"100-200 литров","200+ литров"))))))))))))))))</f>
        <v/>
      </c>
    </row>
    <row r="321" customFormat="1" s="207">
      <c r="A321" s="64" t="n">
        <v>0.8</v>
      </c>
      <c r="B321" s="65">
        <f>A321*1.2</f>
        <v/>
      </c>
      <c r="C321" s="109" t="n">
        <v>321</v>
      </c>
      <c r="D321" s="77" t="inlineStr">
        <is>
          <t>К</t>
        </is>
      </c>
      <c r="E321" s="88" t="inlineStr">
        <is>
          <t>365х245х145</t>
        </is>
      </c>
      <c r="F321" s="213" t="n"/>
      <c r="G321" s="83" t="inlineStr">
        <is>
          <t>Ч</t>
        </is>
      </c>
      <c r="H321" s="146" t="inlineStr">
        <is>
          <t>0201</t>
        </is>
      </c>
      <c r="I321" s="83" t="inlineStr">
        <is>
          <t>В</t>
        </is>
      </c>
      <c r="J321" s="83" t="inlineStr">
        <is>
          <t>без</t>
        </is>
      </c>
      <c r="K321" s="116" t="inlineStr">
        <is>
          <t>K1041</t>
        </is>
      </c>
      <c r="L321" s="103" t="inlineStr">
        <is>
          <t>Sale</t>
        </is>
      </c>
      <c r="M321" s="239" t="n"/>
      <c r="N321" s="239">
        <f>IF(D321="","",IF(LEFT(D321,1)="0",0,1))</f>
        <v/>
      </c>
      <c r="O321" s="80">
        <f>ROUND(R321*S321*T321/1000000,2)</f>
        <v/>
      </c>
      <c r="P321" s="160">
        <f>IF(O321="","",
IF(O321&lt;1,"0,1-0,9 литров",
IF(O321&lt;2,"1-1,9 литра",
IF(O321&lt;3,"2-2,9 литра",
IF(O321&lt;4,"3-3,9 литра",
IF(O321&lt;6,"4-5,9 литра",IF(O321&lt;8,"6-7,9 литра",IF(O321&lt;10,"8-9,9 литров",IF(O321&lt;15,"10-14,9 литров",IF(O321&lt;20,"15-19,9 литров",IF(O321&lt;30,"20-29 литров",IF(O321&lt;50,"30-49 литров",IF(O321&lt;60,"50-59 литров",IF(O321&lt;70,"60-69 литров",IF(O321&lt;80,"70-79 литров",IF(O321&lt;90,"80-89 литров",IF(O321&lt;100,"90-99 литров",IF(O321&lt;200,"100-200 литров","200+ литров"))))))))))))))))))</f>
        <v/>
      </c>
      <c r="Q321" s="101">
        <f>IF(O321="","",IF(O321&lt;1,"&lt;1 л",IF(O321&lt;2,"1-2 л",IF(O321&lt;3,"2-3 л",IF(O321&lt;5,"3-5 л",IF(O321&lt;10,"5-10 л",IF(O321&lt;20,"10-20 л",IF(O321&lt;50,"20-50 л",IF(O321&lt;100,"50-100 л","100+ л")))))))))</f>
        <v/>
      </c>
      <c r="R321" s="162">
        <f>IF(E321="","",--LEFT(E321,FIND("х",E321)-1))</f>
        <v/>
      </c>
      <c r="S321" s="162">
        <f>IF(E321="","",--MID(E321,FIND("х",E321)+1,FIND("х",E321,FIND("х",E321)+1)-FIND("х",E321)-1))</f>
        <v/>
      </c>
      <c r="T321" s="162">
        <f>IF(E321="","",--RIGHT(E321,LEN(E321)-FIND("х",E321,FIND("х",E321)+1)))</f>
        <v/>
      </c>
      <c r="U321" s="66">
        <f>(2*(R321+S321)+60)*(S321+T321+8)/1000000</f>
        <v/>
      </c>
      <c r="V321" s="66">
        <f>IF(OR(AND(R321&gt;=2*S321,R321&gt;=2*T321),AND(S321&gt;=2*R321,S321&gt;=2*T321),AND(T321&gt;=2*R321,T321&gt;=2*S321)),"Длинные","")</f>
        <v/>
      </c>
      <c r="W321" s="66">
        <f>IF(OR(AND(R321&lt;=S321/2,R321&lt;=T321/2),AND(S321&lt;=R321/2,S321&lt;=T321/2),AND(T321&lt;=R321/2,T321&lt;=S321/2)),"Плоские","")</f>
        <v/>
      </c>
      <c r="X321" s="160">
        <f>IF(LARGE($R321:$T321,1)="","",IF(LARGE($R321:$T321,1)&lt;=99,"10-99 мм",IF(LARGE($R321:$T321,1)&lt;=199,"100-199 мм",IF(LARGE($R321:$T321,1)&lt;=299,"200-299 мм",IF(LARGE($R321:$T321,1)&lt;=399,"300-399 мм",IF(LARGE($R321:$T321,1)&lt;=499,"400-499 мм",IF(LARGE($R321:$T321,1)&lt;=599,"500-599 мм",IF(LARGE($R321:$T321,1)&lt;=699,"600-699 мм",IF(LARGE($R321:$T321,1)&lt;=999,"700-999 мм","1000+ мм")))))))))</f>
        <v/>
      </c>
      <c r="Y321" s="160">
        <f>IF(LARGE($R321:$T321,2)="","",IF(LARGE($R321:$T321,2)&lt;=99,"10-99 мм",IF(LARGE($R321:$T321,2)&lt;=199,"100-199 мм",IF(LARGE($R321:$T321,2)&lt;=299,"200-299 мм",IF(LARGE($R321:$T321,2)&lt;=399,"300-399 мм",IF(LARGE($R321:$T321,2)&lt;=499,"400-499 мм",IF(LARGE($R321:$T321,2)&lt;=599,"500-599 мм",IF(LARGE($R321:$T321,2)&lt;=699,"600-699 мм",IF(LARGE($R321:$T321,2)&lt;=999,"700-999 мм","1000+ мм")))))))))</f>
        <v/>
      </c>
      <c r="Z321" s="160">
        <f>IF(SMALL($R321:$T321,1)="","",IF(SMALL($R321:$T321,1)&lt;=99,"10-99 мм",IF(SMALL($R321:$T321,1)&lt;=199,"100-199 мм",IF(SMALL($R321:$T321,1)&lt;=299,"200-299 мм",IF(SMALL($R321:$T321,1)&lt;=399,"300-399 мм",IF(SMALL($R321:$T321,1)&lt;=499,"400-499 мм",IF(SMALL($R321:$T321,1)&lt;=599,"500-599 мм",IF(SMALL($R321:$T321,1)&lt;=699,"600-699 мм",IF(SMALL($R321:$T321,1)&lt;=999,"700-999 мм","1000+ мм")))))))))</f>
        <v/>
      </c>
      <c r="AA321" s="101">
        <f>IF(G321="","",IF(G321="Л","Лист гофрокартона",IF(G321="КД","Крышка-дно",IF(G321="С","Самосборные",IF(G321="Ч","Четырехклапанные",IF(G321="А","Архивные","Неизвестно"))))))</f>
        <v/>
      </c>
      <c r="AB321" s="66" t="n">
        <v>1.73</v>
      </c>
      <c r="AC321" s="101">
        <f>IF(O321="","",IF(O321&lt;=1,"0-1 литров",IF(O321&lt;=3,"2-3 литра",IF(O321&lt;=5,"4-5 литра",IF(O321&lt;=7,"6-7 литра",IF(O321&lt;=9,"8-9 литров",IF(O321&lt;=14,"10-14 литров",IF(O321&lt;=19,"15-19 литров",IF(O321&lt;=29,"20-29 литров",IF(O321&lt;=49,"30-49 литров",IF(O321&lt;=59,"50-59 литров",IF(O321&lt;=70,"60-69 литров",IF(O321&lt;=79,"70-79 литров",IF(O321&lt;=89,"80-89 литров",IF(O321&lt;=99,"90-99 литров",IF(O321&lt;=200,"100-200 литров","200+ литров"))))))))))))))))</f>
        <v/>
      </c>
    </row>
    <row r="322" customFormat="1" s="207">
      <c r="A322" s="91" t="n">
        <v>0.26</v>
      </c>
      <c r="B322" s="65">
        <f>A322*1.2</f>
        <v/>
      </c>
      <c r="C322" s="109" t="n">
        <v>322</v>
      </c>
      <c r="D322" s="116" t="inlineStr">
        <is>
          <t>БМ</t>
        </is>
      </c>
      <c r="E322" s="88" t="inlineStr">
        <is>
          <t>245х80х200</t>
        </is>
      </c>
      <c r="F322" s="213" t="inlineStr">
        <is>
          <t>old min обр</t>
        </is>
      </c>
      <c r="G322" s="83" t="inlineStr">
        <is>
          <t>Ч</t>
        </is>
      </c>
      <c r="H322" s="146" t="inlineStr">
        <is>
          <t>0201</t>
        </is>
      </c>
      <c r="I322" s="83" t="inlineStr">
        <is>
          <t>В</t>
        </is>
      </c>
      <c r="J322" s="83" t="inlineStr">
        <is>
          <t>без</t>
        </is>
      </c>
      <c r="K322" s="116" t="inlineStr">
        <is>
          <t>K515</t>
        </is>
      </c>
      <c r="L322" s="103" t="inlineStr">
        <is>
          <t>Sale</t>
        </is>
      </c>
      <c r="M322" s="239" t="n"/>
      <c r="N322" s="239">
        <f>IF(D322="","",IF(LEFT(D322,1)="0",0,1))</f>
        <v/>
      </c>
      <c r="O322" s="80">
        <f>ROUND(R322*S322*T322/1000000,2)</f>
        <v/>
      </c>
      <c r="P322" s="160">
        <f>IF(O322="","",
IF(O322&lt;1,"0,1-0,9 литров",
IF(O322&lt;2,"1-1,9 литра",
IF(O322&lt;3,"2-2,9 литра",
IF(O322&lt;4,"3-3,9 литра",
IF(O322&lt;6,"4-5,9 литра",IF(O322&lt;8,"6-7,9 литра",IF(O322&lt;10,"8-9,9 литров",IF(O322&lt;15,"10-14,9 литров",IF(O322&lt;20,"15-19,9 литров",IF(O322&lt;30,"20-29 литров",IF(O322&lt;50,"30-49 литров",IF(O322&lt;60,"50-59 литров",IF(O322&lt;70,"60-69 литров",IF(O322&lt;80,"70-79 литров",IF(O322&lt;90,"80-89 литров",IF(O322&lt;100,"90-99 литров",IF(O322&lt;200,"100-200 литров","200+ литров"))))))))))))))))))</f>
        <v/>
      </c>
      <c r="Q322" s="101">
        <f>IF(O322="","",IF(O322&lt;1,"&lt;1 л",IF(O322&lt;2,"1-2 л",IF(O322&lt;3,"2-3 л",IF(O322&lt;5,"3-5 л",IF(O322&lt;10,"5-10 л",IF(O322&lt;20,"10-20 л",IF(O322&lt;50,"20-50 л",IF(O322&lt;100,"50-100 л","100+ л")))))))))</f>
        <v/>
      </c>
      <c r="R322" s="162">
        <f>IF(E322="","",--LEFT(E322,FIND("х",E322)-1))</f>
        <v/>
      </c>
      <c r="S322" s="162">
        <f>IF(E322="","",--MID(E322,FIND("х",E322)+1,FIND("х",E322,FIND("х",E322)+1)-FIND("х",E322)-1))</f>
        <v/>
      </c>
      <c r="T322" s="162">
        <f>IF(E322="","",--RIGHT(E322,LEN(E322)-FIND("х",E322,FIND("х",E322)+1)))</f>
        <v/>
      </c>
      <c r="U322" s="66">
        <f>(2*(R322+S322)+60)*(S322+T322+8)/1000000</f>
        <v/>
      </c>
      <c r="V322" s="66">
        <f>IF(OR(AND(R322&gt;=2*S322,R322&gt;=2*T322),AND(S322&gt;=2*R322,S322&gt;=2*T322),AND(T322&gt;=2*R322,T322&gt;=2*S322)),"Длинные","")</f>
        <v/>
      </c>
      <c r="W322" s="66">
        <f>IF(OR(AND(R322&lt;=S322/2,R322&lt;=T322/2),AND(S322&lt;=R322/2,S322&lt;=T322/2),AND(T322&lt;=R322/2,T322&lt;=S322/2)),"Плоские","")</f>
        <v/>
      </c>
      <c r="X322" s="160">
        <f>IF(LARGE($R322:$T322,1)="","",IF(LARGE($R322:$T322,1)&lt;=99,"10-99 мм",IF(LARGE($R322:$T322,1)&lt;=199,"100-199 мм",IF(LARGE($R322:$T322,1)&lt;=299,"200-299 мм",IF(LARGE($R322:$T322,1)&lt;=399,"300-399 мм",IF(LARGE($R322:$T322,1)&lt;=499,"400-499 мм",IF(LARGE($R322:$T322,1)&lt;=599,"500-599 мм",IF(LARGE($R322:$T322,1)&lt;=699,"600-699 мм",IF(LARGE($R322:$T322,1)&lt;=999,"700-999 мм","1000+ мм")))))))))</f>
        <v/>
      </c>
      <c r="Y322" s="160">
        <f>IF(LARGE($R322:$T322,2)="","",IF(LARGE($R322:$T322,2)&lt;=99,"10-99 мм",IF(LARGE($R322:$T322,2)&lt;=199,"100-199 мм",IF(LARGE($R322:$T322,2)&lt;=299,"200-299 мм",IF(LARGE($R322:$T322,2)&lt;=399,"300-399 мм",IF(LARGE($R322:$T322,2)&lt;=499,"400-499 мм",IF(LARGE($R322:$T322,2)&lt;=599,"500-599 мм",IF(LARGE($R322:$T322,2)&lt;=699,"600-699 мм",IF(LARGE($R322:$T322,2)&lt;=999,"700-999 мм","1000+ мм")))))))))</f>
        <v/>
      </c>
      <c r="Z322" s="160">
        <f>IF(SMALL($R322:$T322,1)="","",IF(SMALL($R322:$T322,1)&lt;=99,"10-99 мм",IF(SMALL($R322:$T322,1)&lt;=199,"100-199 мм",IF(SMALL($R322:$T322,1)&lt;=299,"200-299 мм",IF(SMALL($R322:$T322,1)&lt;=399,"300-399 мм",IF(SMALL($R322:$T322,1)&lt;=499,"400-499 мм",IF(SMALL($R322:$T322,1)&lt;=599,"500-599 мм",IF(SMALL($R322:$T322,1)&lt;=699,"600-699 мм",IF(SMALL($R322:$T322,1)&lt;=999,"700-999 мм","1000+ мм")))))))))</f>
        <v/>
      </c>
      <c r="AA322" s="101">
        <f>IF(G322="","",IF(G322="Л","Лист гофрокартона",IF(G322="КД","Крышка-дно",IF(G322="С","Самосборные",IF(G322="Ч","Четырехклапанные",IF(G322="А","Архивные","Неизвестно"))))))</f>
        <v/>
      </c>
      <c r="AB322" s="66" t="n">
        <v>1.73</v>
      </c>
      <c r="AC322" s="101">
        <f>IF(O322="","",IF(O322&lt;=1,"0-1 литров",IF(O322&lt;=3,"2-3 литра",IF(O322&lt;=5,"4-5 литра",IF(O322&lt;=7,"6-7 литра",IF(O322&lt;=9,"8-9 литров",IF(O322&lt;=14,"10-14 литров",IF(O322&lt;=19,"15-19 литров",IF(O322&lt;=29,"20-29 литров",IF(O322&lt;=49,"30-49 литров",IF(O322&lt;=59,"50-59 литров",IF(O322&lt;=70,"60-69 литров",IF(O322&lt;=79,"70-79 литров",IF(O322&lt;=89,"80-89 литров",IF(O322&lt;=99,"90-99 литров",IF(O322&lt;=200,"100-200 литров","200+ литров"))))))))))))))))</f>
        <v/>
      </c>
    </row>
    <row r="323">
      <c r="A323" s="91" t="n">
        <v>0.36</v>
      </c>
      <c r="B323" s="65">
        <f>A323*1.2</f>
        <v/>
      </c>
      <c r="C323" s="109" t="n">
        <v>323</v>
      </c>
      <c r="D323" s="116" t="inlineStr">
        <is>
          <t>БМ</t>
        </is>
      </c>
      <c r="E323" s="88" t="inlineStr">
        <is>
          <t>245х200х80</t>
        </is>
      </c>
      <c r="F323" s="213" t="inlineStr">
        <is>
          <t>old min обр</t>
        </is>
      </c>
      <c r="G323" s="83" t="inlineStr">
        <is>
          <t>Ч</t>
        </is>
      </c>
      <c r="H323" s="146" t="inlineStr">
        <is>
          <t>0201</t>
        </is>
      </c>
      <c r="I323" s="83" t="inlineStr">
        <is>
          <t>В</t>
        </is>
      </c>
      <c r="J323" s="83" t="inlineStr">
        <is>
          <t>без</t>
        </is>
      </c>
      <c r="K323" s="116" t="inlineStr">
        <is>
          <t>K516</t>
        </is>
      </c>
      <c r="L323" s="103" t="inlineStr">
        <is>
          <t>Sale</t>
        </is>
      </c>
      <c r="N323" s="239">
        <f>IF(D323="","",IF(LEFT(D323,1)="0",0,1))</f>
        <v/>
      </c>
      <c r="O323" s="80">
        <f>ROUND(R323*S323*T323/1000000,2)</f>
        <v/>
      </c>
      <c r="P323" s="160">
        <f>IF(O323="","",
IF(O323&lt;1,"0,1-0,9 литров",
IF(O323&lt;2,"1-1,9 литра",
IF(O323&lt;3,"2-2,9 литра",
IF(O323&lt;4,"3-3,9 литра",
IF(O323&lt;6,"4-5,9 литра",IF(O323&lt;8,"6-7,9 литра",IF(O323&lt;10,"8-9,9 литров",IF(O323&lt;15,"10-14,9 литров",IF(O323&lt;20,"15-19,9 литров",IF(O323&lt;30,"20-29 литров",IF(O323&lt;50,"30-49 литров",IF(O323&lt;60,"50-59 литров",IF(O323&lt;70,"60-69 литров",IF(O323&lt;80,"70-79 литров",IF(O323&lt;90,"80-89 литров",IF(O323&lt;100,"90-99 литров",IF(O323&lt;200,"100-200 литров","200+ литров"))))))))))))))))))</f>
        <v/>
      </c>
      <c r="Q323" s="101">
        <f>IF(O323="","",IF(O323&lt;1,"&lt;1 л",IF(O323&lt;2,"1-2 л",IF(O323&lt;3,"2-3 л",IF(O323&lt;5,"3-5 л",IF(O323&lt;10,"5-10 л",IF(O323&lt;20,"10-20 л",IF(O323&lt;50,"20-50 л",IF(O323&lt;100,"50-100 л","100+ л")))))))))</f>
        <v/>
      </c>
      <c r="R323" s="162">
        <f>IF(E323="","",--LEFT(E323,FIND("х",E323)-1))</f>
        <v/>
      </c>
      <c r="S323" s="162">
        <f>IF(E323="","",--MID(E323,FIND("х",E323)+1,FIND("х",E323,FIND("х",E323)+1)-FIND("х",E323)-1))</f>
        <v/>
      </c>
      <c r="T323" s="162">
        <f>IF(E323="","",--RIGHT(E323,LEN(E323)-FIND("х",E323,FIND("х",E323)+1)))</f>
        <v/>
      </c>
      <c r="U323" s="66">
        <f>(2*(R323+S323)+60)*(S323+T323+8)/1000000</f>
        <v/>
      </c>
      <c r="V323" s="66">
        <f>IF(OR(AND(R323&gt;=2*S323,R323&gt;=2*T323),AND(S323&gt;=2*R323,S323&gt;=2*T323),AND(T323&gt;=2*R323,T323&gt;=2*S323)),"Длинные","")</f>
        <v/>
      </c>
      <c r="W323" s="66">
        <f>IF(OR(AND(R323&lt;=S323/2,R323&lt;=T323/2),AND(S323&lt;=R323/2,S323&lt;=T323/2),AND(T323&lt;=R323/2,T323&lt;=S323/2)),"Плоские","")</f>
        <v/>
      </c>
      <c r="X323" s="160">
        <f>IF(LARGE($R323:$T323,1)="","",IF(LARGE($R323:$T323,1)&lt;=99,"10-99 мм",IF(LARGE($R323:$T323,1)&lt;=199,"100-199 мм",IF(LARGE($R323:$T323,1)&lt;=299,"200-299 мм",IF(LARGE($R323:$T323,1)&lt;=399,"300-399 мм",IF(LARGE($R323:$T323,1)&lt;=499,"400-499 мм",IF(LARGE($R323:$T323,1)&lt;=599,"500-599 мм",IF(LARGE($R323:$T323,1)&lt;=699,"600-699 мм",IF(LARGE($R323:$T323,1)&lt;=999,"700-999 мм","1000+ мм")))))))))</f>
        <v/>
      </c>
      <c r="Y323" s="160">
        <f>IF(LARGE($R323:$T323,2)="","",IF(LARGE($R323:$T323,2)&lt;=99,"10-99 мм",IF(LARGE($R323:$T323,2)&lt;=199,"100-199 мм",IF(LARGE($R323:$T323,2)&lt;=299,"200-299 мм",IF(LARGE($R323:$T323,2)&lt;=399,"300-399 мм",IF(LARGE($R323:$T323,2)&lt;=499,"400-499 мм",IF(LARGE($R323:$T323,2)&lt;=599,"500-599 мм",IF(LARGE($R323:$T323,2)&lt;=699,"600-699 мм",IF(LARGE($R323:$T323,2)&lt;=999,"700-999 мм","1000+ мм")))))))))</f>
        <v/>
      </c>
      <c r="Z323" s="160">
        <f>IF(SMALL($R323:$T323,1)="","",IF(SMALL($R323:$T323,1)&lt;=99,"10-99 мм",IF(SMALL($R323:$T323,1)&lt;=199,"100-199 мм",IF(SMALL($R323:$T323,1)&lt;=299,"200-299 мм",IF(SMALL($R323:$T323,1)&lt;=399,"300-399 мм",IF(SMALL($R323:$T323,1)&lt;=499,"400-499 мм",IF(SMALL($R323:$T323,1)&lt;=599,"500-599 мм",IF(SMALL($R323:$T323,1)&lt;=699,"600-699 мм",IF(SMALL($R323:$T323,1)&lt;=999,"700-999 мм","1000+ мм")))))))))</f>
        <v/>
      </c>
      <c r="AA323" s="101">
        <f>IF(G323="","",IF(G323="Л","Лист гофрокартона",IF(G323="КД","Крышка-дно",IF(G323="С","Самосборные",IF(G323="Ч","Четырехклапанные",IF(G323="А","Архивные","Неизвестно"))))))</f>
        <v/>
      </c>
      <c r="AB323" s="66" t="n">
        <v>1.73</v>
      </c>
      <c r="AC323" s="101">
        <f>IF(O323="","",IF(O323&lt;=1,"0-1 литров",IF(O323&lt;=3,"2-3 литра",IF(O323&lt;=5,"4-5 литра",IF(O323&lt;=7,"6-7 литра",IF(O323&lt;=9,"8-9 литров",IF(O323&lt;=14,"10-14 литров",IF(O323&lt;=19,"15-19 литров",IF(O323&lt;=29,"20-29 литров",IF(O323&lt;=49,"30-49 литров",IF(O323&lt;=59,"50-59 литров",IF(O323&lt;=70,"60-69 литров",IF(O323&lt;=79,"70-79 литров",IF(O323&lt;=89,"80-89 литров",IF(O323&lt;=99,"90-99 литров",IF(O323&lt;=200,"100-200 литров","200+ литров"))))))))))))))))</f>
        <v/>
      </c>
    </row>
    <row r="324">
      <c r="A324" s="64" t="n">
        <v>1.01</v>
      </c>
      <c r="B324" s="65">
        <f>A324*1.2</f>
        <v/>
      </c>
      <c r="C324" s="109" t="n">
        <v>324</v>
      </c>
      <c r="D324" s="116" t="inlineStr">
        <is>
          <t>У</t>
        </is>
      </c>
      <c r="E324" s="88" t="inlineStr">
        <is>
          <t>287х207х347</t>
        </is>
      </c>
      <c r="G324" s="83" t="inlineStr">
        <is>
          <t>Ч</t>
        </is>
      </c>
      <c r="H324" s="146" t="inlineStr">
        <is>
          <t>0201</t>
        </is>
      </c>
      <c r="I324" s="83" t="inlineStr">
        <is>
          <t>В</t>
        </is>
      </c>
      <c r="J324" s="83" t="inlineStr">
        <is>
          <t>У</t>
        </is>
      </c>
      <c r="K324" s="116" t="inlineStr">
        <is>
          <t>K269</t>
        </is>
      </c>
      <c r="N324" s="239">
        <f>IF(D324="","",IF(LEFT(D324,1)="0",0,1))</f>
        <v/>
      </c>
      <c r="O324" s="80">
        <f>ROUND(R324*S324*T324/1000000,2)</f>
        <v/>
      </c>
      <c r="P324" s="160">
        <f>IF(O324="","",
IF(O324&lt;1,"0,1-0,9 литров",
IF(O324&lt;2,"1-1,9 литра",
IF(O324&lt;3,"2-2,9 литра",
IF(O324&lt;4,"3-3,9 литра",
IF(O324&lt;6,"4-5,9 литра",IF(O324&lt;8,"6-7,9 литра",IF(O324&lt;10,"8-9,9 литров",IF(O324&lt;15,"10-14,9 литров",IF(O324&lt;20,"15-19,9 литров",IF(O324&lt;30,"20-29 литров",IF(O324&lt;50,"30-49 литров",IF(O324&lt;60,"50-59 литров",IF(O324&lt;70,"60-69 литров",IF(O324&lt;80,"70-79 литров",IF(O324&lt;90,"80-89 литров",IF(O324&lt;100,"90-99 литров",IF(O324&lt;200,"100-200 литров","200+ литров"))))))))))))))))))</f>
        <v/>
      </c>
      <c r="Q324" s="101">
        <f>IF(O324="","",IF(O324&lt;1,"&lt;1 л",IF(O324&lt;2,"1-2 л",IF(O324&lt;3,"2-3 л",IF(O324&lt;5,"3-5 л",IF(O324&lt;10,"5-10 л",IF(O324&lt;20,"10-20 л",IF(O324&lt;50,"20-50 л",IF(O324&lt;100,"50-100 л","100+ л")))))))))</f>
        <v/>
      </c>
      <c r="R324" s="162">
        <f>IF(E324="","",--LEFT(E324,FIND("х",E324)-1))</f>
        <v/>
      </c>
      <c r="S324" s="162">
        <f>IF(E324="","",--MID(E324,FIND("х",E324)+1,FIND("х",E324,FIND("х",E324)+1)-FIND("х",E324)-1))</f>
        <v/>
      </c>
      <c r="T324" s="162">
        <f>IF(E324="","",--RIGHT(E324,LEN(E324)-FIND("х",E324,FIND("х",E324)+1)))</f>
        <v/>
      </c>
      <c r="U324" s="66">
        <f>(2*(R324+S324)+60)*(S324+T324+8)/1000000</f>
        <v/>
      </c>
      <c r="V324" s="66">
        <f>IF(OR(AND(R324&gt;=2*S324,R324&gt;=2*T324),AND(S324&gt;=2*R324,S324&gt;=2*T324),AND(T324&gt;=2*R324,T324&gt;=2*S324)),"Длинные","")</f>
        <v/>
      </c>
      <c r="W324" s="66">
        <f>IF(OR(AND(R324&lt;=S324/2,R324&lt;=T324/2),AND(S324&lt;=R324/2,S324&lt;=T324/2),AND(T324&lt;=R324/2,T324&lt;=S324/2)),"Плоские","")</f>
        <v/>
      </c>
      <c r="X324" s="160">
        <f>IF(LARGE($R324:$T324,1)="","",IF(LARGE($R324:$T324,1)&lt;=99,"10-99 мм",IF(LARGE($R324:$T324,1)&lt;=199,"100-199 мм",IF(LARGE($R324:$T324,1)&lt;=299,"200-299 мм",IF(LARGE($R324:$T324,1)&lt;=399,"300-399 мм",IF(LARGE($R324:$T324,1)&lt;=499,"400-499 мм",IF(LARGE($R324:$T324,1)&lt;=599,"500-599 мм",IF(LARGE($R324:$T324,1)&lt;=699,"600-699 мм",IF(LARGE($R324:$T324,1)&lt;=999,"700-999 мм","1000+ мм")))))))))</f>
        <v/>
      </c>
      <c r="Y324" s="160">
        <f>IF(LARGE($R324:$T324,2)="","",IF(LARGE($R324:$T324,2)&lt;=99,"10-99 мм",IF(LARGE($R324:$T324,2)&lt;=199,"100-199 мм",IF(LARGE($R324:$T324,2)&lt;=299,"200-299 мм",IF(LARGE($R324:$T324,2)&lt;=399,"300-399 мм",IF(LARGE($R324:$T324,2)&lt;=499,"400-499 мм",IF(LARGE($R324:$T324,2)&lt;=599,"500-599 мм",IF(LARGE($R324:$T324,2)&lt;=699,"600-699 мм",IF(LARGE($R324:$T324,2)&lt;=999,"700-999 мм","1000+ мм")))))))))</f>
        <v/>
      </c>
      <c r="Z324" s="160">
        <f>IF(SMALL($R324:$T324,1)="","",IF(SMALL($R324:$T324,1)&lt;=99,"10-99 мм",IF(SMALL($R324:$T324,1)&lt;=199,"100-199 мм",IF(SMALL($R324:$T324,1)&lt;=299,"200-299 мм",IF(SMALL($R324:$T324,1)&lt;=399,"300-399 мм",IF(SMALL($R324:$T324,1)&lt;=499,"400-499 мм",IF(SMALL($R324:$T324,1)&lt;=599,"500-599 мм",IF(SMALL($R324:$T324,1)&lt;=699,"600-699 мм",IF(SMALL($R324:$T324,1)&lt;=999,"700-999 мм","1000+ мм")))))))))</f>
        <v/>
      </c>
      <c r="AA324" s="101">
        <f>IF(G324="","",IF(G324="Л","Лист гофрокартона",IF(G324="КД","Крышка-дно",IF(G324="С","Самосборные",IF(G324="Ч","Четырехклапанные",IF(G324="А","Архивные","Неизвестно"))))))</f>
        <v/>
      </c>
      <c r="AB324" s="66" t="n">
        <v>1.73</v>
      </c>
      <c r="AC324" s="101">
        <f>IF(O324="","",IF(O324&lt;=1,"0-1 литров",IF(O324&lt;=3,"2-3 литра",IF(O324&lt;=5,"4-5 литра",IF(O324&lt;=7,"6-7 литра",IF(O324&lt;=9,"8-9 литров",IF(O324&lt;=14,"10-14 литров",IF(O324&lt;=19,"15-19 литров",IF(O324&lt;=29,"20-29 литров",IF(O324&lt;=49,"30-49 литров",IF(O324&lt;=59,"50-59 литров",IF(O324&lt;=70,"60-69 литров",IF(O324&lt;=79,"70-79 литров",IF(O324&lt;=89,"80-89 литров",IF(O324&lt;=99,"90-99 литров",IF(O324&lt;=200,"100-200 литров","200+ литров"))))))))))))))))</f>
        <v/>
      </c>
    </row>
    <row r="325">
      <c r="A325" s="64" t="n">
        <v>0.66</v>
      </c>
      <c r="B325" s="65">
        <f>A325*1.2</f>
        <v/>
      </c>
      <c r="C325" s="109" t="n">
        <v>325</v>
      </c>
      <c r="D325" s="116" t="inlineStr">
        <is>
          <t>БМ</t>
        </is>
      </c>
      <c r="E325" s="88" t="inlineStr">
        <is>
          <t>365х155х192</t>
        </is>
      </c>
      <c r="G325" s="83" t="inlineStr">
        <is>
          <t>Ч</t>
        </is>
      </c>
      <c r="H325" s="146" t="inlineStr">
        <is>
          <t>0201</t>
        </is>
      </c>
      <c r="I325" s="83" t="inlineStr">
        <is>
          <t>B</t>
        </is>
      </c>
      <c r="J325" s="83" t="inlineStr">
        <is>
          <t>без</t>
        </is>
      </c>
      <c r="K325" s="116" t="inlineStr">
        <is>
          <t>K517</t>
        </is>
      </c>
      <c r="N325" s="239">
        <f>IF(D325="","",IF(LEFT(D325,1)="0",0,1))</f>
        <v/>
      </c>
      <c r="O325" s="80">
        <f>ROUND(R325*S325*T325/1000000,2)</f>
        <v/>
      </c>
      <c r="P325" s="160">
        <f>IF(O325="","",
IF(O325&lt;1,"0,1-0,9 литров",
IF(O325&lt;2,"1-1,9 литра",
IF(O325&lt;3,"2-2,9 литра",
IF(O325&lt;4,"3-3,9 литра",
IF(O325&lt;6,"4-5,9 литра",IF(O325&lt;8,"6-7,9 литра",IF(O325&lt;10,"8-9,9 литров",IF(O325&lt;15,"10-14,9 литров",IF(O325&lt;20,"15-19,9 литров",IF(O325&lt;30,"20-29 литров",IF(O325&lt;50,"30-49 литров",IF(O325&lt;60,"50-59 литров",IF(O325&lt;70,"60-69 литров",IF(O325&lt;80,"70-79 литров",IF(O325&lt;90,"80-89 литров",IF(O325&lt;100,"90-99 литров",IF(O325&lt;200,"100-200 литров","200+ литров"))))))))))))))))))</f>
        <v/>
      </c>
      <c r="Q325" s="101">
        <f>IF(O325="","",IF(O325&lt;1,"&lt;1 л",IF(O325&lt;2,"1-2 л",IF(O325&lt;3,"2-3 л",IF(O325&lt;5,"3-5 л",IF(O325&lt;10,"5-10 л",IF(O325&lt;20,"10-20 л",IF(O325&lt;50,"20-50 л",IF(O325&lt;100,"50-100 л","100+ л")))))))))</f>
        <v/>
      </c>
      <c r="R325" s="162">
        <f>IF(E325="","",--LEFT(E325,FIND("х",E325)-1))</f>
        <v/>
      </c>
      <c r="S325" s="162">
        <f>IF(E325="","",--MID(E325,FIND("х",E325)+1,FIND("х",E325,FIND("х",E325)+1)-FIND("х",E325)-1))</f>
        <v/>
      </c>
      <c r="T325" s="162">
        <f>IF(E325="","",--RIGHT(E325,LEN(E325)-FIND("х",E325,FIND("х",E325)+1)))</f>
        <v/>
      </c>
      <c r="U325" s="66">
        <f>(2*(R325+S325)+60)*(S325+T325+8)/1000000</f>
        <v/>
      </c>
      <c r="V325" s="66">
        <f>IF(OR(AND(R325&gt;=2*S325,R325&gt;=2*T325),AND(S325&gt;=2*R325,S325&gt;=2*T325),AND(T325&gt;=2*R325,T325&gt;=2*S325)),"Длинные","")</f>
        <v/>
      </c>
      <c r="W325" s="66">
        <f>IF(OR(AND(R325&lt;=S325/2,R325&lt;=T325/2),AND(S325&lt;=R325/2,S325&lt;=T325/2),AND(T325&lt;=R325/2,T325&lt;=S325/2)),"Плоские","")</f>
        <v/>
      </c>
      <c r="X325" s="160">
        <f>IF(LARGE($R325:$T325,1)="","",IF(LARGE($R325:$T325,1)&lt;=99,"10-99 мм",IF(LARGE($R325:$T325,1)&lt;=199,"100-199 мм",IF(LARGE($R325:$T325,1)&lt;=299,"200-299 мм",IF(LARGE($R325:$T325,1)&lt;=399,"300-399 мм",IF(LARGE($R325:$T325,1)&lt;=499,"400-499 мм",IF(LARGE($R325:$T325,1)&lt;=599,"500-599 мм",IF(LARGE($R325:$T325,1)&lt;=699,"600-699 мм",IF(LARGE($R325:$T325,1)&lt;=999,"700-999 мм","1000+ мм")))))))))</f>
        <v/>
      </c>
      <c r="Y325" s="160">
        <f>IF(LARGE($R325:$T325,2)="","",IF(LARGE($R325:$T325,2)&lt;=99,"10-99 мм",IF(LARGE($R325:$T325,2)&lt;=199,"100-199 мм",IF(LARGE($R325:$T325,2)&lt;=299,"200-299 мм",IF(LARGE($R325:$T325,2)&lt;=399,"300-399 мм",IF(LARGE($R325:$T325,2)&lt;=499,"400-499 мм",IF(LARGE($R325:$T325,2)&lt;=599,"500-599 мм",IF(LARGE($R325:$T325,2)&lt;=699,"600-699 мм",IF(LARGE($R325:$T325,2)&lt;=999,"700-999 мм","1000+ мм")))))))))</f>
        <v/>
      </c>
      <c r="Z325" s="160">
        <f>IF(SMALL($R325:$T325,1)="","",IF(SMALL($R325:$T325,1)&lt;=99,"10-99 мм",IF(SMALL($R325:$T325,1)&lt;=199,"100-199 мм",IF(SMALL($R325:$T325,1)&lt;=299,"200-299 мм",IF(SMALL($R325:$T325,1)&lt;=399,"300-399 мм",IF(SMALL($R325:$T325,1)&lt;=499,"400-499 мм",IF(SMALL($R325:$T325,1)&lt;=599,"500-599 мм",IF(SMALL($R325:$T325,1)&lt;=699,"600-699 мм",IF(SMALL($R325:$T325,1)&lt;=999,"700-999 мм","1000+ мм")))))))))</f>
        <v/>
      </c>
      <c r="AA325" s="101">
        <f>IF(G325="","",IF(G325="Л","Лист гофрокартона",IF(G325="КД","Крышка-дно",IF(G325="С","Самосборные",IF(G325="Ч","Четырехклапанные",IF(G325="А","Архивные","Неизвестно"))))))</f>
        <v/>
      </c>
      <c r="AB325" s="66" t="n">
        <v>1.73</v>
      </c>
      <c r="AC325" s="101">
        <f>IF(O325="","",IF(O325&lt;=1,"0-1 литров",IF(O325&lt;=3,"2-3 литра",IF(O325&lt;=5,"4-5 литра",IF(O325&lt;=7,"6-7 литра",IF(O325&lt;=9,"8-9 литров",IF(O325&lt;=14,"10-14 литров",IF(O325&lt;=19,"15-19 литров",IF(O325&lt;=29,"20-29 литров",IF(O325&lt;=49,"30-49 литров",IF(O325&lt;=59,"50-59 литров",IF(O325&lt;=70,"60-69 литров",IF(O325&lt;=79,"70-79 литров",IF(O325&lt;=89,"80-89 литров",IF(O325&lt;=99,"90-99 литров",IF(O325&lt;=200,"100-200 литров","200+ литров"))))))))))))))))</f>
        <v/>
      </c>
    </row>
    <row r="326">
      <c r="A326" s="64" t="n">
        <v>0.45</v>
      </c>
      <c r="B326" s="65">
        <f>A326*1.2</f>
        <v/>
      </c>
      <c r="C326" s="109" t="n">
        <v>326</v>
      </c>
      <c r="D326" s="77" t="inlineStr">
        <is>
          <t>БМ</t>
        </is>
      </c>
      <c r="E326" s="88" t="inlineStr">
        <is>
          <t>500х100х40</t>
        </is>
      </c>
      <c r="G326" s="83" t="inlineStr">
        <is>
          <t>С</t>
        </is>
      </c>
      <c r="H326" s="146" t="inlineStr">
        <is>
          <t>0427</t>
        </is>
      </c>
      <c r="I326" s="83" t="inlineStr">
        <is>
          <t>В</t>
        </is>
      </c>
      <c r="J326" s="83" t="inlineStr">
        <is>
          <t>ОП</t>
        </is>
      </c>
      <c r="K326" s="116" t="inlineStr">
        <is>
          <t>K518</t>
        </is>
      </c>
      <c r="N326" s="239">
        <f>IF(D326="","",IF(LEFT(D326,1)="0",0,1))</f>
        <v/>
      </c>
      <c r="O326" s="80">
        <f>ROUND(R326*S326*T326/1000000,2)</f>
        <v/>
      </c>
      <c r="P326" s="160">
        <f>IF(O326="","",
IF(O326&lt;1,"0,1-0,9 литров",
IF(O326&lt;2,"1-1,9 литра",
IF(O326&lt;3,"2-2,9 литра",
IF(O326&lt;4,"3-3,9 литра",
IF(O326&lt;6,"4-5,9 литра",IF(O326&lt;8,"6-7,9 литра",IF(O326&lt;10,"8-9,9 литров",IF(O326&lt;15,"10-14,9 литров",IF(O326&lt;20,"15-19,9 литров",IF(O326&lt;30,"20-29 литров",IF(O326&lt;50,"30-49 литров",IF(O326&lt;60,"50-59 литров",IF(O326&lt;70,"60-69 литров",IF(O326&lt;80,"70-79 литров",IF(O326&lt;90,"80-89 литров",IF(O326&lt;100,"90-99 литров",IF(O326&lt;200,"100-200 литров","200+ литров"))))))))))))))))))</f>
        <v/>
      </c>
      <c r="Q326" s="101">
        <f>IF(O326="","",IF(O326&lt;1,"&lt;1 л",IF(O326&lt;2,"1-2 л",IF(O326&lt;3,"2-3 л",IF(O326&lt;5,"3-5 л",IF(O326&lt;10,"5-10 л",IF(O326&lt;20,"10-20 л",IF(O326&lt;50,"20-50 л",IF(O326&lt;100,"50-100 л","100+ л")))))))))</f>
        <v/>
      </c>
      <c r="R326" s="162">
        <f>IF(E326="","",--LEFT(E326,FIND("х",E326)-1))</f>
        <v/>
      </c>
      <c r="S326" s="162">
        <f>IF(E326="","",--MID(E326,FIND("х",E326)+1,FIND("х",E326,FIND("х",E326)+1)-FIND("х",E326)-1))</f>
        <v/>
      </c>
      <c r="T326" s="162">
        <f>IF(E326="","",--RIGHT(E326,LEN(E326)-FIND("х",E326,FIND("х",E326)+1)))</f>
        <v/>
      </c>
      <c r="U326" s="66">
        <f>(2*(R326+S326)+60)*(S326+T326+8)/1000000</f>
        <v/>
      </c>
      <c r="V326" s="66">
        <f>IF(OR(AND(R326&gt;=2*S326,R326&gt;=2*T326),AND(S326&gt;=2*R326,S326&gt;=2*T326),AND(T326&gt;=2*R326,T326&gt;=2*S326)),"Длинные","")</f>
        <v/>
      </c>
      <c r="W326" s="66">
        <f>IF(OR(AND(R326&lt;=S326/2,R326&lt;=T326/2),AND(S326&lt;=R326/2,S326&lt;=T326/2),AND(T326&lt;=R326/2,T326&lt;=S326/2)),"Плоские","")</f>
        <v/>
      </c>
      <c r="X326" s="160">
        <f>IF(LARGE($R326:$T326,1)="","",IF(LARGE($R326:$T326,1)&lt;=99,"10-99 мм",IF(LARGE($R326:$T326,1)&lt;=199,"100-199 мм",IF(LARGE($R326:$T326,1)&lt;=299,"200-299 мм",IF(LARGE($R326:$T326,1)&lt;=399,"300-399 мм",IF(LARGE($R326:$T326,1)&lt;=499,"400-499 мм",IF(LARGE($R326:$T326,1)&lt;=599,"500-599 мм",IF(LARGE($R326:$T326,1)&lt;=699,"600-699 мм",IF(LARGE($R326:$T326,1)&lt;=999,"700-999 мм","1000+ мм")))))))))</f>
        <v/>
      </c>
      <c r="Y326" s="160">
        <f>IF(LARGE($R326:$T326,2)="","",IF(LARGE($R326:$T326,2)&lt;=99,"10-99 мм",IF(LARGE($R326:$T326,2)&lt;=199,"100-199 мм",IF(LARGE($R326:$T326,2)&lt;=299,"200-299 мм",IF(LARGE($R326:$T326,2)&lt;=399,"300-399 мм",IF(LARGE($R326:$T326,2)&lt;=499,"400-499 мм",IF(LARGE($R326:$T326,2)&lt;=599,"500-599 мм",IF(LARGE($R326:$T326,2)&lt;=699,"600-699 мм",IF(LARGE($R326:$T326,2)&lt;=999,"700-999 мм","1000+ мм")))))))))</f>
        <v/>
      </c>
      <c r="Z326" s="160">
        <f>IF(SMALL($R326:$T326,1)="","",IF(SMALL($R326:$T326,1)&lt;=99,"10-99 мм",IF(SMALL($R326:$T326,1)&lt;=199,"100-199 мм",IF(SMALL($R326:$T326,1)&lt;=299,"200-299 мм",IF(SMALL($R326:$T326,1)&lt;=399,"300-399 мм",IF(SMALL($R326:$T326,1)&lt;=499,"400-499 мм",IF(SMALL($R326:$T326,1)&lt;=599,"500-599 мм",IF(SMALL($R326:$T326,1)&lt;=699,"600-699 мм",IF(SMALL($R326:$T326,1)&lt;=999,"700-999 мм","1000+ мм")))))))))</f>
        <v/>
      </c>
      <c r="AA326" s="101">
        <f>IF(G326="","",IF(G326="Л","Лист гофрокартона",IF(G326="КД","Крышка-дно",IF(G326="С","Самосборные",IF(G326="Ч","Четырехклапанные",IF(G326="А","Архивные","Неизвестно"))))))</f>
        <v/>
      </c>
      <c r="AB326" s="66" t="n">
        <v>1.73</v>
      </c>
      <c r="AC326" s="101">
        <f>IF(O326="","",IF(O326&lt;=1,"0-1 литров",IF(O326&lt;=3,"2-3 литра",IF(O326&lt;=5,"4-5 литра",IF(O326&lt;=7,"6-7 литра",IF(O326&lt;=9,"8-9 литров",IF(O326&lt;=14,"10-14 литров",IF(O326&lt;=19,"15-19 литров",IF(O326&lt;=29,"20-29 литров",IF(O326&lt;=49,"30-49 литров",IF(O326&lt;=59,"50-59 литров",IF(O326&lt;=70,"60-69 литров",IF(O326&lt;=79,"70-79 литров",IF(O326&lt;=89,"80-89 литров",IF(O326&lt;=99,"90-99 литров",IF(O326&lt;=200,"100-200 литров","200+ литров"))))))))))))))))</f>
        <v/>
      </c>
    </row>
    <row r="327">
      <c r="A327" s="64" t="n">
        <v>0.57</v>
      </c>
      <c r="B327" s="94">
        <f>A327*1.2</f>
        <v/>
      </c>
      <c r="C327" s="109" t="n">
        <v>327</v>
      </c>
      <c r="D327" s="77" t="inlineStr">
        <is>
          <t>У</t>
        </is>
      </c>
      <c r="E327" s="88" t="inlineStr">
        <is>
          <t>150х150х170</t>
        </is>
      </c>
      <c r="G327" s="83" t="inlineStr">
        <is>
          <t>Ч</t>
        </is>
      </c>
      <c r="H327" s="146" t="inlineStr">
        <is>
          <t>0201</t>
        </is>
      </c>
      <c r="I327" s="83" t="inlineStr">
        <is>
          <t>В</t>
        </is>
      </c>
      <c r="J327" s="83" t="inlineStr">
        <is>
          <t>У</t>
        </is>
      </c>
      <c r="K327" s="116" t="inlineStr">
        <is>
          <t>K270</t>
        </is>
      </c>
      <c r="N327" s="239">
        <f>IF(D327="","",IF(LEFT(D327,1)="0",0,1))</f>
        <v/>
      </c>
      <c r="O327" s="80">
        <f>ROUND(R327*S327*T327/1000000,2)</f>
        <v/>
      </c>
      <c r="P327" s="160">
        <f>IF(O327="","",
IF(O327&lt;1,"0,1-0,9 литров",
IF(O327&lt;2,"1-1,9 литра",
IF(O327&lt;3,"2-2,9 литра",
IF(O327&lt;4,"3-3,9 литра",
IF(O327&lt;6,"4-5,9 литра",IF(O327&lt;8,"6-7,9 литра",IF(O327&lt;10,"8-9,9 литров",IF(O327&lt;15,"10-14,9 литров",IF(O327&lt;20,"15-19,9 литров",IF(O327&lt;30,"20-29 литров",IF(O327&lt;50,"30-49 литров",IF(O327&lt;60,"50-59 литров",IF(O327&lt;70,"60-69 литров",IF(O327&lt;80,"70-79 литров",IF(O327&lt;90,"80-89 литров",IF(O327&lt;100,"90-99 литров",IF(O327&lt;200,"100-200 литров","200+ литров"))))))))))))))))))</f>
        <v/>
      </c>
      <c r="Q327" s="101">
        <f>IF(O327="","",IF(O327&lt;1,"&lt;1 л",IF(O327&lt;2,"1-2 л",IF(O327&lt;3,"2-3 л",IF(O327&lt;5,"3-5 л",IF(O327&lt;10,"5-10 л",IF(O327&lt;20,"10-20 л",IF(O327&lt;50,"20-50 л",IF(O327&lt;100,"50-100 л","100+ л")))))))))</f>
        <v/>
      </c>
      <c r="R327" s="162">
        <f>IF(E327="","",--LEFT(E327,FIND("х",E327)-1))</f>
        <v/>
      </c>
      <c r="S327" s="162">
        <f>IF(E327="","",--MID(E327,FIND("х",E327)+1,FIND("х",E327,FIND("х",E327)+1)-FIND("х",E327)-1))</f>
        <v/>
      </c>
      <c r="T327" s="162">
        <f>IF(E327="","",--RIGHT(E327,LEN(E327)-FIND("х",E327,FIND("х",E327)+1)))</f>
        <v/>
      </c>
      <c r="U327" s="66">
        <f>(2*(R327+S327)+60)*(S327+T327+8)/1000000</f>
        <v/>
      </c>
      <c r="V327" s="66">
        <f>IF(OR(AND(R327&gt;=2*S327,R327&gt;=2*T327),AND(S327&gt;=2*R327,S327&gt;=2*T327),AND(T327&gt;=2*R327,T327&gt;=2*S327)),"Длинные","")</f>
        <v/>
      </c>
      <c r="W327" s="66">
        <f>IF(OR(AND(R327&lt;=S327/2,R327&lt;=T327/2),AND(S327&lt;=R327/2,S327&lt;=T327/2),AND(T327&lt;=R327/2,T327&lt;=S327/2)),"Плоские","")</f>
        <v/>
      </c>
      <c r="X327" s="160">
        <f>IF(LARGE($R327:$T327,1)="","",IF(LARGE($R327:$T327,1)&lt;=99,"10-99 мм",IF(LARGE($R327:$T327,1)&lt;=199,"100-199 мм",IF(LARGE($R327:$T327,1)&lt;=299,"200-299 мм",IF(LARGE($R327:$T327,1)&lt;=399,"300-399 мм",IF(LARGE($R327:$T327,1)&lt;=499,"400-499 мм",IF(LARGE($R327:$T327,1)&lt;=599,"500-599 мм",IF(LARGE($R327:$T327,1)&lt;=699,"600-699 мм",IF(LARGE($R327:$T327,1)&lt;=999,"700-999 мм","1000+ мм")))))))))</f>
        <v/>
      </c>
      <c r="Y327" s="160">
        <f>IF(LARGE($R327:$T327,2)="","",IF(LARGE($R327:$T327,2)&lt;=99,"10-99 мм",IF(LARGE($R327:$T327,2)&lt;=199,"100-199 мм",IF(LARGE($R327:$T327,2)&lt;=299,"200-299 мм",IF(LARGE($R327:$T327,2)&lt;=399,"300-399 мм",IF(LARGE($R327:$T327,2)&lt;=499,"400-499 мм",IF(LARGE($R327:$T327,2)&lt;=599,"500-599 мм",IF(LARGE($R327:$T327,2)&lt;=699,"600-699 мм",IF(LARGE($R327:$T327,2)&lt;=999,"700-999 мм","1000+ мм")))))))))</f>
        <v/>
      </c>
      <c r="Z327" s="160">
        <f>IF(SMALL($R327:$T327,1)="","",IF(SMALL($R327:$T327,1)&lt;=99,"10-99 мм",IF(SMALL($R327:$T327,1)&lt;=199,"100-199 мм",IF(SMALL($R327:$T327,1)&lt;=299,"200-299 мм",IF(SMALL($R327:$T327,1)&lt;=399,"300-399 мм",IF(SMALL($R327:$T327,1)&lt;=499,"400-499 мм",IF(SMALL($R327:$T327,1)&lt;=599,"500-599 мм",IF(SMALL($R327:$T327,1)&lt;=699,"600-699 мм",IF(SMALL($R327:$T327,1)&lt;=999,"700-999 мм","1000+ мм")))))))))</f>
        <v/>
      </c>
      <c r="AA327" s="160">
        <f>IF(G327="","",IF(G327="Л","Лист гофрокартона",IF(G327="КД","Крышка-дно",IF(G327="С","Самосборные",IF(G327="Ч","Четырехклапанные",IF(G327="А","Архивные","Неизвестно"))))))</f>
        <v/>
      </c>
      <c r="AB327" s="66" t="n">
        <v>1.73</v>
      </c>
      <c r="AC327" s="101">
        <f>IF(O327="","",IF(O327&lt;=1,"0-1 литров",IF(O327&lt;=3,"2-3 литра",IF(O327&lt;=5,"4-5 литра",IF(O327&lt;=7,"6-7 литра",IF(O327&lt;=9,"8-9 литров",IF(O327&lt;=14,"10-14 литров",IF(O327&lt;=19,"15-19 литров",IF(O327&lt;=29,"20-29 литров",IF(O327&lt;=49,"30-49 литров",IF(O327&lt;=59,"50-59 литров",IF(O327&lt;=70,"60-69 литров",IF(O327&lt;=79,"70-79 литров",IF(O327&lt;=89,"80-89 литров",IF(O327&lt;=99,"90-99 литров",IF(O327&lt;=200,"100-200 литров","200+ литров"))))))))))))))))</f>
        <v/>
      </c>
    </row>
    <row r="328">
      <c r="A328" s="64" t="n">
        <v>0.35</v>
      </c>
      <c r="B328" s="94">
        <f>A328*1.2</f>
        <v/>
      </c>
      <c r="C328" s="109" t="n">
        <v>328</v>
      </c>
      <c r="D328" s="77" t="inlineStr">
        <is>
          <t>У</t>
        </is>
      </c>
      <c r="E328" s="88" t="inlineStr">
        <is>
          <t>125х125х250</t>
        </is>
      </c>
      <c r="G328" s="83" t="inlineStr">
        <is>
          <t>Ч</t>
        </is>
      </c>
      <c r="H328" s="146" t="inlineStr">
        <is>
          <t>0201</t>
        </is>
      </c>
      <c r="I328" s="83" t="inlineStr">
        <is>
          <t>В</t>
        </is>
      </c>
      <c r="J328" s="83" t="inlineStr">
        <is>
          <t>У</t>
        </is>
      </c>
      <c r="K328" s="116" t="inlineStr">
        <is>
          <t>K271</t>
        </is>
      </c>
      <c r="N328" s="239">
        <f>IF(D328="","",IF(LEFT(D328,1)="0",0,1))</f>
        <v/>
      </c>
      <c r="O328" s="80">
        <f>ROUND(R328*S328*T328/1000000,2)</f>
        <v/>
      </c>
      <c r="P328" s="160">
        <f>IF(O328="","",
IF(O328&lt;1,"0,1-0,9 литров",
IF(O328&lt;2,"1-1,9 литра",
IF(O328&lt;3,"2-2,9 литра",
IF(O328&lt;4,"3-3,9 литра",
IF(O328&lt;6,"4-5,9 литра",IF(O328&lt;8,"6-7,9 литра",IF(O328&lt;10,"8-9,9 литров",IF(O328&lt;15,"10-14,9 литров",IF(O328&lt;20,"15-19,9 литров",IF(O328&lt;30,"20-29 литров",IF(O328&lt;50,"30-49 литров",IF(O328&lt;60,"50-59 литров",IF(O328&lt;70,"60-69 литров",IF(O328&lt;80,"70-79 литров",IF(O328&lt;90,"80-89 литров",IF(O328&lt;100,"90-99 литров",IF(O328&lt;200,"100-200 литров","200+ литров"))))))))))))))))))</f>
        <v/>
      </c>
      <c r="Q328" s="101">
        <f>IF(O328="","",IF(O328&lt;1,"&lt;1 л",IF(O328&lt;2,"1-2 л",IF(O328&lt;3,"2-3 л",IF(O328&lt;5,"3-5 л",IF(O328&lt;10,"5-10 л",IF(O328&lt;20,"10-20 л",IF(O328&lt;50,"20-50 л",IF(O328&lt;100,"50-100 л","100+ л")))))))))</f>
        <v/>
      </c>
      <c r="R328" s="162">
        <f>IF(E328="","",--LEFT(E328,FIND("х",E328)-1))</f>
        <v/>
      </c>
      <c r="S328" s="162">
        <f>IF(E328="","",--MID(E328,FIND("х",E328)+1,FIND("х",E328,FIND("х",E328)+1)-FIND("х",E328)-1))</f>
        <v/>
      </c>
      <c r="T328" s="162">
        <f>IF(E328="","",--RIGHT(E328,LEN(E328)-FIND("х",E328,FIND("х",E328)+1)))</f>
        <v/>
      </c>
      <c r="U328" s="66">
        <f>(2*(R328+S328)+60)*(S328+T328+8)/1000000</f>
        <v/>
      </c>
      <c r="V328" s="66">
        <f>IF(OR(AND(R328&gt;=2*S328,R328&gt;=2*T328),AND(S328&gt;=2*R328,S328&gt;=2*T328),AND(T328&gt;=2*R328,T328&gt;=2*S328)),"Длинные","")</f>
        <v/>
      </c>
      <c r="W328" s="66">
        <f>IF(OR(AND(R328&lt;=S328/2,R328&lt;=T328/2),AND(S328&lt;=R328/2,S328&lt;=T328/2),AND(T328&lt;=R328/2,T328&lt;=S328/2)),"Плоские","")</f>
        <v/>
      </c>
      <c r="X328" s="160">
        <f>IF(LARGE($R328:$T328,1)="","",IF(LARGE($R328:$T328,1)&lt;=99,"10-99 мм",IF(LARGE($R328:$T328,1)&lt;=199,"100-199 мм",IF(LARGE($R328:$T328,1)&lt;=299,"200-299 мм",IF(LARGE($R328:$T328,1)&lt;=399,"300-399 мм",IF(LARGE($R328:$T328,1)&lt;=499,"400-499 мм",IF(LARGE($R328:$T328,1)&lt;=599,"500-599 мм",IF(LARGE($R328:$T328,1)&lt;=699,"600-699 мм",IF(LARGE($R328:$T328,1)&lt;=999,"700-999 мм","1000+ мм")))))))))</f>
        <v/>
      </c>
      <c r="Y328" s="160">
        <f>IF(LARGE($R328:$T328,2)="","",IF(LARGE($R328:$T328,2)&lt;=99,"10-99 мм",IF(LARGE($R328:$T328,2)&lt;=199,"100-199 мм",IF(LARGE($R328:$T328,2)&lt;=299,"200-299 мм",IF(LARGE($R328:$T328,2)&lt;=399,"300-399 мм",IF(LARGE($R328:$T328,2)&lt;=499,"400-499 мм",IF(LARGE($R328:$T328,2)&lt;=599,"500-599 мм",IF(LARGE($R328:$T328,2)&lt;=699,"600-699 мм",IF(LARGE($R328:$T328,2)&lt;=999,"700-999 мм","1000+ мм")))))))))</f>
        <v/>
      </c>
      <c r="Z328" s="160">
        <f>IF(SMALL($R328:$T328,1)="","",IF(SMALL($R328:$T328,1)&lt;=99,"10-99 мм",IF(SMALL($R328:$T328,1)&lt;=199,"100-199 мм",IF(SMALL($R328:$T328,1)&lt;=299,"200-299 мм",IF(SMALL($R328:$T328,1)&lt;=399,"300-399 мм",IF(SMALL($R328:$T328,1)&lt;=499,"400-499 мм",IF(SMALL($R328:$T328,1)&lt;=599,"500-599 мм",IF(SMALL($R328:$T328,1)&lt;=699,"600-699 мм",IF(SMALL($R328:$T328,1)&lt;=999,"700-999 мм","1000+ мм")))))))))</f>
        <v/>
      </c>
      <c r="AA328" s="160">
        <f>IF(G328="","",IF(G328="Л","Лист гофрокартона",IF(G328="КД","Крышка-дно",IF(G328="С","Самосборные",IF(G328="Ч","Четырехклапанные",IF(G328="А","Архивные","Неизвестно"))))))</f>
        <v/>
      </c>
      <c r="AB328" s="66" t="n">
        <v>1.73</v>
      </c>
      <c r="AC328" s="101">
        <f>IF(O328="","",IF(O328&lt;=1,"0-1 литров",IF(O328&lt;=3,"2-3 литра",IF(O328&lt;=5,"4-5 литра",IF(O328&lt;=7,"6-7 литра",IF(O328&lt;=9,"8-9 литров",IF(O328&lt;=14,"10-14 литров",IF(O328&lt;=19,"15-19 литров",IF(O328&lt;=29,"20-29 литров",IF(O328&lt;=49,"30-49 литров",IF(O328&lt;=59,"50-59 литров",IF(O328&lt;=70,"60-69 литров",IF(O328&lt;=79,"70-79 литров",IF(O328&lt;=89,"80-89 литров",IF(O328&lt;=99,"90-99 литров",IF(O328&lt;=200,"100-200 литров","200+ литров"))))))))))))))))</f>
        <v/>
      </c>
    </row>
    <row r="329">
      <c r="A329" s="64" t="n">
        <v>1</v>
      </c>
      <c r="B329" s="94">
        <f>A329*1.2</f>
        <v/>
      </c>
      <c r="C329" s="109" t="n">
        <v>329</v>
      </c>
      <c r="D329" s="77" t="inlineStr">
        <is>
          <t>БМ</t>
        </is>
      </c>
      <c r="E329" s="88" t="inlineStr">
        <is>
          <t>270х225х140</t>
        </is>
      </c>
      <c r="G329" s="83" t="inlineStr">
        <is>
          <t>С</t>
        </is>
      </c>
      <c r="H329" s="146" t="inlineStr">
        <is>
          <t>0471</t>
        </is>
      </c>
      <c r="I329" s="83" t="inlineStr">
        <is>
          <t>В</t>
        </is>
      </c>
      <c r="J329" s="83" t="inlineStr">
        <is>
          <t>ОП</t>
        </is>
      </c>
      <c r="K329" s="116" t="inlineStr">
        <is>
          <t>K519</t>
        </is>
      </c>
      <c r="N329" s="239">
        <f>IF(D329="","",IF(LEFT(D329,1)="0",0,1))</f>
        <v/>
      </c>
      <c r="O329" s="80">
        <f>ROUND(R329*S329*T329/1000000,2)</f>
        <v/>
      </c>
      <c r="P329" s="160">
        <f>IF(O329="","",
IF(O329&lt;1,"0,1-0,9 литров",
IF(O329&lt;2,"1-1,9 литра",
IF(O329&lt;3,"2-2,9 литра",
IF(O329&lt;4,"3-3,9 литра",
IF(O329&lt;6,"4-5,9 литра",IF(O329&lt;8,"6-7,9 литра",IF(O329&lt;10,"8-9,9 литров",IF(O329&lt;15,"10-14,9 литров",IF(O329&lt;20,"15-19,9 литров",IF(O329&lt;30,"20-29 литров",IF(O329&lt;50,"30-49 литров",IF(O329&lt;60,"50-59 литров",IF(O329&lt;70,"60-69 литров",IF(O329&lt;80,"70-79 литров",IF(O329&lt;90,"80-89 литров",IF(O329&lt;100,"90-99 литров",IF(O329&lt;200,"100-200 литров","200+ литров"))))))))))))))))))</f>
        <v/>
      </c>
      <c r="Q329" s="101">
        <f>IF(O329="","",IF(O329&lt;1,"&lt;1 л",IF(O329&lt;2,"1-2 л",IF(O329&lt;3,"2-3 л",IF(O329&lt;5,"3-5 л",IF(O329&lt;10,"5-10 л",IF(O329&lt;20,"10-20 л",IF(O329&lt;50,"20-50 л",IF(O329&lt;100,"50-100 л","100+ л")))))))))</f>
        <v/>
      </c>
      <c r="R329" s="162">
        <f>IF(E329="","",--LEFT(E329,FIND("х",E329)-1))</f>
        <v/>
      </c>
      <c r="S329" s="162">
        <f>IF(E329="","",--MID(E329,FIND("х",E329)+1,FIND("х",E329,FIND("х",E329)+1)-FIND("х",E329)-1))</f>
        <v/>
      </c>
      <c r="T329" s="162">
        <f>IF(E329="","",--RIGHT(E329,LEN(E329)-FIND("х",E329,FIND("х",E329)+1)))</f>
        <v/>
      </c>
      <c r="U329" s="66">
        <f>(2*(R329+S329)+60)*(S329+T329+8)/1000000</f>
        <v/>
      </c>
      <c r="V329" s="66">
        <f>IF(OR(AND(R329&gt;=2*S329,R329&gt;=2*T329),AND(S329&gt;=2*R329,S329&gt;=2*T329),AND(T329&gt;=2*R329,T329&gt;=2*S329)),"Длинные","")</f>
        <v/>
      </c>
      <c r="W329" s="66">
        <f>IF(OR(AND(R329&lt;=S329/2,R329&lt;=T329/2),AND(S329&lt;=R329/2,S329&lt;=T329/2),AND(T329&lt;=R329/2,T329&lt;=S329/2)),"Плоские","")</f>
        <v/>
      </c>
      <c r="X329" s="160">
        <f>IF(LARGE($R329:$T329,1)="","",IF(LARGE($R329:$T329,1)&lt;=99,"10-99 мм",IF(LARGE($R329:$T329,1)&lt;=199,"100-199 мм",IF(LARGE($R329:$T329,1)&lt;=299,"200-299 мм",IF(LARGE($R329:$T329,1)&lt;=399,"300-399 мм",IF(LARGE($R329:$T329,1)&lt;=499,"400-499 мм",IF(LARGE($R329:$T329,1)&lt;=599,"500-599 мм",IF(LARGE($R329:$T329,1)&lt;=699,"600-699 мм",IF(LARGE($R329:$T329,1)&lt;=999,"700-999 мм","1000+ мм")))))))))</f>
        <v/>
      </c>
      <c r="Y329" s="160">
        <f>IF(LARGE($R329:$T329,2)="","",IF(LARGE($R329:$T329,2)&lt;=99,"10-99 мм",IF(LARGE($R329:$T329,2)&lt;=199,"100-199 мм",IF(LARGE($R329:$T329,2)&lt;=299,"200-299 мм",IF(LARGE($R329:$T329,2)&lt;=399,"300-399 мм",IF(LARGE($R329:$T329,2)&lt;=499,"400-499 мм",IF(LARGE($R329:$T329,2)&lt;=599,"500-599 мм",IF(LARGE($R329:$T329,2)&lt;=699,"600-699 мм",IF(LARGE($R329:$T329,2)&lt;=999,"700-999 мм","1000+ мм")))))))))</f>
        <v/>
      </c>
      <c r="Z329" s="160">
        <f>IF(SMALL($R329:$T329,1)="","",IF(SMALL($R329:$T329,1)&lt;=99,"10-99 мм",IF(SMALL($R329:$T329,1)&lt;=199,"100-199 мм",IF(SMALL($R329:$T329,1)&lt;=299,"200-299 мм",IF(SMALL($R329:$T329,1)&lt;=399,"300-399 мм",IF(SMALL($R329:$T329,1)&lt;=499,"400-499 мм",IF(SMALL($R329:$T329,1)&lt;=599,"500-599 мм",IF(SMALL($R329:$T329,1)&lt;=699,"600-699 мм",IF(SMALL($R329:$T329,1)&lt;=999,"700-999 мм","1000+ мм")))))))))</f>
        <v/>
      </c>
      <c r="AA329" s="160">
        <f>IF(G329="","",IF(G329="Л","Лист гофрокартона",IF(G329="КД","Крышка-дно",IF(G329="С","Самосборные",IF(G329="Ч","Четырехклапанные",IF(G329="А","Архивные","Неизвестно"))))))</f>
        <v/>
      </c>
      <c r="AB329" s="66" t="n">
        <v>1.73</v>
      </c>
      <c r="AC329" s="101">
        <f>IF(O329="","",IF(O329&lt;=1,"0-1 литров",IF(O329&lt;=3,"2-3 литра",IF(O329&lt;=5,"4-5 литра",IF(O329&lt;=7,"6-7 литра",IF(O329&lt;=9,"8-9 литров",IF(O329&lt;=14,"10-14 литров",IF(O329&lt;=19,"15-19 литров",IF(O329&lt;=29,"20-29 литров",IF(O329&lt;=49,"30-49 литров",IF(O329&lt;=59,"50-59 литров",IF(O329&lt;=70,"60-69 литров",IF(O329&lt;=79,"70-79 литров",IF(O329&lt;=89,"80-89 литров",IF(O329&lt;=99,"90-99 литров",IF(O329&lt;=200,"100-200 литров","200+ литров"))))))))))))))))</f>
        <v/>
      </c>
    </row>
    <row r="330">
      <c r="A330" s="91" t="n">
        <v>0.36</v>
      </c>
      <c r="B330" s="94">
        <f>A330*1.2</f>
        <v/>
      </c>
      <c r="C330" s="109" t="n">
        <v>330</v>
      </c>
      <c r="D330" s="77" t="inlineStr">
        <is>
          <t>БМ</t>
        </is>
      </c>
      <c r="E330" s="88" t="inlineStr">
        <is>
          <t>245х140х180</t>
        </is>
      </c>
      <c r="F330" s="213" t="inlineStr">
        <is>
          <t>Ш+Д=320 old</t>
        </is>
      </c>
      <c r="G330" s="83" t="inlineStr">
        <is>
          <t>Ч</t>
        </is>
      </c>
      <c r="H330" s="146" t="inlineStr">
        <is>
          <t>0201</t>
        </is>
      </c>
      <c r="I330" s="83" t="inlineStr">
        <is>
          <t>В</t>
        </is>
      </c>
      <c r="J330" s="83" t="inlineStr">
        <is>
          <t>без</t>
        </is>
      </c>
      <c r="K330" s="116" t="inlineStr">
        <is>
          <t>K520</t>
        </is>
      </c>
      <c r="N330" s="239">
        <f>IF(D330="","",IF(LEFT(D330,1)="0",0,1))</f>
        <v/>
      </c>
      <c r="O330" s="80">
        <f>ROUND(R330*S330*T330/1000000,2)</f>
        <v/>
      </c>
      <c r="P330" s="160">
        <f>IF(O330="","",
IF(O330&lt;1,"0,1-0,9 литров",
IF(O330&lt;2,"1-1,9 литра",
IF(O330&lt;3,"2-2,9 литра",
IF(O330&lt;4,"3-3,9 литра",
IF(O330&lt;6,"4-5,9 литра",IF(O330&lt;8,"6-7,9 литра",IF(O330&lt;10,"8-9,9 литров",IF(O330&lt;15,"10-14,9 литров",IF(O330&lt;20,"15-19,9 литров",IF(O330&lt;30,"20-29 литров",IF(O330&lt;50,"30-49 литров",IF(O330&lt;60,"50-59 литров",IF(O330&lt;70,"60-69 литров",IF(O330&lt;80,"70-79 литров",IF(O330&lt;90,"80-89 литров",IF(O330&lt;100,"90-99 литров",IF(O330&lt;200,"100-200 литров","200+ литров"))))))))))))))))))</f>
        <v/>
      </c>
      <c r="Q330" s="101">
        <f>IF(O330="","",IF(O330&lt;1,"&lt;1 л",IF(O330&lt;2,"1-2 л",IF(O330&lt;3,"2-3 л",IF(O330&lt;5,"3-5 л",IF(O330&lt;10,"5-10 л",IF(O330&lt;20,"10-20 л",IF(O330&lt;50,"20-50 л",IF(O330&lt;100,"50-100 л","100+ л")))))))))</f>
        <v/>
      </c>
      <c r="R330" s="162">
        <f>IF(E330="","",--LEFT(E330,FIND("х",E330)-1))</f>
        <v/>
      </c>
      <c r="S330" s="162">
        <f>IF(E330="","",--MID(E330,FIND("х",E330)+1,FIND("х",E330,FIND("х",E330)+1)-FIND("х",E330)-1))</f>
        <v/>
      </c>
      <c r="T330" s="162">
        <f>IF(E330="","",--RIGHT(E330,LEN(E330)-FIND("х",E330,FIND("х",E330)+1)))</f>
        <v/>
      </c>
      <c r="U330" s="66">
        <f>(2*(R330+S330)+60)*(S330+T330+8)/1000000</f>
        <v/>
      </c>
      <c r="V330" s="66">
        <f>IF(OR(AND(R330&gt;=2*S330,R330&gt;=2*T330),AND(S330&gt;=2*R330,S330&gt;=2*T330),AND(T330&gt;=2*R330,T330&gt;=2*S330)),"Длинные","")</f>
        <v/>
      </c>
      <c r="W330" s="66">
        <f>IF(OR(AND(R330&lt;=S330/2,R330&lt;=T330/2),AND(S330&lt;=R330/2,S330&lt;=T330/2),AND(T330&lt;=R330/2,T330&lt;=S330/2)),"Плоские","")</f>
        <v/>
      </c>
      <c r="X330" s="160">
        <f>IF(LARGE($R330:$T330,1)="","",IF(LARGE($R330:$T330,1)&lt;=99,"10-99 мм",IF(LARGE($R330:$T330,1)&lt;=199,"100-199 мм",IF(LARGE($R330:$T330,1)&lt;=299,"200-299 мм",IF(LARGE($R330:$T330,1)&lt;=399,"300-399 мм",IF(LARGE($R330:$T330,1)&lt;=499,"400-499 мм",IF(LARGE($R330:$T330,1)&lt;=599,"500-599 мм",IF(LARGE($R330:$T330,1)&lt;=699,"600-699 мм",IF(LARGE($R330:$T330,1)&lt;=999,"700-999 мм","1000+ мм")))))))))</f>
        <v/>
      </c>
      <c r="Y330" s="160">
        <f>IF(LARGE($R330:$T330,2)="","",IF(LARGE($R330:$T330,2)&lt;=99,"10-99 мм",IF(LARGE($R330:$T330,2)&lt;=199,"100-199 мм",IF(LARGE($R330:$T330,2)&lt;=299,"200-299 мм",IF(LARGE($R330:$T330,2)&lt;=399,"300-399 мм",IF(LARGE($R330:$T330,2)&lt;=499,"400-499 мм",IF(LARGE($R330:$T330,2)&lt;=599,"500-599 мм",IF(LARGE($R330:$T330,2)&lt;=699,"600-699 мм",IF(LARGE($R330:$T330,2)&lt;=999,"700-999 мм","1000+ мм")))))))))</f>
        <v/>
      </c>
      <c r="Z330" s="160">
        <f>IF(SMALL($R330:$T330,1)="","",IF(SMALL($R330:$T330,1)&lt;=99,"10-99 мм",IF(SMALL($R330:$T330,1)&lt;=199,"100-199 мм",IF(SMALL($R330:$T330,1)&lt;=299,"200-299 мм",IF(SMALL($R330:$T330,1)&lt;=399,"300-399 мм",IF(SMALL($R330:$T330,1)&lt;=499,"400-499 мм",IF(SMALL($R330:$T330,1)&lt;=599,"500-599 мм",IF(SMALL($R330:$T330,1)&lt;=699,"600-699 мм",IF(SMALL($R330:$T330,1)&lt;=999,"700-999 мм","1000+ мм")))))))))</f>
        <v/>
      </c>
      <c r="AA330" s="160">
        <f>IF(G330="","",IF(G330="Л","Лист гофрокартона",IF(G330="КД","Крышка-дно",IF(G330="С","Самосборные",IF(G330="Ч","Четырехклапанные",IF(G330="А","Архивные","Неизвестно"))))))</f>
        <v/>
      </c>
    </row>
    <row r="331">
      <c r="A331" s="221" t="n">
        <v>0.38</v>
      </c>
      <c r="B331" s="94">
        <f>A331*1.2</f>
        <v/>
      </c>
      <c r="C331" s="109" t="n">
        <v>331</v>
      </c>
      <c r="D331" s="77" t="inlineStr">
        <is>
          <t>БМ</t>
        </is>
      </c>
      <c r="E331" s="88" t="inlineStr">
        <is>
          <t>240х80х200</t>
        </is>
      </c>
      <c r="F331" s="213" t="inlineStr">
        <is>
          <t>min обр</t>
        </is>
      </c>
      <c r="G331" s="83" t="inlineStr">
        <is>
          <t>Ч</t>
        </is>
      </c>
      <c r="H331" s="146" t="inlineStr">
        <is>
          <t>0201</t>
        </is>
      </c>
      <c r="I331" s="83" t="inlineStr">
        <is>
          <t>В</t>
        </is>
      </c>
      <c r="J331" s="83" t="inlineStr">
        <is>
          <t>без</t>
        </is>
      </c>
      <c r="K331" s="116" t="inlineStr">
        <is>
          <t>K521</t>
        </is>
      </c>
      <c r="N331" s="239">
        <f>IF(D331="","",IF(LEFT(D331,1)="0",0,1))</f>
        <v/>
      </c>
      <c r="O331" s="80">
        <f>ROUND(R331*S331*T331/1000000,2)</f>
        <v/>
      </c>
      <c r="P331" s="160">
        <f>IF(O331="","",
IF(O331&lt;1,"0,1-0,9 литров",
IF(O331&lt;2,"1-1,9 литра",
IF(O331&lt;3,"2-2,9 литра",
IF(O331&lt;4,"3-3,9 литра",
IF(O331&lt;6,"4-5,9 литра",IF(O331&lt;8,"6-7,9 литра",IF(O331&lt;10,"8-9,9 литров",IF(O331&lt;15,"10-14,9 литров",IF(O331&lt;20,"15-19,9 литров",IF(O331&lt;30,"20-29 литров",IF(O331&lt;50,"30-49 литров",IF(O331&lt;60,"50-59 литров",IF(O331&lt;70,"60-69 литров",IF(O331&lt;80,"70-79 литров",IF(O331&lt;90,"80-89 литров",IF(O331&lt;100,"90-99 литров",IF(O331&lt;200,"100-200 литров","200+ литров"))))))))))))))))))</f>
        <v/>
      </c>
      <c r="Q331" s="101">
        <f>IF(O331="","",IF(O331&lt;1,"&lt;1 л",IF(O331&lt;2,"1-2 л",IF(O331&lt;3,"2-3 л",IF(O331&lt;5,"3-5 л",IF(O331&lt;10,"5-10 л",IF(O331&lt;20,"10-20 л",IF(O331&lt;50,"20-50 л",IF(O331&lt;100,"50-100 л","100+ л")))))))))</f>
        <v/>
      </c>
      <c r="R331" s="162">
        <f>IF(E331="","",--LEFT(E331,FIND("х",E331)-1))</f>
        <v/>
      </c>
      <c r="S331" s="162">
        <f>IF(E331="","",--MID(E331,FIND("х",E331)+1,FIND("х",E331,FIND("х",E331)+1)-FIND("х",E331)-1))</f>
        <v/>
      </c>
      <c r="T331" s="162">
        <f>IF(E331="","",--RIGHT(E331,LEN(E331)-FIND("х",E331,FIND("х",E331)+1)))</f>
        <v/>
      </c>
      <c r="U331" s="66">
        <f>(2*(R331+S331)+60)*(S331+T331+8)/1000000</f>
        <v/>
      </c>
      <c r="V331" s="66">
        <f>IF(OR(AND(R331&gt;=2*S331,R331&gt;=2*T331),AND(S331&gt;=2*R331,S331&gt;=2*T331),AND(T331&gt;=2*R331,T331&gt;=2*S331)),"Длинные","")</f>
        <v/>
      </c>
      <c r="W331" s="66">
        <f>IF(OR(AND(R331&lt;=S331/2,R331&lt;=T331/2),AND(S331&lt;=R331/2,S331&lt;=T331/2),AND(T331&lt;=R331/2,T331&lt;=S331/2)),"Плоские","")</f>
        <v/>
      </c>
      <c r="X331" s="160">
        <f>IF(LARGE($R331:$T331,1)="","",IF(LARGE($R331:$T331,1)&lt;=99,"10-99 мм",IF(LARGE($R331:$T331,1)&lt;=199,"100-199 мм",IF(LARGE($R331:$T331,1)&lt;=299,"200-299 мм",IF(LARGE($R331:$T331,1)&lt;=399,"300-399 мм",IF(LARGE($R331:$T331,1)&lt;=499,"400-499 мм",IF(LARGE($R331:$T331,1)&lt;=599,"500-599 мм",IF(LARGE($R331:$T331,1)&lt;=699,"600-699 мм",IF(LARGE($R331:$T331,1)&lt;=999,"700-999 мм","1000+ мм")))))))))</f>
        <v/>
      </c>
      <c r="Y331" s="160">
        <f>IF(LARGE($R331:$T331,2)="","",IF(LARGE($R331:$T331,2)&lt;=99,"10-99 мм",IF(LARGE($R331:$T331,2)&lt;=199,"100-199 мм",IF(LARGE($R331:$T331,2)&lt;=299,"200-299 мм",IF(LARGE($R331:$T331,2)&lt;=399,"300-399 мм",IF(LARGE($R331:$T331,2)&lt;=499,"400-499 мм",IF(LARGE($R331:$T331,2)&lt;=599,"500-599 мм",IF(LARGE($R331:$T331,2)&lt;=699,"600-699 мм",IF(LARGE($R331:$T331,2)&lt;=999,"700-999 мм","1000+ мм")))))))))</f>
        <v/>
      </c>
      <c r="Z331" s="160">
        <f>IF(SMALL($R331:$T331,1)="","",IF(SMALL($R331:$T331,1)&lt;=99,"10-99 мм",IF(SMALL($R331:$T331,1)&lt;=199,"100-199 мм",IF(SMALL($R331:$T331,1)&lt;=299,"200-299 мм",IF(SMALL($R331:$T331,1)&lt;=399,"300-399 мм",IF(SMALL($R331:$T331,1)&lt;=499,"400-499 мм",IF(SMALL($R331:$T331,1)&lt;=599,"500-599 мм",IF(SMALL($R331:$T331,1)&lt;=699,"600-699 мм",IF(SMALL($R331:$T331,1)&lt;=999,"700-999 мм","1000+ мм")))))))))</f>
        <v/>
      </c>
      <c r="AA331" s="160">
        <f>IF(G331="","",IF(G331="Л","Лист гофрокартона",IF(G331="КД","Крышка-дно",IF(G331="С","Самосборные",IF(G331="Ч","Четырехклапанные",IF(G331="А","Архивные","Неизвестно"))))))</f>
        <v/>
      </c>
    </row>
    <row r="332">
      <c r="A332" s="221" t="n">
        <v>0.5</v>
      </c>
      <c r="B332" s="94">
        <f>A332*1.2</f>
        <v/>
      </c>
      <c r="C332" s="109" t="n">
        <v>332</v>
      </c>
      <c r="D332" s="77" t="inlineStr">
        <is>
          <t>БМ</t>
        </is>
      </c>
      <c r="E332" s="88" t="inlineStr">
        <is>
          <t>240х200х80</t>
        </is>
      </c>
      <c r="F332" s="213" t="inlineStr">
        <is>
          <t>min обр</t>
        </is>
      </c>
      <c r="G332" s="83" t="inlineStr">
        <is>
          <t>Ч</t>
        </is>
      </c>
      <c r="H332" s="146" t="inlineStr">
        <is>
          <t>0201</t>
        </is>
      </c>
      <c r="I332" s="83" t="inlineStr">
        <is>
          <t>В</t>
        </is>
      </c>
      <c r="J332" s="83" t="inlineStr">
        <is>
          <t>без</t>
        </is>
      </c>
      <c r="K332" s="116" t="inlineStr">
        <is>
          <t>K522</t>
        </is>
      </c>
      <c r="N332" s="239">
        <f>IF(D332="","",IF(LEFT(D332,1)="0",0,1))</f>
        <v/>
      </c>
      <c r="O332" s="80">
        <f>ROUND(R332*S332*T332/1000000,2)</f>
        <v/>
      </c>
      <c r="P332" s="160">
        <f>IF(O332="","",
IF(O332&lt;1,"0,1-0,9 литров",
IF(O332&lt;2,"1-1,9 литра",
IF(O332&lt;3,"2-2,9 литра",
IF(O332&lt;4,"3-3,9 литра",
IF(O332&lt;6,"4-5,9 литра",IF(O332&lt;8,"6-7,9 литра",IF(O332&lt;10,"8-9,9 литров",IF(O332&lt;15,"10-14,9 литров",IF(O332&lt;20,"15-19,9 литров",IF(O332&lt;30,"20-29 литров",IF(O332&lt;50,"30-49 литров",IF(O332&lt;60,"50-59 литров",IF(O332&lt;70,"60-69 литров",IF(O332&lt;80,"70-79 литров",IF(O332&lt;90,"80-89 литров",IF(O332&lt;100,"90-99 литров",IF(O332&lt;200,"100-200 литров","200+ литров"))))))))))))))))))</f>
        <v/>
      </c>
      <c r="Q332" s="101">
        <f>IF(O332="","",IF(O332&lt;1,"&lt;1 л",IF(O332&lt;2,"1-2 л",IF(O332&lt;3,"2-3 л",IF(O332&lt;5,"3-5 л",IF(O332&lt;10,"5-10 л",IF(O332&lt;20,"10-20 л",IF(O332&lt;50,"20-50 л",IF(O332&lt;100,"50-100 л","100+ л")))))))))</f>
        <v/>
      </c>
      <c r="R332" s="162">
        <f>IF(E332="","",--LEFT(E332,FIND("х",E332)-1))</f>
        <v/>
      </c>
      <c r="S332" s="162">
        <f>IF(E332="","",--MID(E332,FIND("х",E332)+1,FIND("х",E332,FIND("х",E332)+1)-FIND("х",E332)-1))</f>
        <v/>
      </c>
      <c r="T332" s="162">
        <f>IF(E332="","",--RIGHT(E332,LEN(E332)-FIND("х",E332,FIND("х",E332)+1)))</f>
        <v/>
      </c>
      <c r="U332" s="66">
        <f>(2*(R332+S332)+60)*(S332+T332+8)/1000000</f>
        <v/>
      </c>
      <c r="V332" s="66">
        <f>IF(OR(AND(R332&gt;=2*S332,R332&gt;=2*T332),AND(S332&gt;=2*R332,S332&gt;=2*T332),AND(T332&gt;=2*R332,T332&gt;=2*S332)),"Длинные","")</f>
        <v/>
      </c>
      <c r="W332" s="66">
        <f>IF(OR(AND(R332&lt;=S332/2,R332&lt;=T332/2),AND(S332&lt;=R332/2,S332&lt;=T332/2),AND(T332&lt;=R332/2,T332&lt;=S332/2)),"Плоские","")</f>
        <v/>
      </c>
      <c r="X332" s="160">
        <f>IF(LARGE($R332:$T332,1)="","",IF(LARGE($R332:$T332,1)&lt;=99,"10-99 мм",IF(LARGE($R332:$T332,1)&lt;=199,"100-199 мм",IF(LARGE($R332:$T332,1)&lt;=299,"200-299 мм",IF(LARGE($R332:$T332,1)&lt;=399,"300-399 мм",IF(LARGE($R332:$T332,1)&lt;=499,"400-499 мм",IF(LARGE($R332:$T332,1)&lt;=599,"500-599 мм",IF(LARGE($R332:$T332,1)&lt;=699,"600-699 мм",IF(LARGE($R332:$T332,1)&lt;=999,"700-999 мм","1000+ мм")))))))))</f>
        <v/>
      </c>
      <c r="Y332" s="160">
        <f>IF(LARGE($R332:$T332,2)="","",IF(LARGE($R332:$T332,2)&lt;=99,"10-99 мм",IF(LARGE($R332:$T332,2)&lt;=199,"100-199 мм",IF(LARGE($R332:$T332,2)&lt;=299,"200-299 мм",IF(LARGE($R332:$T332,2)&lt;=399,"300-399 мм",IF(LARGE($R332:$T332,2)&lt;=499,"400-499 мм",IF(LARGE($R332:$T332,2)&lt;=599,"500-599 мм",IF(LARGE($R332:$T332,2)&lt;=699,"600-699 мм",IF(LARGE($R332:$T332,2)&lt;=999,"700-999 мм","1000+ мм")))))))))</f>
        <v/>
      </c>
      <c r="Z332" s="160">
        <f>IF(SMALL($R332:$T332,1)="","",IF(SMALL($R332:$T332,1)&lt;=99,"10-99 мм",IF(SMALL($R332:$T332,1)&lt;=199,"100-199 мм",IF(SMALL($R332:$T332,1)&lt;=299,"200-299 мм",IF(SMALL($R332:$T332,1)&lt;=399,"300-399 мм",IF(SMALL($R332:$T332,1)&lt;=499,"400-499 мм",IF(SMALL($R332:$T332,1)&lt;=599,"500-599 мм",IF(SMALL($R332:$T332,1)&lt;=699,"600-699 мм",IF(SMALL($R332:$T332,1)&lt;=999,"700-999 мм","1000+ мм")))))))))</f>
        <v/>
      </c>
      <c r="AA332" s="160">
        <f>IF(G332="","",IF(G332="Л","Лист гофрокартона",IF(G332="КД","Крышка-дно",IF(G332="С","Самосборные",IF(G332="Ч","Четырехклапанные",IF(G332="А","Архивные","Неизвестно"))))))</f>
        <v/>
      </c>
    </row>
    <row r="333">
      <c r="A333" s="64" t="n">
        <v>0.5600000000000001</v>
      </c>
      <c r="B333" s="94">
        <f>A333*1.2</f>
        <v/>
      </c>
      <c r="C333" s="109" t="n">
        <v>333</v>
      </c>
      <c r="D333" s="77" t="inlineStr">
        <is>
          <t>БМ</t>
        </is>
      </c>
      <c r="E333" s="88" t="inlineStr">
        <is>
          <t>245х80х240</t>
        </is>
      </c>
      <c r="G333" s="83" t="inlineStr">
        <is>
          <t>Ч</t>
        </is>
      </c>
      <c r="H333" s="146" t="inlineStr">
        <is>
          <t>0201</t>
        </is>
      </c>
      <c r="I333" s="83" t="inlineStr">
        <is>
          <t>В</t>
        </is>
      </c>
      <c r="J333" s="83" t="inlineStr">
        <is>
          <t>без</t>
        </is>
      </c>
      <c r="K333" s="116" t="inlineStr">
        <is>
          <t>K523</t>
        </is>
      </c>
      <c r="N333" s="239">
        <f>IF(D333="","",IF(LEFT(D333,1)="0",0,1))</f>
        <v/>
      </c>
      <c r="O333" s="80">
        <f>ROUND(R333*S333*T333/1000000,2)</f>
        <v/>
      </c>
      <c r="P333" s="160">
        <f>IF(O333="","",
IF(O333&lt;1,"0,1-0,9 литров",
IF(O333&lt;2,"1-1,9 литра",
IF(O333&lt;3,"2-2,9 литра",
IF(O333&lt;4,"3-3,9 литра",
IF(O333&lt;6,"4-5,9 литра",IF(O333&lt;8,"6-7,9 литра",IF(O333&lt;10,"8-9,9 литров",IF(O333&lt;15,"10-14,9 литров",IF(O333&lt;20,"15-19,9 литров",IF(O333&lt;30,"20-29 литров",IF(O333&lt;50,"30-49 литров",IF(O333&lt;60,"50-59 литров",IF(O333&lt;70,"60-69 литров",IF(O333&lt;80,"70-79 литров",IF(O333&lt;90,"80-89 литров",IF(O333&lt;100,"90-99 литров",IF(O333&lt;200,"100-200 литров","200+ литров"))))))))))))))))))</f>
        <v/>
      </c>
      <c r="Q333" s="101">
        <f>IF(O333="","",IF(O333&lt;1,"&lt;1 л",IF(O333&lt;2,"1-2 л",IF(O333&lt;3,"2-3 л",IF(O333&lt;5,"3-5 л",IF(O333&lt;10,"5-10 л",IF(O333&lt;20,"10-20 л",IF(O333&lt;50,"20-50 л",IF(O333&lt;100,"50-100 л","100+ л")))))))))</f>
        <v/>
      </c>
      <c r="R333" s="162">
        <f>IF(E333="","",--LEFT(E333,FIND("х",E333)-1))</f>
        <v/>
      </c>
      <c r="S333" s="162">
        <f>IF(E333="","",--MID(E333,FIND("х",E333)+1,FIND("х",E333,FIND("х",E333)+1)-FIND("х",E333)-1))</f>
        <v/>
      </c>
      <c r="T333" s="162">
        <f>IF(E333="","",--RIGHT(E333,LEN(E333)-FIND("х",E333,FIND("х",E333)+1)))</f>
        <v/>
      </c>
      <c r="U333" s="66">
        <f>(2*(R333+S333)+60)*(S333+T333+8)/1000000</f>
        <v/>
      </c>
      <c r="V333" s="66">
        <f>IF(OR(AND(R333&gt;=2*S333,R333&gt;=2*T333),AND(S333&gt;=2*R333,S333&gt;=2*T333),AND(T333&gt;=2*R333,T333&gt;=2*S333)),"Длинные","")</f>
        <v/>
      </c>
      <c r="W333" s="66">
        <f>IF(OR(AND(R333&lt;=S333/2,R333&lt;=T333/2),AND(S333&lt;=R333/2,S333&lt;=T333/2),AND(T333&lt;=R333/2,T333&lt;=S333/2)),"Плоские","")</f>
        <v/>
      </c>
      <c r="X333" s="160">
        <f>IF(LARGE($R333:$T333,1)="","",IF(LARGE($R333:$T333,1)&lt;=99,"10-99 мм",IF(LARGE($R333:$T333,1)&lt;=199,"100-199 мм",IF(LARGE($R333:$T333,1)&lt;=299,"200-299 мм",IF(LARGE($R333:$T333,1)&lt;=399,"300-399 мм",IF(LARGE($R333:$T333,1)&lt;=499,"400-499 мм",IF(LARGE($R333:$T333,1)&lt;=599,"500-599 мм",IF(LARGE($R333:$T333,1)&lt;=699,"600-699 мм",IF(LARGE($R333:$T333,1)&lt;=999,"700-999 мм","1000+ мм")))))))))</f>
        <v/>
      </c>
      <c r="Y333" s="160">
        <f>IF(LARGE($R333:$T333,2)="","",IF(LARGE($R333:$T333,2)&lt;=99,"10-99 мм",IF(LARGE($R333:$T333,2)&lt;=199,"100-199 мм",IF(LARGE($R333:$T333,2)&lt;=299,"200-299 мм",IF(LARGE($R333:$T333,2)&lt;=399,"300-399 мм",IF(LARGE($R333:$T333,2)&lt;=499,"400-499 мм",IF(LARGE($R333:$T333,2)&lt;=599,"500-599 мм",IF(LARGE($R333:$T333,2)&lt;=699,"600-699 мм",IF(LARGE($R333:$T333,2)&lt;=999,"700-999 мм","1000+ мм")))))))))</f>
        <v/>
      </c>
      <c r="Z333" s="160">
        <f>IF(SMALL($R333:$T333,1)="","",IF(SMALL($R333:$T333,1)&lt;=99,"10-99 мм",IF(SMALL($R333:$T333,1)&lt;=199,"100-199 мм",IF(SMALL($R333:$T333,1)&lt;=299,"200-299 мм",IF(SMALL($R333:$T333,1)&lt;=399,"300-399 мм",IF(SMALL($R333:$T333,1)&lt;=499,"400-499 мм",IF(SMALL($R333:$T333,1)&lt;=599,"500-599 мм",IF(SMALL($R333:$T333,1)&lt;=699,"600-699 мм",IF(SMALL($R333:$T333,1)&lt;=999,"700-999 мм","1000+ мм")))))))))</f>
        <v/>
      </c>
      <c r="AA333" s="160">
        <f>IF(G333="","",IF(G333="Л","Лист гофрокартона",IF(G333="КД","Крышка-дно",IF(G333="С","Самосборные",IF(G333="Ч","Четырехклапанные",IF(G333="А","Архивные","Неизвестно"))))))</f>
        <v/>
      </c>
    </row>
    <row r="334">
      <c r="A334" s="64" t="n">
        <v>0.51</v>
      </c>
      <c r="B334" s="94">
        <f>A334*1.2</f>
        <v/>
      </c>
      <c r="C334" s="109" t="n">
        <v>334</v>
      </c>
      <c r="D334" s="77" t="inlineStr">
        <is>
          <t>У</t>
        </is>
      </c>
      <c r="E334" s="88" t="inlineStr">
        <is>
          <t>350х160х85</t>
        </is>
      </c>
      <c r="G334" s="83" t="inlineStr">
        <is>
          <t>Ч</t>
        </is>
      </c>
      <c r="H334" s="146" t="inlineStr">
        <is>
          <t>0201</t>
        </is>
      </c>
      <c r="I334" s="83" t="inlineStr">
        <is>
          <t>В</t>
        </is>
      </c>
      <c r="J334" s="83" t="inlineStr">
        <is>
          <t>У</t>
        </is>
      </c>
      <c r="K334" s="116" t="inlineStr">
        <is>
          <t>K272</t>
        </is>
      </c>
      <c r="N334" s="239">
        <f>IF(D334="","",IF(LEFT(D334,1)="0",0,1))</f>
        <v/>
      </c>
      <c r="O334" s="80">
        <f>ROUND(R334*S334*T334/1000000,2)</f>
        <v/>
      </c>
      <c r="P334" s="160">
        <f>IF(O334="","",
IF(O334&lt;1,"0,1-0,9 литров",
IF(O334&lt;2,"1-1,9 литра",
IF(O334&lt;3,"2-2,9 литра",
IF(O334&lt;4,"3-3,9 литра",
IF(O334&lt;6,"4-5,9 литра",IF(O334&lt;8,"6-7,9 литра",IF(O334&lt;10,"8-9,9 литров",IF(O334&lt;15,"10-14,9 литров",IF(O334&lt;20,"15-19,9 литров",IF(O334&lt;30,"20-29 литров",IF(O334&lt;50,"30-49 литров",IF(O334&lt;60,"50-59 литров",IF(O334&lt;70,"60-69 литров",IF(O334&lt;80,"70-79 литров",IF(O334&lt;90,"80-89 литров",IF(O334&lt;100,"90-99 литров",IF(O334&lt;200,"100-200 литров","200+ литров"))))))))))))))))))</f>
        <v/>
      </c>
      <c r="Q334" s="101">
        <f>IF(O334="","",IF(O334&lt;1,"&lt;1 л",IF(O334&lt;2,"1-2 л",IF(O334&lt;3,"2-3 л",IF(O334&lt;5,"3-5 л",IF(O334&lt;10,"5-10 л",IF(O334&lt;20,"10-20 л",IF(O334&lt;50,"20-50 л",IF(O334&lt;100,"50-100 л","100+ л")))))))))</f>
        <v/>
      </c>
      <c r="R334" s="162">
        <f>IF(E334="","",--LEFT(E334,FIND("х",E334)-1))</f>
        <v/>
      </c>
      <c r="S334" s="162">
        <f>IF(E334="","",--MID(E334,FIND("х",E334)+1,FIND("х",E334,FIND("х",E334)+1)-FIND("х",E334)-1))</f>
        <v/>
      </c>
      <c r="T334" s="162">
        <f>IF(E334="","",--RIGHT(E334,LEN(E334)-FIND("х",E334,FIND("х",E334)+1)))</f>
        <v/>
      </c>
      <c r="U334" s="66">
        <f>(2*(R334+S334)+60)*(S334+T334+8)/1000000</f>
        <v/>
      </c>
      <c r="V334" s="66">
        <f>IF(OR(AND(R334&gt;=2*S334,R334&gt;=2*T334),AND(S334&gt;=2*R334,S334&gt;=2*T334),AND(T334&gt;=2*R334,T334&gt;=2*S334)),"Длинные","")</f>
        <v/>
      </c>
      <c r="W334" s="66">
        <f>IF(OR(AND(R334&lt;=S334/2,R334&lt;=T334/2),AND(S334&lt;=R334/2,S334&lt;=T334/2),AND(T334&lt;=R334/2,T334&lt;=S334/2)),"Плоские","")</f>
        <v/>
      </c>
      <c r="X334" s="160">
        <f>IF(LARGE($R334:$T334,1)="","",IF(LARGE($R334:$T334,1)&lt;=99,"10-99 мм",IF(LARGE($R334:$T334,1)&lt;=199,"100-199 мм",IF(LARGE($R334:$T334,1)&lt;=299,"200-299 мм",IF(LARGE($R334:$T334,1)&lt;=399,"300-399 мм",IF(LARGE($R334:$T334,1)&lt;=499,"400-499 мм",IF(LARGE($R334:$T334,1)&lt;=599,"500-599 мм",IF(LARGE($R334:$T334,1)&lt;=699,"600-699 мм",IF(LARGE($R334:$T334,1)&lt;=999,"700-999 мм","1000+ мм")))))))))</f>
        <v/>
      </c>
      <c r="Y334" s="160">
        <f>IF(LARGE($R334:$T334,2)="","",IF(LARGE($R334:$T334,2)&lt;=99,"10-99 мм",IF(LARGE($R334:$T334,2)&lt;=199,"100-199 мм",IF(LARGE($R334:$T334,2)&lt;=299,"200-299 мм",IF(LARGE($R334:$T334,2)&lt;=399,"300-399 мм",IF(LARGE($R334:$T334,2)&lt;=499,"400-499 мм",IF(LARGE($R334:$T334,2)&lt;=599,"500-599 мм",IF(LARGE($R334:$T334,2)&lt;=699,"600-699 мм",IF(LARGE($R334:$T334,2)&lt;=999,"700-999 мм","1000+ мм")))))))))</f>
        <v/>
      </c>
      <c r="Z334" s="160">
        <f>IF(SMALL($R334:$T334,1)="","",IF(SMALL($R334:$T334,1)&lt;=99,"10-99 мм",IF(SMALL($R334:$T334,1)&lt;=199,"100-199 мм",IF(SMALL($R334:$T334,1)&lt;=299,"200-299 мм",IF(SMALL($R334:$T334,1)&lt;=399,"300-399 мм",IF(SMALL($R334:$T334,1)&lt;=499,"400-499 мм",IF(SMALL($R334:$T334,1)&lt;=599,"500-599 мм",IF(SMALL($R334:$T334,1)&lt;=699,"600-699 мм",IF(SMALL($R334:$T334,1)&lt;=999,"700-999 мм","1000+ мм")))))))))</f>
        <v/>
      </c>
      <c r="AA334" s="160">
        <f>IF(G334="","",IF(G334="Л","Лист гофрокартона",IF(G334="КД","Крышка-дно",IF(G334="С","Самосборные",IF(G334="Ч","Четырехклапанные",IF(G334="А","Архивные","Неизвестно"))))))</f>
        <v/>
      </c>
    </row>
    <row r="335">
      <c r="A335" s="64" t="n">
        <v>2.03</v>
      </c>
      <c r="B335" s="94">
        <f>A335*1.2</f>
        <v/>
      </c>
      <c r="C335" s="109" t="n">
        <v>335</v>
      </c>
      <c r="D335" s="77" t="inlineStr">
        <is>
          <t>БМ</t>
        </is>
      </c>
      <c r="E335" s="88" t="inlineStr">
        <is>
          <t>560х360х390</t>
        </is>
      </c>
      <c r="F335" s="213" t="inlineStr">
        <is>
          <t>Расспродажа</t>
        </is>
      </c>
      <c r="G335" s="83" t="inlineStr">
        <is>
          <t>Ч</t>
        </is>
      </c>
      <c r="H335" s="146" t="inlineStr">
        <is>
          <t>0201</t>
        </is>
      </c>
      <c r="I335" s="83" t="inlineStr">
        <is>
          <t>В</t>
        </is>
      </c>
      <c r="J335" s="83" t="inlineStr">
        <is>
          <t>без</t>
        </is>
      </c>
      <c r="K335" s="116" t="inlineStr">
        <is>
          <t>K524</t>
        </is>
      </c>
      <c r="L335" s="103" t="inlineStr">
        <is>
          <t>Sale</t>
        </is>
      </c>
      <c r="N335" s="239">
        <f>IF(D335="","",IF(LEFT(D335,1)="0",0,1))</f>
        <v/>
      </c>
      <c r="O335" s="80">
        <f>ROUND(R335*S335*T335/1000000,2)</f>
        <v/>
      </c>
      <c r="P335" s="160">
        <f>IF(O335="","",
IF(O335&lt;1,"0,1-0,9 литров",
IF(O335&lt;2,"1-1,9 литра",
IF(O335&lt;3,"2-2,9 литра",
IF(O335&lt;4,"3-3,9 литра",
IF(O335&lt;6,"4-5,9 литра",IF(O335&lt;8,"6-7,9 литра",IF(O335&lt;10,"8-9,9 литров",IF(O335&lt;15,"10-14,9 литров",IF(O335&lt;20,"15-19,9 литров",IF(O335&lt;30,"20-29 литров",IF(O335&lt;50,"30-49 литров",IF(O335&lt;60,"50-59 литров",IF(O335&lt;70,"60-69 литров",IF(O335&lt;80,"70-79 литров",IF(O335&lt;90,"80-89 литров",IF(O335&lt;100,"90-99 литров",IF(O335&lt;200,"100-200 литров","200+ литров"))))))))))))))))))</f>
        <v/>
      </c>
      <c r="Q335" s="101">
        <f>IF(O335="","",IF(O335&lt;1,"&lt;1 л",IF(O335&lt;2,"1-2 л",IF(O335&lt;3,"2-3 л",IF(O335&lt;5,"3-5 л",IF(O335&lt;10,"5-10 л",IF(O335&lt;20,"10-20 л",IF(O335&lt;50,"20-50 л",IF(O335&lt;100,"50-100 л","100+ л")))))))))</f>
        <v/>
      </c>
      <c r="R335" s="162">
        <f>IF(E335="","",--LEFT(E335,FIND("х",E335)-1))</f>
        <v/>
      </c>
      <c r="S335" s="162">
        <f>IF(E335="","",--MID(E335,FIND("х",E335)+1,FIND("х",E335,FIND("х",E335)+1)-FIND("х",E335)-1))</f>
        <v/>
      </c>
      <c r="T335" s="162">
        <f>IF(E335="","",--RIGHT(E335,LEN(E335)-FIND("х",E335,FIND("х",E335)+1)))</f>
        <v/>
      </c>
      <c r="U335" s="66">
        <f>(2*(R335+S335)+60)*(S335+T335+8)/1000000</f>
        <v/>
      </c>
      <c r="V335" s="66">
        <f>IF(OR(AND(R335&gt;=2*S335,R335&gt;=2*T335),AND(S335&gt;=2*R335,S335&gt;=2*T335),AND(T335&gt;=2*R335,T335&gt;=2*S335)),"Длинные","")</f>
        <v/>
      </c>
      <c r="W335" s="66">
        <f>IF(OR(AND(R335&lt;=S335/2,R335&lt;=T335/2),AND(S335&lt;=R335/2,S335&lt;=T335/2),AND(T335&lt;=R335/2,T335&lt;=S335/2)),"Плоские","")</f>
        <v/>
      </c>
      <c r="X335" s="160">
        <f>IF(LARGE($R335:$T335,1)="","",IF(LARGE($R335:$T335,1)&lt;=99,"10-99 мм",IF(LARGE($R335:$T335,1)&lt;=199,"100-199 мм",IF(LARGE($R335:$T335,1)&lt;=299,"200-299 мм",IF(LARGE($R335:$T335,1)&lt;=399,"300-399 мм",IF(LARGE($R335:$T335,1)&lt;=499,"400-499 мм",IF(LARGE($R335:$T335,1)&lt;=599,"500-599 мм",IF(LARGE($R335:$T335,1)&lt;=699,"600-699 мм",IF(LARGE($R335:$T335,1)&lt;=999,"700-999 мм","1000+ мм")))))))))</f>
        <v/>
      </c>
      <c r="Y335" s="160">
        <f>IF(LARGE($R335:$T335,2)="","",IF(LARGE($R335:$T335,2)&lt;=99,"10-99 мм",IF(LARGE($R335:$T335,2)&lt;=199,"100-199 мм",IF(LARGE($R335:$T335,2)&lt;=299,"200-299 мм",IF(LARGE($R335:$T335,2)&lt;=399,"300-399 мм",IF(LARGE($R335:$T335,2)&lt;=499,"400-499 мм",IF(LARGE($R335:$T335,2)&lt;=599,"500-599 мм",IF(LARGE($R335:$T335,2)&lt;=699,"600-699 мм",IF(LARGE($R335:$T335,2)&lt;=999,"700-999 мм","1000+ мм")))))))))</f>
        <v/>
      </c>
      <c r="Z335" s="160">
        <f>IF(SMALL($R335:$T335,1)="","",IF(SMALL($R335:$T335,1)&lt;=99,"10-99 мм",IF(SMALL($R335:$T335,1)&lt;=199,"100-199 мм",IF(SMALL($R335:$T335,1)&lt;=299,"200-299 мм",IF(SMALL($R335:$T335,1)&lt;=399,"300-399 мм",IF(SMALL($R335:$T335,1)&lt;=499,"400-499 мм",IF(SMALL($R335:$T335,1)&lt;=599,"500-599 мм",IF(SMALL($R335:$T335,1)&lt;=699,"600-699 мм",IF(SMALL($R335:$T335,1)&lt;=999,"700-999 мм","1000+ мм")))))))))</f>
        <v/>
      </c>
      <c r="AA335" s="160">
        <f>IF(G335="","",IF(G335="Л","Лист гофрокартона",IF(G335="КД","Крышка-дно",IF(G335="С","Самосборные",IF(G335="Ч","Четырехклапанные",IF(G335="А","Архивные","Неизвестно"))))))</f>
        <v/>
      </c>
    </row>
    <row r="336">
      <c r="A336" s="64" t="n">
        <v>0.41</v>
      </c>
      <c r="B336" s="94">
        <f>A336*1.2</f>
        <v/>
      </c>
      <c r="C336" s="109" t="n">
        <v>336</v>
      </c>
      <c r="D336" s="77" t="inlineStr">
        <is>
          <t>К</t>
        </is>
      </c>
      <c r="E336" s="88" t="inlineStr">
        <is>
          <t>165х120х86</t>
        </is>
      </c>
      <c r="G336" s="83" t="inlineStr">
        <is>
          <t>С</t>
        </is>
      </c>
      <c r="H336" s="146" t="inlineStr">
        <is>
          <t>0470</t>
        </is>
      </c>
      <c r="I336" s="83" t="inlineStr">
        <is>
          <t>В</t>
        </is>
      </c>
      <c r="J336" s="83" t="inlineStr">
        <is>
          <t>К</t>
        </is>
      </c>
      <c r="K336" s="116" t="inlineStr">
        <is>
          <t>K273</t>
        </is>
      </c>
      <c r="N336" s="239">
        <f>IF(D336="","",IF(LEFT(D336,1)="0",0,1))</f>
        <v/>
      </c>
      <c r="O336" s="80">
        <f>ROUND(R336*S336*T336/1000000,2)</f>
        <v/>
      </c>
      <c r="P336" s="160">
        <f>IF(O336="","",
IF(O336&lt;1,"0,1-0,9 литров",
IF(O336&lt;2,"1-1,9 литра",
IF(O336&lt;3,"2-2,9 литра",
IF(O336&lt;4,"3-3,9 литра",
IF(O336&lt;6,"4-5,9 литра",IF(O336&lt;8,"6-7,9 литра",IF(O336&lt;10,"8-9,9 литров",IF(O336&lt;15,"10-14,9 литров",IF(O336&lt;20,"15-19,9 литров",IF(O336&lt;30,"20-29 литров",IF(O336&lt;50,"30-49 литров",IF(O336&lt;60,"50-59 литров",IF(O336&lt;70,"60-69 литров",IF(O336&lt;80,"70-79 литров",IF(O336&lt;90,"80-89 литров",IF(O336&lt;100,"90-99 литров",IF(O336&lt;200,"100-200 литров","200+ литров"))))))))))))))))))</f>
        <v/>
      </c>
      <c r="Q336" s="101">
        <f>IF(O336="","",IF(O336&lt;1,"&lt;1 л",IF(O336&lt;2,"1-2 л",IF(O336&lt;3,"2-3 л",IF(O336&lt;5,"3-5 л",IF(O336&lt;10,"5-10 л",IF(O336&lt;20,"10-20 л",IF(O336&lt;50,"20-50 л",IF(O336&lt;100,"50-100 л","100+ л")))))))))</f>
        <v/>
      </c>
      <c r="R336" s="162">
        <f>IF(E336="","",--LEFT(E336,FIND("х",E336)-1))</f>
        <v/>
      </c>
      <c r="S336" s="162">
        <f>IF(E336="","",--MID(E336,FIND("х",E336)+1,FIND("х",E336,FIND("х",E336)+1)-FIND("х",E336)-1))</f>
        <v/>
      </c>
      <c r="T336" s="162">
        <f>IF(E336="","",--RIGHT(E336,LEN(E336)-FIND("х",E336,FIND("х",E336)+1)))</f>
        <v/>
      </c>
      <c r="U336" s="66">
        <f>(2*(R336+S336)+60)*(S336+T336+8)/1000000</f>
        <v/>
      </c>
      <c r="V336" s="66">
        <f>IF(OR(AND(R336&gt;=2*S336,R336&gt;=2*T336),AND(S336&gt;=2*R336,S336&gt;=2*T336),AND(T336&gt;=2*R336,T336&gt;=2*S336)),"Длинные","")</f>
        <v/>
      </c>
      <c r="W336" s="66">
        <f>IF(OR(AND(R336&lt;=S336/2,R336&lt;=T336/2),AND(S336&lt;=R336/2,S336&lt;=T336/2),AND(T336&lt;=R336/2,T336&lt;=S336/2)),"Плоские","")</f>
        <v/>
      </c>
      <c r="X336" s="160">
        <f>IF(LARGE($R336:$T336,1)="","",IF(LARGE($R336:$T336,1)&lt;=99,"10-99 мм",IF(LARGE($R336:$T336,1)&lt;=199,"100-199 мм",IF(LARGE($R336:$T336,1)&lt;=299,"200-299 мм",IF(LARGE($R336:$T336,1)&lt;=399,"300-399 мм",IF(LARGE($R336:$T336,1)&lt;=499,"400-499 мм",IF(LARGE($R336:$T336,1)&lt;=599,"500-599 мм",IF(LARGE($R336:$T336,1)&lt;=699,"600-699 мм",IF(LARGE($R336:$T336,1)&lt;=999,"700-999 мм","1000+ мм")))))))))</f>
        <v/>
      </c>
      <c r="Y336" s="160">
        <f>IF(LARGE($R336:$T336,2)="","",IF(LARGE($R336:$T336,2)&lt;=99,"10-99 мм",IF(LARGE($R336:$T336,2)&lt;=199,"100-199 мм",IF(LARGE($R336:$T336,2)&lt;=299,"200-299 мм",IF(LARGE($R336:$T336,2)&lt;=399,"300-399 мм",IF(LARGE($R336:$T336,2)&lt;=499,"400-499 мм",IF(LARGE($R336:$T336,2)&lt;=599,"500-599 мм",IF(LARGE($R336:$T336,2)&lt;=699,"600-699 мм",IF(LARGE($R336:$T336,2)&lt;=999,"700-999 мм","1000+ мм")))))))))</f>
        <v/>
      </c>
      <c r="Z336" s="160">
        <f>IF(SMALL($R336:$T336,1)="","",IF(SMALL($R336:$T336,1)&lt;=99,"10-99 мм",IF(SMALL($R336:$T336,1)&lt;=199,"100-199 мм",IF(SMALL($R336:$T336,1)&lt;=299,"200-299 мм",IF(SMALL($R336:$T336,1)&lt;=399,"300-399 мм",IF(SMALL($R336:$T336,1)&lt;=499,"400-499 мм",IF(SMALL($R336:$T336,1)&lt;=599,"500-599 мм",IF(SMALL($R336:$T336,1)&lt;=699,"600-699 мм",IF(SMALL($R336:$T336,1)&lt;=999,"700-999 мм","1000+ мм")))))))))</f>
        <v/>
      </c>
      <c r="AA336" s="160">
        <f>IF(G336="","",IF(G336="Л","Лист гофрокартона",IF(G336="КД","Крышка-дно",IF(G336="С","Самосборные",IF(G336="Ч","Четырехклапанные",IF(G336="А","Архивные","Неизвестно"))))))</f>
        <v/>
      </c>
    </row>
    <row r="337">
      <c r="A337" s="64" t="n">
        <v>0.24</v>
      </c>
      <c r="B337" s="94">
        <f>A337*1.2</f>
        <v/>
      </c>
      <c r="C337" s="109" t="n">
        <v>337</v>
      </c>
      <c r="D337" s="77" t="inlineStr">
        <is>
          <t>У</t>
        </is>
      </c>
      <c r="E337" s="88" t="inlineStr">
        <is>
          <t>170х70х180</t>
        </is>
      </c>
      <c r="G337" s="83" t="inlineStr">
        <is>
          <t>Ч</t>
        </is>
      </c>
      <c r="H337" s="146" t="inlineStr">
        <is>
          <t>0201</t>
        </is>
      </c>
      <c r="I337" s="83" t="inlineStr">
        <is>
          <t>В</t>
        </is>
      </c>
      <c r="J337" s="83" t="inlineStr">
        <is>
          <t>У</t>
        </is>
      </c>
      <c r="K337" s="116" t="inlineStr">
        <is>
          <t>K274</t>
        </is>
      </c>
      <c r="N337" s="239">
        <f>IF(D337="","",IF(LEFT(D337,1)="0",0,1))</f>
        <v/>
      </c>
      <c r="O337" s="80">
        <f>ROUND(R337*S337*T337/1000000,2)</f>
        <v/>
      </c>
      <c r="P337" s="160">
        <f>IF(O337="","",
IF(O337&lt;1,"0,1-0,9 литров",
IF(O337&lt;2,"1-1,9 литра",
IF(O337&lt;3,"2-2,9 литра",
IF(O337&lt;4,"3-3,9 литра",
IF(O337&lt;6,"4-5,9 литра",IF(O337&lt;8,"6-7,9 литра",IF(O337&lt;10,"8-9,9 литров",IF(O337&lt;15,"10-14,9 литров",IF(O337&lt;20,"15-19,9 литров",IF(O337&lt;30,"20-29 литров",IF(O337&lt;50,"30-49 литров",IF(O337&lt;60,"50-59 литров",IF(O337&lt;70,"60-69 литров",IF(O337&lt;80,"70-79 литров",IF(O337&lt;90,"80-89 литров",IF(O337&lt;100,"90-99 литров",IF(O337&lt;200,"100-200 литров","200+ литров"))))))))))))))))))</f>
        <v/>
      </c>
      <c r="Q337" s="101">
        <f>IF(O337="","",IF(O337&lt;1,"&lt;1 л",IF(O337&lt;2,"1-2 л",IF(O337&lt;3,"2-3 л",IF(O337&lt;5,"3-5 л",IF(O337&lt;10,"5-10 л",IF(O337&lt;20,"10-20 л",IF(O337&lt;50,"20-50 л",IF(O337&lt;100,"50-100 л","100+ л")))))))))</f>
        <v/>
      </c>
      <c r="R337" s="162">
        <f>IF(E337="","",--LEFT(E337,FIND("х",E337)-1))</f>
        <v/>
      </c>
      <c r="S337" s="162">
        <f>IF(E337="","",--MID(E337,FIND("х",E337)+1,FIND("х",E337,FIND("х",E337)+1)-FIND("х",E337)-1))</f>
        <v/>
      </c>
      <c r="T337" s="162">
        <f>IF(E337="","",--RIGHT(E337,LEN(E337)-FIND("х",E337,FIND("х",E337)+1)))</f>
        <v/>
      </c>
      <c r="U337" s="66">
        <f>(2*(R337+S337)+60)*(S337+T337+8)/1000000</f>
        <v/>
      </c>
      <c r="V337" s="66">
        <f>IF(OR(AND(R337&gt;=2*S337,R337&gt;=2*T337),AND(S337&gt;=2*R337,S337&gt;=2*T337),AND(T337&gt;=2*R337,T337&gt;=2*S337)),"Длинные","")</f>
        <v/>
      </c>
      <c r="W337" s="66">
        <f>IF(OR(AND(R337&lt;=S337/2,R337&lt;=T337/2),AND(S337&lt;=R337/2,S337&lt;=T337/2),AND(T337&lt;=R337/2,T337&lt;=S337/2)),"Плоские","")</f>
        <v/>
      </c>
      <c r="X337" s="160">
        <f>IF(LARGE($R337:$T337,1)="","",IF(LARGE($R337:$T337,1)&lt;=99,"10-99 мм",IF(LARGE($R337:$T337,1)&lt;=199,"100-199 мм",IF(LARGE($R337:$T337,1)&lt;=299,"200-299 мм",IF(LARGE($R337:$T337,1)&lt;=399,"300-399 мм",IF(LARGE($R337:$T337,1)&lt;=499,"400-499 мм",IF(LARGE($R337:$T337,1)&lt;=599,"500-599 мм",IF(LARGE($R337:$T337,1)&lt;=699,"600-699 мм",IF(LARGE($R337:$T337,1)&lt;=999,"700-999 мм","1000+ мм")))))))))</f>
        <v/>
      </c>
      <c r="Y337" s="160">
        <f>IF(LARGE($R337:$T337,2)="","",IF(LARGE($R337:$T337,2)&lt;=99,"10-99 мм",IF(LARGE($R337:$T337,2)&lt;=199,"100-199 мм",IF(LARGE($R337:$T337,2)&lt;=299,"200-299 мм",IF(LARGE($R337:$T337,2)&lt;=399,"300-399 мм",IF(LARGE($R337:$T337,2)&lt;=499,"400-499 мм",IF(LARGE($R337:$T337,2)&lt;=599,"500-599 мм",IF(LARGE($R337:$T337,2)&lt;=699,"600-699 мм",IF(LARGE($R337:$T337,2)&lt;=999,"700-999 мм","1000+ мм")))))))))</f>
        <v/>
      </c>
      <c r="Z337" s="160">
        <f>IF(SMALL($R337:$T337,1)="","",IF(SMALL($R337:$T337,1)&lt;=99,"10-99 мм",IF(SMALL($R337:$T337,1)&lt;=199,"100-199 мм",IF(SMALL($R337:$T337,1)&lt;=299,"200-299 мм",IF(SMALL($R337:$T337,1)&lt;=399,"300-399 мм",IF(SMALL($R337:$T337,1)&lt;=499,"400-499 мм",IF(SMALL($R337:$T337,1)&lt;=599,"500-599 мм",IF(SMALL($R337:$T337,1)&lt;=699,"600-699 мм",IF(SMALL($R337:$T337,1)&lt;=999,"700-999 мм","1000+ мм")))))))))</f>
        <v/>
      </c>
      <c r="AA337" s="160">
        <f>IF(G337="","",IF(G337="Л","Лист гофрокартона",IF(G337="КД","Крышка-дно",IF(G337="С","Самосборные",IF(G337="Ч","Четырехклапанные",IF(G337="А","Архивные","Неизвестно"))))))</f>
        <v/>
      </c>
    </row>
    <row r="338">
      <c r="A338" s="64" t="n">
        <v>0.35</v>
      </c>
      <c r="B338" s="94">
        <f>A338*1.2</f>
        <v/>
      </c>
      <c r="C338" s="109" t="n">
        <v>338</v>
      </c>
      <c r="D338" s="77" t="inlineStr">
        <is>
          <t>У</t>
        </is>
      </c>
      <c r="E338" s="88" t="inlineStr">
        <is>
          <t>210х80х230</t>
        </is>
      </c>
      <c r="G338" s="83" t="inlineStr">
        <is>
          <t>Ч</t>
        </is>
      </c>
      <c r="H338" s="146" t="inlineStr">
        <is>
          <t>0201</t>
        </is>
      </c>
      <c r="I338" s="83" t="inlineStr">
        <is>
          <t>В</t>
        </is>
      </c>
      <c r="J338" s="83" t="inlineStr">
        <is>
          <t>У</t>
        </is>
      </c>
      <c r="K338" s="116" t="inlineStr">
        <is>
          <t>K275</t>
        </is>
      </c>
      <c r="N338" s="239">
        <f>IF(D338="","",IF(LEFT(D338,1)="0",0,1))</f>
        <v/>
      </c>
      <c r="O338" s="80">
        <f>ROUND(R338*S338*T338/1000000,2)</f>
        <v/>
      </c>
      <c r="P338" s="160">
        <f>IF(O338="","",
IF(O338&lt;1,"0,1-0,9 литров",
IF(O338&lt;2,"1-1,9 литра",
IF(O338&lt;3,"2-2,9 литра",
IF(O338&lt;4,"3-3,9 литра",
IF(O338&lt;6,"4-5,9 литра",IF(O338&lt;8,"6-7,9 литра",IF(O338&lt;10,"8-9,9 литров",IF(O338&lt;15,"10-14,9 литров",IF(O338&lt;20,"15-19,9 литров",IF(O338&lt;30,"20-29 литров",IF(O338&lt;50,"30-49 литров",IF(O338&lt;60,"50-59 литров",IF(O338&lt;70,"60-69 литров",IF(O338&lt;80,"70-79 литров",IF(O338&lt;90,"80-89 литров",IF(O338&lt;100,"90-99 литров",IF(O338&lt;200,"100-200 литров","200+ литров"))))))))))))))))))</f>
        <v/>
      </c>
      <c r="Q338" s="101">
        <f>IF(O338="","",IF(O338&lt;1,"&lt;1 л",IF(O338&lt;2,"1-2 л",IF(O338&lt;3,"2-3 л",IF(O338&lt;5,"3-5 л",IF(O338&lt;10,"5-10 л",IF(O338&lt;20,"10-20 л",IF(O338&lt;50,"20-50 л",IF(O338&lt;100,"50-100 л","100+ л")))))))))</f>
        <v/>
      </c>
      <c r="R338" s="162">
        <f>IF(E338="","",--LEFT(E338,FIND("х",E338)-1))</f>
        <v/>
      </c>
      <c r="S338" s="162">
        <f>IF(E338="","",--MID(E338,FIND("х",E338)+1,FIND("х",E338,FIND("х",E338)+1)-FIND("х",E338)-1))</f>
        <v/>
      </c>
      <c r="T338" s="162">
        <f>IF(E338="","",--RIGHT(E338,LEN(E338)-FIND("х",E338,FIND("х",E338)+1)))</f>
        <v/>
      </c>
      <c r="U338" s="66">
        <f>(2*(R338+S338)+60)*(S338+T338+8)/1000000</f>
        <v/>
      </c>
      <c r="V338" s="66">
        <f>IF(OR(AND(R338&gt;=2*S338,R338&gt;=2*T338),AND(S338&gt;=2*R338,S338&gt;=2*T338),AND(T338&gt;=2*R338,T338&gt;=2*S338)),"Длинные","")</f>
        <v/>
      </c>
      <c r="W338" s="66">
        <f>IF(OR(AND(R338&lt;=S338/2,R338&lt;=T338/2),AND(S338&lt;=R338/2,S338&lt;=T338/2),AND(T338&lt;=R338/2,T338&lt;=S338/2)),"Плоские","")</f>
        <v/>
      </c>
      <c r="X338" s="160">
        <f>IF(LARGE($R338:$T338,1)="","",IF(LARGE($R338:$T338,1)&lt;=99,"10-99 мм",IF(LARGE($R338:$T338,1)&lt;=199,"100-199 мм",IF(LARGE($R338:$T338,1)&lt;=299,"200-299 мм",IF(LARGE($R338:$T338,1)&lt;=399,"300-399 мм",IF(LARGE($R338:$T338,1)&lt;=499,"400-499 мм",IF(LARGE($R338:$T338,1)&lt;=599,"500-599 мм",IF(LARGE($R338:$T338,1)&lt;=699,"600-699 мм",IF(LARGE($R338:$T338,1)&lt;=999,"700-999 мм","1000+ мм")))))))))</f>
        <v/>
      </c>
      <c r="Y338" s="160">
        <f>IF(LARGE($R338:$T338,2)="","",IF(LARGE($R338:$T338,2)&lt;=99,"10-99 мм",IF(LARGE($R338:$T338,2)&lt;=199,"100-199 мм",IF(LARGE($R338:$T338,2)&lt;=299,"200-299 мм",IF(LARGE($R338:$T338,2)&lt;=399,"300-399 мм",IF(LARGE($R338:$T338,2)&lt;=499,"400-499 мм",IF(LARGE($R338:$T338,2)&lt;=599,"500-599 мм",IF(LARGE($R338:$T338,2)&lt;=699,"600-699 мм",IF(LARGE($R338:$T338,2)&lt;=999,"700-999 мм","1000+ мм")))))))))</f>
        <v/>
      </c>
      <c r="Z338" s="160">
        <f>IF(SMALL($R338:$T338,1)="","",IF(SMALL($R338:$T338,1)&lt;=99,"10-99 мм",IF(SMALL($R338:$T338,1)&lt;=199,"100-199 мм",IF(SMALL($R338:$T338,1)&lt;=299,"200-299 мм",IF(SMALL($R338:$T338,1)&lt;=399,"300-399 мм",IF(SMALL($R338:$T338,1)&lt;=499,"400-499 мм",IF(SMALL($R338:$T338,1)&lt;=599,"500-599 мм",IF(SMALL($R338:$T338,1)&lt;=699,"600-699 мм",IF(SMALL($R338:$T338,1)&lt;=999,"700-999 мм","1000+ мм")))))))))</f>
        <v/>
      </c>
      <c r="AA338" s="160">
        <f>IF(G338="","",IF(G338="Л","Лист гофрокартона",IF(G338="КД","Крышка-дно",IF(G338="С","Самосборные",IF(G338="Ч","Четырехклапанные",IF(G338="А","Архивные","Неизвестно"))))))</f>
        <v/>
      </c>
    </row>
    <row r="339">
      <c r="A339" s="64" t="n">
        <v>0.46</v>
      </c>
      <c r="B339" s="94">
        <f>A339*1.2</f>
        <v/>
      </c>
      <c r="C339" s="109" t="n">
        <v>339</v>
      </c>
      <c r="D339" s="77" t="inlineStr">
        <is>
          <t>У</t>
        </is>
      </c>
      <c r="E339" s="88" t="inlineStr">
        <is>
          <t>160х120х85</t>
        </is>
      </c>
      <c r="F339" s="213" t="inlineStr">
        <is>
          <t>лучше K273</t>
        </is>
      </c>
      <c r="G339" s="83" t="inlineStr">
        <is>
          <t>С</t>
        </is>
      </c>
      <c r="H339" s="146" t="inlineStr">
        <is>
          <t>0427</t>
        </is>
      </c>
      <c r="I339" s="83" t="inlineStr">
        <is>
          <t>Е</t>
        </is>
      </c>
      <c r="J339" s="83" t="inlineStr">
        <is>
          <t>Клиента</t>
        </is>
      </c>
      <c r="K339" s="116" t="inlineStr">
        <is>
          <t>K276</t>
        </is>
      </c>
      <c r="N339" s="239">
        <f>IF(D339="","",IF(LEFT(D339,1)="0",0,1))</f>
        <v/>
      </c>
      <c r="O339" s="80">
        <f>ROUND(R339*S339*T339/1000000,2)</f>
        <v/>
      </c>
      <c r="P339" s="160">
        <f>IF(O339="","",
IF(O339&lt;1,"0,1-0,9 литров",
IF(O339&lt;2,"1-1,9 литра",
IF(O339&lt;3,"2-2,9 литра",
IF(O339&lt;4,"3-3,9 литра",
IF(O339&lt;6,"4-5,9 литра",IF(O339&lt;8,"6-7,9 литра",IF(O339&lt;10,"8-9,9 литров",IF(O339&lt;15,"10-14,9 литров",IF(O339&lt;20,"15-19,9 литров",IF(O339&lt;30,"20-29 литров",IF(O339&lt;50,"30-49 литров",IF(O339&lt;60,"50-59 литров",IF(O339&lt;70,"60-69 литров",IF(O339&lt;80,"70-79 литров",IF(O339&lt;90,"80-89 литров",IF(O339&lt;100,"90-99 литров",IF(O339&lt;200,"100-200 литров","200+ литров"))))))))))))))))))</f>
        <v/>
      </c>
      <c r="Q339" s="101">
        <f>IF(O339="","",IF(O339&lt;1,"&lt;1 л",IF(O339&lt;2,"1-2 л",IF(O339&lt;3,"2-3 л",IF(O339&lt;5,"3-5 л",IF(O339&lt;10,"5-10 л",IF(O339&lt;20,"10-20 л",IF(O339&lt;50,"20-50 л",IF(O339&lt;100,"50-100 л","100+ л")))))))))</f>
        <v/>
      </c>
      <c r="R339" s="162">
        <f>IF(E339="","",--LEFT(E339,FIND("х",E339)-1))</f>
        <v/>
      </c>
      <c r="S339" s="162">
        <f>IF(E339="","",--MID(E339,FIND("х",E339)+1,FIND("х",E339,FIND("х",E339)+1)-FIND("х",E339)-1))</f>
        <v/>
      </c>
      <c r="T339" s="162">
        <f>IF(E339="","",--RIGHT(E339,LEN(E339)-FIND("х",E339,FIND("х",E339)+1)))</f>
        <v/>
      </c>
      <c r="U339" s="66">
        <f>(2*(R339+S339)+60)*(S339+T339+8)/1000000</f>
        <v/>
      </c>
      <c r="V339" s="66">
        <f>IF(OR(AND(R339&gt;=2*S339,R339&gt;=2*T339),AND(S339&gt;=2*R339,S339&gt;=2*T339),AND(T339&gt;=2*R339,T339&gt;=2*S339)),"Длинные","")</f>
        <v/>
      </c>
      <c r="W339" s="66">
        <f>IF(OR(AND(R339&lt;=S339/2,R339&lt;=T339/2),AND(S339&lt;=R339/2,S339&lt;=T339/2),AND(T339&lt;=R339/2,T339&lt;=S339/2)),"Плоские","")</f>
        <v/>
      </c>
      <c r="X339" s="160">
        <f>IF(LARGE($R339:$T339,1)="","",IF(LARGE($R339:$T339,1)&lt;=99,"10-99 мм",IF(LARGE($R339:$T339,1)&lt;=199,"100-199 мм",IF(LARGE($R339:$T339,1)&lt;=299,"200-299 мм",IF(LARGE($R339:$T339,1)&lt;=399,"300-399 мм",IF(LARGE($R339:$T339,1)&lt;=499,"400-499 мм",IF(LARGE($R339:$T339,1)&lt;=599,"500-599 мм",IF(LARGE($R339:$T339,1)&lt;=699,"600-699 мм",IF(LARGE($R339:$T339,1)&lt;=999,"700-999 мм","1000+ мм")))))))))</f>
        <v/>
      </c>
      <c r="Y339" s="160">
        <f>IF(LARGE($R339:$T339,2)="","",IF(LARGE($R339:$T339,2)&lt;=99,"10-99 мм",IF(LARGE($R339:$T339,2)&lt;=199,"100-199 мм",IF(LARGE($R339:$T339,2)&lt;=299,"200-299 мм",IF(LARGE($R339:$T339,2)&lt;=399,"300-399 мм",IF(LARGE($R339:$T339,2)&lt;=499,"400-499 мм",IF(LARGE($R339:$T339,2)&lt;=599,"500-599 мм",IF(LARGE($R339:$T339,2)&lt;=699,"600-699 мм",IF(LARGE($R339:$T339,2)&lt;=999,"700-999 мм","1000+ мм")))))))))</f>
        <v/>
      </c>
      <c r="Z339" s="160">
        <f>IF(SMALL($R339:$T339,1)="","",IF(SMALL($R339:$T339,1)&lt;=99,"10-99 мм",IF(SMALL($R339:$T339,1)&lt;=199,"100-199 мм",IF(SMALL($R339:$T339,1)&lt;=299,"200-299 мм",IF(SMALL($R339:$T339,1)&lt;=399,"300-399 мм",IF(SMALL($R339:$T339,1)&lt;=499,"400-499 мм",IF(SMALL($R339:$T339,1)&lt;=599,"500-599 мм",IF(SMALL($R339:$T339,1)&lt;=699,"600-699 мм",IF(SMALL($R339:$T339,1)&lt;=999,"700-999 мм","1000+ мм")))))))))</f>
        <v/>
      </c>
      <c r="AA339" s="160">
        <f>IF(G339="","",IF(G339="Л","Лист гофрокартона",IF(G339="КД","Крышка-дно",IF(G339="С","Самосборные",IF(G339="Ч","Четырехклапанные",IF(G339="А","Архивные","Неизвестно"))))))</f>
        <v/>
      </c>
    </row>
    <row r="340">
      <c r="A340" s="64" t="n">
        <v>0.71</v>
      </c>
      <c r="B340" s="94">
        <f>A340*1.2</f>
        <v/>
      </c>
      <c r="C340" s="109" t="n">
        <v>340</v>
      </c>
      <c r="D340" s="77" t="inlineStr">
        <is>
          <t>У</t>
        </is>
      </c>
      <c r="E340" s="88" t="inlineStr">
        <is>
          <t>370х225х95</t>
        </is>
      </c>
      <c r="G340" s="83" t="inlineStr">
        <is>
          <t>Ч</t>
        </is>
      </c>
      <c r="H340" s="146" t="inlineStr">
        <is>
          <t>0201</t>
        </is>
      </c>
      <c r="I340" s="83" t="inlineStr">
        <is>
          <t>В</t>
        </is>
      </c>
      <c r="J340" s="83" t="inlineStr">
        <is>
          <t>без</t>
        </is>
      </c>
      <c r="K340" s="116" t="inlineStr">
        <is>
          <t>K277</t>
        </is>
      </c>
      <c r="N340" s="239">
        <f>IF(D340="","",IF(LEFT(D340,1)="0",0,1))</f>
        <v/>
      </c>
      <c r="O340" s="80">
        <f>ROUND(R340*S340*T340/1000000,2)</f>
        <v/>
      </c>
      <c r="P340" s="160">
        <f>IF(O340="","",
IF(O340&lt;1,"0,1-0,9 литров",
IF(O340&lt;2,"1-1,9 литра",
IF(O340&lt;3,"2-2,9 литра",
IF(O340&lt;4,"3-3,9 литра",
IF(O340&lt;6,"4-5,9 литра",IF(O340&lt;8,"6-7,9 литра",IF(O340&lt;10,"8-9,9 литров",IF(O340&lt;15,"10-14,9 литров",IF(O340&lt;20,"15-19,9 литров",IF(O340&lt;30,"20-29 литров",IF(O340&lt;50,"30-49 литров",IF(O340&lt;60,"50-59 литров",IF(O340&lt;70,"60-69 литров",IF(O340&lt;80,"70-79 литров",IF(O340&lt;90,"80-89 литров",IF(O340&lt;100,"90-99 литров",IF(O340&lt;200,"100-200 литров","200+ литров"))))))))))))))))))</f>
        <v/>
      </c>
      <c r="Q340" s="101">
        <f>IF(O340="","",IF(O340&lt;1,"&lt;1 л",IF(O340&lt;2,"1-2 л",IF(O340&lt;3,"2-3 л",IF(O340&lt;5,"3-5 л",IF(O340&lt;10,"5-10 л",IF(O340&lt;20,"10-20 л",IF(O340&lt;50,"20-50 л",IF(O340&lt;100,"50-100 л","100+ л")))))))))</f>
        <v/>
      </c>
      <c r="R340" s="162">
        <f>IF(E340="","",--LEFT(E340,FIND("х",E340)-1))</f>
        <v/>
      </c>
      <c r="S340" s="162">
        <f>IF(E340="","",--MID(E340,FIND("х",E340)+1,FIND("х",E340,FIND("х",E340)+1)-FIND("х",E340)-1))</f>
        <v/>
      </c>
      <c r="T340" s="162">
        <f>IF(E340="","",--RIGHT(E340,LEN(E340)-FIND("х",E340,FIND("х",E340)+1)))</f>
        <v/>
      </c>
      <c r="U340" s="66">
        <f>(2*(R340+S340)+60)*(S340+T340+8)/1000000</f>
        <v/>
      </c>
      <c r="V340" s="66">
        <f>IF(OR(AND(R340&gt;=2*S340,R340&gt;=2*T340),AND(S340&gt;=2*R340,S340&gt;=2*T340),AND(T340&gt;=2*R340,T340&gt;=2*S340)),"Длинные","")</f>
        <v/>
      </c>
      <c r="W340" s="66">
        <f>IF(OR(AND(R340&lt;=S340/2,R340&lt;=T340/2),AND(S340&lt;=R340/2,S340&lt;=T340/2),AND(T340&lt;=R340/2,T340&lt;=S340/2)),"Плоские","")</f>
        <v/>
      </c>
      <c r="X340" s="160">
        <f>IF(LARGE($R340:$T340,1)="","",IF(LARGE($R340:$T340,1)&lt;=99,"10-99 мм",IF(LARGE($R340:$T340,1)&lt;=199,"100-199 мм",IF(LARGE($R340:$T340,1)&lt;=299,"200-299 мм",IF(LARGE($R340:$T340,1)&lt;=399,"300-399 мм",IF(LARGE($R340:$T340,1)&lt;=499,"400-499 мм",IF(LARGE($R340:$T340,1)&lt;=599,"500-599 мм",IF(LARGE($R340:$T340,1)&lt;=699,"600-699 мм",IF(LARGE($R340:$T340,1)&lt;=999,"700-999 мм","1000+ мм")))))))))</f>
        <v/>
      </c>
      <c r="Y340" s="160">
        <f>IF(LARGE($R340:$T340,2)="","",IF(LARGE($R340:$T340,2)&lt;=99,"10-99 мм",IF(LARGE($R340:$T340,2)&lt;=199,"100-199 мм",IF(LARGE($R340:$T340,2)&lt;=299,"200-299 мм",IF(LARGE($R340:$T340,2)&lt;=399,"300-399 мм",IF(LARGE($R340:$T340,2)&lt;=499,"400-499 мм",IF(LARGE($R340:$T340,2)&lt;=599,"500-599 мм",IF(LARGE($R340:$T340,2)&lt;=699,"600-699 мм",IF(LARGE($R340:$T340,2)&lt;=999,"700-999 мм","1000+ мм")))))))))</f>
        <v/>
      </c>
      <c r="Z340" s="160">
        <f>IF(SMALL($R340:$T340,1)="","",IF(SMALL($R340:$T340,1)&lt;=99,"10-99 мм",IF(SMALL($R340:$T340,1)&lt;=199,"100-199 мм",IF(SMALL($R340:$T340,1)&lt;=299,"200-299 мм",IF(SMALL($R340:$T340,1)&lt;=399,"300-399 мм",IF(SMALL($R340:$T340,1)&lt;=499,"400-499 мм",IF(SMALL($R340:$T340,1)&lt;=599,"500-599 мм",IF(SMALL($R340:$T340,1)&lt;=699,"600-699 мм",IF(SMALL($R340:$T340,1)&lt;=999,"700-999 мм","1000+ мм")))))))))</f>
        <v/>
      </c>
      <c r="AA340" s="160">
        <f>IF(G340="","",IF(G340="Л","Лист гофрокартона",IF(G340="КД","Крышка-дно",IF(G340="С","Самосборные",IF(G340="Ч","Четырехклапанные",IF(G340="А","Архивные","Неизвестно"))))))</f>
        <v/>
      </c>
    </row>
    <row r="341">
      <c r="A341" s="64" t="n">
        <v>0.86</v>
      </c>
      <c r="B341" s="94">
        <f>A341*1.2</f>
        <v/>
      </c>
      <c r="C341" s="109" t="n">
        <v>341</v>
      </c>
      <c r="D341" s="77" t="inlineStr">
        <is>
          <t>У</t>
        </is>
      </c>
      <c r="E341" s="88" t="inlineStr">
        <is>
          <t>370х275х95</t>
        </is>
      </c>
      <c r="G341" s="83" t="inlineStr">
        <is>
          <t>Ч</t>
        </is>
      </c>
      <c r="H341" s="146" t="inlineStr">
        <is>
          <t>0201</t>
        </is>
      </c>
      <c r="I341" s="83" t="inlineStr">
        <is>
          <t>В</t>
        </is>
      </c>
      <c r="J341" s="83" t="inlineStr">
        <is>
          <t>без</t>
        </is>
      </c>
      <c r="K341" s="116" t="inlineStr">
        <is>
          <t>K278</t>
        </is>
      </c>
      <c r="N341" s="239">
        <f>IF(D341="","",IF(LEFT(D341,1)="0",0,1))</f>
        <v/>
      </c>
      <c r="O341" s="80">
        <f>ROUND(R341*S341*T341/1000000,2)</f>
        <v/>
      </c>
      <c r="P341" s="160">
        <f>IF(O341="","",
IF(O341&lt;1,"0,1-0,9 литров",
IF(O341&lt;2,"1-1,9 литра",
IF(O341&lt;3,"2-2,9 литра",
IF(O341&lt;4,"3-3,9 литра",
IF(O341&lt;6,"4-5,9 литра",IF(O341&lt;8,"6-7,9 литра",IF(O341&lt;10,"8-9,9 литров",IF(O341&lt;15,"10-14,9 литров",IF(O341&lt;20,"15-19,9 литров",IF(O341&lt;30,"20-29 литров",IF(O341&lt;50,"30-49 литров",IF(O341&lt;60,"50-59 литров",IF(O341&lt;70,"60-69 литров",IF(O341&lt;80,"70-79 литров",IF(O341&lt;90,"80-89 литров",IF(O341&lt;100,"90-99 литров",IF(O341&lt;200,"100-200 литров","200+ литров"))))))))))))))))))</f>
        <v/>
      </c>
      <c r="Q341" s="101">
        <f>IF(O341="","",IF(O341&lt;1,"&lt;1 л",IF(O341&lt;2,"1-2 л",IF(O341&lt;3,"2-3 л",IF(O341&lt;5,"3-5 л",IF(O341&lt;10,"5-10 л",IF(O341&lt;20,"10-20 л",IF(O341&lt;50,"20-50 л",IF(O341&lt;100,"50-100 л","100+ л")))))))))</f>
        <v/>
      </c>
      <c r="R341" s="162">
        <f>IF(E341="","",--LEFT(E341,FIND("х",E341)-1))</f>
        <v/>
      </c>
      <c r="S341" s="162">
        <f>IF(E341="","",--MID(E341,FIND("х",E341)+1,FIND("х",E341,FIND("х",E341)+1)-FIND("х",E341)-1))</f>
        <v/>
      </c>
      <c r="T341" s="162">
        <f>IF(E341="","",--RIGHT(E341,LEN(E341)-FIND("х",E341,FIND("х",E341)+1)))</f>
        <v/>
      </c>
      <c r="U341" s="66">
        <f>(2*(R341+S341)+60)*(S341+T341+8)/1000000</f>
        <v/>
      </c>
      <c r="V341" s="66">
        <f>IF(OR(AND(R341&gt;=2*S341,R341&gt;=2*T341),AND(S341&gt;=2*R341,S341&gt;=2*T341),AND(T341&gt;=2*R341,T341&gt;=2*S341)),"Длинные","")</f>
        <v/>
      </c>
      <c r="W341" s="66">
        <f>IF(OR(AND(R341&lt;=S341/2,R341&lt;=T341/2),AND(S341&lt;=R341/2,S341&lt;=T341/2),AND(T341&lt;=R341/2,T341&lt;=S341/2)),"Плоские","")</f>
        <v/>
      </c>
      <c r="X341" s="160">
        <f>IF(LARGE($R341:$T341,1)="","",IF(LARGE($R341:$T341,1)&lt;=99,"10-99 мм",IF(LARGE($R341:$T341,1)&lt;=199,"100-199 мм",IF(LARGE($R341:$T341,1)&lt;=299,"200-299 мм",IF(LARGE($R341:$T341,1)&lt;=399,"300-399 мм",IF(LARGE($R341:$T341,1)&lt;=499,"400-499 мм",IF(LARGE($R341:$T341,1)&lt;=599,"500-599 мм",IF(LARGE($R341:$T341,1)&lt;=699,"600-699 мм",IF(LARGE($R341:$T341,1)&lt;=999,"700-999 мм","1000+ мм")))))))))</f>
        <v/>
      </c>
      <c r="Y341" s="160">
        <f>IF(LARGE($R341:$T341,2)="","",IF(LARGE($R341:$T341,2)&lt;=99,"10-99 мм",IF(LARGE($R341:$T341,2)&lt;=199,"100-199 мм",IF(LARGE($R341:$T341,2)&lt;=299,"200-299 мм",IF(LARGE($R341:$T341,2)&lt;=399,"300-399 мм",IF(LARGE($R341:$T341,2)&lt;=499,"400-499 мм",IF(LARGE($R341:$T341,2)&lt;=599,"500-599 мм",IF(LARGE($R341:$T341,2)&lt;=699,"600-699 мм",IF(LARGE($R341:$T341,2)&lt;=999,"700-999 мм","1000+ мм")))))))))</f>
        <v/>
      </c>
      <c r="Z341" s="160">
        <f>IF(SMALL($R341:$T341,1)="","",IF(SMALL($R341:$T341,1)&lt;=99,"10-99 мм",IF(SMALL($R341:$T341,1)&lt;=199,"100-199 мм",IF(SMALL($R341:$T341,1)&lt;=299,"200-299 мм",IF(SMALL($R341:$T341,1)&lt;=399,"300-399 мм",IF(SMALL($R341:$T341,1)&lt;=499,"400-499 мм",IF(SMALL($R341:$T341,1)&lt;=599,"500-599 мм",IF(SMALL($R341:$T341,1)&lt;=699,"600-699 мм",IF(SMALL($R341:$T341,1)&lt;=999,"700-999 мм","1000+ мм")))))))))</f>
        <v/>
      </c>
      <c r="AA341" s="160">
        <f>IF(G341="","",IF(G341="Л","Лист гофрокартона",IF(G341="КД","Крышка-дно",IF(G341="С","Самосборные",IF(G341="Ч","Четырехклапанные",IF(G341="А","Архивные","Неизвестно"))))))</f>
        <v/>
      </c>
    </row>
    <row r="342">
      <c r="B342" s="94">
        <f>A342*1.2</f>
        <v/>
      </c>
      <c r="C342" s="109" t="n">
        <v>342</v>
      </c>
      <c r="H342" s="146" t="n"/>
      <c r="N342" s="239">
        <f>IF(D342="","",IF(LEFT(D342,1)="0",0,1))</f>
        <v/>
      </c>
      <c r="O342" s="80" t="n"/>
      <c r="P342" s="160" t="n"/>
      <c r="Q342" s="101" t="n"/>
      <c r="R342" s="162" t="n"/>
      <c r="S342" s="162" t="n"/>
      <c r="T342" s="162" t="n"/>
      <c r="U342" s="66" t="n"/>
      <c r="V342" s="66" t="n"/>
      <c r="W342" s="66" t="n"/>
      <c r="AA342" s="160">
        <f>IF(G342="","",IF(G342="Л","Лист гофрокартона",IF(G342="КД","Крышка-дно",IF(G342="С","Самосборные",IF(G342="Ч","Четырехклапанные",IF(G342="А","Архивные","Неизвестно"))))))</f>
        <v/>
      </c>
    </row>
    <row r="343">
      <c r="B343" s="94">
        <f>A343*1.2</f>
        <v/>
      </c>
      <c r="C343" s="109" t="n">
        <v>343</v>
      </c>
      <c r="H343" s="146" t="n"/>
      <c r="N343" s="239">
        <f>IF(D343="","",IF(LEFT(D343,1)="0",0,1))</f>
        <v/>
      </c>
      <c r="O343" s="80" t="n"/>
      <c r="P343" s="160" t="n"/>
      <c r="Q343" s="101" t="n"/>
      <c r="R343" s="162" t="n"/>
      <c r="S343" s="162" t="n"/>
      <c r="T343" s="162" t="n"/>
      <c r="U343" s="66" t="n"/>
      <c r="V343" s="66" t="n"/>
      <c r="W343" s="66" t="n"/>
      <c r="AA343" s="160">
        <f>IF(G343="","",IF(G343="Л","Лист гофрокартона",IF(G343="КД","Крышка-дно",IF(G343="С","Самосборные",IF(G343="Ч","Четырехклапанные",IF(G343="А","Архивные","Неизвестно"))))))</f>
        <v/>
      </c>
    </row>
    <row r="344">
      <c r="B344" s="94">
        <f>A344*1.2</f>
        <v/>
      </c>
      <c r="C344" s="109" t="n">
        <v>344</v>
      </c>
      <c r="H344" s="146" t="n"/>
      <c r="N344" s="239">
        <f>IF(D344="","",IF(LEFT(D344,1)="0",0,1))</f>
        <v/>
      </c>
      <c r="O344" s="80" t="n"/>
      <c r="P344" s="160" t="n"/>
      <c r="Q344" s="101" t="n"/>
      <c r="R344" s="162" t="n"/>
      <c r="S344" s="162" t="n"/>
      <c r="T344" s="162" t="n"/>
      <c r="U344" s="66" t="n"/>
      <c r="V344" s="66" t="n"/>
      <c r="W344" s="66" t="n"/>
      <c r="AA344" s="160">
        <f>IF(G344="","",IF(G344="Л","Лист гофрокартона",IF(G344="КД","Крышка-дно",IF(G344="С","Самосборные",IF(G344="Ч","Четырехклапанные",IF(G344="А","Архивные","Неизвестно"))))))</f>
        <v/>
      </c>
    </row>
    <row r="345">
      <c r="B345" s="94">
        <f>A345*1.2</f>
        <v/>
      </c>
      <c r="C345" s="109" t="n">
        <v>345</v>
      </c>
      <c r="H345" s="146" t="n"/>
      <c r="N345" s="239">
        <f>IF(D345="","",IF(LEFT(D345,1)="0",0,1))</f>
        <v/>
      </c>
      <c r="O345" s="80" t="n"/>
      <c r="P345" s="160" t="n"/>
      <c r="Q345" s="101" t="n"/>
      <c r="R345" s="162" t="n"/>
      <c r="S345" s="162" t="n"/>
      <c r="T345" s="162" t="n"/>
      <c r="U345" s="66" t="n"/>
      <c r="V345" s="66" t="n"/>
      <c r="W345" s="66" t="n"/>
      <c r="AA345" s="160">
        <f>IF(G345="","",IF(G345="Л","Лист гофрокартона",IF(G345="КД","Крышка-дно",IF(G345="С","Самосборные",IF(G345="Ч","Четырехклапанные",IF(G345="А","Архивные","Неизвестно"))))))</f>
        <v/>
      </c>
    </row>
    <row r="346">
      <c r="B346" s="94">
        <f>A346*1.2</f>
        <v/>
      </c>
      <c r="C346" s="109" t="n">
        <v>346</v>
      </c>
      <c r="H346" s="146" t="n"/>
      <c r="O346" s="80" t="n"/>
      <c r="P346" s="160" t="n"/>
      <c r="Q346" s="101" t="n"/>
      <c r="R346" s="162" t="n"/>
      <c r="S346" s="162" t="n"/>
      <c r="T346" s="162" t="n"/>
      <c r="U346" s="66" t="n"/>
      <c r="V346" s="66" t="n"/>
      <c r="W346" s="66" t="n"/>
      <c r="AA346" s="160">
        <f>IF(G346="","",IF(G346="Л","Лист гофрокартона",IF(G346="КД","Крышка-дно",IF(G346="С","Самосборные",IF(G346="Ч","Четырехклапанные",IF(G346="А","Архивные","Неизвестно"))))))</f>
        <v/>
      </c>
    </row>
    <row r="347">
      <c r="B347" s="94">
        <f>A347*1.2</f>
        <v/>
      </c>
      <c r="H347" s="146" t="n"/>
      <c r="O347" s="80" t="n"/>
      <c r="P347" s="160" t="n"/>
      <c r="Q347" s="101" t="n"/>
      <c r="R347" s="162" t="n"/>
      <c r="S347" s="162" t="n"/>
      <c r="T347" s="162" t="n"/>
      <c r="U347" s="66" t="n"/>
      <c r="V347" s="66" t="n"/>
      <c r="W347" s="66" t="n"/>
      <c r="AA347" s="160">
        <f>IF(G347="","",IF(G347="Л","Лист гофрокартона",IF(G347="КД","Крышка-дно",IF(G347="С","Самосборные",IF(G347="Ч","Четырехклапанные",IF(G347="А","Архивные","Неизвестно"))))))</f>
        <v/>
      </c>
    </row>
    <row r="348">
      <c r="E348" s="88" t="inlineStr">
        <is>
          <t>end только стирать</t>
        </is>
      </c>
    </row>
  </sheetData>
  <autoFilter ref="A1:AC348"/>
  <conditionalFormatting sqref="D1:D1048576">
    <cfRule type="expression" priority="1" dxfId="19">
      <formula>LEFT(D1,1)="0"</formula>
    </cfRule>
    <cfRule type="expression" priority="13" dxfId="17">
      <formula>D1="У"</formula>
    </cfRule>
    <cfRule type="expression" priority="14" dxfId="16">
      <formula>D1="БМ"</formula>
    </cfRule>
  </conditionalFormatting>
  <conditionalFormatting sqref="E1:E1048576">
    <cfRule type="expression" priority="2" dxfId="19">
      <formula>LEFT(D1,1)="0"</formula>
    </cfRule>
    <cfRule type="expression" priority="12" dxfId="4">
      <formula>AND(ROW()&gt;1, L1="Sale")</formula>
    </cfRule>
  </conditionalFormatting>
  <conditionalFormatting sqref="G1:G1048576">
    <cfRule type="expression" priority="10" dxfId="17">
      <formula>G1="ч"</formula>
    </cfRule>
    <cfRule type="expression" priority="11" dxfId="16">
      <formula>G1="с"</formula>
    </cfRule>
  </conditionalFormatting>
  <conditionalFormatting sqref="N1:N1048576">
    <cfRule type="expression" priority="7" dxfId="15">
      <formula>N1=0</formula>
    </cfRule>
  </conditionalFormatting>
  <conditionalFormatting sqref="A1:A1048576">
    <cfRule type="expression" priority="3" dxfId="4">
      <formula>AND(ROW()&gt;1, L1="Sale")</formula>
    </cfRule>
  </conditionalFormatting>
  <dataValidations count="2">
    <dataValidation sqref="H2:H347" showDropDown="0" showInputMessage="1" showErrorMessage="1" allowBlank="1" type="list">
      <formula1>"0201,0203,0200,0211,0215,0421,0426,0427,0429,0470,0471,0409,0401"</formula1>
    </dataValidation>
    <dataValidation sqref="L2:L340" showDropDown="0" showInputMessage="1" showErrorMessage="1" allowBlank="1" type="list">
      <formula1>",Sale"</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tabColor theme="9" tint="0.5999938962981048"/>
    <outlinePr summaryBelow="1" summaryRight="1"/>
    <pageSetUpPr/>
  </sheetPr>
  <dimension ref="A1:AE1756"/>
  <sheetViews>
    <sheetView topLeftCell="G1" zoomScaleNormal="100" workbookViewId="0">
      <pane ySplit="1" topLeftCell="A1695" activePane="bottomLeft" state="frozen"/>
      <selection pane="bottomLeft" activeCell="AD1697" sqref="AD1697:AD1701"/>
    </sheetView>
  </sheetViews>
  <sheetFormatPr baseColWidth="8" defaultRowHeight="14.6"/>
  <cols>
    <col width="4.3046875" bestFit="1" customWidth="1" style="112" min="1" max="1"/>
    <col hidden="1" width="4.07421875" customWidth="1" style="42" min="2" max="2"/>
    <col hidden="1" width="8.23046875" customWidth="1" style="118" min="3" max="3"/>
    <col width="8.07421875" bestFit="1" customWidth="1" style="119" min="4" max="4"/>
    <col width="4.3046875" customWidth="1" style="95" min="5" max="5"/>
    <col width="16.69140625" bestFit="1" customWidth="1" style="175" min="6" max="6"/>
    <col width="4.765625" customWidth="1" style="173" min="7" max="7"/>
    <col width="8.3046875" customWidth="1" style="94" min="8" max="8"/>
    <col width="7.84375" bestFit="1" customWidth="1" style="120" min="9" max="9"/>
    <col hidden="1" style="121" min="10" max="10"/>
    <col width="9.765625" customWidth="1" style="70" min="11" max="11"/>
    <col hidden="1" width="8.84375" customWidth="1" style="122" min="12" max="12"/>
    <col width="9" bestFit="1" customWidth="1" style="123" min="13" max="13"/>
    <col hidden="1" width="12.23046875" customWidth="1" style="55" min="14" max="14"/>
    <col hidden="1" width="16.765625" customWidth="1" style="5" min="15" max="15"/>
    <col hidden="1" width="8.84375" customWidth="1" style="47" min="16" max="16"/>
    <col width="20.84375" customWidth="1" style="207" min="17" max="17"/>
    <col width="4.69140625" customWidth="1" style="206" min="18" max="18"/>
    <col width="6.23046875" customWidth="1" style="207" min="19" max="19"/>
    <col width="6.69140625" customWidth="1" style="226" min="20" max="20"/>
    <col width="6.07421875" customWidth="1" style="235" min="21" max="21"/>
    <col width="6.23046875" bestFit="1" customWidth="1" style="222" min="22" max="22"/>
    <col width="4" bestFit="1" customWidth="1" style="239" min="23" max="23"/>
    <col width="5.53515625" bestFit="1" customWidth="1" style="55" min="24" max="24"/>
    <col width="5.4609375" customWidth="1" style="55" min="25" max="25"/>
    <col width="8.84375" customWidth="1" style="236" min="26" max="26"/>
    <col width="8.84375" customWidth="1" style="237" min="27" max="27"/>
    <col width="8.84375" customWidth="1" style="238" min="28" max="28"/>
    <col width="11.84375" customWidth="1" style="223" min="29" max="29"/>
    <col width="22.84375" bestFit="1" customWidth="1" style="222" min="30" max="30"/>
  </cols>
  <sheetData>
    <row r="1" ht="38.6" customFormat="1" customHeight="1" s="4">
      <c r="A1" s="111" t="inlineStr">
        <is>
          <t>№</t>
        </is>
      </c>
      <c r="B1" s="6" t="inlineStr">
        <is>
          <t>х</t>
        </is>
      </c>
      <c r="C1" s="10" t="inlineStr">
        <is>
          <t>&lt;&lt; Закуп коробка без НДС</t>
        </is>
      </c>
      <c r="D1" s="18" t="inlineStr">
        <is>
          <t>Закуп коробка с НДС</t>
        </is>
      </c>
      <c r="E1" s="117" t="inlineStr">
        <is>
          <t>Пост</t>
        </is>
      </c>
      <c r="F1" s="231" t="inlineStr">
        <is>
          <t>Название</t>
        </is>
      </c>
      <c r="G1" s="172" t="inlineStr">
        <is>
          <t>Sale</t>
        </is>
      </c>
      <c r="H1" s="158" t="inlineStr">
        <is>
          <t>Комент</t>
        </is>
      </c>
      <c r="I1" s="19" t="inlineStr">
        <is>
          <t>Заказ шт</t>
        </is>
      </c>
      <c r="J1" s="67" t="inlineStr">
        <is>
          <t>Продажа коробка без НДС</t>
        </is>
      </c>
      <c r="K1" s="9" t="inlineStr">
        <is>
          <t>Продажа коробка
с НДС</t>
        </is>
      </c>
      <c r="L1" s="71" t="inlineStr">
        <is>
          <t xml:space="preserve">  +
прибыль с коробка</t>
        </is>
      </c>
      <c r="M1" s="15" t="inlineStr">
        <is>
          <t xml:space="preserve"> + 
с заказа / коробки</t>
        </is>
      </c>
      <c r="N1" s="6" t="inlineStr">
        <is>
          <t>х</t>
        </is>
      </c>
      <c r="O1" s="6" t="inlineStr">
        <is>
          <t>х</t>
        </is>
      </c>
      <c r="P1" s="6" t="inlineStr">
        <is>
          <t>х</t>
        </is>
      </c>
      <c r="Q1" s="98" t="inlineStr">
        <is>
          <t>Для вставки на сайт</t>
        </is>
      </c>
      <c r="R1" s="203" t="inlineStr">
        <is>
          <t>SKU</t>
        </is>
      </c>
      <c r="S1" s="204" t="inlineStr">
        <is>
          <t>V, л Знач</t>
        </is>
      </c>
      <c r="T1" s="205" t="inlineStr">
        <is>
          <t>V, л</t>
        </is>
      </c>
      <c r="U1" s="193" t="inlineStr">
        <is>
          <t>Длинн</t>
        </is>
      </c>
      <c r="V1" s="194" t="inlineStr">
        <is>
          <t>Плоские</t>
        </is>
      </c>
      <c r="W1" s="25" t="inlineStr">
        <is>
          <t>Fefco</t>
        </is>
      </c>
      <c r="X1" s="102" t="inlineStr">
        <is>
          <t>Тип</t>
        </is>
      </c>
      <c r="Y1" s="229" t="inlineStr">
        <is>
          <t>Профиль В Е</t>
        </is>
      </c>
      <c r="Z1" s="197" t="inlineStr">
        <is>
          <t>Наибольшые сторона, мм	&amp;emsp;</t>
        </is>
      </c>
      <c r="AA1" s="198" t="inlineStr">
        <is>
          <t>Средняя сторона, мм	&amp;emsp;</t>
        </is>
      </c>
      <c r="AB1" s="199" t="inlineStr">
        <is>
          <t>Наименьшые сторона, мм	&amp;emsp;</t>
        </is>
      </c>
      <c r="AC1" s="215" t="inlineStr">
        <is>
          <t>Сылка</t>
        </is>
      </c>
      <c r="AD1" s="209" t="inlineStr">
        <is>
          <t>Описание</t>
        </is>
      </c>
      <c r="AE1" t="inlineStr">
        <is>
          <t>Старая продажа с НДС (до обновления)</t>
        </is>
      </c>
    </row>
    <row r="2">
      <c r="A2" s="232" t="n">
        <v>2</v>
      </c>
      <c r="B2" s="47" t="n">
        <v>2</v>
      </c>
      <c r="C2" s="118">
        <f>INDIRECT("'Закуп'!B" &amp; B2)</f>
        <v/>
      </c>
      <c r="D2" s="119">
        <f>C2*1.2</f>
        <v/>
      </c>
      <c r="E2" s="224">
        <f>INDIRECT("'Закуп'!D" &amp; A2)</f>
        <v/>
      </c>
      <c r="F2" s="231">
        <f>INDIRECT("'Закуп'!E" &amp; B2)</f>
        <v/>
      </c>
      <c r="G2" s="172">
        <f>IF(INDIRECT("'Закуп'!L" &amp; B2)="Sale","Sale","")</f>
        <v/>
      </c>
      <c r="H2" s="158">
        <f>IF(INDIRECT("'Закуп'!F" &amp; B2)=0,"",INDIRECT("'Закуп'!F" &amp; B2))</f>
        <v/>
      </c>
      <c r="I2" s="120" t="n">
        <v>50</v>
      </c>
      <c r="J2" s="121">
        <f>K2/1.2</f>
        <v/>
      </c>
      <c r="K2" s="70" t="n">
        <v>1.1</v>
      </c>
      <c r="L2" s="122">
        <f>J2-C2-(J2-C2)*0.2</f>
        <v/>
      </c>
      <c r="M2" s="123">
        <f>L2*I2</f>
        <v/>
      </c>
      <c r="N2" s="124" t="inlineStr">
        <is>
          <t xml:space="preserve">50-90 шт - </t>
        </is>
      </c>
      <c r="O2" s="47" t="inlineStr">
        <is>
          <t xml:space="preserve"> руб / шт с НДС</t>
        </is>
      </c>
      <c r="P2" s="125">
        <f>ROUND(K2,2)</f>
        <v/>
      </c>
      <c r="Q2" s="207">
        <f>CONCATENATE(N2,P2,O2,)</f>
        <v/>
      </c>
      <c r="R2" s="235">
        <f>INDIRECT("'Закуп'!k" &amp; A2)</f>
        <v/>
      </c>
      <c r="S2" s="239">
        <f>INDIRECT("'Закуп'!o" &amp; A2)</f>
        <v/>
      </c>
      <c r="T2" s="226">
        <f>INDIRECT("'Закуп'!p" &amp; A2)</f>
        <v/>
      </c>
      <c r="U2" s="235">
        <f>INDIRECT("'Закуп'!v" &amp; A2)</f>
        <v/>
      </c>
      <c r="V2" s="222">
        <f>INDIRECT("'Закуп'!w" &amp; A2)</f>
        <v/>
      </c>
      <c r="W2" s="229">
        <f>INDIRECT("'Закуп'!H" &amp; A2)</f>
        <v/>
      </c>
      <c r="X2" s="237">
        <f>INDIRECT("'Закуп'!g" &amp; A2)</f>
        <v/>
      </c>
      <c r="Y2" s="229">
        <f>INDIRECT("'Закуп'!i" &amp; A2)</f>
        <v/>
      </c>
      <c r="Z2" s="236">
        <f>INDIRECT("'Закуп'!x" &amp; A2)</f>
        <v/>
      </c>
      <c r="AA2" s="237">
        <f>INDIRECT("'Закуп'!y" &amp; A2)</f>
        <v/>
      </c>
      <c r="AB2" s="238">
        <f>INDIRECT("'Закуп'!z" &amp; A2)</f>
        <v/>
      </c>
      <c r="AC2" s="223">
        <f>SUBSTITUTE(INDEX(F:F, ROUNDUP((ROW(A1))/5,0)*5 - 3), "х", "x")</f>
        <v/>
      </c>
      <c r="AD2" s="222">
        <f>SUBSTITUTE(INDEX(F:F, ROUNDUP((ROW(A1))/5,0)*5 - 3), "х", "x") &amp; " - " &amp; SUBSTITUTE(SUBSTITUTE(INDEX(F:F, ROUNDUP((ROW(A1))/5,0)*5 - 3), "х", "*"), "x", "*") &amp; " мм"</f>
        <v/>
      </c>
    </row>
    <row r="3">
      <c r="B3" s="47" t="n">
        <v>2</v>
      </c>
      <c r="C3" s="118">
        <f>INDIRECT("'Закуп'!B" &amp; B3)</f>
        <v/>
      </c>
      <c r="D3" s="119">
        <f>C3*1.2</f>
        <v/>
      </c>
      <c r="G3" s="172">
        <f>IF(INDIRECT("'Закуп'!L" &amp; B3)="Sale","Sale","")</f>
        <v/>
      </c>
      <c r="H3" s="158">
        <f>IF(INDIRECT("'Закуп'!F" &amp; B3)=0,"",INDIRECT("'Закуп'!F" &amp; B3))</f>
        <v/>
      </c>
      <c r="I3" s="120" t="n">
        <v>100</v>
      </c>
      <c r="J3" s="121">
        <f>K3/1.2</f>
        <v/>
      </c>
      <c r="K3" s="70" t="n">
        <v>0.87</v>
      </c>
      <c r="L3" s="122">
        <f>J3-C3-(J3-C3)*0.2</f>
        <v/>
      </c>
      <c r="M3" s="123">
        <f>L3*I3</f>
        <v/>
      </c>
      <c r="N3" s="124" t="inlineStr">
        <is>
          <t xml:space="preserve">100-290 шт - </t>
        </is>
      </c>
      <c r="O3" s="47" t="inlineStr">
        <is>
          <t xml:space="preserve"> руб / шт с НДС</t>
        </is>
      </c>
      <c r="P3" s="125">
        <f>ROUND(K3,2)</f>
        <v/>
      </c>
      <c r="Q3" s="207">
        <f>CONCATENATE(N3,P3,O3,)</f>
        <v/>
      </c>
      <c r="R3" s="240" t="n"/>
      <c r="T3" s="241" t="n"/>
      <c r="U3" s="240" t="n"/>
      <c r="V3" s="241" t="n"/>
      <c r="Z3" s="240" t="n"/>
      <c r="AB3" s="241" t="n"/>
      <c r="AC3" s="240" t="n"/>
      <c r="AD3" s="241" t="n"/>
    </row>
    <row r="4">
      <c r="B4" s="47" t="n">
        <v>2</v>
      </c>
      <c r="C4" s="118">
        <f>INDIRECT("'Закуп'!B" &amp; B4)</f>
        <v/>
      </c>
      <c r="D4" s="119">
        <f>C4*1.2</f>
        <v/>
      </c>
      <c r="G4" s="172">
        <f>IF(INDIRECT("'Закуп'!L" &amp; B4)="Sale","Sale","")</f>
        <v/>
      </c>
      <c r="H4" s="158">
        <f>IF(INDIRECT("'Закуп'!F" &amp; B4)=0,"",INDIRECT("'Закуп'!F" &amp; B4))</f>
        <v/>
      </c>
      <c r="I4" s="120" t="n">
        <v>300</v>
      </c>
      <c r="J4" s="121">
        <f>K4/1.2</f>
        <v/>
      </c>
      <c r="K4" s="70" t="n">
        <v>0.68</v>
      </c>
      <c r="L4" s="122">
        <f>J4-C4-(J4-C4)*0.2</f>
        <v/>
      </c>
      <c r="M4" s="123">
        <f>L4*I4</f>
        <v/>
      </c>
      <c r="N4" s="124" t="inlineStr">
        <is>
          <t xml:space="preserve">300-490 шт - </t>
        </is>
      </c>
      <c r="O4" s="47" t="inlineStr">
        <is>
          <t xml:space="preserve"> руб / шт с НДС</t>
        </is>
      </c>
      <c r="P4" s="125">
        <f>ROUND(K4,2)</f>
        <v/>
      </c>
      <c r="Q4" s="207">
        <f>CONCATENATE(N4,P4,O4,)</f>
        <v/>
      </c>
      <c r="R4" s="240" t="n"/>
      <c r="T4" s="241" t="n"/>
      <c r="U4" s="240" t="n"/>
      <c r="V4" s="241" t="n"/>
      <c r="Z4" s="240" t="n"/>
      <c r="AB4" s="241" t="n"/>
      <c r="AC4" s="240" t="n"/>
      <c r="AD4" s="241" t="n"/>
    </row>
    <row r="5">
      <c r="B5" s="47" t="n">
        <v>2</v>
      </c>
      <c r="C5" s="118">
        <f>INDIRECT("'Закуп'!B" &amp; B5)</f>
        <v/>
      </c>
      <c r="D5" s="119">
        <f>C5*1.2</f>
        <v/>
      </c>
      <c r="G5" s="172">
        <f>IF(INDIRECT("'Закуп'!L" &amp; B5)="Sale","Sale","")</f>
        <v/>
      </c>
      <c r="H5" s="158">
        <f>IF(INDIRECT("'Закуп'!F" &amp; B5)=0,"",INDIRECT("'Закуп'!F" &amp; B5))</f>
        <v/>
      </c>
      <c r="I5" s="120" t="n">
        <v>500</v>
      </c>
      <c r="J5" s="121">
        <f>K5/1.2</f>
        <v/>
      </c>
      <c r="K5" s="70" t="n">
        <v>0.63</v>
      </c>
      <c r="L5" s="122">
        <f>J5-C5-(J5-C5)*0.2</f>
        <v/>
      </c>
      <c r="M5" s="123">
        <f>L5*I5</f>
        <v/>
      </c>
      <c r="N5" s="124" t="inlineStr">
        <is>
          <t xml:space="preserve">500-990 шт - </t>
        </is>
      </c>
      <c r="O5" s="47" t="inlineStr">
        <is>
          <t xml:space="preserve"> руб / шт с НДС</t>
        </is>
      </c>
      <c r="P5" s="125">
        <f>ROUND(K5,2)</f>
        <v/>
      </c>
      <c r="Q5" s="207">
        <f>CONCATENATE(N5,P5,O5,)</f>
        <v/>
      </c>
      <c r="R5" s="240" t="n"/>
      <c r="T5" s="241" t="n"/>
      <c r="U5" s="240" t="n"/>
      <c r="V5" s="241" t="n"/>
      <c r="Z5" s="240" t="n"/>
      <c r="AB5" s="241" t="n"/>
      <c r="AC5" s="240" t="n"/>
      <c r="AD5" s="241" t="n"/>
    </row>
    <row r="6">
      <c r="B6" s="47" t="n">
        <v>2</v>
      </c>
      <c r="C6" s="118">
        <f>INDIRECT("'Закуп'!B" &amp; B6)</f>
        <v/>
      </c>
      <c r="D6" s="119">
        <f>C6*1.2</f>
        <v/>
      </c>
      <c r="G6" s="172">
        <f>IF(INDIRECT("'Закуп'!L" &amp; B6)="Sale","Sale","")</f>
        <v/>
      </c>
      <c r="H6" s="158">
        <f>IF(INDIRECT("'Закуп'!F" &amp; B6)=0,"",INDIRECT("'Закуп'!F" &amp; B6))</f>
        <v/>
      </c>
      <c r="I6" s="120" t="n">
        <v>1000</v>
      </c>
      <c r="J6" s="121">
        <f>K6/1.2</f>
        <v/>
      </c>
      <c r="K6" s="70" t="n">
        <v>0.59</v>
      </c>
      <c r="L6" s="122">
        <f>J6-C6-(J6-C6)*0.2</f>
        <v/>
      </c>
      <c r="M6" s="123">
        <f>L6*I6</f>
        <v/>
      </c>
      <c r="N6" s="124" t="inlineStr">
        <is>
          <t xml:space="preserve">1000 + шт - </t>
        </is>
      </c>
      <c r="O6" s="47" t="inlineStr">
        <is>
          <t xml:space="preserve"> руб / шт с НДС</t>
        </is>
      </c>
      <c r="P6" s="125">
        <f>ROUND(K6,2)</f>
        <v/>
      </c>
      <c r="Q6" s="207">
        <f>CONCATENATE(N6,P6,O6,)</f>
        <v/>
      </c>
      <c r="R6" s="240" t="n"/>
      <c r="T6" s="241" t="n"/>
      <c r="U6" s="240" t="n"/>
      <c r="V6" s="241" t="n"/>
      <c r="Z6" s="240" t="n"/>
      <c r="AB6" s="241" t="n"/>
      <c r="AC6" s="240" t="n"/>
      <c r="AD6" s="241" t="n"/>
    </row>
    <row r="7">
      <c r="A7" s="232" t="n">
        <v>3</v>
      </c>
      <c r="B7" s="47" t="n">
        <v>3</v>
      </c>
      <c r="C7" s="118">
        <f>INDIRECT("'Закуп'!B" &amp; B7)</f>
        <v/>
      </c>
      <c r="D7" s="119">
        <f>C7*1.2</f>
        <v/>
      </c>
      <c r="E7" s="224">
        <f>INDIRECT("'Закуп'!D" &amp; A7)</f>
        <v/>
      </c>
      <c r="F7" s="231">
        <f>INDIRECT("'Закуп'!E" &amp; B7)</f>
        <v/>
      </c>
      <c r="G7" s="172">
        <f>IF(INDIRECT("'Закуп'!L" &amp; B7)="Sale","Sale","")</f>
        <v/>
      </c>
      <c r="H7" s="158">
        <f>IF(INDIRECT("'Закуп'!F" &amp; B7)=0,"",INDIRECT("'Закуп'!F" &amp; B7))</f>
        <v/>
      </c>
      <c r="I7" s="120" t="n">
        <v>50</v>
      </c>
      <c r="J7" s="121">
        <f>K7/1.2</f>
        <v/>
      </c>
      <c r="K7" s="242" t="n">
        <v>1.31</v>
      </c>
      <c r="L7" s="122">
        <f>J7-C7-(J7-C7)*0.2</f>
        <v/>
      </c>
      <c r="M7" s="123">
        <f>L7*I7</f>
        <v/>
      </c>
      <c r="N7" s="124" t="inlineStr">
        <is>
          <t xml:space="preserve">50-90 шт - </t>
        </is>
      </c>
      <c r="O7" s="47" t="inlineStr">
        <is>
          <t xml:space="preserve"> руб / шт с НДС</t>
        </is>
      </c>
      <c r="P7" s="125">
        <f>ROUND(K7,2)</f>
        <v/>
      </c>
      <c r="Q7" s="207">
        <f>CONCATENATE(N7,P7,O7,)</f>
        <v/>
      </c>
      <c r="R7" s="235">
        <f>INDIRECT("'Закуп'!k" &amp; A7)</f>
        <v/>
      </c>
      <c r="S7" s="239">
        <f>INDIRECT("'Закуп'!o" &amp; A7)</f>
        <v/>
      </c>
      <c r="T7" s="226">
        <f>INDIRECT("'Закуп'!p" &amp; A7)</f>
        <v/>
      </c>
      <c r="U7" s="235">
        <f>INDIRECT("'Закуп'!v" &amp; A7)</f>
        <v/>
      </c>
      <c r="V7" s="222">
        <f>INDIRECT("'Закуп'!w" &amp; A7)</f>
        <v/>
      </c>
      <c r="W7" s="229">
        <f>INDIRECT("'Закуп'!H" &amp; A7)</f>
        <v/>
      </c>
      <c r="X7" s="237">
        <f>INDIRECT("'Закуп'!g" &amp; A7)</f>
        <v/>
      </c>
      <c r="Y7" s="229">
        <f>INDIRECT("'Закуп'!i" &amp; A7)</f>
        <v/>
      </c>
      <c r="Z7" s="236">
        <f>INDIRECT("'Закуп'!x" &amp; A7)</f>
        <v/>
      </c>
      <c r="AA7" s="237">
        <f>INDIRECT("'Закуп'!y" &amp; A7)</f>
        <v/>
      </c>
      <c r="AB7" s="238">
        <f>INDIRECT("'Закуп'!z" &amp; A7)</f>
        <v/>
      </c>
      <c r="AC7" s="223">
        <f>SUBSTITUTE(INDEX(F:F, ROUNDUP((ROW(A6))/5,0)*5 - 3), "х", "x")</f>
        <v/>
      </c>
      <c r="AD7" s="222">
        <f>SUBSTITUTE(INDEX(F:F, ROUNDUP((ROW(A6))/5,0)*5 - 3), "х", "x") &amp; " - " &amp; SUBSTITUTE(SUBSTITUTE(INDEX(F:F, ROUNDUP((ROW(A6))/5,0)*5 - 3), "х", "*"), "x", "*") &amp; " мм"</f>
        <v/>
      </c>
      <c r="AE7" t="n">
        <v>1.77</v>
      </c>
    </row>
    <row r="8">
      <c r="B8" s="47" t="n">
        <v>3</v>
      </c>
      <c r="C8" s="118">
        <f>INDIRECT("'Закуп'!B" &amp; B8)</f>
        <v/>
      </c>
      <c r="D8" s="119">
        <f>C8*1.2</f>
        <v/>
      </c>
      <c r="G8" s="172">
        <f>IF(INDIRECT("'Закуп'!L" &amp; B8)="Sale","Sale","")</f>
        <v/>
      </c>
      <c r="H8" s="158">
        <f>IF(INDIRECT("'Закуп'!F" &amp; B8)=0,"",INDIRECT("'Закуп'!F" &amp; B8))</f>
        <v/>
      </c>
      <c r="I8" s="120" t="n">
        <v>100</v>
      </c>
      <c r="J8" s="121">
        <f>K8/1.2</f>
        <v/>
      </c>
      <c r="K8" s="242" t="n">
        <v>1.11</v>
      </c>
      <c r="L8" s="122">
        <f>J8-C8-(J8-C8)*0.2</f>
        <v/>
      </c>
      <c r="M8" s="123">
        <f>L8*I8</f>
        <v/>
      </c>
      <c r="N8" s="124" t="inlineStr">
        <is>
          <t xml:space="preserve">100-290 шт - </t>
        </is>
      </c>
      <c r="O8" s="47" t="inlineStr">
        <is>
          <t xml:space="preserve"> руб / шт с НДС</t>
        </is>
      </c>
      <c r="P8" s="125">
        <f>ROUND(K8,2)</f>
        <v/>
      </c>
      <c r="Q8" s="207">
        <f>CONCATENATE(N8,P8,O8,)</f>
        <v/>
      </c>
      <c r="R8" s="240" t="n"/>
      <c r="T8" s="241" t="n"/>
      <c r="U8" s="240" t="n"/>
      <c r="V8" s="241" t="n"/>
      <c r="Z8" s="240" t="n"/>
      <c r="AB8" s="241" t="n"/>
      <c r="AC8" s="240" t="n"/>
      <c r="AD8" s="241" t="n"/>
      <c r="AE8" t="n">
        <v>1.61</v>
      </c>
    </row>
    <row r="9">
      <c r="B9" s="47" t="n">
        <v>3</v>
      </c>
      <c r="C9" s="118">
        <f>INDIRECT("'Закуп'!A" &amp; B9)</f>
        <v/>
      </c>
      <c r="D9" s="119">
        <f>C9*1.2</f>
        <v/>
      </c>
      <c r="G9" s="172">
        <f>IF(INDIRECT("'Закуп'!L" &amp; B9)="Sale","Sale","")</f>
        <v/>
      </c>
      <c r="H9" s="158">
        <f>IF(INDIRECT("'Закуп'!F" &amp; B9)=0,"",INDIRECT("'Закуп'!F" &amp; B9))</f>
        <v/>
      </c>
      <c r="I9" s="120" t="n">
        <v>300</v>
      </c>
      <c r="J9" s="121">
        <f>K9/1.2</f>
        <v/>
      </c>
      <c r="K9" s="242" t="n">
        <v>1.05</v>
      </c>
      <c r="L9" s="122">
        <f>J9-C9-(J9-C9)*0.2</f>
        <v/>
      </c>
      <c r="M9" s="123">
        <f>L9*I9</f>
        <v/>
      </c>
      <c r="N9" s="124" t="inlineStr">
        <is>
          <t xml:space="preserve">300-490 шт - </t>
        </is>
      </c>
      <c r="O9" s="47" t="inlineStr">
        <is>
          <t xml:space="preserve"> руб / шт с НДС</t>
        </is>
      </c>
      <c r="P9" s="125">
        <f>ROUND(K9,2)</f>
        <v/>
      </c>
      <c r="Q9" s="207">
        <f>CONCATENATE(N9,P9,O9,)</f>
        <v/>
      </c>
      <c r="R9" s="240" t="n"/>
      <c r="T9" s="241" t="n"/>
      <c r="U9" s="240" t="n"/>
      <c r="V9" s="241" t="n"/>
      <c r="Z9" s="240" t="n"/>
      <c r="AB9" s="241" t="n"/>
      <c r="AC9" s="240" t="n"/>
      <c r="AD9" s="241" t="n"/>
      <c r="AE9" t="n">
        <v>1.47</v>
      </c>
    </row>
    <row r="10">
      <c r="B10" s="47" t="n">
        <v>3</v>
      </c>
      <c r="C10" s="118">
        <f>INDIRECT("'Закуп'!A" &amp; B10)</f>
        <v/>
      </c>
      <c r="D10" s="119">
        <f>C10*1.2</f>
        <v/>
      </c>
      <c r="G10" s="172">
        <f>IF(INDIRECT("'Закуп'!L" &amp; B10)="Sale","Sale","")</f>
        <v/>
      </c>
      <c r="H10" s="158">
        <f>IF(INDIRECT("'Закуп'!F" &amp; B10)=0,"",INDIRECT("'Закуп'!F" &amp; B10))</f>
        <v/>
      </c>
      <c r="I10" s="120" t="n">
        <v>500</v>
      </c>
      <c r="J10" s="121">
        <f>K10/1.2</f>
        <v/>
      </c>
      <c r="K10" s="242" t="n">
        <v>0.99</v>
      </c>
      <c r="L10" s="122">
        <f>J10-C10-(J10-C10)*0.2</f>
        <v/>
      </c>
      <c r="M10" s="123">
        <f>L10*I10</f>
        <v/>
      </c>
      <c r="N10" s="124" t="inlineStr">
        <is>
          <t xml:space="preserve">500-990 шт - </t>
        </is>
      </c>
      <c r="O10" s="47" t="inlineStr">
        <is>
          <t xml:space="preserve"> руб / шт с НДС</t>
        </is>
      </c>
      <c r="P10" s="125">
        <f>ROUND(K10,2)</f>
        <v/>
      </c>
      <c r="Q10" s="207">
        <f>CONCATENATE(N10,P10,O10,)</f>
        <v/>
      </c>
      <c r="R10" s="240" t="n"/>
      <c r="T10" s="241" t="n"/>
      <c r="U10" s="240" t="n"/>
      <c r="V10" s="241" t="n"/>
      <c r="Z10" s="240" t="n"/>
      <c r="AB10" s="241" t="n"/>
      <c r="AC10" s="240" t="n"/>
      <c r="AD10" s="241" t="n"/>
      <c r="AE10" t="n">
        <v>1.35</v>
      </c>
    </row>
    <row r="11">
      <c r="B11" s="47" t="n">
        <v>3</v>
      </c>
      <c r="C11" s="118">
        <f>INDIRECT("'Закуп'!A" &amp; B11)</f>
        <v/>
      </c>
      <c r="D11" s="119">
        <f>C11*1.2</f>
        <v/>
      </c>
      <c r="G11" s="172">
        <f>IF(INDIRECT("'Закуп'!L" &amp; B11)="Sale","Sale","")</f>
        <v/>
      </c>
      <c r="H11" s="158">
        <f>IF(INDIRECT("'Закуп'!F" &amp; B11)=0,"",INDIRECT("'Закуп'!F" &amp; B11))</f>
        <v/>
      </c>
      <c r="I11" s="120" t="n">
        <v>1000</v>
      </c>
      <c r="J11" s="121">
        <f>K11/1.2</f>
        <v/>
      </c>
      <c r="K11" s="242" t="n">
        <v>0.96</v>
      </c>
      <c r="L11" s="122">
        <f>J11-C11-(J11-C11)*0.2</f>
        <v/>
      </c>
      <c r="M11" s="123">
        <f>L11*I11</f>
        <v/>
      </c>
      <c r="N11" s="124" t="inlineStr">
        <is>
          <t xml:space="preserve">1000 + шт - </t>
        </is>
      </c>
      <c r="O11" s="47" t="inlineStr">
        <is>
          <t xml:space="preserve"> руб / шт с НДС</t>
        </is>
      </c>
      <c r="P11" s="125">
        <f>ROUND(K11,2)</f>
        <v/>
      </c>
      <c r="Q11" s="207">
        <f>CONCATENATE(N11,P11,O11,)</f>
        <v/>
      </c>
      <c r="R11" s="240" t="n"/>
      <c r="T11" s="241" t="n"/>
      <c r="U11" s="240" t="n"/>
      <c r="V11" s="241" t="n"/>
      <c r="Z11" s="240" t="n"/>
      <c r="AB11" s="241" t="n"/>
      <c r="AC11" s="240" t="n"/>
      <c r="AD11" s="241" t="n"/>
      <c r="AE11" t="n">
        <v>1.2</v>
      </c>
    </row>
    <row r="12">
      <c r="A12" s="232" t="n">
        <v>4</v>
      </c>
      <c r="B12" s="47" t="n">
        <v>4</v>
      </c>
      <c r="C12" s="118">
        <f>INDIRECT("'Закуп'!A" &amp; B12)</f>
        <v/>
      </c>
      <c r="D12" s="119">
        <f>C12*1.2</f>
        <v/>
      </c>
      <c r="E12" s="224">
        <f>INDIRECT("'Закуп'!D" &amp; A12)</f>
        <v/>
      </c>
      <c r="F12" s="231">
        <f>INDIRECT("'Закуп'!E" &amp; B12)</f>
        <v/>
      </c>
      <c r="G12" s="172">
        <f>IF(INDIRECT("'Закуп'!L" &amp; B12)="Sale","Sale","")</f>
        <v/>
      </c>
      <c r="H12" s="158">
        <f>IF(INDIRECT("'Закуп'!F" &amp; B12)=0,"",INDIRECT("'Закуп'!F" &amp; B12))</f>
        <v/>
      </c>
      <c r="I12" s="120" t="n">
        <v>50</v>
      </c>
      <c r="J12" s="121">
        <f>K12/1.2</f>
        <v/>
      </c>
      <c r="K12" s="242" t="n">
        <v>1.78</v>
      </c>
      <c r="L12" s="122">
        <f>J12-C12-(J12-C12)*0.2</f>
        <v/>
      </c>
      <c r="M12" s="123">
        <f>L12*I12</f>
        <v/>
      </c>
      <c r="N12" s="124" t="inlineStr">
        <is>
          <t xml:space="preserve">50-90 шт - </t>
        </is>
      </c>
      <c r="O12" s="47" t="inlineStr">
        <is>
          <t xml:space="preserve"> руб / шт с НДС</t>
        </is>
      </c>
      <c r="P12" s="125">
        <f>ROUND(K12,2)</f>
        <v/>
      </c>
      <c r="Q12" s="207">
        <f>CONCATENATE(N12,P12,O12,)</f>
        <v/>
      </c>
      <c r="R12" s="235">
        <f>INDIRECT("'Закуп'!k" &amp; A12)</f>
        <v/>
      </c>
      <c r="S12" s="239">
        <f>INDIRECT("'Закуп'!o" &amp; A12)</f>
        <v/>
      </c>
      <c r="T12" s="226">
        <f>INDIRECT("'Закуп'!p" &amp; A12)</f>
        <v/>
      </c>
      <c r="U12" s="235">
        <f>INDIRECT("'Закуп'!v" &amp; A12)</f>
        <v/>
      </c>
      <c r="V12" s="222">
        <f>INDIRECT("'Закуп'!w" &amp; A12)</f>
        <v/>
      </c>
      <c r="W12" s="229">
        <f>INDIRECT("'Закуп'!H" &amp; A12)</f>
        <v/>
      </c>
      <c r="X12" s="237">
        <f>INDIRECT("'Закуп'!g" &amp; A12)</f>
        <v/>
      </c>
      <c r="Y12" s="229">
        <f>INDIRECT("'Закуп'!i" &amp; A12)</f>
        <v/>
      </c>
      <c r="Z12" s="236">
        <f>INDIRECT("'Закуп'!x" &amp; A12)</f>
        <v/>
      </c>
      <c r="AA12" s="237">
        <f>INDIRECT("'Закуп'!y" &amp; A12)</f>
        <v/>
      </c>
      <c r="AB12" s="238">
        <f>INDIRECT("'Закуп'!z" &amp; A12)</f>
        <v/>
      </c>
      <c r="AC12" s="223">
        <f>SUBSTITUTE(INDEX(F:F, ROUNDUP((ROW(A11))/5,0)*5 - 3), "х", "x")</f>
        <v/>
      </c>
      <c r="AD12" s="222">
        <f>SUBSTITUTE(INDEX(F:F, ROUNDUP((ROW(A11))/5,0)*5 - 3), "х", "x") &amp; " - " &amp; SUBSTITUTE(SUBSTITUTE(INDEX(F:F, ROUNDUP((ROW(A11))/5,0)*5 - 3), "х", "*"), "x", "*") &amp; " мм"</f>
        <v/>
      </c>
      <c r="AE12" t="n">
        <v>1.44</v>
      </c>
    </row>
    <row r="13">
      <c r="B13" s="47" t="n">
        <v>4</v>
      </c>
      <c r="C13" s="118">
        <f>INDIRECT("'Закуп'!A" &amp; B13)</f>
        <v/>
      </c>
      <c r="D13" s="119">
        <f>C13*1.2</f>
        <v/>
      </c>
      <c r="G13" s="172">
        <f>IF(INDIRECT("'Закуп'!L" &amp; B13)="Sale","Sale","")</f>
        <v/>
      </c>
      <c r="H13" s="158">
        <f>IF(INDIRECT("'Закуп'!F" &amp; B13)=0,"",INDIRECT("'Закуп'!F" &amp; B13))</f>
        <v/>
      </c>
      <c r="I13" s="120" t="n">
        <v>100</v>
      </c>
      <c r="J13" s="121">
        <f>K13/1.2</f>
        <v/>
      </c>
      <c r="K13" s="242" t="n">
        <v>1.57</v>
      </c>
      <c r="L13" s="122">
        <f>J13-C13-(J13-C13)*0.2</f>
        <v/>
      </c>
      <c r="M13" s="123">
        <f>L13*I13</f>
        <v/>
      </c>
      <c r="N13" s="124" t="inlineStr">
        <is>
          <t xml:space="preserve">100-290 шт - </t>
        </is>
      </c>
      <c r="O13" s="47" t="inlineStr">
        <is>
          <t xml:space="preserve"> руб / шт с НДС</t>
        </is>
      </c>
      <c r="P13" s="125">
        <f>ROUND(K13,2)</f>
        <v/>
      </c>
      <c r="Q13" s="207">
        <f>CONCATENATE(N13,P13,O13,)</f>
        <v/>
      </c>
      <c r="R13" s="240" t="n"/>
      <c r="T13" s="241" t="n"/>
      <c r="U13" s="240" t="n"/>
      <c r="V13" s="241" t="n"/>
      <c r="Z13" s="240" t="n"/>
      <c r="AB13" s="241" t="n"/>
      <c r="AC13" s="240" t="n"/>
      <c r="AD13" s="241" t="n"/>
      <c r="AE13" t="n">
        <v>1.31</v>
      </c>
    </row>
    <row r="14">
      <c r="B14" s="47" t="n">
        <v>4</v>
      </c>
      <c r="C14" s="118">
        <f>INDIRECT("'Закуп'!A" &amp; B14)</f>
        <v/>
      </c>
      <c r="D14" s="119">
        <f>C14*1.2</f>
        <v/>
      </c>
      <c r="G14" s="172">
        <f>IF(INDIRECT("'Закуп'!L" &amp; B14)="Sale","Sale","")</f>
        <v/>
      </c>
      <c r="H14" s="158">
        <f>IF(INDIRECT("'Закуп'!F" &amp; B14)=0,"",INDIRECT("'Закуп'!F" &amp; B14))</f>
        <v/>
      </c>
      <c r="I14" s="120" t="n">
        <v>300</v>
      </c>
      <c r="J14" s="121">
        <f>K14/1.2</f>
        <v/>
      </c>
      <c r="K14" s="242" t="n">
        <v>1.36</v>
      </c>
      <c r="L14" s="122">
        <f>J14-C14-(J14-C14)*0.2</f>
        <v/>
      </c>
      <c r="M14" s="123">
        <f>L14*I14</f>
        <v/>
      </c>
      <c r="N14" s="124" t="inlineStr">
        <is>
          <t xml:space="preserve">300-490 шт - </t>
        </is>
      </c>
      <c r="O14" s="47" t="inlineStr">
        <is>
          <t xml:space="preserve"> руб / шт с НДС</t>
        </is>
      </c>
      <c r="P14" s="125">
        <f>ROUND(K14,2)</f>
        <v/>
      </c>
      <c r="Q14" s="207">
        <f>CONCATENATE(N14,P14,O14,)</f>
        <v/>
      </c>
      <c r="R14" s="240" t="n"/>
      <c r="T14" s="241" t="n"/>
      <c r="U14" s="240" t="n"/>
      <c r="V14" s="241" t="n"/>
      <c r="Z14" s="240" t="n"/>
      <c r="AB14" s="241" t="n"/>
      <c r="AC14" s="240" t="n"/>
      <c r="AD14" s="241" t="n"/>
      <c r="AE14" t="n">
        <v>1.04</v>
      </c>
    </row>
    <row r="15">
      <c r="B15" s="47" t="n">
        <v>4</v>
      </c>
      <c r="C15" s="118">
        <f>INDIRECT("'Закуп'!A" &amp; B15)</f>
        <v/>
      </c>
      <c r="D15" s="119">
        <f>C15*1.2</f>
        <v/>
      </c>
      <c r="G15" s="172">
        <f>IF(INDIRECT("'Закуп'!L" &amp; B15)="Sale","Sale","")</f>
        <v/>
      </c>
      <c r="H15" s="158">
        <f>IF(INDIRECT("'Закуп'!F" &amp; B15)=0,"",INDIRECT("'Закуп'!F" &amp; B15))</f>
        <v/>
      </c>
      <c r="I15" s="120" t="n">
        <v>500</v>
      </c>
      <c r="J15" s="121">
        <f>K15/1.2</f>
        <v/>
      </c>
      <c r="K15" s="242" t="n">
        <v>1.26</v>
      </c>
      <c r="L15" s="122">
        <f>J15-C15-(J15-C15)*0.2</f>
        <v/>
      </c>
      <c r="M15" s="123">
        <f>L15*I15</f>
        <v/>
      </c>
      <c r="N15" s="124" t="inlineStr">
        <is>
          <t xml:space="preserve">500-990 шт - </t>
        </is>
      </c>
      <c r="O15" s="47" t="inlineStr">
        <is>
          <t xml:space="preserve"> руб / шт с НДС</t>
        </is>
      </c>
      <c r="P15" s="125">
        <f>ROUND(K15,2)</f>
        <v/>
      </c>
      <c r="Q15" s="207">
        <f>CONCATENATE(N15,P15,O15,)</f>
        <v/>
      </c>
      <c r="R15" s="240" t="n"/>
      <c r="T15" s="241" t="n"/>
      <c r="U15" s="240" t="n"/>
      <c r="V15" s="241" t="n"/>
      <c r="Z15" s="240" t="n"/>
      <c r="AB15" s="241" t="n"/>
      <c r="AC15" s="240" t="n"/>
      <c r="AD15" s="241" t="n"/>
      <c r="AE15" t="n">
        <v>0.97</v>
      </c>
    </row>
    <row r="16">
      <c r="B16" s="47" t="n">
        <v>4</v>
      </c>
      <c r="C16" s="118">
        <f>INDIRECT("'Закуп'!A" &amp; B16)</f>
        <v/>
      </c>
      <c r="D16" s="119">
        <f>C16*1.2</f>
        <v/>
      </c>
      <c r="G16" s="172">
        <f>IF(INDIRECT("'Закуп'!L" &amp; B16)="Sale","Sale","")</f>
        <v/>
      </c>
      <c r="H16" s="158">
        <f>IF(INDIRECT("'Закуп'!F" &amp; B16)=0,"",INDIRECT("'Закуп'!F" &amp; B16))</f>
        <v/>
      </c>
      <c r="I16" s="120" t="n">
        <v>1000</v>
      </c>
      <c r="J16" s="121">
        <f>K16/1.2</f>
        <v/>
      </c>
      <c r="K16" s="242" t="n">
        <v>1.05</v>
      </c>
      <c r="L16" s="122">
        <f>J16-C16-(J16-C16)*0.2</f>
        <v/>
      </c>
      <c r="M16" s="123">
        <f>L16*I16</f>
        <v/>
      </c>
      <c r="N16" s="124" t="inlineStr">
        <is>
          <t xml:space="preserve">1000 + шт - </t>
        </is>
      </c>
      <c r="O16" s="47" t="inlineStr">
        <is>
          <t xml:space="preserve"> руб / шт с НДС</t>
        </is>
      </c>
      <c r="P16" s="125">
        <f>ROUND(K16,2)</f>
        <v/>
      </c>
      <c r="Q16" s="207">
        <f>CONCATENATE(N16,P16,O16,)</f>
        <v/>
      </c>
      <c r="R16" s="240" t="n"/>
      <c r="T16" s="241" t="n"/>
      <c r="U16" s="240" t="n"/>
      <c r="V16" s="241" t="n"/>
      <c r="Z16" s="240" t="n"/>
      <c r="AB16" s="241" t="n"/>
      <c r="AC16" s="240" t="n"/>
      <c r="AD16" s="241" t="n"/>
      <c r="AE16" t="n">
        <v>0.92</v>
      </c>
    </row>
    <row r="17">
      <c r="A17" s="232" t="n">
        <v>5</v>
      </c>
      <c r="B17" s="47" t="n">
        <v>5</v>
      </c>
      <c r="C17" s="118">
        <f>INDIRECT("'Закуп'!A" &amp; B17)</f>
        <v/>
      </c>
      <c r="D17" s="119">
        <f>C17*1.2</f>
        <v/>
      </c>
      <c r="E17" s="224">
        <f>INDIRECT("'Закуп'!D" &amp; A17)</f>
        <v/>
      </c>
      <c r="F17" s="231">
        <f>INDIRECT("'Закуп'!E" &amp; B17)</f>
        <v/>
      </c>
      <c r="G17" s="172">
        <f>IF(INDIRECT("'Закуп'!L" &amp; B17)="Sale","Sale","")</f>
        <v/>
      </c>
      <c r="H17" s="158">
        <f>IF(INDIRECT("'Закуп'!F" &amp; B17)=0,"",INDIRECT("'Закуп'!F" &amp; B17))</f>
        <v/>
      </c>
      <c r="I17" s="120" t="n">
        <v>50</v>
      </c>
      <c r="J17" s="121">
        <f>K17/1.2</f>
        <v/>
      </c>
      <c r="K17" s="242" t="n">
        <v>4.04</v>
      </c>
      <c r="L17" s="122">
        <f>J17-C17-(J17-C17)*0.2</f>
        <v/>
      </c>
      <c r="M17" s="123">
        <f>L17*I17</f>
        <v/>
      </c>
      <c r="N17" s="124" t="inlineStr">
        <is>
          <t xml:space="preserve">50-90 шт - </t>
        </is>
      </c>
      <c r="O17" s="47" t="inlineStr">
        <is>
          <t xml:space="preserve"> руб / шт с НДС</t>
        </is>
      </c>
      <c r="P17" s="125">
        <f>ROUND(K17,2)</f>
        <v/>
      </c>
      <c r="Q17" s="207">
        <f>CONCATENATE(N17,P17,O17,)</f>
        <v/>
      </c>
      <c r="R17" s="235">
        <f>INDIRECT("'Закуп'!k" &amp; A17)</f>
        <v/>
      </c>
      <c r="S17" s="239">
        <f>INDIRECT("'Закуп'!o" &amp; A17)</f>
        <v/>
      </c>
      <c r="T17" s="226">
        <f>INDIRECT("'Закуп'!p" &amp; A17)</f>
        <v/>
      </c>
      <c r="U17" s="235">
        <f>INDIRECT("'Закуп'!v" &amp; A17)</f>
        <v/>
      </c>
      <c r="V17" s="222">
        <f>INDIRECT("'Закуп'!w" &amp; A17)</f>
        <v/>
      </c>
      <c r="W17" s="229">
        <f>INDIRECT("'Закуп'!H" &amp; A17)</f>
        <v/>
      </c>
      <c r="X17" s="237">
        <f>INDIRECT("'Закуп'!g" &amp; A17)</f>
        <v/>
      </c>
      <c r="Y17" s="229">
        <f>INDIRECT("'Закуп'!i" &amp; A17)</f>
        <v/>
      </c>
      <c r="Z17" s="236">
        <f>INDIRECT("'Закуп'!x" &amp; A17)</f>
        <v/>
      </c>
      <c r="AA17" s="237">
        <f>INDIRECT("'Закуп'!y" &amp; A17)</f>
        <v/>
      </c>
      <c r="AB17" s="238">
        <f>INDIRECT("'Закуп'!z" &amp; A17)</f>
        <v/>
      </c>
      <c r="AC17" s="223">
        <f>SUBSTITUTE(INDEX(F:F, ROUNDUP((ROW(A16))/5,0)*5 - 3), "х", "x")</f>
        <v/>
      </c>
      <c r="AD17" s="222">
        <f>SUBSTITUTE(INDEX(F:F, ROUNDUP((ROW(A16))/5,0)*5 - 3), "х", "x") &amp; " - " &amp; SUBSTITUTE(SUBSTITUTE(INDEX(F:F, ROUNDUP((ROW(A16))/5,0)*5 - 3), "х", "*"), "x", "*") &amp; " мм"</f>
        <v/>
      </c>
      <c r="AE17" t="n">
        <v>5.09</v>
      </c>
    </row>
    <row r="18">
      <c r="B18" s="47" t="n">
        <v>5</v>
      </c>
      <c r="C18" s="118">
        <f>INDIRECT("'Закуп'!A" &amp; B18)</f>
        <v/>
      </c>
      <c r="D18" s="119">
        <f>C18*1.2</f>
        <v/>
      </c>
      <c r="G18" s="172">
        <f>IF(INDIRECT("'Закуп'!L" &amp; B18)="Sale","Sale","")</f>
        <v/>
      </c>
      <c r="H18" s="158">
        <f>IF(INDIRECT("'Закуп'!F" &amp; B18)=0,"",INDIRECT("'Закуп'!F" &amp; B18))</f>
        <v/>
      </c>
      <c r="I18" s="120" t="n">
        <v>100</v>
      </c>
      <c r="J18" s="121">
        <f>K18/1.2</f>
        <v/>
      </c>
      <c r="K18" s="242" t="n">
        <v>3.49</v>
      </c>
      <c r="L18" s="122">
        <f>J18-C18-(J18-C18)*0.2</f>
        <v/>
      </c>
      <c r="M18" s="123">
        <f>L18*I18</f>
        <v/>
      </c>
      <c r="N18" s="124" t="inlineStr">
        <is>
          <t xml:space="preserve">100-290 шт - </t>
        </is>
      </c>
      <c r="O18" s="47" t="inlineStr">
        <is>
          <t xml:space="preserve"> руб / шт с НДС</t>
        </is>
      </c>
      <c r="P18" s="125">
        <f>ROUND(K18,2)</f>
        <v/>
      </c>
      <c r="Q18" s="207">
        <f>CONCATENATE(N18,P18,O18,)</f>
        <v/>
      </c>
      <c r="R18" s="240" t="n"/>
      <c r="T18" s="241" t="n"/>
      <c r="U18" s="240" t="n"/>
      <c r="V18" s="241" t="n"/>
      <c r="Z18" s="240" t="n"/>
      <c r="AB18" s="241" t="n"/>
      <c r="AC18" s="240" t="n"/>
      <c r="AD18" s="241" t="n"/>
      <c r="AE18" t="n">
        <v>4.71</v>
      </c>
    </row>
    <row r="19">
      <c r="B19" s="47" t="n">
        <v>5</v>
      </c>
      <c r="C19" s="118">
        <f>INDIRECT("'Закуп'!A" &amp; B19)</f>
        <v/>
      </c>
      <c r="D19" s="119">
        <f>C19*1.2</f>
        <v/>
      </c>
      <c r="G19" s="172">
        <f>IF(INDIRECT("'Закуп'!L" &amp; B19)="Sale","Sale","")</f>
        <v/>
      </c>
      <c r="H19" s="158">
        <f>IF(INDIRECT("'Закуп'!F" &amp; B19)=0,"",INDIRECT("'Закуп'!F" &amp; B19))</f>
        <v/>
      </c>
      <c r="I19" s="120" t="n">
        <v>300</v>
      </c>
      <c r="J19" s="121">
        <f>K19/1.2</f>
        <v/>
      </c>
      <c r="K19" s="242" t="n">
        <v>2.92</v>
      </c>
      <c r="L19" s="122">
        <f>J19-C19-(J19-C19)*0.2</f>
        <v/>
      </c>
      <c r="M19" s="123">
        <f>L19*I19</f>
        <v/>
      </c>
      <c r="N19" s="124" t="inlineStr">
        <is>
          <t xml:space="preserve">300-490 шт - </t>
        </is>
      </c>
      <c r="O19" s="47" t="inlineStr">
        <is>
          <t xml:space="preserve"> руб / шт с НДС</t>
        </is>
      </c>
      <c r="P19" s="125">
        <f>ROUND(K19,2)</f>
        <v/>
      </c>
      <c r="Q19" s="207">
        <f>CONCATENATE(N19,P19,O19,)</f>
        <v/>
      </c>
      <c r="R19" s="240" t="n"/>
      <c r="T19" s="241" t="n"/>
      <c r="U19" s="240" t="n"/>
      <c r="V19" s="241" t="n"/>
      <c r="Z19" s="240" t="n"/>
      <c r="AB19" s="241" t="n"/>
      <c r="AC19" s="240" t="n"/>
      <c r="AD19" s="241" t="n"/>
      <c r="AE19" t="n">
        <v>4.01</v>
      </c>
    </row>
    <row r="20">
      <c r="B20" s="47" t="n">
        <v>5</v>
      </c>
      <c r="C20" s="118">
        <f>INDIRECT("'Закуп'!A" &amp; B20)</f>
        <v/>
      </c>
      <c r="D20" s="119">
        <f>C20*1.2</f>
        <v/>
      </c>
      <c r="G20" s="172">
        <f>IF(INDIRECT("'Закуп'!L" &amp; B20)="Sale","Sale","")</f>
        <v/>
      </c>
      <c r="H20" s="158">
        <f>IF(INDIRECT("'Закуп'!F" &amp; B20)=0,"",INDIRECT("'Закуп'!F" &amp; B20))</f>
        <v/>
      </c>
      <c r="I20" s="120" t="n">
        <v>500</v>
      </c>
      <c r="J20" s="121">
        <f>K20/1.2</f>
        <v/>
      </c>
      <c r="K20" s="242" t="n">
        <v>2.77</v>
      </c>
      <c r="L20" s="122">
        <f>J20-C20-(J20-C20)*0.2</f>
        <v/>
      </c>
      <c r="M20" s="123">
        <f>L20*I20</f>
        <v/>
      </c>
      <c r="N20" s="124" t="inlineStr">
        <is>
          <t xml:space="preserve">500-990 шт - </t>
        </is>
      </c>
      <c r="O20" s="47" t="inlineStr">
        <is>
          <t xml:space="preserve"> руб / шт с НДС</t>
        </is>
      </c>
      <c r="P20" s="125">
        <f>ROUND(K20,2)</f>
        <v/>
      </c>
      <c r="Q20" s="207">
        <f>CONCATENATE(N20,P20,O20,)</f>
        <v/>
      </c>
      <c r="R20" s="240" t="n"/>
      <c r="T20" s="241" t="n"/>
      <c r="U20" s="240" t="n"/>
      <c r="V20" s="241" t="n"/>
      <c r="Z20" s="240" t="n"/>
      <c r="AB20" s="241" t="n"/>
      <c r="AC20" s="240" t="n"/>
      <c r="AD20" s="241" t="n"/>
      <c r="AE20" t="n">
        <v>3.88</v>
      </c>
    </row>
    <row r="21">
      <c r="B21" s="47" t="n">
        <v>5</v>
      </c>
      <c r="C21" s="118">
        <f>INDIRECT("'Закуп'!A" &amp; B21)</f>
        <v/>
      </c>
      <c r="D21" s="119">
        <f>C21*1.2</f>
        <v/>
      </c>
      <c r="G21" s="172">
        <f>IF(INDIRECT("'Закуп'!L" &amp; B21)="Sale","Sale","")</f>
        <v/>
      </c>
      <c r="H21" s="158">
        <f>IF(INDIRECT("'Закуп'!F" &amp; B21)=0,"",INDIRECT("'Закуп'!F" &amp; B21))</f>
        <v/>
      </c>
      <c r="I21" s="120" t="n">
        <v>1000</v>
      </c>
      <c r="J21" s="121">
        <f>K21/1.2</f>
        <v/>
      </c>
      <c r="K21" s="242" t="n">
        <v>2.68</v>
      </c>
      <c r="L21" s="122">
        <f>J21-C21-(J21-C21)*0.2</f>
        <v/>
      </c>
      <c r="M21" s="123">
        <f>L21*I21</f>
        <v/>
      </c>
      <c r="N21" s="124" t="inlineStr">
        <is>
          <t xml:space="preserve">1000 + шт - </t>
        </is>
      </c>
      <c r="O21" s="47" t="inlineStr">
        <is>
          <t xml:space="preserve"> руб / шт с НДС</t>
        </is>
      </c>
      <c r="P21" s="125">
        <f>ROUND(K21,2)</f>
        <v/>
      </c>
      <c r="Q21" s="207">
        <f>CONCATENATE(N21,P21,O21,)</f>
        <v/>
      </c>
      <c r="R21" s="240" t="n"/>
      <c r="T21" s="241" t="n"/>
      <c r="U21" s="240" t="n"/>
      <c r="V21" s="241" t="n"/>
      <c r="Z21" s="240" t="n"/>
      <c r="AB21" s="241" t="n"/>
      <c r="AC21" s="240" t="n"/>
      <c r="AD21" s="241" t="n"/>
      <c r="AE21" t="n">
        <v>3.82</v>
      </c>
    </row>
    <row r="22">
      <c r="A22" s="232" t="n">
        <v>6</v>
      </c>
      <c r="B22" s="47" t="n">
        <v>6</v>
      </c>
      <c r="C22" s="118">
        <f>INDIRECT("'Закуп'!A" &amp; B22)</f>
        <v/>
      </c>
      <c r="D22" s="119">
        <f>C22*1.2</f>
        <v/>
      </c>
      <c r="E22" s="224">
        <f>INDIRECT("'Закуп'!D" &amp; A22)</f>
        <v/>
      </c>
      <c r="F22" s="231">
        <f>INDIRECT("'Закуп'!E" &amp; B22)</f>
        <v/>
      </c>
      <c r="G22" s="172">
        <f>IF(INDIRECT("'Закуп'!L" &amp; B22)="Sale","Sale","")</f>
        <v/>
      </c>
      <c r="H22" s="158">
        <f>IF(INDIRECT("'Закуп'!F" &amp; B22)=0,"",INDIRECT("'Закуп'!F" &amp; B22))</f>
        <v/>
      </c>
      <c r="I22" s="120" t="n">
        <v>50</v>
      </c>
      <c r="J22" s="121">
        <f>K22/1.2</f>
        <v/>
      </c>
      <c r="K22" s="242" t="n">
        <v>3.67</v>
      </c>
      <c r="L22" s="122">
        <f>J22-C22-(J22-C22)*0.2</f>
        <v/>
      </c>
      <c r="M22" s="123">
        <f>L22*I22</f>
        <v/>
      </c>
      <c r="N22" s="124" t="inlineStr">
        <is>
          <t xml:space="preserve">50-90 шт - </t>
        </is>
      </c>
      <c r="O22" s="47" t="inlineStr">
        <is>
          <t xml:space="preserve"> руб / шт с НДС</t>
        </is>
      </c>
      <c r="P22" s="125">
        <f>ROUND(K22,2)</f>
        <v/>
      </c>
      <c r="Q22" s="207">
        <f>CONCATENATE(N22,P22,O22,)</f>
        <v/>
      </c>
      <c r="R22" s="235">
        <f>INDIRECT("'Закуп'!k" &amp; A22)</f>
        <v/>
      </c>
      <c r="S22" s="239">
        <f>INDIRECT("'Закуп'!o" &amp; A22)</f>
        <v/>
      </c>
      <c r="T22" s="226">
        <f>INDIRECT("'Закуп'!p" &amp; A22)</f>
        <v/>
      </c>
      <c r="U22" s="235">
        <f>INDIRECT("'Закуп'!v" &amp; A22)</f>
        <v/>
      </c>
      <c r="V22" s="222">
        <f>INDIRECT("'Закуп'!w" &amp; A22)</f>
        <v/>
      </c>
      <c r="W22" s="229">
        <f>INDIRECT("'Закуп'!H" &amp; A22)</f>
        <v/>
      </c>
      <c r="X22" s="237">
        <f>INDIRECT("'Закуп'!g" &amp; A22)</f>
        <v/>
      </c>
      <c r="Y22" s="229">
        <f>INDIRECT("'Закуп'!i" &amp; A22)</f>
        <v/>
      </c>
      <c r="Z22" s="236">
        <f>INDIRECT("'Закуп'!x" &amp; A22)</f>
        <v/>
      </c>
      <c r="AA22" s="237">
        <f>INDIRECT("'Закуп'!y" &amp; A22)</f>
        <v/>
      </c>
      <c r="AB22" s="238">
        <f>INDIRECT("'Закуп'!z" &amp; A22)</f>
        <v/>
      </c>
      <c r="AC22" s="223">
        <f>SUBSTITUTE(INDEX(F:F, ROUNDUP((ROW(A21))/5,0)*5 - 3), "х", "x")</f>
        <v/>
      </c>
      <c r="AD22" s="222">
        <f>SUBSTITUTE(INDEX(F:F, ROUNDUP((ROW(A21))/5,0)*5 - 3), "х", "x") &amp; " - " &amp; SUBSTITUTE(SUBSTITUTE(INDEX(F:F, ROUNDUP((ROW(A21))/5,0)*5 - 3), "х", "*"), "x", "*") &amp; " мм"</f>
        <v/>
      </c>
      <c r="AE22" t="n">
        <v>4.52</v>
      </c>
    </row>
    <row r="23">
      <c r="B23" s="47" t="n">
        <v>6</v>
      </c>
      <c r="C23" s="118">
        <f>INDIRECT("'Закуп'!A" &amp; B23)</f>
        <v/>
      </c>
      <c r="D23" s="119">
        <f>C23*1.2</f>
        <v/>
      </c>
      <c r="G23" s="172">
        <f>IF(INDIRECT("'Закуп'!L" &amp; B23)="Sale","Sale","")</f>
        <v/>
      </c>
      <c r="H23" s="158">
        <f>IF(INDIRECT("'Закуп'!F" &amp; B23)=0,"",INDIRECT("'Закуп'!F" &amp; B23))</f>
        <v/>
      </c>
      <c r="I23" s="120" t="n">
        <v>100</v>
      </c>
      <c r="J23" s="121">
        <f>K23/1.2</f>
        <v/>
      </c>
      <c r="K23" s="242" t="n">
        <v>3.17</v>
      </c>
      <c r="L23" s="122">
        <f>J23-C23-(J23-C23)*0.2</f>
        <v/>
      </c>
      <c r="M23" s="123">
        <f>L23*I23</f>
        <v/>
      </c>
      <c r="N23" s="124" t="inlineStr">
        <is>
          <t xml:space="preserve">100-290 шт - </t>
        </is>
      </c>
      <c r="O23" s="47" t="inlineStr">
        <is>
          <t xml:space="preserve"> руб / шт с НДС</t>
        </is>
      </c>
      <c r="P23" s="125">
        <f>ROUND(K23,2)</f>
        <v/>
      </c>
      <c r="Q23" s="207">
        <f>CONCATENATE(N23,P23,O23,)</f>
        <v/>
      </c>
      <c r="R23" s="240" t="n"/>
      <c r="T23" s="241" t="n"/>
      <c r="U23" s="240" t="n"/>
      <c r="V23" s="241" t="n"/>
      <c r="Z23" s="240" t="n"/>
      <c r="AB23" s="241" t="n"/>
      <c r="AC23" s="240" t="n"/>
      <c r="AD23" s="241" t="n"/>
      <c r="AE23" t="n">
        <v>4.41</v>
      </c>
    </row>
    <row r="24">
      <c r="B24" s="47" t="n">
        <v>6</v>
      </c>
      <c r="C24" s="118">
        <f>INDIRECT("'Закуп'!A" &amp; B24)</f>
        <v/>
      </c>
      <c r="D24" s="119">
        <f>C24*1.2</f>
        <v/>
      </c>
      <c r="G24" s="172">
        <f>IF(INDIRECT("'Закуп'!L" &amp; B24)="Sale","Sale","")</f>
        <v/>
      </c>
      <c r="H24" s="158">
        <f>IF(INDIRECT("'Закуп'!F" &amp; B24)=0,"",INDIRECT("'Закуп'!F" &amp; B24))</f>
        <v/>
      </c>
      <c r="I24" s="120" t="n">
        <v>300</v>
      </c>
      <c r="J24" s="121">
        <f>K24/1.2</f>
        <v/>
      </c>
      <c r="K24" s="242" t="n">
        <v>2.65</v>
      </c>
      <c r="L24" s="122">
        <f>J24-C24-(J24-C24)*0.2</f>
        <v/>
      </c>
      <c r="M24" s="123">
        <f>L24*I24</f>
        <v/>
      </c>
      <c r="N24" s="124" t="inlineStr">
        <is>
          <t xml:space="preserve">300-490 шт - </t>
        </is>
      </c>
      <c r="O24" s="47" t="inlineStr">
        <is>
          <t xml:space="preserve"> руб / шт с НДС</t>
        </is>
      </c>
      <c r="P24" s="125">
        <f>ROUND(K24,2)</f>
        <v/>
      </c>
      <c r="Q24" s="207">
        <f>CONCATENATE(N24,P24,O24,)</f>
        <v/>
      </c>
      <c r="R24" s="240" t="n"/>
      <c r="T24" s="241" t="n"/>
      <c r="U24" s="240" t="n"/>
      <c r="V24" s="241" t="n"/>
      <c r="Z24" s="240" t="n"/>
      <c r="AB24" s="241" t="n"/>
      <c r="AC24" s="240" t="n"/>
      <c r="AD24" s="241" t="n"/>
      <c r="AE24" t="n">
        <v>3.62</v>
      </c>
    </row>
    <row r="25">
      <c r="B25" s="47" t="n">
        <v>6</v>
      </c>
      <c r="C25" s="118">
        <f>INDIRECT("'Закуп'!A" &amp; B25)</f>
        <v/>
      </c>
      <c r="D25" s="119">
        <f>C25*1.2</f>
        <v/>
      </c>
      <c r="G25" s="172">
        <f>IF(INDIRECT("'Закуп'!L" &amp; B25)="Sale","Sale","")</f>
        <v/>
      </c>
      <c r="H25" s="158">
        <f>IF(INDIRECT("'Закуп'!F" &amp; B25)=0,"",INDIRECT("'Закуп'!F" &amp; B25))</f>
        <v/>
      </c>
      <c r="I25" s="120" t="n">
        <v>500</v>
      </c>
      <c r="J25" s="121">
        <f>K25/1.2</f>
        <v/>
      </c>
      <c r="K25" s="242" t="n">
        <v>2.51</v>
      </c>
      <c r="L25" s="122">
        <f>J25-C25-(J25-C25)*0.2</f>
        <v/>
      </c>
      <c r="M25" s="123">
        <f>L25*I25</f>
        <v/>
      </c>
      <c r="N25" s="124" t="inlineStr">
        <is>
          <t xml:space="preserve">500-990 шт - </t>
        </is>
      </c>
      <c r="O25" s="47" t="inlineStr">
        <is>
          <t xml:space="preserve"> руб / шт с НДС</t>
        </is>
      </c>
      <c r="P25" s="125">
        <f>ROUND(K25,2)</f>
        <v/>
      </c>
      <c r="Q25" s="207">
        <f>CONCATENATE(N25,P25,O25,)</f>
        <v/>
      </c>
      <c r="R25" s="240" t="n"/>
      <c r="T25" s="241" t="n"/>
      <c r="U25" s="240" t="n"/>
      <c r="V25" s="241" t="n"/>
      <c r="Z25" s="240" t="n"/>
      <c r="AB25" s="241" t="n"/>
      <c r="AC25" s="240" t="n"/>
      <c r="AD25" s="241" t="n"/>
      <c r="AE25" t="n">
        <v>3.56</v>
      </c>
    </row>
    <row r="26">
      <c r="B26" s="47" t="n">
        <v>6</v>
      </c>
      <c r="C26" s="118">
        <f>INDIRECT("'Закуп'!A" &amp; B26)</f>
        <v/>
      </c>
      <c r="D26" s="119">
        <f>C26*1.2</f>
        <v/>
      </c>
      <c r="G26" s="172">
        <f>IF(INDIRECT("'Закуп'!L" &amp; B26)="Sale","Sale","")</f>
        <v/>
      </c>
      <c r="H26" s="158">
        <f>IF(INDIRECT("'Закуп'!F" &amp; B26)=0,"",INDIRECT("'Закуп'!F" &amp; B26))</f>
        <v/>
      </c>
      <c r="I26" s="120" t="n">
        <v>1000</v>
      </c>
      <c r="J26" s="121">
        <f>K26/1.2</f>
        <v/>
      </c>
      <c r="K26" s="242" t="n">
        <v>2.43</v>
      </c>
      <c r="L26" s="122">
        <f>J26-C26-(J26-C26)*0.2</f>
        <v/>
      </c>
      <c r="M26" s="123">
        <f>L26*I26</f>
        <v/>
      </c>
      <c r="N26" s="124" t="inlineStr">
        <is>
          <t xml:space="preserve">1000 + шт - </t>
        </is>
      </c>
      <c r="O26" s="47" t="inlineStr">
        <is>
          <t xml:space="preserve"> руб / шт с НДС</t>
        </is>
      </c>
      <c r="P26" s="125">
        <f>ROUND(K26,2)</f>
        <v/>
      </c>
      <c r="Q26" s="207">
        <f>CONCATENATE(N26,P26,O26,)</f>
        <v/>
      </c>
      <c r="R26" s="240" t="n"/>
      <c r="T26" s="241" t="n"/>
      <c r="U26" s="240" t="n"/>
      <c r="V26" s="241" t="n"/>
      <c r="Z26" s="240" t="n"/>
      <c r="AB26" s="241" t="n"/>
      <c r="AC26" s="240" t="n"/>
      <c r="AD26" s="241" t="n"/>
      <c r="AE26" t="n">
        <v>3.45</v>
      </c>
    </row>
    <row r="27">
      <c r="A27" s="232" t="n">
        <v>7</v>
      </c>
      <c r="B27" s="47" t="n">
        <v>7</v>
      </c>
      <c r="C27" s="118">
        <f>INDIRECT("'Закуп'!A" &amp; B27)</f>
        <v/>
      </c>
      <c r="D27" s="119">
        <f>C27*1.2</f>
        <v/>
      </c>
      <c r="E27" s="224">
        <f>INDIRECT("'Закуп'!D" &amp; A27)</f>
        <v/>
      </c>
      <c r="F27" s="231">
        <f>INDIRECT("'Закуп'!E" &amp; B27)</f>
        <v/>
      </c>
      <c r="G27" s="172">
        <f>IF(INDIRECT("'Закуп'!L" &amp; B27)="Sale","Sale","")</f>
        <v/>
      </c>
      <c r="H27" s="158">
        <f>IF(INDIRECT("'Закуп'!F" &amp; B27)=0,"",INDIRECT("'Закуп'!F" &amp; B27))</f>
        <v/>
      </c>
      <c r="I27" s="120" t="n">
        <v>50</v>
      </c>
      <c r="J27" s="121">
        <f>K27/1.2</f>
        <v/>
      </c>
      <c r="K27" s="242" t="n">
        <v>4.96</v>
      </c>
      <c r="L27" s="122">
        <f>J27-C27-(J27-C27)*0.2</f>
        <v/>
      </c>
      <c r="M27" s="123">
        <f>L27*I27</f>
        <v/>
      </c>
      <c r="N27" s="124" t="inlineStr">
        <is>
          <t xml:space="preserve">50-90 шт - </t>
        </is>
      </c>
      <c r="O27" s="47" t="inlineStr">
        <is>
          <t xml:space="preserve"> руб / шт с НДС</t>
        </is>
      </c>
      <c r="P27" s="125">
        <f>ROUND(K27,2)</f>
        <v/>
      </c>
      <c r="Q27" s="207">
        <f>CONCATENATE(N27,P27,O27,)</f>
        <v/>
      </c>
      <c r="R27" s="235">
        <f>INDIRECT("'Закуп'!k" &amp; A27)</f>
        <v/>
      </c>
      <c r="S27" s="239">
        <f>INDIRECT("'Закуп'!o" &amp; A27)</f>
        <v/>
      </c>
      <c r="T27" s="226">
        <f>INDIRECT("'Закуп'!p" &amp; A27)</f>
        <v/>
      </c>
      <c r="U27" s="235">
        <f>INDIRECT("'Закуп'!v" &amp; A27)</f>
        <v/>
      </c>
      <c r="V27" s="222">
        <f>INDIRECT("'Закуп'!w" &amp; A27)</f>
        <v/>
      </c>
      <c r="W27" s="229">
        <f>INDIRECT("'Закуп'!H" &amp; A27)</f>
        <v/>
      </c>
      <c r="X27" s="237">
        <f>INDIRECT("'Закуп'!g" &amp; A27)</f>
        <v/>
      </c>
      <c r="Y27" s="229">
        <f>INDIRECT("'Закуп'!i" &amp; A27)</f>
        <v/>
      </c>
      <c r="Z27" s="236">
        <f>INDIRECT("'Закуп'!x" &amp; A27)</f>
        <v/>
      </c>
      <c r="AA27" s="237">
        <f>INDIRECT("'Закуп'!y" &amp; A27)</f>
        <v/>
      </c>
      <c r="AB27" s="238">
        <f>INDIRECT("'Закуп'!z" &amp; A27)</f>
        <v/>
      </c>
      <c r="AC27" s="223">
        <f>SUBSTITUTE(INDEX(F:F, ROUNDUP((ROW(A26))/5,0)*5 - 3), "х", "x")</f>
        <v/>
      </c>
      <c r="AD27" s="222">
        <f>SUBSTITUTE(INDEX(F:F, ROUNDUP((ROW(A26))/5,0)*5 - 3), "х", "x") &amp; " - " &amp; SUBSTITUTE(SUBSTITUTE(INDEX(F:F, ROUNDUP((ROW(A26))/5,0)*5 - 3), "х", "*"), "x", "*") &amp; " мм"</f>
        <v/>
      </c>
      <c r="AE27" t="n">
        <v>6.18</v>
      </c>
    </row>
    <row r="28">
      <c r="B28" s="47" t="n">
        <v>7</v>
      </c>
      <c r="C28" s="118">
        <f>INDIRECT("'Закуп'!A" &amp; B28)</f>
        <v/>
      </c>
      <c r="D28" s="119">
        <f>C28*1.2</f>
        <v/>
      </c>
      <c r="G28" s="172">
        <f>IF(INDIRECT("'Закуп'!L" &amp; B28)="Sale","Sale","")</f>
        <v/>
      </c>
      <c r="H28" s="158">
        <f>IF(INDIRECT("'Закуп'!F" &amp; B28)=0,"",INDIRECT("'Закуп'!F" &amp; B28))</f>
        <v/>
      </c>
      <c r="I28" s="120" t="n">
        <v>100</v>
      </c>
      <c r="J28" s="121">
        <f>K28/1.2</f>
        <v/>
      </c>
      <c r="K28" s="242" t="n">
        <v>4.3</v>
      </c>
      <c r="L28" s="122">
        <f>J28-C28-(J28-C28)*0.2</f>
        <v/>
      </c>
      <c r="M28" s="123">
        <f>L28*I28</f>
        <v/>
      </c>
      <c r="N28" s="124" t="inlineStr">
        <is>
          <t xml:space="preserve">100-290 шт - </t>
        </is>
      </c>
      <c r="O28" s="47" t="inlineStr">
        <is>
          <t xml:space="preserve"> руб / шт с НДС</t>
        </is>
      </c>
      <c r="P28" s="125">
        <f>ROUND(K28,2)</f>
        <v/>
      </c>
      <c r="Q28" s="207">
        <f>CONCATENATE(N28,P28,O28,)</f>
        <v/>
      </c>
      <c r="R28" s="240" t="n"/>
      <c r="T28" s="241" t="n"/>
      <c r="U28" s="240" t="n"/>
      <c r="V28" s="241" t="n"/>
      <c r="Z28" s="240" t="n"/>
      <c r="AB28" s="241" t="n"/>
      <c r="AC28" s="240" t="n"/>
      <c r="AD28" s="241" t="n"/>
      <c r="AE28" t="n">
        <v>5.71</v>
      </c>
    </row>
    <row r="29">
      <c r="B29" s="47" t="n">
        <v>7</v>
      </c>
      <c r="C29" s="118">
        <f>INDIRECT("'Закуп'!A" &amp; B29)</f>
        <v/>
      </c>
      <c r="D29" s="119">
        <f>C29*1.2</f>
        <v/>
      </c>
      <c r="G29" s="172">
        <f>IF(INDIRECT("'Закуп'!L" &amp; B29)="Sale","Sale","")</f>
        <v/>
      </c>
      <c r="H29" s="158">
        <f>IF(INDIRECT("'Закуп'!F" &amp; B29)=0,"",INDIRECT("'Закуп'!F" &amp; B29))</f>
        <v/>
      </c>
      <c r="I29" s="120" t="n">
        <v>300</v>
      </c>
      <c r="J29" s="121">
        <f>K29/1.2</f>
        <v/>
      </c>
      <c r="K29" s="242" t="n">
        <v>3.47</v>
      </c>
      <c r="L29" s="122">
        <f>J29-C29-(J29-C29)*0.2</f>
        <v/>
      </c>
      <c r="M29" s="123">
        <f>L29*I29</f>
        <v/>
      </c>
      <c r="N29" s="124" t="inlineStr">
        <is>
          <t xml:space="preserve">300-490 шт - </t>
        </is>
      </c>
      <c r="O29" s="47" t="inlineStr">
        <is>
          <t xml:space="preserve"> руб / шт с НДС</t>
        </is>
      </c>
      <c r="P29" s="125">
        <f>ROUND(K29,2)</f>
        <v/>
      </c>
      <c r="Q29" s="207">
        <f>CONCATENATE(N29,P29,O29,)</f>
        <v/>
      </c>
      <c r="R29" s="240" t="n"/>
      <c r="T29" s="241" t="n"/>
      <c r="U29" s="240" t="n"/>
      <c r="V29" s="241" t="n"/>
      <c r="Z29" s="240" t="n"/>
      <c r="AB29" s="241" t="n"/>
      <c r="AC29" s="240" t="n"/>
      <c r="AD29" s="241" t="n"/>
      <c r="AE29" t="n">
        <v>4.93</v>
      </c>
    </row>
    <row r="30">
      <c r="B30" s="47" t="n">
        <v>7</v>
      </c>
      <c r="C30" s="118">
        <f>INDIRECT("'Закуп'!A" &amp; B30)</f>
        <v/>
      </c>
      <c r="D30" s="119">
        <f>C30*1.2</f>
        <v/>
      </c>
      <c r="G30" s="172">
        <f>IF(INDIRECT("'Закуп'!L" &amp; B30)="Sale","Sale","")</f>
        <v/>
      </c>
      <c r="H30" s="158">
        <f>IF(INDIRECT("'Закуп'!F" &amp; B30)=0,"",INDIRECT("'Закуп'!F" &amp; B30))</f>
        <v/>
      </c>
      <c r="I30" s="120" t="n">
        <v>500</v>
      </c>
      <c r="J30" s="121">
        <f>K30/1.2</f>
        <v/>
      </c>
      <c r="K30" s="242" t="n">
        <v>3.29</v>
      </c>
      <c r="L30" s="122">
        <f>J30-C30-(J30-C30)*0.2</f>
        <v/>
      </c>
      <c r="M30" s="123">
        <f>L30*I30</f>
        <v/>
      </c>
      <c r="N30" s="124" t="inlineStr">
        <is>
          <t xml:space="preserve">500-990 шт - </t>
        </is>
      </c>
      <c r="O30" s="47" t="inlineStr">
        <is>
          <t xml:space="preserve"> руб / шт с НДС</t>
        </is>
      </c>
      <c r="P30" s="125">
        <f>ROUND(K30,2)</f>
        <v/>
      </c>
      <c r="Q30" s="207">
        <f>CONCATENATE(N30,P30,O30,)</f>
        <v/>
      </c>
      <c r="R30" s="240" t="n"/>
      <c r="T30" s="241" t="n"/>
      <c r="U30" s="240" t="n"/>
      <c r="V30" s="241" t="n"/>
      <c r="Z30" s="240" t="n"/>
      <c r="AB30" s="241" t="n"/>
      <c r="AC30" s="240" t="n"/>
      <c r="AD30" s="241" t="n"/>
      <c r="AE30" t="n">
        <v>4.78</v>
      </c>
    </row>
    <row r="31">
      <c r="B31" s="47" t="n">
        <v>7</v>
      </c>
      <c r="C31" s="118">
        <f>INDIRECT("'Закуп'!A" &amp; B31)</f>
        <v/>
      </c>
      <c r="D31" s="119">
        <f>C31*1.2</f>
        <v/>
      </c>
      <c r="G31" s="172">
        <f>IF(INDIRECT("'Закуп'!L" &amp; B31)="Sale","Sale","")</f>
        <v/>
      </c>
      <c r="H31" s="158">
        <f>IF(INDIRECT("'Закуп'!F" &amp; B31)=0,"",INDIRECT("'Закуп'!F" &amp; B31))</f>
        <v/>
      </c>
      <c r="I31" s="120" t="n">
        <v>1000</v>
      </c>
      <c r="J31" s="121">
        <f>K31/1.2</f>
        <v/>
      </c>
      <c r="K31" s="242" t="n">
        <v>3.18</v>
      </c>
      <c r="L31" s="122">
        <f>J31-C31-(J31-C31)*0.2</f>
        <v/>
      </c>
      <c r="M31" s="123">
        <f>L31*I31</f>
        <v/>
      </c>
      <c r="N31" s="124" t="inlineStr">
        <is>
          <t xml:space="preserve">1000 + шт - </t>
        </is>
      </c>
      <c r="O31" s="47" t="inlineStr">
        <is>
          <t xml:space="preserve"> руб / шт с НДС</t>
        </is>
      </c>
      <c r="P31" s="125">
        <f>ROUND(K31,2)</f>
        <v/>
      </c>
      <c r="Q31" s="207">
        <f>CONCATENATE(N31,P31,O31,)</f>
        <v/>
      </c>
      <c r="R31" s="240" t="n"/>
      <c r="T31" s="241" t="n"/>
      <c r="U31" s="240" t="n"/>
      <c r="V31" s="241" t="n"/>
      <c r="Z31" s="240" t="n"/>
      <c r="AB31" s="241" t="n"/>
      <c r="AC31" s="240" t="n"/>
      <c r="AD31" s="241" t="n"/>
      <c r="AE31" t="n">
        <v>4.7</v>
      </c>
    </row>
    <row r="32">
      <c r="A32" s="232" t="n">
        <v>8</v>
      </c>
      <c r="B32" s="47" t="n">
        <v>8</v>
      </c>
      <c r="C32" s="118">
        <f>INDIRECT("'Закуп'!A" &amp; B32)</f>
        <v/>
      </c>
      <c r="D32" s="119">
        <f>C32*1.2</f>
        <v/>
      </c>
      <c r="E32" s="224">
        <f>INDIRECT("'Закуп'!D" &amp; A32)</f>
        <v/>
      </c>
      <c r="F32" s="231">
        <f>INDIRECT("'Закуп'!E" &amp; B32)</f>
        <v/>
      </c>
      <c r="G32" s="172">
        <f>IF(INDIRECT("'Закуп'!L" &amp; B32)="Sale","Sale","")</f>
        <v/>
      </c>
      <c r="H32" s="158">
        <f>IF(INDIRECT("'Закуп'!F" &amp; B32)=0,"",INDIRECT("'Закуп'!F" &amp; B32))</f>
        <v/>
      </c>
      <c r="I32" s="120" t="n">
        <v>50</v>
      </c>
      <c r="J32" s="121">
        <f>K32/1.2</f>
        <v/>
      </c>
      <c r="K32" s="242" t="n">
        <v>2.21</v>
      </c>
      <c r="L32" s="122">
        <f>J32-C32-(J32-C32)*0.2</f>
        <v/>
      </c>
      <c r="M32" s="123">
        <f>L32*I32</f>
        <v/>
      </c>
      <c r="N32" s="124" t="inlineStr">
        <is>
          <t xml:space="preserve">50-90 шт - </t>
        </is>
      </c>
      <c r="O32" s="47" t="inlineStr">
        <is>
          <t xml:space="preserve"> руб / шт с НДС</t>
        </is>
      </c>
      <c r="P32" s="125">
        <f>ROUND(K32,2)</f>
        <v/>
      </c>
      <c r="Q32" s="207">
        <f>CONCATENATE(N32,P32,O32,)</f>
        <v/>
      </c>
      <c r="R32" s="235">
        <f>INDIRECT("'Закуп'!k" &amp; A32)</f>
        <v/>
      </c>
      <c r="S32" s="239">
        <f>INDIRECT("'Закуп'!o" &amp; A32)</f>
        <v/>
      </c>
      <c r="T32" s="226">
        <f>INDIRECT("'Закуп'!p" &amp; A32)</f>
        <v/>
      </c>
      <c r="U32" s="235">
        <f>INDIRECT("'Закуп'!v" &amp; A32)</f>
        <v/>
      </c>
      <c r="V32" s="222">
        <f>INDIRECT("'Закуп'!w" &amp; A32)</f>
        <v/>
      </c>
      <c r="W32" s="229">
        <f>INDIRECT("'Закуп'!H" &amp; A32)</f>
        <v/>
      </c>
      <c r="X32" s="237">
        <f>INDIRECT("'Закуп'!g" &amp; A32)</f>
        <v/>
      </c>
      <c r="Y32" s="229">
        <f>INDIRECT("'Закуп'!i" &amp; A32)</f>
        <v/>
      </c>
      <c r="Z32" s="236">
        <f>INDIRECT("'Закуп'!x" &amp; A32)</f>
        <v/>
      </c>
      <c r="AA32" s="237">
        <f>INDIRECT("'Закуп'!y" &amp; A32)</f>
        <v/>
      </c>
      <c r="AB32" s="238">
        <f>INDIRECT("'Закуп'!z" &amp; A32)</f>
        <v/>
      </c>
      <c r="AC32" s="223">
        <f>SUBSTITUTE(INDEX(F:F, ROUNDUP((ROW(A31))/5,0)*5 - 3), "х", "x")</f>
        <v/>
      </c>
      <c r="AD32" s="222">
        <f>SUBSTITUTE(INDEX(F:F, ROUNDUP((ROW(A31))/5,0)*5 - 3), "х", "x") &amp; " - " &amp; SUBSTITUTE(SUBSTITUTE(INDEX(F:F, ROUNDUP((ROW(A31))/5,0)*5 - 3), "х", "*"), "x", "*") &amp; " мм"</f>
        <v/>
      </c>
      <c r="AE32" t="n">
        <v>3.34</v>
      </c>
    </row>
    <row r="33">
      <c r="B33" s="47" t="n">
        <v>8</v>
      </c>
      <c r="C33" s="118">
        <f>INDIRECT("'Закуп'!A" &amp; B33)</f>
        <v/>
      </c>
      <c r="D33" s="119">
        <f>C33*1.2</f>
        <v/>
      </c>
      <c r="G33" s="172">
        <f>IF(INDIRECT("'Закуп'!L" &amp; B33)="Sale","Sale","")</f>
        <v/>
      </c>
      <c r="H33" s="158">
        <f>IF(INDIRECT("'Закуп'!F" &amp; B33)=0,"",INDIRECT("'Закуп'!F" &amp; B33))</f>
        <v/>
      </c>
      <c r="I33" s="120" t="n">
        <v>100</v>
      </c>
      <c r="J33" s="121">
        <f>K33/1.2</f>
        <v/>
      </c>
      <c r="K33" s="242" t="n">
        <v>1.88</v>
      </c>
      <c r="L33" s="122">
        <f>J33-C33-(J33-C33)*0.2</f>
        <v/>
      </c>
      <c r="M33" s="123">
        <f>L33*I33</f>
        <v/>
      </c>
      <c r="N33" s="124" t="inlineStr">
        <is>
          <t xml:space="preserve">100-290 шт - </t>
        </is>
      </c>
      <c r="O33" s="47" t="inlineStr">
        <is>
          <t xml:space="preserve"> руб / шт с НДС</t>
        </is>
      </c>
      <c r="P33" s="125">
        <f>ROUND(K33,2)</f>
        <v/>
      </c>
      <c r="Q33" s="207">
        <f>CONCATENATE(N33,P33,O33,)</f>
        <v/>
      </c>
      <c r="R33" s="240" t="n"/>
      <c r="T33" s="241" t="n"/>
      <c r="U33" s="240" t="n"/>
      <c r="V33" s="241" t="n"/>
      <c r="Z33" s="240" t="n"/>
      <c r="AB33" s="241" t="n"/>
      <c r="AC33" s="240" t="n"/>
      <c r="AD33" s="241" t="n"/>
      <c r="AE33" t="n">
        <v>2.68</v>
      </c>
    </row>
    <row r="34">
      <c r="B34" s="47" t="n">
        <v>8</v>
      </c>
      <c r="C34" s="118">
        <f>INDIRECT("'Закуп'!A" &amp; B34)</f>
        <v/>
      </c>
      <c r="D34" s="119">
        <f>C34*1.2</f>
        <v/>
      </c>
      <c r="G34" s="172">
        <f>IF(INDIRECT("'Закуп'!L" &amp; B34)="Sale","Sale","")</f>
        <v/>
      </c>
      <c r="H34" s="158">
        <f>IF(INDIRECT("'Закуп'!F" &amp; B34)=0,"",INDIRECT("'Закуп'!F" &amp; B34))</f>
        <v/>
      </c>
      <c r="I34" s="120" t="n">
        <v>300</v>
      </c>
      <c r="J34" s="121">
        <f>K34/1.2</f>
        <v/>
      </c>
      <c r="K34" s="242" t="n">
        <v>1.77</v>
      </c>
      <c r="L34" s="122">
        <f>J34-C34-(J34-C34)*0.2</f>
        <v/>
      </c>
      <c r="M34" s="123">
        <f>L34*I34</f>
        <v/>
      </c>
      <c r="N34" s="124" t="inlineStr">
        <is>
          <t xml:space="preserve">300-490 шт - </t>
        </is>
      </c>
      <c r="O34" s="47" t="inlineStr">
        <is>
          <t xml:space="preserve"> руб / шт с НДС</t>
        </is>
      </c>
      <c r="P34" s="125">
        <f>ROUND(K34,2)</f>
        <v/>
      </c>
      <c r="Q34" s="207">
        <f>CONCATENATE(N34,P34,O34,)</f>
        <v/>
      </c>
      <c r="R34" s="240" t="n"/>
      <c r="T34" s="241" t="n"/>
      <c r="U34" s="240" t="n"/>
      <c r="V34" s="241" t="n"/>
      <c r="Z34" s="240" t="n"/>
      <c r="AB34" s="241" t="n"/>
      <c r="AC34" s="240" t="n"/>
      <c r="AD34" s="241" t="n"/>
      <c r="AE34" t="n">
        <v>2.41</v>
      </c>
    </row>
    <row r="35">
      <c r="B35" s="47" t="n">
        <v>8</v>
      </c>
      <c r="C35" s="118">
        <f>INDIRECT("'Закуп'!A" &amp; B35)</f>
        <v/>
      </c>
      <c r="D35" s="119">
        <f>C35*1.2</f>
        <v/>
      </c>
      <c r="G35" s="172">
        <f>IF(INDIRECT("'Закуп'!L" &amp; B35)="Sale","Sale","")</f>
        <v/>
      </c>
      <c r="H35" s="158">
        <f>IF(INDIRECT("'Закуп'!F" &amp; B35)=0,"",INDIRECT("'Закуп'!F" &amp; B35))</f>
        <v/>
      </c>
      <c r="I35" s="120" t="n">
        <v>500</v>
      </c>
      <c r="J35" s="121">
        <f>K35/1.2</f>
        <v/>
      </c>
      <c r="K35" s="242" t="n">
        <v>1.68</v>
      </c>
      <c r="L35" s="122">
        <f>J35-C35-(J35-C35)*0.2</f>
        <v/>
      </c>
      <c r="M35" s="123">
        <f>L35*I35</f>
        <v/>
      </c>
      <c r="N35" s="124" t="inlineStr">
        <is>
          <t xml:space="preserve">500-990 шт - </t>
        </is>
      </c>
      <c r="O35" s="47" t="inlineStr">
        <is>
          <t xml:space="preserve"> руб / шт с НДС</t>
        </is>
      </c>
      <c r="P35" s="125">
        <f>ROUND(K35,2)</f>
        <v/>
      </c>
      <c r="Q35" s="207">
        <f>CONCATENATE(N35,P35,O35,)</f>
        <v/>
      </c>
      <c r="R35" s="240" t="n"/>
      <c r="T35" s="241" t="n"/>
      <c r="U35" s="240" t="n"/>
      <c r="V35" s="241" t="n"/>
      <c r="Z35" s="240" t="n"/>
      <c r="AB35" s="241" t="n"/>
      <c r="AC35" s="240" t="n"/>
      <c r="AD35" s="241" t="n"/>
      <c r="AE35" t="n">
        <v>2.17</v>
      </c>
    </row>
    <row r="36">
      <c r="B36" s="47" t="n">
        <v>8</v>
      </c>
      <c r="C36" s="118">
        <f>INDIRECT("'Закуп'!A" &amp; B36)</f>
        <v/>
      </c>
      <c r="D36" s="119">
        <f>C36*1.2</f>
        <v/>
      </c>
      <c r="G36" s="172">
        <f>IF(INDIRECT("'Закуп'!L" &amp; B36)="Sale","Sale","")</f>
        <v/>
      </c>
      <c r="H36" s="158">
        <f>IF(INDIRECT("'Закуп'!F" &amp; B36)=0,"",INDIRECT("'Закуп'!F" &amp; B36))</f>
        <v/>
      </c>
      <c r="I36" s="120" t="n">
        <v>1000</v>
      </c>
      <c r="J36" s="121">
        <f>K36/1.2</f>
        <v/>
      </c>
      <c r="K36" s="242" t="n">
        <v>1.62</v>
      </c>
      <c r="L36" s="122">
        <f>J36-C36-(J36-C36)*0.2</f>
        <v/>
      </c>
      <c r="M36" s="123">
        <f>L36*I36</f>
        <v/>
      </c>
      <c r="N36" s="124" t="inlineStr">
        <is>
          <t xml:space="preserve">1000 + шт - </t>
        </is>
      </c>
      <c r="O36" s="47" t="inlineStr">
        <is>
          <t xml:space="preserve"> руб / шт с НДС</t>
        </is>
      </c>
      <c r="P36" s="125">
        <f>ROUND(K36,2)</f>
        <v/>
      </c>
      <c r="Q36" s="207">
        <f>CONCATENATE(N36,P36,O36,)</f>
        <v/>
      </c>
      <c r="R36" s="240" t="n"/>
      <c r="T36" s="241" t="n"/>
      <c r="U36" s="240" t="n"/>
      <c r="V36" s="241" t="n"/>
      <c r="Z36" s="240" t="n"/>
      <c r="AB36" s="241" t="n"/>
      <c r="AC36" s="240" t="n"/>
      <c r="AD36" s="241" t="n"/>
      <c r="AE36" t="n">
        <v>2.07</v>
      </c>
    </row>
    <row r="37">
      <c r="A37" s="232" t="n">
        <v>9</v>
      </c>
      <c r="B37" s="47" t="n">
        <v>9</v>
      </c>
      <c r="C37" s="118">
        <f>INDIRECT("'Закуп'!A" &amp; B37)</f>
        <v/>
      </c>
      <c r="D37" s="119">
        <f>C37*1.2</f>
        <v/>
      </c>
      <c r="E37" s="224">
        <f>INDIRECT("'Закуп'!D" &amp; A37)</f>
        <v/>
      </c>
      <c r="F37" s="231">
        <f>INDIRECT("'Закуп'!E" &amp; B37)</f>
        <v/>
      </c>
      <c r="G37" s="172">
        <f>IF(INDIRECT("'Закуп'!L" &amp; B37)="Sale","Sale","")</f>
        <v/>
      </c>
      <c r="H37" s="158">
        <f>IF(INDIRECT("'Закуп'!F" &amp; B37)=0,"",INDIRECT("'Закуп'!F" &amp; B37))</f>
        <v/>
      </c>
      <c r="I37" s="120" t="n">
        <v>50</v>
      </c>
      <c r="J37" s="121">
        <f>K37/1.2</f>
        <v/>
      </c>
      <c r="K37" s="70" t="n">
        <v>3.57</v>
      </c>
      <c r="L37" s="122">
        <f>J37-C37-(J37-C37)*0.2</f>
        <v/>
      </c>
      <c r="M37" s="123">
        <f>L37*I37</f>
        <v/>
      </c>
      <c r="N37" s="124" t="inlineStr">
        <is>
          <t xml:space="preserve">50-90 шт - </t>
        </is>
      </c>
      <c r="O37" s="47" t="inlineStr">
        <is>
          <t xml:space="preserve"> руб / шт с НДС</t>
        </is>
      </c>
      <c r="P37" s="125">
        <f>ROUND(K37,2)</f>
        <v/>
      </c>
      <c r="Q37" s="207">
        <f>CONCATENATE(N37,P37,O37,)</f>
        <v/>
      </c>
      <c r="R37" s="235">
        <f>INDIRECT("'Закуп'!k" &amp; A37)</f>
        <v/>
      </c>
      <c r="S37" s="239">
        <f>INDIRECT("'Закуп'!o" &amp; A37)</f>
        <v/>
      </c>
      <c r="T37" s="226">
        <f>INDIRECT("'Закуп'!p" &amp; A37)</f>
        <v/>
      </c>
      <c r="U37" s="235">
        <f>INDIRECT("'Закуп'!v" &amp; A37)</f>
        <v/>
      </c>
      <c r="V37" s="222">
        <f>INDIRECT("'Закуп'!w" &amp; A37)</f>
        <v/>
      </c>
      <c r="W37" s="229">
        <f>INDIRECT("'Закуп'!H" &amp; A37)</f>
        <v/>
      </c>
      <c r="X37" s="237">
        <f>INDIRECT("'Закуп'!g" &amp; A37)</f>
        <v/>
      </c>
      <c r="Y37" s="229">
        <f>INDIRECT("'Закуп'!i" &amp; A37)</f>
        <v/>
      </c>
      <c r="Z37" s="236">
        <f>INDIRECT("'Закуп'!x" &amp; A37)</f>
        <v/>
      </c>
      <c r="AA37" s="237">
        <f>INDIRECT("'Закуп'!y" &amp; A37)</f>
        <v/>
      </c>
      <c r="AB37" s="238">
        <f>INDIRECT("'Закуп'!z" &amp; A37)</f>
        <v/>
      </c>
      <c r="AC37" s="223">
        <f>SUBSTITUTE(INDEX(F:F, ROUNDUP((ROW(A36))/5,0)*5 - 3), "х", "x")</f>
        <v/>
      </c>
      <c r="AD37" s="222">
        <f>SUBSTITUTE(INDEX(F:F, ROUNDUP((ROW(A36))/5,0)*5 - 3), "х", "x") &amp; " - " &amp; SUBSTITUTE(SUBSTITUTE(INDEX(F:F, ROUNDUP((ROW(A36))/5,0)*5 - 3), "х", "*"), "x", "*") &amp; " мм"</f>
        <v/>
      </c>
    </row>
    <row r="38">
      <c r="B38" s="47" t="n">
        <v>9</v>
      </c>
      <c r="C38" s="118">
        <f>INDIRECT("'Закуп'!A" &amp; B38)</f>
        <v/>
      </c>
      <c r="D38" s="119">
        <f>C38*1.2</f>
        <v/>
      </c>
      <c r="G38" s="172">
        <f>IF(INDIRECT("'Закуп'!L" &amp; B38)="Sale","Sale","")</f>
        <v/>
      </c>
      <c r="H38" s="158">
        <f>IF(INDIRECT("'Закуп'!F" &amp; B38)=0,"",INDIRECT("'Закуп'!F" &amp; B38))</f>
        <v/>
      </c>
      <c r="I38" s="120" t="n">
        <v>100</v>
      </c>
      <c r="J38" s="121">
        <f>K38/1.2</f>
        <v/>
      </c>
      <c r="K38" s="70" t="n">
        <v>3.25</v>
      </c>
      <c r="L38" s="122">
        <f>J38-C38-(J38-C38)*0.2</f>
        <v/>
      </c>
      <c r="M38" s="123">
        <f>L38*I38</f>
        <v/>
      </c>
      <c r="N38" s="124" t="inlineStr">
        <is>
          <t xml:space="preserve">100-290 шт - </t>
        </is>
      </c>
      <c r="O38" s="47" t="inlineStr">
        <is>
          <t xml:space="preserve"> руб / шт с НДС</t>
        </is>
      </c>
      <c r="P38" s="125">
        <f>ROUND(K38,2)</f>
        <v/>
      </c>
      <c r="Q38" s="207">
        <f>CONCATENATE(N38,P38,O38,)</f>
        <v/>
      </c>
      <c r="R38" s="240" t="n"/>
      <c r="T38" s="241" t="n"/>
      <c r="U38" s="240" t="n"/>
      <c r="V38" s="241" t="n"/>
      <c r="Z38" s="240" t="n"/>
      <c r="AB38" s="241" t="n"/>
      <c r="AC38" s="240" t="n"/>
      <c r="AD38" s="241" t="n"/>
    </row>
    <row r="39">
      <c r="B39" s="47" t="n">
        <v>9</v>
      </c>
      <c r="C39" s="118">
        <f>INDIRECT("'Закуп'!A" &amp; B39)</f>
        <v/>
      </c>
      <c r="D39" s="119">
        <f>C39*1.2</f>
        <v/>
      </c>
      <c r="G39" s="172">
        <f>IF(INDIRECT("'Закуп'!L" &amp; B39)="Sale","Sale","")</f>
        <v/>
      </c>
      <c r="H39" s="158">
        <f>IF(INDIRECT("'Закуп'!F" &amp; B39)=0,"",INDIRECT("'Закуп'!F" &amp; B39))</f>
        <v/>
      </c>
      <c r="I39" s="120" t="n">
        <v>300</v>
      </c>
      <c r="J39" s="121">
        <f>K39/1.2</f>
        <v/>
      </c>
      <c r="K39" s="70" t="n">
        <v>2.91</v>
      </c>
      <c r="L39" s="122">
        <f>J39-C39-(J39-C39)*0.2</f>
        <v/>
      </c>
      <c r="M39" s="123">
        <f>L39*I39</f>
        <v/>
      </c>
      <c r="N39" s="124" t="inlineStr">
        <is>
          <t xml:space="preserve">300-490 шт - </t>
        </is>
      </c>
      <c r="O39" s="47" t="inlineStr">
        <is>
          <t xml:space="preserve"> руб / шт с НДС</t>
        </is>
      </c>
      <c r="P39" s="125">
        <f>ROUND(K39,2)</f>
        <v/>
      </c>
      <c r="Q39" s="207">
        <f>CONCATENATE(N39,P39,O39,)</f>
        <v/>
      </c>
      <c r="R39" s="240" t="n"/>
      <c r="T39" s="241" t="n"/>
      <c r="U39" s="240" t="n"/>
      <c r="V39" s="241" t="n"/>
      <c r="Z39" s="240" t="n"/>
      <c r="AB39" s="241" t="n"/>
      <c r="AC39" s="240" t="n"/>
      <c r="AD39" s="241" t="n"/>
    </row>
    <row r="40">
      <c r="B40" s="47" t="n">
        <v>9</v>
      </c>
      <c r="C40" s="118">
        <f>INDIRECT("'Закуп'!A" &amp; B40)</f>
        <v/>
      </c>
      <c r="D40" s="119">
        <f>C40*1.2</f>
        <v/>
      </c>
      <c r="G40" s="172">
        <f>IF(INDIRECT("'Закуп'!L" &amp; B40)="Sale","Sale","")</f>
        <v/>
      </c>
      <c r="H40" s="158">
        <f>IF(INDIRECT("'Закуп'!F" &amp; B40)=0,"",INDIRECT("'Закуп'!F" &amp; B40))</f>
        <v/>
      </c>
      <c r="I40" s="120" t="n">
        <v>500</v>
      </c>
      <c r="J40" s="121">
        <f>K40/1.2</f>
        <v/>
      </c>
      <c r="K40" s="70" t="n">
        <v>2.73</v>
      </c>
      <c r="L40" s="122">
        <f>J40-C40-(J40-C40)*0.2</f>
        <v/>
      </c>
      <c r="M40" s="123">
        <f>L40*I40</f>
        <v/>
      </c>
      <c r="N40" s="124" t="inlineStr">
        <is>
          <t xml:space="preserve">500-990 шт - </t>
        </is>
      </c>
      <c r="O40" s="47" t="inlineStr">
        <is>
          <t xml:space="preserve"> руб / шт с НДС</t>
        </is>
      </c>
      <c r="P40" s="125">
        <f>ROUND(K40,2)</f>
        <v/>
      </c>
      <c r="Q40" s="207">
        <f>CONCATENATE(N40,P40,O40,)</f>
        <v/>
      </c>
      <c r="R40" s="240" t="n"/>
      <c r="T40" s="241" t="n"/>
      <c r="U40" s="240" t="n"/>
      <c r="V40" s="241" t="n"/>
      <c r="Z40" s="240" t="n"/>
      <c r="AB40" s="241" t="n"/>
      <c r="AC40" s="240" t="n"/>
      <c r="AD40" s="241" t="n"/>
    </row>
    <row r="41">
      <c r="B41" s="47" t="n">
        <v>9</v>
      </c>
      <c r="C41" s="118">
        <f>INDIRECT("'Закуп'!A" &amp; B41)</f>
        <v/>
      </c>
      <c r="D41" s="119">
        <f>C41*1.2</f>
        <v/>
      </c>
      <c r="G41" s="172">
        <f>IF(INDIRECT("'Закуп'!L" &amp; B41)="Sale","Sale","")</f>
        <v/>
      </c>
      <c r="H41" s="158">
        <f>IF(INDIRECT("'Закуп'!F" &amp; B41)=0,"",INDIRECT("'Закуп'!F" &amp; B41))</f>
        <v/>
      </c>
      <c r="I41" s="120" t="n">
        <v>1000</v>
      </c>
      <c r="J41" s="121">
        <f>K41/1.2</f>
        <v/>
      </c>
      <c r="K41" s="70" t="n">
        <v>2.57</v>
      </c>
      <c r="L41" s="122">
        <f>J41-C41-(J41-C41)*0.2</f>
        <v/>
      </c>
      <c r="M41" s="123">
        <f>L41*I41</f>
        <v/>
      </c>
      <c r="N41" s="124" t="inlineStr">
        <is>
          <t xml:space="preserve">1000 + шт - </t>
        </is>
      </c>
      <c r="O41" s="47" t="inlineStr">
        <is>
          <t xml:space="preserve"> руб / шт с НДС</t>
        </is>
      </c>
      <c r="P41" s="125">
        <f>ROUND(K41,2)</f>
        <v/>
      </c>
      <c r="Q41" s="207">
        <f>CONCATENATE(N41,P41,O41,)</f>
        <v/>
      </c>
      <c r="R41" s="240" t="n"/>
      <c r="T41" s="241" t="n"/>
      <c r="U41" s="240" t="n"/>
      <c r="V41" s="241" t="n"/>
      <c r="Z41" s="240" t="n"/>
      <c r="AB41" s="241" t="n"/>
      <c r="AC41" s="240" t="n"/>
      <c r="AD41" s="241" t="n"/>
    </row>
    <row r="42">
      <c r="A42" s="232" t="n">
        <v>10</v>
      </c>
      <c r="B42" s="47" t="n">
        <v>10</v>
      </c>
      <c r="C42" s="118">
        <f>INDIRECT("'Закуп'!A" &amp; B42)</f>
        <v/>
      </c>
      <c r="D42" s="119">
        <f>C42*1.2</f>
        <v/>
      </c>
      <c r="E42" s="224">
        <f>INDIRECT("'Закуп'!D" &amp; A42)</f>
        <v/>
      </c>
      <c r="F42" s="231">
        <f>INDIRECT("'Закуп'!E" &amp; B42)</f>
        <v/>
      </c>
      <c r="G42" s="172">
        <f>IF(INDIRECT("'Закуп'!L" &amp; B42)="Sale","Sale","")</f>
        <v/>
      </c>
      <c r="H42" s="158">
        <f>IF(INDIRECT("'Закуп'!F" &amp; B42)=0,"",INDIRECT("'Закуп'!F" &amp; B42))</f>
        <v/>
      </c>
      <c r="I42" s="120" t="n">
        <v>50</v>
      </c>
      <c r="J42" s="121">
        <f>K42/1.2</f>
        <v/>
      </c>
      <c r="K42" s="242" t="n">
        <v>3.33</v>
      </c>
      <c r="L42" s="122">
        <f>J42-C42-(J42-C42)*0.2</f>
        <v/>
      </c>
      <c r="M42" s="123">
        <f>L42*I42</f>
        <v/>
      </c>
      <c r="N42" s="124" t="inlineStr">
        <is>
          <t xml:space="preserve">50-90 шт - </t>
        </is>
      </c>
      <c r="O42" s="47" t="inlineStr">
        <is>
          <t xml:space="preserve"> руб / шт с НДС</t>
        </is>
      </c>
      <c r="P42" s="125">
        <f>ROUND(K42,2)</f>
        <v/>
      </c>
      <c r="Q42" s="207">
        <f>CONCATENATE(N42,P42,O42,)</f>
        <v/>
      </c>
      <c r="R42" s="235">
        <f>INDIRECT("'Закуп'!k" &amp; A42)</f>
        <v/>
      </c>
      <c r="S42" s="239">
        <f>INDIRECT("'Закуп'!o" &amp; A42)</f>
        <v/>
      </c>
      <c r="T42" s="226">
        <f>INDIRECT("'Закуп'!p" &amp; A42)</f>
        <v/>
      </c>
      <c r="U42" s="235">
        <f>INDIRECT("'Закуп'!v" &amp; A42)</f>
        <v/>
      </c>
      <c r="V42" s="222">
        <f>INDIRECT("'Закуп'!w" &amp; A42)</f>
        <v/>
      </c>
      <c r="W42" s="229">
        <f>INDIRECT("'Закуп'!H" &amp; A42)</f>
        <v/>
      </c>
      <c r="X42" s="237">
        <f>INDIRECT("'Закуп'!g" &amp; A42)</f>
        <v/>
      </c>
      <c r="Y42" s="229">
        <f>INDIRECT("'Закуп'!i" &amp; A42)</f>
        <v/>
      </c>
      <c r="Z42" s="236">
        <f>INDIRECT("'Закуп'!x" &amp; A42)</f>
        <v/>
      </c>
      <c r="AA42" s="237">
        <f>INDIRECT("'Закуп'!y" &amp; A42)</f>
        <v/>
      </c>
      <c r="AB42" s="238">
        <f>INDIRECT("'Закуп'!z" &amp; A42)</f>
        <v/>
      </c>
      <c r="AC42" s="223">
        <f>SUBSTITUTE(INDEX(F:F, ROUNDUP((ROW(A41))/5,0)*5 - 3), "х", "x")</f>
        <v/>
      </c>
      <c r="AD42" s="222">
        <f>SUBSTITUTE(INDEX(F:F, ROUNDUP((ROW(A41))/5,0)*5 - 3), "х", "x") &amp; " - " &amp; SUBSTITUTE(SUBSTITUTE(INDEX(F:F, ROUNDUP((ROW(A41))/5,0)*5 - 3), "х", "*"), "x", "*") &amp; " мм"</f>
        <v/>
      </c>
      <c r="AE42" t="n">
        <v>2.8</v>
      </c>
    </row>
    <row r="43">
      <c r="B43" s="47" t="n">
        <v>10</v>
      </c>
      <c r="C43" s="118">
        <f>INDIRECT("'Закуп'!A" &amp; B43)</f>
        <v/>
      </c>
      <c r="D43" s="119">
        <f>C43*1.2</f>
        <v/>
      </c>
      <c r="G43" s="172">
        <f>IF(INDIRECT("'Закуп'!L" &amp; B43)="Sale","Sale","")</f>
        <v/>
      </c>
      <c r="H43" s="158">
        <f>IF(INDIRECT("'Закуп'!F" &amp; B43)=0,"",INDIRECT("'Закуп'!F" &amp; B43))</f>
        <v/>
      </c>
      <c r="I43" s="120" t="n">
        <v>100</v>
      </c>
      <c r="J43" s="121">
        <f>K43/1.2</f>
        <v/>
      </c>
      <c r="K43" s="242" t="n">
        <v>2.94</v>
      </c>
      <c r="L43" s="122">
        <f>J43-C43-(J43-C43)*0.2</f>
        <v/>
      </c>
      <c r="M43" s="123">
        <f>L43*I43</f>
        <v/>
      </c>
      <c r="N43" s="124" t="inlineStr">
        <is>
          <t xml:space="preserve">100-290 шт - </t>
        </is>
      </c>
      <c r="O43" s="47" t="inlineStr">
        <is>
          <t xml:space="preserve"> руб / шт с НДС</t>
        </is>
      </c>
      <c r="P43" s="125">
        <f>ROUND(K43,2)</f>
        <v/>
      </c>
      <c r="Q43" s="207">
        <f>CONCATENATE(N43,P43,O43,)</f>
        <v/>
      </c>
      <c r="R43" s="240" t="n"/>
      <c r="T43" s="241" t="n"/>
      <c r="U43" s="240" t="n"/>
      <c r="V43" s="241" t="n"/>
      <c r="Z43" s="240" t="n"/>
      <c r="AB43" s="241" t="n"/>
      <c r="AC43" s="240" t="n"/>
      <c r="AD43" s="241" t="n"/>
      <c r="AE43" t="n">
        <v>2.24</v>
      </c>
    </row>
    <row r="44">
      <c r="B44" s="47" t="n">
        <v>10</v>
      </c>
      <c r="C44" s="118">
        <f>INDIRECT("'Закуп'!A" &amp; B44)</f>
        <v/>
      </c>
      <c r="D44" s="119">
        <f>C44*1.2</f>
        <v/>
      </c>
      <c r="G44" s="172">
        <f>IF(INDIRECT("'Закуп'!L" &amp; B44)="Sale","Sale","")</f>
        <v/>
      </c>
      <c r="H44" s="158">
        <f>IF(INDIRECT("'Закуп'!F" &amp; B44)=0,"",INDIRECT("'Закуп'!F" &amp; B44))</f>
        <v/>
      </c>
      <c r="I44" s="120" t="n">
        <v>300</v>
      </c>
      <c r="J44" s="121">
        <f>K44/1.2</f>
        <v/>
      </c>
      <c r="K44" s="242" t="n">
        <v>2.55</v>
      </c>
      <c r="L44" s="122">
        <f>J44-C44-(J44-C44)*0.2</f>
        <v/>
      </c>
      <c r="M44" s="123">
        <f>L44*I44</f>
        <v/>
      </c>
      <c r="N44" s="124" t="inlineStr">
        <is>
          <t xml:space="preserve">300-490 шт - </t>
        </is>
      </c>
      <c r="O44" s="47" t="inlineStr">
        <is>
          <t xml:space="preserve"> руб / шт с НДС</t>
        </is>
      </c>
      <c r="P44" s="125">
        <f>ROUND(K44,2)</f>
        <v/>
      </c>
      <c r="Q44" s="207">
        <f>CONCATENATE(N44,P44,O44,)</f>
        <v/>
      </c>
      <c r="R44" s="240" t="n"/>
      <c r="T44" s="241" t="n"/>
      <c r="U44" s="240" t="n"/>
      <c r="V44" s="241" t="n"/>
      <c r="Z44" s="240" t="n"/>
      <c r="AB44" s="241" t="n"/>
      <c r="AC44" s="240" t="n"/>
      <c r="AD44" s="241" t="n"/>
      <c r="AE44" t="n">
        <v>2.04</v>
      </c>
    </row>
    <row r="45">
      <c r="B45" s="47" t="n">
        <v>10</v>
      </c>
      <c r="C45" s="118">
        <f>INDIRECT("'Закуп'!A" &amp; B45)</f>
        <v/>
      </c>
      <c r="D45" s="119">
        <f>C45*1.2</f>
        <v/>
      </c>
      <c r="G45" s="172">
        <f>IF(INDIRECT("'Закуп'!L" &amp; B45)="Sale","Sale","")</f>
        <v/>
      </c>
      <c r="H45" s="158">
        <f>IF(INDIRECT("'Закуп'!F" &amp; B45)=0,"",INDIRECT("'Закуп'!F" &amp; B45))</f>
        <v/>
      </c>
      <c r="I45" s="120" t="n">
        <v>500</v>
      </c>
      <c r="J45" s="121">
        <f>K45/1.2</f>
        <v/>
      </c>
      <c r="K45" s="242" t="n">
        <v>2.35</v>
      </c>
      <c r="L45" s="122">
        <f>J45-C45-(J45-C45)*0.2</f>
        <v/>
      </c>
      <c r="M45" s="123">
        <f>L45*I45</f>
        <v/>
      </c>
      <c r="N45" s="124" t="inlineStr">
        <is>
          <t xml:space="preserve">500-990 шт - </t>
        </is>
      </c>
      <c r="O45" s="47" t="inlineStr">
        <is>
          <t xml:space="preserve"> руб / шт с НДС</t>
        </is>
      </c>
      <c r="P45" s="125">
        <f>ROUND(K45,2)</f>
        <v/>
      </c>
      <c r="Q45" s="207">
        <f>CONCATENATE(N45,P45,O45,)</f>
        <v/>
      </c>
      <c r="R45" s="240" t="n"/>
      <c r="T45" s="241" t="n"/>
      <c r="U45" s="240" t="n"/>
      <c r="V45" s="241" t="n"/>
      <c r="Z45" s="240" t="n"/>
      <c r="AB45" s="241" t="n"/>
      <c r="AC45" s="240" t="n"/>
      <c r="AD45" s="241" t="n"/>
      <c r="AE45" t="n">
        <v>1.82</v>
      </c>
    </row>
    <row r="46">
      <c r="B46" s="47" t="n">
        <v>10</v>
      </c>
      <c r="C46" s="118">
        <f>INDIRECT("'Закуп'!A" &amp; B46)</f>
        <v/>
      </c>
      <c r="D46" s="119">
        <f>C46*1.2</f>
        <v/>
      </c>
      <c r="G46" s="172">
        <f>IF(INDIRECT("'Закуп'!L" &amp; B46)="Sale","Sale","")</f>
        <v/>
      </c>
      <c r="H46" s="158">
        <f>IF(INDIRECT("'Закуп'!F" &amp; B46)=0,"",INDIRECT("'Закуп'!F" &amp; B46))</f>
        <v/>
      </c>
      <c r="I46" s="120" t="n">
        <v>1000</v>
      </c>
      <c r="J46" s="121">
        <f>K46/1.2</f>
        <v/>
      </c>
      <c r="K46" s="242" t="n">
        <v>1.96</v>
      </c>
      <c r="L46" s="122">
        <f>J46-C46-(J46-C46)*0.2</f>
        <v/>
      </c>
      <c r="M46" s="123">
        <f>L46*I46</f>
        <v/>
      </c>
      <c r="N46" s="124" t="inlineStr">
        <is>
          <t xml:space="preserve">1000 + шт - </t>
        </is>
      </c>
      <c r="O46" s="47" t="inlineStr">
        <is>
          <t xml:space="preserve"> руб / шт с НДС</t>
        </is>
      </c>
      <c r="P46" s="125">
        <f>ROUND(K46,2)</f>
        <v/>
      </c>
      <c r="Q46" s="207">
        <f>CONCATENATE(N46,P46,O46,)</f>
        <v/>
      </c>
      <c r="R46" s="240" t="n"/>
      <c r="T46" s="241" t="n"/>
      <c r="U46" s="240" t="n"/>
      <c r="V46" s="241" t="n"/>
      <c r="Z46" s="240" t="n"/>
      <c r="AB46" s="241" t="n"/>
      <c r="AC46" s="240" t="n"/>
      <c r="AD46" s="241" t="n"/>
      <c r="AE46" t="n">
        <v>1.77</v>
      </c>
    </row>
    <row r="47">
      <c r="A47" s="232" t="n">
        <v>11</v>
      </c>
      <c r="B47" s="47" t="n">
        <v>11</v>
      </c>
      <c r="C47" s="118">
        <f>INDIRECT("'Закуп'!A" &amp; B47)</f>
        <v/>
      </c>
      <c r="D47" s="119">
        <f>C47*1.2</f>
        <v/>
      </c>
      <c r="E47" s="224">
        <f>INDIRECT("'Закуп'!D" &amp; A47)</f>
        <v/>
      </c>
      <c r="F47" s="231">
        <f>INDIRECT("'Закуп'!E" &amp; B47)</f>
        <v/>
      </c>
      <c r="G47" s="172">
        <f>IF(INDIRECT("'Закуп'!L" &amp; B47)="Sale","Sale","")</f>
        <v/>
      </c>
      <c r="H47" s="158">
        <f>IF(INDIRECT("'Закуп'!F" &amp; B47)=0,"",INDIRECT("'Закуп'!F" &amp; B47))</f>
        <v/>
      </c>
      <c r="I47" s="120" t="n">
        <v>50</v>
      </c>
      <c r="J47" s="121">
        <f>K47/1.2</f>
        <v/>
      </c>
      <c r="K47" s="70" t="n">
        <v>3.91</v>
      </c>
      <c r="L47" s="122">
        <f>J47-C47-(J47-C47)*0.2</f>
        <v/>
      </c>
      <c r="M47" s="123">
        <f>L47*I47</f>
        <v/>
      </c>
      <c r="N47" s="124" t="inlineStr">
        <is>
          <t xml:space="preserve">50-90 шт - </t>
        </is>
      </c>
      <c r="O47" s="47" t="inlineStr">
        <is>
          <t xml:space="preserve"> руб / шт с НДС</t>
        </is>
      </c>
      <c r="P47" s="125">
        <f>ROUND(K47,2)</f>
        <v/>
      </c>
      <c r="Q47" s="207">
        <f>CONCATENATE(N47,P47,O47,)</f>
        <v/>
      </c>
      <c r="R47" s="235">
        <f>INDIRECT("'Закуп'!k" &amp; A47)</f>
        <v/>
      </c>
      <c r="S47" s="239">
        <f>INDIRECT("'Закуп'!o" &amp; A47)</f>
        <v/>
      </c>
      <c r="T47" s="226">
        <f>INDIRECT("'Закуп'!p" &amp; A47)</f>
        <v/>
      </c>
      <c r="U47" s="235">
        <f>INDIRECT("'Закуп'!v" &amp; A47)</f>
        <v/>
      </c>
      <c r="V47" s="222">
        <f>INDIRECT("'Закуп'!w" &amp; A47)</f>
        <v/>
      </c>
      <c r="W47" s="229">
        <f>INDIRECT("'Закуп'!H" &amp; A47)</f>
        <v/>
      </c>
      <c r="X47" s="237">
        <f>INDIRECT("'Закуп'!g" &amp; A47)</f>
        <v/>
      </c>
      <c r="Y47" s="229">
        <f>INDIRECT("'Закуп'!i" &amp; A47)</f>
        <v/>
      </c>
      <c r="Z47" s="236">
        <f>INDIRECT("'Закуп'!x" &amp; A47)</f>
        <v/>
      </c>
      <c r="AA47" s="237">
        <f>INDIRECT("'Закуп'!y" &amp; A47)</f>
        <v/>
      </c>
      <c r="AB47" s="238">
        <f>INDIRECT("'Закуп'!z" &amp; A47)</f>
        <v/>
      </c>
      <c r="AC47" s="223">
        <f>SUBSTITUTE(INDEX(F:F, ROUNDUP((ROW(A46))/5,0)*5 - 3), "х", "x")</f>
        <v/>
      </c>
      <c r="AD47" s="222">
        <f>SUBSTITUTE(INDEX(F:F, ROUNDUP((ROW(A46))/5,0)*5 - 3), "х", "x") &amp; " - " &amp; SUBSTITUTE(SUBSTITUTE(INDEX(F:F, ROUNDUP((ROW(A46))/5,0)*5 - 3), "х", "*"), "x", "*") &amp; " мм"</f>
        <v/>
      </c>
    </row>
    <row r="48">
      <c r="B48" s="47" t="n">
        <v>11</v>
      </c>
      <c r="C48" s="118">
        <f>INDIRECT("'Закуп'!A" &amp; B48)</f>
        <v/>
      </c>
      <c r="D48" s="119">
        <f>C48*1.2</f>
        <v/>
      </c>
      <c r="G48" s="172">
        <f>IF(INDIRECT("'Закуп'!L" &amp; B48)="Sale","Sale","")</f>
        <v/>
      </c>
      <c r="H48" s="158">
        <f>IF(INDIRECT("'Закуп'!F" &amp; B48)=0,"",INDIRECT("'Закуп'!F" &amp; B48))</f>
        <v/>
      </c>
      <c r="I48" s="120" t="n">
        <v>100</v>
      </c>
      <c r="J48" s="121">
        <f>K48/1.2</f>
        <v/>
      </c>
      <c r="K48" s="70" t="n">
        <v>3.81</v>
      </c>
      <c r="L48" s="122">
        <f>J48-C48-(J48-C48)*0.2</f>
        <v/>
      </c>
      <c r="M48" s="123">
        <f>L48*I48</f>
        <v/>
      </c>
      <c r="N48" s="124" t="inlineStr">
        <is>
          <t xml:space="preserve">100-290 шт - </t>
        </is>
      </c>
      <c r="O48" s="47" t="inlineStr">
        <is>
          <t xml:space="preserve"> руб / шт с НДС</t>
        </is>
      </c>
      <c r="P48" s="125">
        <f>ROUND(K48,2)</f>
        <v/>
      </c>
      <c r="Q48" s="207">
        <f>CONCATENATE(N48,P48,O48,)</f>
        <v/>
      </c>
      <c r="R48" s="240" t="n"/>
      <c r="T48" s="241" t="n"/>
      <c r="U48" s="240" t="n"/>
      <c r="V48" s="241" t="n"/>
      <c r="Z48" s="240" t="n"/>
      <c r="AB48" s="241" t="n"/>
      <c r="AC48" s="240" t="n"/>
      <c r="AD48" s="241" t="n"/>
    </row>
    <row r="49">
      <c r="B49" s="47" t="n">
        <v>11</v>
      </c>
      <c r="C49" s="118">
        <f>INDIRECT("'Закуп'!A" &amp; B49)</f>
        <v/>
      </c>
      <c r="D49" s="119">
        <f>C49*1.2</f>
        <v/>
      </c>
      <c r="G49" s="172">
        <f>IF(INDIRECT("'Закуп'!L" &amp; B49)="Sale","Sale","")</f>
        <v/>
      </c>
      <c r="H49" s="158">
        <f>IF(INDIRECT("'Закуп'!F" &amp; B49)=0,"",INDIRECT("'Закуп'!F" &amp; B49))</f>
        <v/>
      </c>
      <c r="I49" s="120" t="n">
        <v>300</v>
      </c>
      <c r="J49" s="121">
        <f>K49/1.2</f>
        <v/>
      </c>
      <c r="K49" s="70" t="n">
        <v>3.17</v>
      </c>
      <c r="L49" s="122">
        <f>J49-C49-(J49-C49)*0.2</f>
        <v/>
      </c>
      <c r="M49" s="123">
        <f>L49*I49</f>
        <v/>
      </c>
      <c r="N49" s="124" t="inlineStr">
        <is>
          <t xml:space="preserve">300-490 шт - </t>
        </is>
      </c>
      <c r="O49" s="47" t="inlineStr">
        <is>
          <t xml:space="preserve"> руб / шт с НДС</t>
        </is>
      </c>
      <c r="P49" s="125">
        <f>ROUND(K49,2)</f>
        <v/>
      </c>
      <c r="Q49" s="207">
        <f>CONCATENATE(N49,P49,O49,)</f>
        <v/>
      </c>
      <c r="R49" s="240" t="n"/>
      <c r="T49" s="241" t="n"/>
      <c r="U49" s="240" t="n"/>
      <c r="V49" s="241" t="n"/>
      <c r="Z49" s="240" t="n"/>
      <c r="AB49" s="241" t="n"/>
      <c r="AC49" s="240" t="n"/>
      <c r="AD49" s="241" t="n"/>
    </row>
    <row r="50">
      <c r="B50" s="47" t="n">
        <v>11</v>
      </c>
      <c r="C50" s="118">
        <f>INDIRECT("'Закуп'!A" &amp; B50)</f>
        <v/>
      </c>
      <c r="D50" s="119">
        <f>C50*1.2</f>
        <v/>
      </c>
      <c r="G50" s="172">
        <f>IF(INDIRECT("'Закуп'!L" &amp; B50)="Sale","Sale","")</f>
        <v/>
      </c>
      <c r="H50" s="158">
        <f>IF(INDIRECT("'Закуп'!F" &amp; B50)=0,"",INDIRECT("'Закуп'!F" &amp; B50))</f>
        <v/>
      </c>
      <c r="I50" s="120" t="n">
        <v>500</v>
      </c>
      <c r="J50" s="121">
        <f>K50/1.2</f>
        <v/>
      </c>
      <c r="K50" s="70" t="n">
        <v>3.07</v>
      </c>
      <c r="L50" s="122">
        <f>J50-C50-(J50-C50)*0.2</f>
        <v/>
      </c>
      <c r="M50" s="123">
        <f>L50*I50</f>
        <v/>
      </c>
      <c r="N50" s="124" t="inlineStr">
        <is>
          <t xml:space="preserve">500-990 шт - </t>
        </is>
      </c>
      <c r="O50" s="47" t="inlineStr">
        <is>
          <t xml:space="preserve"> руб / шт с НДС</t>
        </is>
      </c>
      <c r="P50" s="125">
        <f>ROUND(K50,2)</f>
        <v/>
      </c>
      <c r="Q50" s="207">
        <f>CONCATENATE(N50,P50,O50,)</f>
        <v/>
      </c>
      <c r="R50" s="240" t="n"/>
      <c r="T50" s="241" t="n"/>
      <c r="U50" s="240" t="n"/>
      <c r="V50" s="241" t="n"/>
      <c r="Z50" s="240" t="n"/>
      <c r="AB50" s="241" t="n"/>
      <c r="AC50" s="240" t="n"/>
      <c r="AD50" s="241" t="n"/>
    </row>
    <row r="51">
      <c r="B51" s="47" t="n">
        <v>11</v>
      </c>
      <c r="C51" s="118">
        <f>INDIRECT("'Закуп'!A" &amp; B51)</f>
        <v/>
      </c>
      <c r="D51" s="119">
        <f>C51*1.2</f>
        <v/>
      </c>
      <c r="G51" s="172">
        <f>IF(INDIRECT("'Закуп'!L" &amp; B51)="Sale","Sale","")</f>
        <v/>
      </c>
      <c r="H51" s="158">
        <f>IF(INDIRECT("'Закуп'!F" &amp; B51)=0,"",INDIRECT("'Закуп'!F" &amp; B51))</f>
        <v/>
      </c>
      <c r="I51" s="120" t="n">
        <v>1000</v>
      </c>
      <c r="J51" s="121">
        <f>K51/1.2</f>
        <v/>
      </c>
      <c r="K51" s="70" t="n">
        <v>2.97</v>
      </c>
      <c r="L51" s="122">
        <f>J51-C51-(J51-C51)*0.2</f>
        <v/>
      </c>
      <c r="M51" s="123">
        <f>L51*I51</f>
        <v/>
      </c>
      <c r="N51" s="124" t="inlineStr">
        <is>
          <t xml:space="preserve">1000 + шт - </t>
        </is>
      </c>
      <c r="O51" s="47" t="inlineStr">
        <is>
          <t xml:space="preserve"> руб / шт с НДС</t>
        </is>
      </c>
      <c r="P51" s="125">
        <f>ROUND(K51,2)</f>
        <v/>
      </c>
      <c r="Q51" s="207">
        <f>CONCATENATE(N51,P51,O51,)</f>
        <v/>
      </c>
      <c r="R51" s="240" t="n"/>
      <c r="T51" s="241" t="n"/>
      <c r="U51" s="240" t="n"/>
      <c r="V51" s="241" t="n"/>
      <c r="Z51" s="240" t="n"/>
      <c r="AB51" s="241" t="n"/>
      <c r="AC51" s="240" t="n"/>
      <c r="AD51" s="241" t="n"/>
    </row>
    <row r="52">
      <c r="A52" s="232" t="n">
        <v>12</v>
      </c>
      <c r="B52" s="47" t="n">
        <v>12</v>
      </c>
      <c r="C52" s="118">
        <f>INDIRECT("'Закуп'!A" &amp; B52)</f>
        <v/>
      </c>
      <c r="D52" s="119">
        <f>C52*1.2</f>
        <v/>
      </c>
      <c r="E52" s="224">
        <f>INDIRECT("'Закуп'!D" &amp; A52)</f>
        <v/>
      </c>
      <c r="F52" s="231">
        <f>INDIRECT("'Закуп'!E" &amp; B52)</f>
        <v/>
      </c>
      <c r="G52" s="172">
        <f>IF(INDIRECT("'Закуп'!L" &amp; B52)="Sale","Sale","")</f>
        <v/>
      </c>
      <c r="H52" s="158">
        <f>IF(INDIRECT("'Закуп'!F" &amp; B52)=0,"",INDIRECT("'Закуп'!F" &amp; B52))</f>
        <v/>
      </c>
      <c r="I52" s="120" t="n">
        <v>50</v>
      </c>
      <c r="J52" s="121">
        <f>K52/1.2</f>
        <v/>
      </c>
      <c r="K52" s="242" t="n">
        <v>2.89</v>
      </c>
      <c r="L52" s="122">
        <f>J52-C52-(J52-C52)*0.2</f>
        <v/>
      </c>
      <c r="M52" s="123">
        <f>L52*I52</f>
        <v/>
      </c>
      <c r="N52" s="124" t="inlineStr">
        <is>
          <t xml:space="preserve">50-90 шт - </t>
        </is>
      </c>
      <c r="O52" s="47" t="inlineStr">
        <is>
          <t xml:space="preserve"> руб / шт с НДС</t>
        </is>
      </c>
      <c r="P52" s="125">
        <f>ROUND(K52,2)</f>
        <v/>
      </c>
      <c r="Q52" s="207">
        <f>CONCATENATE(N52,P52,O52,)</f>
        <v/>
      </c>
      <c r="R52" s="235">
        <f>INDIRECT("'Закуп'!k" &amp; A52)</f>
        <v/>
      </c>
      <c r="S52" s="239">
        <f>INDIRECT("'Закуп'!o" &amp; A52)</f>
        <v/>
      </c>
      <c r="T52" s="226">
        <f>INDIRECT("'Закуп'!p" &amp; A52)</f>
        <v/>
      </c>
      <c r="U52" s="235">
        <f>INDIRECT("'Закуп'!v" &amp; A52)</f>
        <v/>
      </c>
      <c r="V52" s="222">
        <f>INDIRECT("'Закуп'!w" &amp; A52)</f>
        <v/>
      </c>
      <c r="W52" s="229">
        <f>INDIRECT("'Закуп'!H" &amp; A52)</f>
        <v/>
      </c>
      <c r="X52" s="237">
        <f>INDIRECT("'Закуп'!g" &amp; A52)</f>
        <v/>
      </c>
      <c r="Y52" s="229">
        <f>INDIRECT("'Закуп'!i" &amp; A52)</f>
        <v/>
      </c>
      <c r="Z52" s="236">
        <f>INDIRECT("'Закуп'!x" &amp; A52)</f>
        <v/>
      </c>
      <c r="AA52" s="237">
        <f>INDIRECT("'Закуп'!y" &amp; A52)</f>
        <v/>
      </c>
      <c r="AB52" s="238">
        <f>INDIRECT("'Закуп'!z" &amp; A52)</f>
        <v/>
      </c>
      <c r="AC52" s="223">
        <f>SUBSTITUTE(INDEX(F:F, ROUNDUP((ROW(A51))/5,0)*5 - 3), "х", "x")</f>
        <v/>
      </c>
      <c r="AD52" s="222">
        <f>SUBSTITUTE(INDEX(F:F, ROUNDUP((ROW(A51))/5,0)*5 - 3), "х", "x") &amp; " - " &amp; SUBSTITUTE(SUBSTITUTE(INDEX(F:F, ROUNDUP((ROW(A51))/5,0)*5 - 3), "х", "*"), "x", "*") &amp; " мм"</f>
        <v/>
      </c>
      <c r="AE52" t="n">
        <v>3.55</v>
      </c>
    </row>
    <row r="53">
      <c r="B53" s="47" t="n">
        <v>12</v>
      </c>
      <c r="C53" s="118">
        <f>INDIRECT("'Закуп'!A" &amp; B53)</f>
        <v/>
      </c>
      <c r="D53" s="119">
        <f>C53*1.2</f>
        <v/>
      </c>
      <c r="G53" s="172">
        <f>IF(INDIRECT("'Закуп'!L" &amp; B53)="Sale","Sale","")</f>
        <v/>
      </c>
      <c r="H53" s="158">
        <f>IF(INDIRECT("'Закуп'!F" &amp; B53)=0,"",INDIRECT("'Закуп'!F" &amp; B53))</f>
        <v/>
      </c>
      <c r="I53" s="120" t="n">
        <v>100</v>
      </c>
      <c r="J53" s="121">
        <f>K53/1.2</f>
        <v/>
      </c>
      <c r="K53" s="242" t="n">
        <v>2.49</v>
      </c>
      <c r="L53" s="122">
        <f>J53-C53-(J53-C53)*0.2</f>
        <v/>
      </c>
      <c r="M53" s="123">
        <f>L53*I53</f>
        <v/>
      </c>
      <c r="N53" s="124" t="inlineStr">
        <is>
          <t xml:space="preserve">100-290 шт - </t>
        </is>
      </c>
      <c r="O53" s="47" t="inlineStr">
        <is>
          <t xml:space="preserve"> руб / шт с НДС</t>
        </is>
      </c>
      <c r="P53" s="125">
        <f>ROUND(K53,2)</f>
        <v/>
      </c>
      <c r="Q53" s="207">
        <f>CONCATENATE(N53,P53,O53,)</f>
        <v/>
      </c>
      <c r="R53" s="240" t="n"/>
      <c r="T53" s="241" t="n"/>
      <c r="U53" s="240" t="n"/>
      <c r="V53" s="241" t="n"/>
      <c r="Z53" s="240" t="n"/>
      <c r="AB53" s="241" t="n"/>
      <c r="AC53" s="240" t="n"/>
      <c r="AD53" s="241" t="n"/>
      <c r="AE53" t="n">
        <v>3.22</v>
      </c>
    </row>
    <row r="54">
      <c r="B54" s="47" t="n">
        <v>12</v>
      </c>
      <c r="C54" s="118">
        <f>INDIRECT("'Закуп'!A" &amp; B54)</f>
        <v/>
      </c>
      <c r="D54" s="119">
        <f>C54*1.2</f>
        <v/>
      </c>
      <c r="G54" s="172">
        <f>IF(INDIRECT("'Закуп'!L" &amp; B54)="Sale","Sale","")</f>
        <v/>
      </c>
      <c r="H54" s="158">
        <f>IF(INDIRECT("'Закуп'!F" &amp; B54)=0,"",INDIRECT("'Закуп'!F" &amp; B54))</f>
        <v/>
      </c>
      <c r="I54" s="120" t="n">
        <v>300</v>
      </c>
      <c r="J54" s="121">
        <f>K54/1.2</f>
        <v/>
      </c>
      <c r="K54" s="242" t="n">
        <v>2.14</v>
      </c>
      <c r="L54" s="122">
        <f>J54-C54-(J54-C54)*0.2</f>
        <v/>
      </c>
      <c r="M54" s="123">
        <f>L54*I54</f>
        <v/>
      </c>
      <c r="N54" s="124" t="inlineStr">
        <is>
          <t xml:space="preserve">300-490 шт - </t>
        </is>
      </c>
      <c r="O54" s="47" t="inlineStr">
        <is>
          <t xml:space="preserve"> руб / шт с НДС</t>
        </is>
      </c>
      <c r="P54" s="125">
        <f>ROUND(K54,2)</f>
        <v/>
      </c>
      <c r="Q54" s="207">
        <f>CONCATENATE(N54,P54,O54,)</f>
        <v/>
      </c>
      <c r="R54" s="240" t="n"/>
      <c r="T54" s="241" t="n"/>
      <c r="U54" s="240" t="n"/>
      <c r="V54" s="241" t="n"/>
      <c r="Z54" s="240" t="n"/>
      <c r="AB54" s="241" t="n"/>
      <c r="AC54" s="240" t="n"/>
      <c r="AD54" s="241" t="n"/>
      <c r="AE54" t="n">
        <v>2.89</v>
      </c>
    </row>
    <row r="55">
      <c r="B55" s="47" t="n">
        <v>12</v>
      </c>
      <c r="C55" s="118">
        <f>INDIRECT("'Закуп'!A" &amp; B55)</f>
        <v/>
      </c>
      <c r="D55" s="119">
        <f>C55*1.2</f>
        <v/>
      </c>
      <c r="G55" s="172">
        <f>IF(INDIRECT("'Закуп'!L" &amp; B55)="Sale","Sale","")</f>
        <v/>
      </c>
      <c r="H55" s="158">
        <f>IF(INDIRECT("'Закуп'!F" &amp; B55)=0,"",INDIRECT("'Закуп'!F" &amp; B55))</f>
        <v/>
      </c>
      <c r="I55" s="120" t="n">
        <v>500</v>
      </c>
      <c r="J55" s="121">
        <f>K55/1.2</f>
        <v/>
      </c>
      <c r="K55" s="242" t="n">
        <v>2.03</v>
      </c>
      <c r="L55" s="122">
        <f>J55-C55-(J55-C55)*0.2</f>
        <v/>
      </c>
      <c r="M55" s="123">
        <f>L55*I55</f>
        <v/>
      </c>
      <c r="N55" s="124" t="inlineStr">
        <is>
          <t xml:space="preserve">500-990 шт - </t>
        </is>
      </c>
      <c r="O55" s="47" t="inlineStr">
        <is>
          <t xml:space="preserve"> руб / шт с НДС</t>
        </is>
      </c>
      <c r="P55" s="125">
        <f>ROUND(K55,2)</f>
        <v/>
      </c>
      <c r="Q55" s="207">
        <f>CONCATENATE(N55,P55,O55,)</f>
        <v/>
      </c>
      <c r="R55" s="240" t="n"/>
      <c r="T55" s="241" t="n"/>
      <c r="U55" s="240" t="n"/>
      <c r="V55" s="241" t="n"/>
      <c r="Z55" s="240" t="n"/>
      <c r="AB55" s="241" t="n"/>
      <c r="AC55" s="240" t="n"/>
      <c r="AD55" s="241" t="n"/>
      <c r="AE55" t="n">
        <v>2.71</v>
      </c>
    </row>
    <row r="56">
      <c r="B56" s="47" t="n">
        <v>12</v>
      </c>
      <c r="C56" s="118">
        <f>INDIRECT("'Закуп'!A" &amp; B56)</f>
        <v/>
      </c>
      <c r="D56" s="119">
        <f>C56*1.2</f>
        <v/>
      </c>
      <c r="G56" s="172">
        <f>IF(INDIRECT("'Закуп'!L" &amp; B56)="Sale","Sale","")</f>
        <v/>
      </c>
      <c r="H56" s="158">
        <f>IF(INDIRECT("'Закуп'!F" &amp; B56)=0,"",INDIRECT("'Закуп'!F" &amp; B56))</f>
        <v/>
      </c>
      <c r="I56" s="120" t="n">
        <v>1000</v>
      </c>
      <c r="J56" s="121">
        <f>K56/1.2</f>
        <v/>
      </c>
      <c r="K56" s="242" t="n">
        <v>1.96</v>
      </c>
      <c r="L56" s="122">
        <f>J56-C56-(J56-C56)*0.2</f>
        <v/>
      </c>
      <c r="M56" s="123">
        <f>L56*I56</f>
        <v/>
      </c>
      <c r="N56" s="124" t="inlineStr">
        <is>
          <t xml:space="preserve">1000 + шт - </t>
        </is>
      </c>
      <c r="O56" s="47" t="inlineStr">
        <is>
          <t xml:space="preserve"> руб / шт с НДС</t>
        </is>
      </c>
      <c r="P56" s="125">
        <f>ROUND(K56,2)</f>
        <v/>
      </c>
      <c r="Q56" s="207">
        <f>CONCATENATE(N56,P56,O56,)</f>
        <v/>
      </c>
      <c r="R56" s="240" t="n"/>
      <c r="T56" s="241" t="n"/>
      <c r="U56" s="240" t="n"/>
      <c r="V56" s="241" t="n"/>
      <c r="Z56" s="240" t="n"/>
      <c r="AB56" s="241" t="n"/>
      <c r="AC56" s="240" t="n"/>
      <c r="AD56" s="241" t="n"/>
      <c r="AE56" t="n">
        <v>2.55</v>
      </c>
    </row>
    <row r="57">
      <c r="A57" s="232" t="n">
        <v>13</v>
      </c>
      <c r="B57" s="47" t="n">
        <v>13</v>
      </c>
      <c r="C57" s="118">
        <f>INDIRECT("'Закуп'!A" &amp; B57)</f>
        <v/>
      </c>
      <c r="D57" s="119">
        <f>C57*1.2</f>
        <v/>
      </c>
      <c r="E57" s="224">
        <f>INDIRECT("'Закуп'!D" &amp; A57)</f>
        <v/>
      </c>
      <c r="F57" s="231">
        <f>INDIRECT("'Закуп'!E" &amp; B57)</f>
        <v/>
      </c>
      <c r="G57" s="172">
        <f>IF(INDIRECT("'Закуп'!L" &amp; B57)="Sale","Sale","")</f>
        <v/>
      </c>
      <c r="H57" s="158">
        <f>IF(INDIRECT("'Закуп'!F" &amp; B57)=0,"",INDIRECT("'Закуп'!F" &amp; B57))</f>
        <v/>
      </c>
      <c r="I57" s="120" t="n">
        <v>50</v>
      </c>
      <c r="J57" s="121">
        <f>K57/1.2</f>
        <v/>
      </c>
      <c r="K57" s="242" t="n">
        <v>3.65</v>
      </c>
      <c r="L57" s="122">
        <f>J57-C57-(J57-C57)*0.2</f>
        <v/>
      </c>
      <c r="M57" s="123">
        <f>L57*I57</f>
        <v/>
      </c>
      <c r="N57" s="124" t="inlineStr">
        <is>
          <t xml:space="preserve">50-90 шт - </t>
        </is>
      </c>
      <c r="O57" s="47" t="inlineStr">
        <is>
          <t xml:space="preserve"> руб / шт с НДС</t>
        </is>
      </c>
      <c r="P57" s="125">
        <f>ROUND(K57,2)</f>
        <v/>
      </c>
      <c r="Q57" s="207">
        <f>CONCATENATE(N57,P57,O57,)</f>
        <v/>
      </c>
      <c r="R57" s="235">
        <f>INDIRECT("'Закуп'!k" &amp; A57)</f>
        <v/>
      </c>
      <c r="S57" s="239">
        <f>INDIRECT("'Закуп'!o" &amp; A57)</f>
        <v/>
      </c>
      <c r="T57" s="226">
        <f>INDIRECT("'Закуп'!p" &amp; A57)</f>
        <v/>
      </c>
      <c r="U57" s="235">
        <f>INDIRECT("'Закуп'!v" &amp; A57)</f>
        <v/>
      </c>
      <c r="V57" s="222">
        <f>INDIRECT("'Закуп'!w" &amp; A57)</f>
        <v/>
      </c>
      <c r="W57" s="229">
        <f>INDIRECT("'Закуп'!H" &amp; A57)</f>
        <v/>
      </c>
      <c r="X57" s="237">
        <f>INDIRECT("'Закуп'!g" &amp; A57)</f>
        <v/>
      </c>
      <c r="Y57" s="229">
        <f>INDIRECT("'Закуп'!i" &amp; A57)</f>
        <v/>
      </c>
      <c r="Z57" s="236">
        <f>INDIRECT("'Закуп'!x" &amp; A57)</f>
        <v/>
      </c>
      <c r="AA57" s="237">
        <f>INDIRECT("'Закуп'!y" &amp; A57)</f>
        <v/>
      </c>
      <c r="AB57" s="238">
        <f>INDIRECT("'Закуп'!z" &amp; A57)</f>
        <v/>
      </c>
      <c r="AC57" s="223">
        <f>SUBSTITUTE(INDEX(F:F, ROUNDUP((ROW(A56))/5,0)*5 - 3), "х", "x")</f>
        <v/>
      </c>
      <c r="AD57" s="222">
        <f>SUBSTITUTE(INDEX(F:F, ROUNDUP((ROW(A56))/5,0)*5 - 3), "х", "x") &amp; " - " &amp; SUBSTITUTE(SUBSTITUTE(INDEX(F:F, ROUNDUP((ROW(A56))/5,0)*5 - 3), "х", "*"), "x", "*") &amp; " мм"</f>
        <v/>
      </c>
      <c r="AE57" t="n">
        <v>4.48</v>
      </c>
    </row>
    <row r="58">
      <c r="B58" s="47" t="n">
        <v>13</v>
      </c>
      <c r="C58" s="118">
        <f>INDIRECT("'Закуп'!A" &amp; B58)</f>
        <v/>
      </c>
      <c r="D58" s="119">
        <f>C58*1.2</f>
        <v/>
      </c>
      <c r="G58" s="172">
        <f>IF(INDIRECT("'Закуп'!L" &amp; B58)="Sale","Sale","")</f>
        <v/>
      </c>
      <c r="H58" s="158">
        <f>IF(INDIRECT("'Закуп'!F" &amp; B58)=0,"",INDIRECT("'Закуп'!F" &amp; B58))</f>
        <v/>
      </c>
      <c r="I58" s="120" t="n">
        <v>100</v>
      </c>
      <c r="J58" s="121">
        <f>K58/1.2</f>
        <v/>
      </c>
      <c r="K58" s="242" t="n">
        <v>3.14</v>
      </c>
      <c r="L58" s="122">
        <f>J58-C58-(J58-C58)*0.2</f>
        <v/>
      </c>
      <c r="M58" s="123">
        <f>L58*I58</f>
        <v/>
      </c>
      <c r="N58" s="124" t="inlineStr">
        <is>
          <t xml:space="preserve">100-290 шт - </t>
        </is>
      </c>
      <c r="O58" s="47" t="inlineStr">
        <is>
          <t xml:space="preserve"> руб / шт с НДС</t>
        </is>
      </c>
      <c r="P58" s="125">
        <f>ROUND(K58,2)</f>
        <v/>
      </c>
      <c r="Q58" s="207">
        <f>CONCATENATE(N58,P58,O58,)</f>
        <v/>
      </c>
      <c r="R58" s="240" t="n"/>
      <c r="T58" s="241" t="n"/>
      <c r="U58" s="240" t="n"/>
      <c r="V58" s="241" t="n"/>
      <c r="Z58" s="240" t="n"/>
      <c r="AB58" s="241" t="n"/>
      <c r="AC58" s="240" t="n"/>
      <c r="AD58" s="241" t="n"/>
      <c r="AE58" t="n">
        <v>4.37</v>
      </c>
    </row>
    <row r="59">
      <c r="B59" s="47" t="n">
        <v>13</v>
      </c>
      <c r="C59" s="118">
        <f>INDIRECT("'Закуп'!A" &amp; B59)</f>
        <v/>
      </c>
      <c r="D59" s="119">
        <f>C59*1.2</f>
        <v/>
      </c>
      <c r="G59" s="172">
        <f>IF(INDIRECT("'Закуп'!L" &amp; B59)="Sale","Sale","")</f>
        <v/>
      </c>
      <c r="H59" s="158">
        <f>IF(INDIRECT("'Закуп'!F" &amp; B59)=0,"",INDIRECT("'Закуп'!F" &amp; B59))</f>
        <v/>
      </c>
      <c r="I59" s="120" t="n">
        <v>300</v>
      </c>
      <c r="J59" s="121">
        <f>K59/1.2</f>
        <v/>
      </c>
      <c r="K59" s="242" t="n">
        <v>2.69</v>
      </c>
      <c r="L59" s="122">
        <f>J59-C59-(J59-C59)*0.2</f>
        <v/>
      </c>
      <c r="M59" s="123">
        <f>L59*I59</f>
        <v/>
      </c>
      <c r="N59" s="124" t="inlineStr">
        <is>
          <t xml:space="preserve">300-490 шт - </t>
        </is>
      </c>
      <c r="O59" s="47" t="inlineStr">
        <is>
          <t xml:space="preserve"> руб / шт с НДС</t>
        </is>
      </c>
      <c r="P59" s="125">
        <f>ROUND(K59,2)</f>
        <v/>
      </c>
      <c r="Q59" s="207">
        <f>CONCATENATE(N59,P59,O59,)</f>
        <v/>
      </c>
      <c r="R59" s="240" t="n"/>
      <c r="T59" s="241" t="n"/>
      <c r="U59" s="240" t="n"/>
      <c r="V59" s="241" t="n"/>
      <c r="Z59" s="240" t="n"/>
      <c r="AB59" s="241" t="n"/>
      <c r="AC59" s="240" t="n"/>
      <c r="AD59" s="241" t="n"/>
      <c r="AE59" t="n">
        <v>3.58</v>
      </c>
    </row>
    <row r="60">
      <c r="B60" s="47" t="n">
        <v>13</v>
      </c>
      <c r="C60" s="118">
        <f>INDIRECT("'Закуп'!A" &amp; B60)</f>
        <v/>
      </c>
      <c r="D60" s="119">
        <f>C60*1.2</f>
        <v/>
      </c>
      <c r="G60" s="172">
        <f>IF(INDIRECT("'Закуп'!L" &amp; B60)="Sale","Sale","")</f>
        <v/>
      </c>
      <c r="H60" s="158">
        <f>IF(INDIRECT("'Закуп'!F" &amp; B60)=0,"",INDIRECT("'Закуп'!F" &amp; B60))</f>
        <v/>
      </c>
      <c r="I60" s="120" t="n">
        <v>500</v>
      </c>
      <c r="J60" s="121">
        <f>K60/1.2</f>
        <v/>
      </c>
      <c r="K60" s="242" t="n">
        <v>2.55</v>
      </c>
      <c r="L60" s="122">
        <f>J60-C60-(J60-C60)*0.2</f>
        <v/>
      </c>
      <c r="M60" s="123">
        <f>L60*I60</f>
        <v/>
      </c>
      <c r="N60" s="124" t="inlineStr">
        <is>
          <t xml:space="preserve">500-990 шт - </t>
        </is>
      </c>
      <c r="O60" s="47" t="inlineStr">
        <is>
          <t xml:space="preserve"> руб / шт с НДС</t>
        </is>
      </c>
      <c r="P60" s="125">
        <f>ROUND(K60,2)</f>
        <v/>
      </c>
      <c r="Q60" s="207">
        <f>CONCATENATE(N60,P60,O60,)</f>
        <v/>
      </c>
      <c r="R60" s="240" t="n"/>
      <c r="T60" s="241" t="n"/>
      <c r="U60" s="240" t="n"/>
      <c r="V60" s="241" t="n"/>
      <c r="Z60" s="240" t="n"/>
      <c r="AB60" s="241" t="n"/>
      <c r="AC60" s="240" t="n"/>
      <c r="AD60" s="241" t="n"/>
      <c r="AE60" t="n">
        <v>3.53</v>
      </c>
    </row>
    <row r="61">
      <c r="B61" s="47" t="n">
        <v>13</v>
      </c>
      <c r="C61" s="118">
        <f>INDIRECT("'Закуп'!A" &amp; B61)</f>
        <v/>
      </c>
      <c r="D61" s="119">
        <f>C61*1.2</f>
        <v/>
      </c>
      <c r="G61" s="172">
        <f>IF(INDIRECT("'Закуп'!L" &amp; B61)="Sale","Sale","")</f>
        <v/>
      </c>
      <c r="H61" s="158">
        <f>IF(INDIRECT("'Закуп'!F" &amp; B61)=0,"",INDIRECT("'Закуп'!F" &amp; B61))</f>
        <v/>
      </c>
      <c r="I61" s="120" t="n">
        <v>1000</v>
      </c>
      <c r="J61" s="121">
        <f>K61/1.2</f>
        <v/>
      </c>
      <c r="K61" s="242" t="n">
        <v>2.47</v>
      </c>
      <c r="L61" s="122">
        <f>J61-C61-(J61-C61)*0.2</f>
        <v/>
      </c>
      <c r="M61" s="123">
        <f>L61*I61</f>
        <v/>
      </c>
      <c r="N61" s="124" t="inlineStr">
        <is>
          <t xml:space="preserve">1000 + шт - </t>
        </is>
      </c>
      <c r="O61" s="47" t="inlineStr">
        <is>
          <t xml:space="preserve"> руб / шт с НДС</t>
        </is>
      </c>
      <c r="P61" s="125">
        <f>ROUND(K61,2)</f>
        <v/>
      </c>
      <c r="Q61" s="207">
        <f>CONCATENATE(N61,P61,O61,)</f>
        <v/>
      </c>
      <c r="R61" s="240" t="n"/>
      <c r="T61" s="241" t="n"/>
      <c r="U61" s="240" t="n"/>
      <c r="V61" s="241" t="n"/>
      <c r="Z61" s="240" t="n"/>
      <c r="AB61" s="241" t="n"/>
      <c r="AC61" s="240" t="n"/>
      <c r="AD61" s="241" t="n"/>
      <c r="AE61" t="n">
        <v>3.41</v>
      </c>
    </row>
    <row r="62">
      <c r="A62" s="232" t="n">
        <v>14</v>
      </c>
      <c r="B62" s="47" t="n">
        <v>14</v>
      </c>
      <c r="C62" s="118">
        <f>INDIRECT("'Закуп'!A" &amp; B62)</f>
        <v/>
      </c>
      <c r="D62" s="119">
        <f>C62*1.2</f>
        <v/>
      </c>
      <c r="E62" s="224">
        <f>INDIRECT("'Закуп'!D" &amp; A62)</f>
        <v/>
      </c>
      <c r="F62" s="231">
        <f>INDIRECT("'Закуп'!E" &amp; B62)</f>
        <v/>
      </c>
      <c r="G62" s="172">
        <f>IF(INDIRECT("'Закуп'!L" &amp; B62)="Sale","Sale","")</f>
        <v/>
      </c>
      <c r="H62" s="158">
        <f>IF(INDIRECT("'Закуп'!F" &amp; B62)=0,"",INDIRECT("'Закуп'!F" &amp; B62))</f>
        <v/>
      </c>
      <c r="I62" s="120" t="n">
        <v>50</v>
      </c>
      <c r="J62" s="121">
        <f>K62/1.2</f>
        <v/>
      </c>
      <c r="K62" s="70" t="n">
        <v>1.02</v>
      </c>
      <c r="L62" s="122">
        <f>J62-C62-(J62-C62)*0.2</f>
        <v/>
      </c>
      <c r="M62" s="123">
        <f>L62*I62</f>
        <v/>
      </c>
      <c r="N62" s="124" t="inlineStr">
        <is>
          <t xml:space="preserve">50-90 шт - </t>
        </is>
      </c>
      <c r="O62" s="47" t="inlineStr">
        <is>
          <t xml:space="preserve"> руб / шт с НДС</t>
        </is>
      </c>
      <c r="P62" s="125">
        <f>ROUND(K62,2)</f>
        <v/>
      </c>
      <c r="Q62" s="207">
        <f>CONCATENATE(N62,P62,O62,)</f>
        <v/>
      </c>
      <c r="R62" s="235">
        <f>INDIRECT("'Закуп'!k" &amp; A62)</f>
        <v/>
      </c>
      <c r="S62" s="239">
        <f>INDIRECT("'Закуп'!o" &amp; A62)</f>
        <v/>
      </c>
      <c r="T62" s="226">
        <f>INDIRECT("'Закуп'!p" &amp; A62)</f>
        <v/>
      </c>
      <c r="U62" s="235">
        <f>INDIRECT("'Закуп'!v" &amp; A62)</f>
        <v/>
      </c>
      <c r="V62" s="222">
        <f>INDIRECT("'Закуп'!w" &amp; A62)</f>
        <v/>
      </c>
      <c r="W62" s="229">
        <f>INDIRECT("'Закуп'!H" &amp; A62)</f>
        <v/>
      </c>
      <c r="X62" s="237">
        <f>INDIRECT("'Закуп'!g" &amp; A62)</f>
        <v/>
      </c>
      <c r="Y62" s="229">
        <f>INDIRECT("'Закуп'!i" &amp; A62)</f>
        <v/>
      </c>
      <c r="Z62" s="236">
        <f>INDIRECT("'Закуп'!x" &amp; A62)</f>
        <v/>
      </c>
      <c r="AA62" s="237">
        <f>INDIRECT("'Закуп'!y" &amp; A62)</f>
        <v/>
      </c>
      <c r="AB62" s="238">
        <f>INDIRECT("'Закуп'!z" &amp; A62)</f>
        <v/>
      </c>
      <c r="AC62" s="223">
        <f>SUBSTITUTE(INDEX(F:F, ROUNDUP((ROW(A61))/5,0)*5 - 3), "х", "x")</f>
        <v/>
      </c>
      <c r="AD62" s="222">
        <f>SUBSTITUTE(INDEX(F:F, ROUNDUP((ROW(A61))/5,0)*5 - 3), "х", "x") &amp; " - " &amp; SUBSTITUTE(SUBSTITUTE(INDEX(F:F, ROUNDUP((ROW(A61))/5,0)*5 - 3), "х", "*"), "x", "*") &amp; " мм"</f>
        <v/>
      </c>
    </row>
    <row r="63">
      <c r="B63" s="47" t="n">
        <v>14</v>
      </c>
      <c r="C63" s="118">
        <f>INDIRECT("'Закуп'!A" &amp; B63)</f>
        <v/>
      </c>
      <c r="D63" s="119">
        <f>C63*1.2</f>
        <v/>
      </c>
      <c r="G63" s="172">
        <f>IF(INDIRECT("'Закуп'!L" &amp; B63)="Sale","Sale","")</f>
        <v/>
      </c>
      <c r="H63" s="158">
        <f>IF(INDIRECT("'Закуп'!F" &amp; B63)=0,"",INDIRECT("'Закуп'!F" &amp; B63))</f>
        <v/>
      </c>
      <c r="I63" s="120" t="n">
        <v>100</v>
      </c>
      <c r="J63" s="121">
        <f>K63/1.2</f>
        <v/>
      </c>
      <c r="K63" s="70" t="n">
        <v>0.86</v>
      </c>
      <c r="L63" s="122">
        <f>J63-C63-(J63-C63)*0.2</f>
        <v/>
      </c>
      <c r="M63" s="123">
        <f>L63*I63</f>
        <v/>
      </c>
      <c r="N63" s="124" t="inlineStr">
        <is>
          <t xml:space="preserve">100-290 шт - </t>
        </is>
      </c>
      <c r="O63" s="47" t="inlineStr">
        <is>
          <t xml:space="preserve"> руб / шт с НДС</t>
        </is>
      </c>
      <c r="P63" s="125">
        <f>ROUND(K63,2)</f>
        <v/>
      </c>
      <c r="Q63" s="207">
        <f>CONCATENATE(N63,P63,O63,)</f>
        <v/>
      </c>
      <c r="R63" s="240" t="n"/>
      <c r="T63" s="241" t="n"/>
      <c r="U63" s="240" t="n"/>
      <c r="V63" s="241" t="n"/>
      <c r="Z63" s="240" t="n"/>
      <c r="AB63" s="241" t="n"/>
      <c r="AC63" s="240" t="n"/>
      <c r="AD63" s="241" t="n"/>
    </row>
    <row r="64">
      <c r="B64" s="47" t="n">
        <v>14</v>
      </c>
      <c r="C64" s="118">
        <f>INDIRECT("'Закуп'!A" &amp; B64)</f>
        <v/>
      </c>
      <c r="D64" s="119">
        <f>C64*1.2</f>
        <v/>
      </c>
      <c r="G64" s="172">
        <f>IF(INDIRECT("'Закуп'!L" &amp; B64)="Sale","Sale","")</f>
        <v/>
      </c>
      <c r="H64" s="158">
        <f>IF(INDIRECT("'Закуп'!F" &amp; B64)=0,"",INDIRECT("'Закуп'!F" &amp; B64))</f>
        <v/>
      </c>
      <c r="I64" s="120" t="n">
        <v>300</v>
      </c>
      <c r="J64" s="121">
        <f>K64/1.2</f>
        <v/>
      </c>
      <c r="K64" s="70" t="n">
        <v>0.75</v>
      </c>
      <c r="L64" s="122">
        <f>J64-C64-(J64-C64)*0.2</f>
        <v/>
      </c>
      <c r="M64" s="123">
        <f>L64*I64</f>
        <v/>
      </c>
      <c r="N64" s="124" t="inlineStr">
        <is>
          <t xml:space="preserve">300-490 шт - </t>
        </is>
      </c>
      <c r="O64" s="47" t="inlineStr">
        <is>
          <t xml:space="preserve"> руб / шт с НДС</t>
        </is>
      </c>
      <c r="P64" s="125">
        <f>ROUND(K64,2)</f>
        <v/>
      </c>
      <c r="Q64" s="207">
        <f>CONCATENATE(N64,P64,O64,)</f>
        <v/>
      </c>
      <c r="R64" s="240" t="n"/>
      <c r="T64" s="241" t="n"/>
      <c r="U64" s="240" t="n"/>
      <c r="V64" s="241" t="n"/>
      <c r="Z64" s="240" t="n"/>
      <c r="AB64" s="241" t="n"/>
      <c r="AC64" s="240" t="n"/>
      <c r="AD64" s="241" t="n"/>
    </row>
    <row r="65">
      <c r="B65" s="47" t="n">
        <v>14</v>
      </c>
      <c r="C65" s="118">
        <f>INDIRECT("'Закуп'!A" &amp; B65)</f>
        <v/>
      </c>
      <c r="D65" s="119">
        <f>C65*1.2</f>
        <v/>
      </c>
      <c r="G65" s="172">
        <f>IF(INDIRECT("'Закуп'!L" &amp; B65)="Sale","Sale","")</f>
        <v/>
      </c>
      <c r="H65" s="158">
        <f>IF(INDIRECT("'Закуп'!F" &amp; B65)=0,"",INDIRECT("'Закуп'!F" &amp; B65))</f>
        <v/>
      </c>
      <c r="I65" s="120" t="n">
        <v>500</v>
      </c>
      <c r="J65" s="121">
        <f>K65/1.2</f>
        <v/>
      </c>
      <c r="K65" s="70" t="n">
        <v>0.59</v>
      </c>
      <c r="L65" s="122">
        <f>J65-C65-(J65-C65)*0.2</f>
        <v/>
      </c>
      <c r="M65" s="123">
        <f>L65*I65</f>
        <v/>
      </c>
      <c r="N65" s="124" t="inlineStr">
        <is>
          <t xml:space="preserve">500-990 шт - </t>
        </is>
      </c>
      <c r="O65" s="47" t="inlineStr">
        <is>
          <t xml:space="preserve"> руб / шт с НДС</t>
        </is>
      </c>
      <c r="P65" s="125">
        <f>ROUND(K65,2)</f>
        <v/>
      </c>
      <c r="Q65" s="207">
        <f>CONCATENATE(N65,P65,O65,)</f>
        <v/>
      </c>
      <c r="R65" s="240" t="n"/>
      <c r="T65" s="241" t="n"/>
      <c r="U65" s="240" t="n"/>
      <c r="V65" s="241" t="n"/>
      <c r="Z65" s="240" t="n"/>
      <c r="AB65" s="241" t="n"/>
      <c r="AC65" s="240" t="n"/>
      <c r="AD65" s="241" t="n"/>
    </row>
    <row r="66">
      <c r="B66" s="47" t="n">
        <v>14</v>
      </c>
      <c r="C66" s="118">
        <f>INDIRECT("'Закуп'!A" &amp; B66)</f>
        <v/>
      </c>
      <c r="D66" s="119">
        <f>C66*1.2</f>
        <v/>
      </c>
      <c r="G66" s="172">
        <f>IF(INDIRECT("'Закуп'!L" &amp; B66)="Sale","Sale","")</f>
        <v/>
      </c>
      <c r="H66" s="158">
        <f>IF(INDIRECT("'Закуп'!F" &amp; B66)=0,"",INDIRECT("'Закуп'!F" &amp; B66))</f>
        <v/>
      </c>
      <c r="I66" s="120" t="n">
        <v>1000</v>
      </c>
      <c r="J66" s="121">
        <f>K66/1.2</f>
        <v/>
      </c>
      <c r="K66" s="70" t="n">
        <v>0.54</v>
      </c>
      <c r="L66" s="122">
        <f>J66-C66-(J66-C66)*0.2</f>
        <v/>
      </c>
      <c r="M66" s="123">
        <f>L66*I66</f>
        <v/>
      </c>
      <c r="N66" s="124" t="inlineStr">
        <is>
          <t xml:space="preserve">1000 + шт - </t>
        </is>
      </c>
      <c r="O66" s="47" t="inlineStr">
        <is>
          <t xml:space="preserve"> руб / шт с НДС</t>
        </is>
      </c>
      <c r="P66" s="125">
        <f>ROUND(K66,2)</f>
        <v/>
      </c>
      <c r="Q66" s="207">
        <f>CONCATENATE(N66,P66,O66,)</f>
        <v/>
      </c>
      <c r="R66" s="240" t="n"/>
      <c r="T66" s="241" t="n"/>
      <c r="U66" s="240" t="n"/>
      <c r="V66" s="241" t="n"/>
      <c r="Z66" s="240" t="n"/>
      <c r="AB66" s="241" t="n"/>
      <c r="AC66" s="240" t="n"/>
      <c r="AD66" s="241" t="n"/>
    </row>
    <row r="67">
      <c r="A67" s="232" t="n">
        <v>15</v>
      </c>
      <c r="B67" s="47" t="n">
        <v>15</v>
      </c>
      <c r="C67" s="118">
        <f>INDIRECT("'Закуп'!A" &amp; B67)</f>
        <v/>
      </c>
      <c r="D67" s="119">
        <f>C67*1.2</f>
        <v/>
      </c>
      <c r="E67" s="224">
        <f>INDIRECT("'Закуп'!D" &amp; A67)</f>
        <v/>
      </c>
      <c r="F67" s="231">
        <f>INDIRECT("'Закуп'!E" &amp; B67)</f>
        <v/>
      </c>
      <c r="G67" s="172">
        <f>IF(INDIRECT("'Закуп'!L" &amp; B67)="Sale","Sale","")</f>
        <v/>
      </c>
      <c r="H67" s="158">
        <f>IF(INDIRECT("'Закуп'!F" &amp; B67)=0,"",INDIRECT("'Закуп'!F" &amp; B67))</f>
        <v/>
      </c>
      <c r="I67" s="120" t="n">
        <v>50</v>
      </c>
      <c r="J67" s="121">
        <f>K67/1.2</f>
        <v/>
      </c>
      <c r="K67" s="70" t="n">
        <v>1.18</v>
      </c>
      <c r="L67" s="122">
        <f>J67-C67-(J67-C67)*0.2</f>
        <v/>
      </c>
      <c r="M67" s="123">
        <f>L67*I67</f>
        <v/>
      </c>
      <c r="N67" s="124" t="inlineStr">
        <is>
          <t xml:space="preserve">50-90 шт - </t>
        </is>
      </c>
      <c r="O67" s="47" t="inlineStr">
        <is>
          <t xml:space="preserve"> руб / шт с НДС</t>
        </is>
      </c>
      <c r="P67" s="125">
        <f>ROUND(K67,2)</f>
        <v/>
      </c>
      <c r="Q67" s="207">
        <f>CONCATENATE(N67,P67,O67,)</f>
        <v/>
      </c>
      <c r="R67" s="235">
        <f>INDIRECT("'Закуп'!k" &amp; A67)</f>
        <v/>
      </c>
      <c r="S67" s="239">
        <f>INDIRECT("'Закуп'!o" &amp; A67)</f>
        <v/>
      </c>
      <c r="T67" s="226">
        <f>INDIRECT("'Закуп'!p" &amp; A67)</f>
        <v/>
      </c>
      <c r="U67" s="235">
        <f>INDIRECT("'Закуп'!v" &amp; A67)</f>
        <v/>
      </c>
      <c r="V67" s="222">
        <f>INDIRECT("'Закуп'!w" &amp; A67)</f>
        <v/>
      </c>
      <c r="W67" s="229">
        <f>INDIRECT("'Закуп'!H" &amp; A67)</f>
        <v/>
      </c>
      <c r="X67" s="237">
        <f>INDIRECT("'Закуп'!g" &amp; A67)</f>
        <v/>
      </c>
      <c r="Y67" s="229">
        <f>INDIRECT("'Закуп'!i" &amp; A67)</f>
        <v/>
      </c>
      <c r="Z67" s="236">
        <f>INDIRECT("'Закуп'!x" &amp; A67)</f>
        <v/>
      </c>
      <c r="AA67" s="237">
        <f>INDIRECT("'Закуп'!y" &amp; A67)</f>
        <v/>
      </c>
      <c r="AB67" s="238">
        <f>INDIRECT("'Закуп'!z" &amp; A67)</f>
        <v/>
      </c>
      <c r="AC67" s="223">
        <f>SUBSTITUTE(INDEX(F:F, ROUNDUP((ROW(A66))/5,0)*5 - 3), "х", "x")</f>
        <v/>
      </c>
      <c r="AD67" s="222">
        <f>SUBSTITUTE(INDEX(F:F, ROUNDUP((ROW(A66))/5,0)*5 - 3), "х", "x") &amp; " - " &amp; SUBSTITUTE(SUBSTITUTE(INDEX(F:F, ROUNDUP((ROW(A66))/5,0)*5 - 3), "х", "*"), "x", "*") &amp; " мм"</f>
        <v/>
      </c>
    </row>
    <row r="68">
      <c r="B68" s="47" t="n">
        <v>15</v>
      </c>
      <c r="C68" s="118">
        <f>INDIRECT("'Закуп'!A" &amp; B68)</f>
        <v/>
      </c>
      <c r="D68" s="119">
        <f>C68*1.2</f>
        <v/>
      </c>
      <c r="G68" s="172">
        <f>IF(INDIRECT("'Закуп'!L" &amp; B68)="Sale","Sale","")</f>
        <v/>
      </c>
      <c r="H68" s="158">
        <f>IF(INDIRECT("'Закуп'!F" &amp; B68)=0,"",INDIRECT("'Закуп'!F" &amp; B68))</f>
        <v/>
      </c>
      <c r="I68" s="120" t="n">
        <v>100</v>
      </c>
      <c r="J68" s="121">
        <f>K68/1.2</f>
        <v/>
      </c>
      <c r="K68" s="70" t="n">
        <v>1.07</v>
      </c>
      <c r="L68" s="122">
        <f>J68-C68-(J68-C68)*0.2</f>
        <v/>
      </c>
      <c r="M68" s="123">
        <f>L68*I68</f>
        <v/>
      </c>
      <c r="N68" s="124" t="inlineStr">
        <is>
          <t xml:space="preserve">100-290 шт - </t>
        </is>
      </c>
      <c r="O68" s="47" t="inlineStr">
        <is>
          <t xml:space="preserve"> руб / шт с НДС</t>
        </is>
      </c>
      <c r="P68" s="125">
        <f>ROUND(K68,2)</f>
        <v/>
      </c>
      <c r="Q68" s="207">
        <f>CONCATENATE(N68,P68,O68,)</f>
        <v/>
      </c>
      <c r="R68" s="240" t="n"/>
      <c r="T68" s="241" t="n"/>
      <c r="U68" s="240" t="n"/>
      <c r="V68" s="241" t="n"/>
      <c r="Z68" s="240" t="n"/>
      <c r="AB68" s="241" t="n"/>
      <c r="AC68" s="240" t="n"/>
      <c r="AD68" s="241" t="n"/>
    </row>
    <row r="69">
      <c r="B69" s="47" t="n">
        <v>15</v>
      </c>
      <c r="C69" s="118">
        <f>INDIRECT("'Закуп'!A" &amp; B69)</f>
        <v/>
      </c>
      <c r="D69" s="119">
        <f>C69*1.2</f>
        <v/>
      </c>
      <c r="G69" s="172">
        <f>IF(INDIRECT("'Закуп'!L" &amp; B69)="Sale","Sale","")</f>
        <v/>
      </c>
      <c r="H69" s="158">
        <f>IF(INDIRECT("'Закуп'!F" &amp; B69)=0,"",INDIRECT("'Закуп'!F" &amp; B69))</f>
        <v/>
      </c>
      <c r="I69" s="120" t="n">
        <v>300</v>
      </c>
      <c r="J69" s="121">
        <f>K69/1.2</f>
        <v/>
      </c>
      <c r="K69" s="70" t="n">
        <v>0.86</v>
      </c>
      <c r="L69" s="122">
        <f>J69-C69-(J69-C69)*0.2</f>
        <v/>
      </c>
      <c r="M69" s="123">
        <f>L69*I69</f>
        <v/>
      </c>
      <c r="N69" s="124" t="inlineStr">
        <is>
          <t xml:space="preserve">300-490 шт - </t>
        </is>
      </c>
      <c r="O69" s="47" t="inlineStr">
        <is>
          <t xml:space="preserve"> руб / шт с НДС</t>
        </is>
      </c>
      <c r="P69" s="125">
        <f>ROUND(K69,2)</f>
        <v/>
      </c>
      <c r="Q69" s="207">
        <f>CONCATENATE(N69,P69,O69,)</f>
        <v/>
      </c>
      <c r="R69" s="240" t="n"/>
      <c r="T69" s="241" t="n"/>
      <c r="U69" s="240" t="n"/>
      <c r="V69" s="241" t="n"/>
      <c r="Z69" s="240" t="n"/>
      <c r="AB69" s="241" t="n"/>
      <c r="AC69" s="240" t="n"/>
      <c r="AD69" s="241" t="n"/>
    </row>
    <row r="70">
      <c r="B70" s="47" t="n">
        <v>15</v>
      </c>
      <c r="C70" s="118">
        <f>INDIRECT("'Закуп'!A" &amp; B70)</f>
        <v/>
      </c>
      <c r="D70" s="119">
        <f>C70*1.2</f>
        <v/>
      </c>
      <c r="G70" s="172">
        <f>IF(INDIRECT("'Закуп'!L" &amp; B70)="Sale","Sale","")</f>
        <v/>
      </c>
      <c r="H70" s="158">
        <f>IF(INDIRECT("'Закуп'!F" &amp; B70)=0,"",INDIRECT("'Закуп'!F" &amp; B70))</f>
        <v/>
      </c>
      <c r="I70" s="120" t="n">
        <v>500</v>
      </c>
      <c r="J70" s="121">
        <f>K70/1.2</f>
        <v/>
      </c>
      <c r="K70" s="70" t="n">
        <v>0.76</v>
      </c>
      <c r="L70" s="122">
        <f>J70-C70-(J70-C70)*0.2</f>
        <v/>
      </c>
      <c r="M70" s="123">
        <f>L70*I70</f>
        <v/>
      </c>
      <c r="N70" s="124" t="inlineStr">
        <is>
          <t xml:space="preserve">500-990 шт - </t>
        </is>
      </c>
      <c r="O70" s="47" t="inlineStr">
        <is>
          <t xml:space="preserve"> руб / шт с НДС</t>
        </is>
      </c>
      <c r="P70" s="125">
        <f>ROUND(K70,2)</f>
        <v/>
      </c>
      <c r="Q70" s="207">
        <f>CONCATENATE(N70,P70,O70,)</f>
        <v/>
      </c>
      <c r="R70" s="240" t="n"/>
      <c r="T70" s="241" t="n"/>
      <c r="U70" s="240" t="n"/>
      <c r="V70" s="241" t="n"/>
      <c r="Z70" s="240" t="n"/>
      <c r="AB70" s="241" t="n"/>
      <c r="AC70" s="240" t="n"/>
      <c r="AD70" s="241" t="n"/>
    </row>
    <row r="71">
      <c r="B71" s="47" t="n">
        <v>15</v>
      </c>
      <c r="C71" s="118">
        <f>INDIRECT("'Закуп'!A" &amp; B71)</f>
        <v/>
      </c>
      <c r="D71" s="119">
        <f>C71*1.2</f>
        <v/>
      </c>
      <c r="G71" s="172">
        <f>IF(INDIRECT("'Закуп'!L" &amp; B71)="Sale","Sale","")</f>
        <v/>
      </c>
      <c r="H71" s="158">
        <f>IF(INDIRECT("'Закуп'!F" &amp; B71)=0,"",INDIRECT("'Закуп'!F" &amp; B71))</f>
        <v/>
      </c>
      <c r="I71" s="120" t="n">
        <v>1000</v>
      </c>
      <c r="J71" s="121">
        <f>K71/1.2</f>
        <v/>
      </c>
      <c r="K71" s="70" t="n">
        <v>0.59</v>
      </c>
      <c r="L71" s="122">
        <f>J71-C71-(J71-C71)*0.2</f>
        <v/>
      </c>
      <c r="M71" s="123">
        <f>L71*I71</f>
        <v/>
      </c>
      <c r="N71" s="124" t="inlineStr">
        <is>
          <t xml:space="preserve">1000 + шт - </t>
        </is>
      </c>
      <c r="O71" s="47" t="inlineStr">
        <is>
          <t xml:space="preserve"> руб / шт с НДС</t>
        </is>
      </c>
      <c r="P71" s="125">
        <f>ROUND(K71,2)</f>
        <v/>
      </c>
      <c r="Q71" s="207">
        <f>CONCATENATE(N71,P71,O71,)</f>
        <v/>
      </c>
      <c r="R71" s="240" t="n"/>
      <c r="T71" s="241" t="n"/>
      <c r="U71" s="240" t="n"/>
      <c r="V71" s="241" t="n"/>
      <c r="Z71" s="240" t="n"/>
      <c r="AB71" s="241" t="n"/>
      <c r="AC71" s="240" t="n"/>
      <c r="AD71" s="241" t="n"/>
    </row>
    <row r="72">
      <c r="A72" s="232" t="n">
        <v>16</v>
      </c>
      <c r="B72" s="47" t="n">
        <v>16</v>
      </c>
      <c r="C72" s="118">
        <f>INDIRECT("'Закуп'!A" &amp; B72)</f>
        <v/>
      </c>
      <c r="D72" s="119">
        <f>C72*1.2</f>
        <v/>
      </c>
      <c r="E72" s="224">
        <f>INDIRECT("'Закуп'!D" &amp; A72)</f>
        <v/>
      </c>
      <c r="F72" s="231">
        <f>INDIRECT("'Закуп'!E" &amp; B72)</f>
        <v/>
      </c>
      <c r="G72" s="172">
        <f>IF(INDIRECT("'Закуп'!L" &amp; B72)="Sale","Sale","")</f>
        <v/>
      </c>
      <c r="H72" s="158">
        <f>IF(INDIRECT("'Закуп'!F" &amp; B72)=0,"",INDIRECT("'Закуп'!F" &amp; B72))</f>
        <v/>
      </c>
      <c r="I72" s="120" t="n">
        <v>50</v>
      </c>
      <c r="J72" s="121">
        <f>K72/1.2</f>
        <v/>
      </c>
      <c r="K72" s="242" t="n">
        <v>1.11</v>
      </c>
      <c r="L72" s="122">
        <f>J72-C72-(J72-C72)*0.2</f>
        <v/>
      </c>
      <c r="M72" s="123">
        <f>L72*I72</f>
        <v/>
      </c>
      <c r="N72" s="124" t="inlineStr">
        <is>
          <t xml:space="preserve">50-90 шт - </t>
        </is>
      </c>
      <c r="O72" s="47" t="inlineStr">
        <is>
          <t xml:space="preserve"> руб / шт с НДС</t>
        </is>
      </c>
      <c r="P72" s="125">
        <f>ROUND(K72,2)</f>
        <v/>
      </c>
      <c r="Q72" s="207">
        <f>CONCATENATE(N72,P72,O72,)</f>
        <v/>
      </c>
      <c r="R72" s="235">
        <f>INDIRECT("'Закуп'!k" &amp; A72)</f>
        <v/>
      </c>
      <c r="S72" s="239">
        <f>INDIRECT("'Закуп'!o" &amp; A72)</f>
        <v/>
      </c>
      <c r="T72" s="226">
        <f>INDIRECT("'Закуп'!p" &amp; A72)</f>
        <v/>
      </c>
      <c r="U72" s="235">
        <f>INDIRECT("'Закуп'!v" &amp; A72)</f>
        <v/>
      </c>
      <c r="V72" s="222">
        <f>INDIRECT("'Закуп'!w" &amp; A72)</f>
        <v/>
      </c>
      <c r="W72" s="229">
        <f>INDIRECT("'Закуп'!H" &amp; A72)</f>
        <v/>
      </c>
      <c r="X72" s="237">
        <f>INDIRECT("'Закуп'!g" &amp; A72)</f>
        <v/>
      </c>
      <c r="Y72" s="229">
        <f>INDIRECT("'Закуп'!i" &amp; A72)</f>
        <v/>
      </c>
      <c r="Z72" s="236">
        <f>INDIRECT("'Закуп'!x" &amp; A72)</f>
        <v/>
      </c>
      <c r="AA72" s="237">
        <f>INDIRECT("'Закуп'!y" &amp; A72)</f>
        <v/>
      </c>
      <c r="AB72" s="238">
        <f>INDIRECT("'Закуп'!z" &amp; A72)</f>
        <v/>
      </c>
      <c r="AC72" s="223">
        <f>SUBSTITUTE(INDEX(F:F, ROUNDUP((ROW(A71))/5,0)*5 - 3), "х", "x")</f>
        <v/>
      </c>
      <c r="AD72" s="222">
        <f>SUBSTITUTE(INDEX(F:F, ROUNDUP((ROW(A71))/5,0)*5 - 3), "х", "x") &amp; " - " &amp; SUBSTITUTE(SUBSTITUTE(INDEX(F:F, ROUNDUP((ROW(A71))/5,0)*5 - 3), "х", "*"), "x", "*") &amp; " мм"</f>
        <v/>
      </c>
      <c r="AE72" t="n">
        <v>1.53</v>
      </c>
    </row>
    <row r="73">
      <c r="B73" s="47" t="n">
        <v>16</v>
      </c>
      <c r="C73" s="118">
        <f>INDIRECT("'Закуп'!A" &amp; B73)</f>
        <v/>
      </c>
      <c r="D73" s="119">
        <f>C73*1.2</f>
        <v/>
      </c>
      <c r="G73" s="172">
        <f>IF(INDIRECT("'Закуп'!L" &amp; B73)="Sale","Sale","")</f>
        <v/>
      </c>
      <c r="H73" s="158">
        <f>IF(INDIRECT("'Закуп'!F" &amp; B73)=0,"",INDIRECT("'Закуп'!F" &amp; B73))</f>
        <v/>
      </c>
      <c r="I73" s="120" t="n">
        <v>100</v>
      </c>
      <c r="J73" s="121">
        <f>K73/1.2</f>
        <v/>
      </c>
      <c r="K73" s="242" t="n">
        <v>0.9399999999999999</v>
      </c>
      <c r="L73" s="122">
        <f>J73-C73-(J73-C73)*0.2</f>
        <v/>
      </c>
      <c r="M73" s="123">
        <f>L73*I73</f>
        <v/>
      </c>
      <c r="N73" s="124" t="inlineStr">
        <is>
          <t xml:space="preserve">100-290 шт - </t>
        </is>
      </c>
      <c r="O73" s="47" t="inlineStr">
        <is>
          <t xml:space="preserve"> руб / шт с НДС</t>
        </is>
      </c>
      <c r="P73" s="125">
        <f>ROUND(K73,2)</f>
        <v/>
      </c>
      <c r="Q73" s="207">
        <f>CONCATENATE(N73,P73,O73,)</f>
        <v/>
      </c>
      <c r="R73" s="240" t="n"/>
      <c r="T73" s="241" t="n"/>
      <c r="U73" s="240" t="n"/>
      <c r="V73" s="241" t="n"/>
      <c r="Z73" s="240" t="n"/>
      <c r="AB73" s="241" t="n"/>
      <c r="AC73" s="240" t="n"/>
      <c r="AD73" s="241" t="n"/>
      <c r="AE73" t="n">
        <v>1.39</v>
      </c>
    </row>
    <row r="74">
      <c r="B74" s="47" t="n">
        <v>16</v>
      </c>
      <c r="C74" s="118">
        <f>INDIRECT("'Закуп'!A" &amp; B74)</f>
        <v/>
      </c>
      <c r="D74" s="119">
        <f>C74*1.2</f>
        <v/>
      </c>
      <c r="G74" s="172">
        <f>IF(INDIRECT("'Закуп'!L" &amp; B74)="Sale","Sale","")</f>
        <v/>
      </c>
      <c r="H74" s="158">
        <f>IF(INDIRECT("'Закуп'!F" &amp; B74)=0,"",INDIRECT("'Закуп'!F" &amp; B74))</f>
        <v/>
      </c>
      <c r="I74" s="120" t="n">
        <v>300</v>
      </c>
      <c r="J74" s="121">
        <f>K74/1.2</f>
        <v/>
      </c>
      <c r="K74" s="242" t="n">
        <v>0.89</v>
      </c>
      <c r="L74" s="122">
        <f>J74-C74-(J74-C74)*0.2</f>
        <v/>
      </c>
      <c r="M74" s="123">
        <f>L74*I74</f>
        <v/>
      </c>
      <c r="N74" s="124" t="inlineStr">
        <is>
          <t xml:space="preserve">300-490 шт - </t>
        </is>
      </c>
      <c r="O74" s="47" t="inlineStr">
        <is>
          <t xml:space="preserve"> руб / шт с НДС</t>
        </is>
      </c>
      <c r="P74" s="125">
        <f>ROUND(K74,2)</f>
        <v/>
      </c>
      <c r="Q74" s="207">
        <f>CONCATENATE(N74,P74,O74,)</f>
        <v/>
      </c>
      <c r="R74" s="240" t="n"/>
      <c r="T74" s="241" t="n"/>
      <c r="U74" s="240" t="n"/>
      <c r="V74" s="241" t="n"/>
      <c r="Z74" s="240" t="n"/>
      <c r="AB74" s="241" t="n"/>
      <c r="AC74" s="240" t="n"/>
      <c r="AD74" s="241" t="n"/>
      <c r="AE74" t="n">
        <v>1.09</v>
      </c>
    </row>
    <row r="75">
      <c r="B75" s="47" t="n">
        <v>16</v>
      </c>
      <c r="C75" s="118">
        <f>INDIRECT("'Закуп'!A" &amp; B75)</f>
        <v/>
      </c>
      <c r="D75" s="119">
        <f>C75*1.2</f>
        <v/>
      </c>
      <c r="G75" s="172">
        <f>IF(INDIRECT("'Закуп'!L" &amp; B75)="Sale","Sale","")</f>
        <v/>
      </c>
      <c r="H75" s="158">
        <f>IF(INDIRECT("'Закуп'!F" &amp; B75)=0,"",INDIRECT("'Закуп'!F" &amp; B75))</f>
        <v/>
      </c>
      <c r="I75" s="120" t="n">
        <v>500</v>
      </c>
      <c r="J75" s="121">
        <f>K75/1.2</f>
        <v/>
      </c>
      <c r="K75" s="242" t="n">
        <v>0.84</v>
      </c>
      <c r="L75" s="122">
        <f>J75-C75-(J75-C75)*0.2</f>
        <v/>
      </c>
      <c r="M75" s="123">
        <f>L75*I75</f>
        <v/>
      </c>
      <c r="N75" s="124" t="inlineStr">
        <is>
          <t xml:space="preserve">500-990 шт - </t>
        </is>
      </c>
      <c r="O75" s="47" t="inlineStr">
        <is>
          <t xml:space="preserve"> руб / шт с НДС</t>
        </is>
      </c>
      <c r="P75" s="125">
        <f>ROUND(K75,2)</f>
        <v/>
      </c>
      <c r="Q75" s="207">
        <f>CONCATENATE(N75,P75,O75,)</f>
        <v/>
      </c>
      <c r="R75" s="240" t="n"/>
      <c r="T75" s="241" t="n"/>
      <c r="U75" s="240" t="n"/>
      <c r="V75" s="241" t="n"/>
      <c r="Z75" s="240" t="n"/>
      <c r="AB75" s="241" t="n"/>
      <c r="AC75" s="240" t="n"/>
      <c r="AD75" s="241" t="n"/>
      <c r="AE75" t="n">
        <v>1.03</v>
      </c>
    </row>
    <row r="76">
      <c r="B76" s="47" t="n">
        <v>16</v>
      </c>
      <c r="C76" s="118">
        <f>INDIRECT("'Закуп'!A" &amp; B76)</f>
        <v/>
      </c>
      <c r="D76" s="119">
        <f>C76*1.2</f>
        <v/>
      </c>
      <c r="G76" s="172">
        <f>IF(INDIRECT("'Закуп'!L" &amp; B76)="Sale","Sale","")</f>
        <v/>
      </c>
      <c r="H76" s="158">
        <f>IF(INDIRECT("'Закуп'!F" &amp; B76)=0,"",INDIRECT("'Закуп'!F" &amp; B76))</f>
        <v/>
      </c>
      <c r="I76" s="120" t="n">
        <v>1000</v>
      </c>
      <c r="J76" s="121">
        <f>K76/1.2</f>
        <v/>
      </c>
      <c r="K76" s="242" t="n">
        <v>0.8100000000000001</v>
      </c>
      <c r="L76" s="122">
        <f>J76-C76-(J76-C76)*0.2</f>
        <v/>
      </c>
      <c r="M76" s="123">
        <f>L76*I76</f>
        <v/>
      </c>
      <c r="N76" s="124" t="inlineStr">
        <is>
          <t xml:space="preserve">1000 + шт - </t>
        </is>
      </c>
      <c r="O76" s="47" t="inlineStr">
        <is>
          <t xml:space="preserve"> руб / шт с НДС</t>
        </is>
      </c>
      <c r="P76" s="125">
        <f>ROUND(K76,2)</f>
        <v/>
      </c>
      <c r="Q76" s="207">
        <f>CONCATENATE(N76,P76,O76,)</f>
        <v/>
      </c>
      <c r="R76" s="240" t="n"/>
      <c r="T76" s="241" t="n"/>
      <c r="U76" s="240" t="n"/>
      <c r="V76" s="241" t="n"/>
      <c r="Z76" s="240" t="n"/>
      <c r="AB76" s="241" t="n"/>
      <c r="AC76" s="240" t="n"/>
      <c r="AD76" s="241" t="n"/>
      <c r="AE76" t="n">
        <v>0.97</v>
      </c>
    </row>
    <row r="77">
      <c r="A77" s="232" t="n">
        <v>17</v>
      </c>
      <c r="B77" s="47" t="n">
        <v>17</v>
      </c>
      <c r="C77" s="118">
        <f>INDIRECT("'Закуп'!A" &amp; B77)</f>
        <v/>
      </c>
      <c r="D77" s="119">
        <f>C77*1.2</f>
        <v/>
      </c>
      <c r="E77" s="224">
        <f>INDIRECT("'Закуп'!D" &amp; A77)</f>
        <v/>
      </c>
      <c r="F77" s="231">
        <f>INDIRECT("'Закуп'!E" &amp; B77)</f>
        <v/>
      </c>
      <c r="G77" s="172">
        <f>IF(INDIRECT("'Закуп'!L" &amp; B77)="Sale","Sale","")</f>
        <v/>
      </c>
      <c r="H77" s="158">
        <f>IF(INDIRECT("'Закуп'!F" &amp; B77)=0,"",INDIRECT("'Закуп'!F" &amp; B77))</f>
        <v/>
      </c>
      <c r="I77" s="120" t="n">
        <v>50</v>
      </c>
      <c r="J77" s="121">
        <f>K77/1.2</f>
        <v/>
      </c>
      <c r="K77" s="70" t="n">
        <v>0.96</v>
      </c>
      <c r="L77" s="122">
        <f>J77-C77-(J77-C77)*0.2</f>
        <v/>
      </c>
      <c r="M77" s="123">
        <f>L77*I77</f>
        <v/>
      </c>
      <c r="N77" s="124" t="inlineStr">
        <is>
          <t xml:space="preserve">50-90 шт - </t>
        </is>
      </c>
      <c r="O77" s="47" t="inlineStr">
        <is>
          <t xml:space="preserve"> руб / шт с НДС</t>
        </is>
      </c>
      <c r="P77" s="125">
        <f>ROUND(K77,2)</f>
        <v/>
      </c>
      <c r="Q77" s="207">
        <f>CONCATENATE(N77,P77,O77,)</f>
        <v/>
      </c>
      <c r="R77" s="235">
        <f>INDIRECT("'Закуп'!k" &amp; A77)</f>
        <v/>
      </c>
      <c r="S77" s="239">
        <f>INDIRECT("'Закуп'!o" &amp; A77)</f>
        <v/>
      </c>
      <c r="T77" s="226">
        <f>INDIRECT("'Закуп'!p" &amp; A77)</f>
        <v/>
      </c>
      <c r="U77" s="235">
        <f>INDIRECT("'Закуп'!v" &amp; A77)</f>
        <v/>
      </c>
      <c r="V77" s="222">
        <f>INDIRECT("'Закуп'!w" &amp; A77)</f>
        <v/>
      </c>
      <c r="W77" s="229">
        <f>INDIRECT("'Закуп'!H" &amp; A77)</f>
        <v/>
      </c>
      <c r="X77" s="237">
        <f>INDIRECT("'Закуп'!g" &amp; A77)</f>
        <v/>
      </c>
      <c r="Y77" s="229">
        <f>INDIRECT("'Закуп'!i" &amp; A77)</f>
        <v/>
      </c>
      <c r="Z77" s="236">
        <f>INDIRECT("'Закуп'!x" &amp; A77)</f>
        <v/>
      </c>
      <c r="AA77" s="237">
        <f>INDIRECT("'Закуп'!y" &amp; A77)</f>
        <v/>
      </c>
      <c r="AB77" s="238">
        <f>INDIRECT("'Закуп'!z" &amp; A77)</f>
        <v/>
      </c>
      <c r="AC77" s="223">
        <f>SUBSTITUTE(INDEX(F:F, ROUNDUP((ROW(A76))/5,0)*5 - 3), "х", "x")</f>
        <v/>
      </c>
      <c r="AD77" s="222">
        <f>SUBSTITUTE(INDEX(F:F, ROUNDUP((ROW(A76))/5,0)*5 - 3), "х", "x") &amp; " - " &amp; SUBSTITUTE(SUBSTITUTE(INDEX(F:F, ROUNDUP((ROW(A76))/5,0)*5 - 3), "х", "*"), "x", "*") &amp; " мм"</f>
        <v/>
      </c>
    </row>
    <row r="78">
      <c r="B78" s="47" t="n">
        <v>17</v>
      </c>
      <c r="C78" s="118">
        <f>INDIRECT("'Закуп'!A" &amp; B78)</f>
        <v/>
      </c>
      <c r="D78" s="119">
        <f>C78*1.2</f>
        <v/>
      </c>
      <c r="G78" s="172">
        <f>IF(INDIRECT("'Закуп'!L" &amp; B78)="Sale","Sale","")</f>
        <v/>
      </c>
      <c r="H78" s="158">
        <f>IF(INDIRECT("'Закуп'!F" &amp; B78)=0,"",INDIRECT("'Закуп'!F" &amp; B78))</f>
        <v/>
      </c>
      <c r="I78" s="120" t="n">
        <v>100</v>
      </c>
      <c r="J78" s="121">
        <f>K78/1.2</f>
        <v/>
      </c>
      <c r="K78" s="70" t="n">
        <v>0.75</v>
      </c>
      <c r="L78" s="122">
        <f>J78-C78-(J78-C78)*0.2</f>
        <v/>
      </c>
      <c r="M78" s="123">
        <f>L78*I78</f>
        <v/>
      </c>
      <c r="N78" s="124" t="inlineStr">
        <is>
          <t xml:space="preserve">100-290 шт - </t>
        </is>
      </c>
      <c r="O78" s="47" t="inlineStr">
        <is>
          <t xml:space="preserve"> руб / шт с НДС</t>
        </is>
      </c>
      <c r="P78" s="125">
        <f>ROUND(K78,2)</f>
        <v/>
      </c>
      <c r="Q78" s="207">
        <f>CONCATENATE(N78,P78,O78,)</f>
        <v/>
      </c>
      <c r="R78" s="240" t="n"/>
      <c r="T78" s="241" t="n"/>
      <c r="U78" s="240" t="n"/>
      <c r="V78" s="241" t="n"/>
      <c r="Z78" s="240" t="n"/>
      <c r="AB78" s="241" t="n"/>
      <c r="AC78" s="240" t="n"/>
      <c r="AD78" s="241" t="n"/>
    </row>
    <row r="79">
      <c r="B79" s="47" t="n">
        <v>17</v>
      </c>
      <c r="C79" s="118">
        <f>INDIRECT("'Закуп'!A" &amp; B79)</f>
        <v/>
      </c>
      <c r="D79" s="119">
        <f>C79*1.2</f>
        <v/>
      </c>
      <c r="G79" s="172">
        <f>IF(INDIRECT("'Закуп'!L" &amp; B79)="Sale","Sale","")</f>
        <v/>
      </c>
      <c r="H79" s="158">
        <f>IF(INDIRECT("'Закуп'!F" &amp; B79)=0,"",INDIRECT("'Закуп'!F" &amp; B79))</f>
        <v/>
      </c>
      <c r="I79" s="120" t="n">
        <v>300</v>
      </c>
      <c r="J79" s="121">
        <f>K79/1.2</f>
        <v/>
      </c>
      <c r="K79" s="70" t="n">
        <v>0.64</v>
      </c>
      <c r="L79" s="122">
        <f>J79-C79-(J79-C79)*0.2</f>
        <v/>
      </c>
      <c r="M79" s="123">
        <f>L79*I79</f>
        <v/>
      </c>
      <c r="N79" s="124" t="inlineStr">
        <is>
          <t xml:space="preserve">300-490 шт - </t>
        </is>
      </c>
      <c r="O79" s="47" t="inlineStr">
        <is>
          <t xml:space="preserve"> руб / шт с НДС</t>
        </is>
      </c>
      <c r="P79" s="125">
        <f>ROUND(K79,2)</f>
        <v/>
      </c>
      <c r="Q79" s="207">
        <f>CONCATENATE(N79,P79,O79,)</f>
        <v/>
      </c>
      <c r="R79" s="240" t="n"/>
      <c r="T79" s="241" t="n"/>
      <c r="U79" s="240" t="n"/>
      <c r="V79" s="241" t="n"/>
      <c r="Z79" s="240" t="n"/>
      <c r="AB79" s="241" t="n"/>
      <c r="AC79" s="240" t="n"/>
      <c r="AD79" s="241" t="n"/>
    </row>
    <row r="80">
      <c r="B80" s="47" t="n">
        <v>17</v>
      </c>
      <c r="C80" s="118">
        <f>INDIRECT("'Закуп'!A" &amp; B80)</f>
        <v/>
      </c>
      <c r="D80" s="119">
        <f>C80*1.2</f>
        <v/>
      </c>
      <c r="G80" s="172">
        <f>IF(INDIRECT("'Закуп'!L" &amp; B80)="Sale","Sale","")</f>
        <v/>
      </c>
      <c r="H80" s="158">
        <f>IF(INDIRECT("'Закуп'!F" &amp; B80)=0,"",INDIRECT("'Закуп'!F" &amp; B80))</f>
        <v/>
      </c>
      <c r="I80" s="120" t="n">
        <v>500</v>
      </c>
      <c r="J80" s="121">
        <f>K80/1.2</f>
        <v/>
      </c>
      <c r="K80" s="70" t="n">
        <v>0.59</v>
      </c>
      <c r="L80" s="122">
        <f>J80-C80-(J80-C80)*0.2</f>
        <v/>
      </c>
      <c r="M80" s="123">
        <f>L80*I80</f>
        <v/>
      </c>
      <c r="N80" s="124" t="inlineStr">
        <is>
          <t xml:space="preserve">500-990 шт - </t>
        </is>
      </c>
      <c r="O80" s="47" t="inlineStr">
        <is>
          <t xml:space="preserve"> руб / шт с НДС</t>
        </is>
      </c>
      <c r="P80" s="125">
        <f>ROUND(K80,2)</f>
        <v/>
      </c>
      <c r="Q80" s="207">
        <f>CONCATENATE(N80,P80,O80,)</f>
        <v/>
      </c>
      <c r="R80" s="240" t="n"/>
      <c r="T80" s="241" t="n"/>
      <c r="U80" s="240" t="n"/>
      <c r="V80" s="241" t="n"/>
      <c r="Z80" s="240" t="n"/>
      <c r="AB80" s="241" t="n"/>
      <c r="AC80" s="240" t="n"/>
      <c r="AD80" s="241" t="n"/>
    </row>
    <row r="81">
      <c r="B81" s="47" t="n">
        <v>17</v>
      </c>
      <c r="C81" s="118">
        <f>INDIRECT("'Закуп'!A" &amp; B81)</f>
        <v/>
      </c>
      <c r="D81" s="119">
        <f>C81*1.2</f>
        <v/>
      </c>
      <c r="G81" s="172">
        <f>IF(INDIRECT("'Закуп'!L" &amp; B81)="Sale","Sale","")</f>
        <v/>
      </c>
      <c r="H81" s="158">
        <f>IF(INDIRECT("'Закуп'!F" &amp; B81)=0,"",INDIRECT("'Закуп'!F" &amp; B81))</f>
        <v/>
      </c>
      <c r="I81" s="120" t="n">
        <v>1000</v>
      </c>
      <c r="J81" s="121">
        <f>K81/1.2</f>
        <v/>
      </c>
      <c r="K81" s="70" t="n">
        <v>0.54</v>
      </c>
      <c r="L81" s="122">
        <f>J81-C81-(J81-C81)*0.2</f>
        <v/>
      </c>
      <c r="M81" s="123">
        <f>L81*I81</f>
        <v/>
      </c>
      <c r="N81" s="124" t="inlineStr">
        <is>
          <t xml:space="preserve">1000 + шт - </t>
        </is>
      </c>
      <c r="O81" s="47" t="inlineStr">
        <is>
          <t xml:space="preserve"> руб / шт с НДС</t>
        </is>
      </c>
      <c r="P81" s="125">
        <f>ROUND(K81,2)</f>
        <v/>
      </c>
      <c r="Q81" s="207">
        <f>CONCATENATE(N81,P81,O81,)</f>
        <v/>
      </c>
      <c r="R81" s="240" t="n"/>
      <c r="T81" s="241" t="n"/>
      <c r="U81" s="240" t="n"/>
      <c r="V81" s="241" t="n"/>
      <c r="Z81" s="240" t="n"/>
      <c r="AB81" s="241" t="n"/>
      <c r="AC81" s="240" t="n"/>
      <c r="AD81" s="241" t="n"/>
    </row>
    <row r="82">
      <c r="A82" s="232" t="n">
        <v>18</v>
      </c>
      <c r="B82" s="47" t="n">
        <v>18</v>
      </c>
      <c r="C82" s="118">
        <f>INDIRECT("'Закуп'!A" &amp; B82)</f>
        <v/>
      </c>
      <c r="D82" s="119">
        <f>C82*1.2</f>
        <v/>
      </c>
      <c r="E82" s="224">
        <f>INDIRECT("'Закуп'!D" &amp; A82)</f>
        <v/>
      </c>
      <c r="F82" s="231">
        <f>INDIRECT("'Закуп'!E" &amp; B82)</f>
        <v/>
      </c>
      <c r="G82" s="172">
        <f>IF(INDIRECT("'Закуп'!L" &amp; B82)="Sale","Sale","")</f>
        <v/>
      </c>
      <c r="H82" s="158">
        <f>IF(INDIRECT("'Закуп'!F" &amp; B82)=0,"",INDIRECT("'Закуп'!F" &amp; B82))</f>
        <v/>
      </c>
      <c r="I82" s="120" t="n">
        <v>50</v>
      </c>
      <c r="J82" s="121">
        <f>K82/1.2</f>
        <v/>
      </c>
      <c r="K82" s="70" t="n">
        <v>0.96</v>
      </c>
      <c r="L82" s="122">
        <f>J82-C82-(J82-C82)*0.2</f>
        <v/>
      </c>
      <c r="M82" s="123">
        <f>L82*I82</f>
        <v/>
      </c>
      <c r="N82" s="124" t="inlineStr">
        <is>
          <t xml:space="preserve">50-90 шт - </t>
        </is>
      </c>
      <c r="O82" s="47" t="inlineStr">
        <is>
          <t xml:space="preserve"> руб / шт с НДС</t>
        </is>
      </c>
      <c r="P82" s="125">
        <f>ROUND(K82,2)</f>
        <v/>
      </c>
      <c r="Q82" s="207">
        <f>CONCATENATE(N82,P82,O82,)</f>
        <v/>
      </c>
      <c r="R82" s="235">
        <f>INDIRECT("'Закуп'!k" &amp; A82)</f>
        <v/>
      </c>
      <c r="S82" s="239">
        <f>INDIRECT("'Закуп'!o" &amp; A82)</f>
        <v/>
      </c>
      <c r="T82" s="226">
        <f>INDIRECT("'Закуп'!p" &amp; A82)</f>
        <v/>
      </c>
      <c r="U82" s="235">
        <f>INDIRECT("'Закуп'!v" &amp; A82)</f>
        <v/>
      </c>
      <c r="V82" s="222">
        <f>INDIRECT("'Закуп'!w" &amp; A82)</f>
        <v/>
      </c>
      <c r="W82" s="229">
        <f>INDIRECT("'Закуп'!H" &amp; A82)</f>
        <v/>
      </c>
      <c r="X82" s="237">
        <f>INDIRECT("'Закуп'!g" &amp; A82)</f>
        <v/>
      </c>
      <c r="Y82" s="229">
        <f>INDIRECT("'Закуп'!i" &amp; A82)</f>
        <v/>
      </c>
      <c r="Z82" s="236">
        <f>INDIRECT("'Закуп'!x" &amp; A82)</f>
        <v/>
      </c>
      <c r="AA82" s="237">
        <f>INDIRECT("'Закуп'!y" &amp; A82)</f>
        <v/>
      </c>
      <c r="AB82" s="238">
        <f>INDIRECT("'Закуп'!z" &amp; A82)</f>
        <v/>
      </c>
      <c r="AC82" s="223">
        <f>SUBSTITUTE(INDEX(F:F, ROUNDUP((ROW(A81))/5,0)*5 - 3), "х", "x")</f>
        <v/>
      </c>
      <c r="AD82" s="222">
        <f>SUBSTITUTE(INDEX(F:F, ROUNDUP((ROW(A81))/5,0)*5 - 3), "х", "x") &amp; " - " &amp; SUBSTITUTE(SUBSTITUTE(INDEX(F:F, ROUNDUP((ROW(A81))/5,0)*5 - 3), "х", "*"), "x", "*") &amp; " мм"</f>
        <v/>
      </c>
    </row>
    <row r="83">
      <c r="B83" s="47" t="n">
        <v>18</v>
      </c>
      <c r="C83" s="118">
        <f>INDIRECT("'Закуп'!A" &amp; B83)</f>
        <v/>
      </c>
      <c r="D83" s="119">
        <f>C83*1.2</f>
        <v/>
      </c>
      <c r="G83" s="172">
        <f>IF(INDIRECT("'Закуп'!L" &amp; B83)="Sale","Sale","")</f>
        <v/>
      </c>
      <c r="H83" s="158">
        <f>IF(INDIRECT("'Закуп'!F" &amp; B83)=0,"",INDIRECT("'Закуп'!F" &amp; B83))</f>
        <v/>
      </c>
      <c r="I83" s="120" t="n">
        <v>100</v>
      </c>
      <c r="J83" s="121">
        <f>K83/1.2</f>
        <v/>
      </c>
      <c r="K83" s="70" t="n">
        <v>0.75</v>
      </c>
      <c r="L83" s="122">
        <f>J83-C83-(J83-C83)*0.2</f>
        <v/>
      </c>
      <c r="M83" s="123">
        <f>L83*I83</f>
        <v/>
      </c>
      <c r="N83" s="124" t="inlineStr">
        <is>
          <t xml:space="preserve">100-290 шт - </t>
        </is>
      </c>
      <c r="O83" s="47" t="inlineStr">
        <is>
          <t xml:space="preserve"> руб / шт с НДС</t>
        </is>
      </c>
      <c r="P83" s="125">
        <f>ROUND(K83,2)</f>
        <v/>
      </c>
      <c r="Q83" s="207">
        <f>CONCATENATE(N83,P83,O83,)</f>
        <v/>
      </c>
      <c r="R83" s="240" t="n"/>
      <c r="T83" s="241" t="n"/>
      <c r="U83" s="240" t="n"/>
      <c r="V83" s="241" t="n"/>
      <c r="Z83" s="240" t="n"/>
      <c r="AB83" s="241" t="n"/>
      <c r="AC83" s="240" t="n"/>
      <c r="AD83" s="241" t="n"/>
    </row>
    <row r="84">
      <c r="B84" s="47" t="n">
        <v>18</v>
      </c>
      <c r="C84" s="118">
        <f>INDIRECT("'Закуп'!A" &amp; B84)</f>
        <v/>
      </c>
      <c r="D84" s="119">
        <f>C84*1.2</f>
        <v/>
      </c>
      <c r="G84" s="172">
        <f>IF(INDIRECT("'Закуп'!L" &amp; B84)="Sale","Sale","")</f>
        <v/>
      </c>
      <c r="H84" s="158">
        <f>IF(INDIRECT("'Закуп'!F" &amp; B84)=0,"",INDIRECT("'Закуп'!F" &amp; B84))</f>
        <v/>
      </c>
      <c r="I84" s="120" t="n">
        <v>300</v>
      </c>
      <c r="J84" s="121">
        <f>K84/1.2</f>
        <v/>
      </c>
      <c r="K84" s="70" t="n">
        <v>0.64</v>
      </c>
      <c r="L84" s="122">
        <f>J84-C84-(J84-C84)*0.2</f>
        <v/>
      </c>
      <c r="M84" s="123">
        <f>L84*I84</f>
        <v/>
      </c>
      <c r="N84" s="124" t="inlineStr">
        <is>
          <t xml:space="preserve">300-490 шт - </t>
        </is>
      </c>
      <c r="O84" s="47" t="inlineStr">
        <is>
          <t xml:space="preserve"> руб / шт с НДС</t>
        </is>
      </c>
      <c r="P84" s="125">
        <f>ROUND(K84,2)</f>
        <v/>
      </c>
      <c r="Q84" s="207">
        <f>CONCATENATE(N84,P84,O84,)</f>
        <v/>
      </c>
      <c r="R84" s="240" t="n"/>
      <c r="T84" s="241" t="n"/>
      <c r="U84" s="240" t="n"/>
      <c r="V84" s="241" t="n"/>
      <c r="Z84" s="240" t="n"/>
      <c r="AB84" s="241" t="n"/>
      <c r="AC84" s="240" t="n"/>
      <c r="AD84" s="241" t="n"/>
    </row>
    <row r="85">
      <c r="B85" s="47" t="n">
        <v>18</v>
      </c>
      <c r="C85" s="118">
        <f>INDIRECT("'Закуп'!A" &amp; B85)</f>
        <v/>
      </c>
      <c r="D85" s="119">
        <f>C85*1.2</f>
        <v/>
      </c>
      <c r="G85" s="172">
        <f>IF(INDIRECT("'Закуп'!L" &amp; B85)="Sale","Sale","")</f>
        <v/>
      </c>
      <c r="H85" s="158">
        <f>IF(INDIRECT("'Закуп'!F" &amp; B85)=0,"",INDIRECT("'Закуп'!F" &amp; B85))</f>
        <v/>
      </c>
      <c r="I85" s="120" t="n">
        <v>500</v>
      </c>
      <c r="J85" s="121">
        <f>K85/1.2</f>
        <v/>
      </c>
      <c r="K85" s="70" t="n">
        <v>0.59</v>
      </c>
      <c r="L85" s="122">
        <f>J85-C85-(J85-C85)*0.2</f>
        <v/>
      </c>
      <c r="M85" s="123">
        <f>L85*I85</f>
        <v/>
      </c>
      <c r="N85" s="124" t="inlineStr">
        <is>
          <t xml:space="preserve">500-990 шт - </t>
        </is>
      </c>
      <c r="O85" s="47" t="inlineStr">
        <is>
          <t xml:space="preserve"> руб / шт с НДС</t>
        </is>
      </c>
      <c r="P85" s="125">
        <f>ROUND(K85,2)</f>
        <v/>
      </c>
      <c r="Q85" s="207">
        <f>CONCATENATE(N85,P85,O85,)</f>
        <v/>
      </c>
      <c r="R85" s="240" t="n"/>
      <c r="T85" s="241" t="n"/>
      <c r="U85" s="240" t="n"/>
      <c r="V85" s="241" t="n"/>
      <c r="Z85" s="240" t="n"/>
      <c r="AB85" s="241" t="n"/>
      <c r="AC85" s="240" t="n"/>
      <c r="AD85" s="241" t="n"/>
    </row>
    <row r="86">
      <c r="B86" s="47" t="n">
        <v>18</v>
      </c>
      <c r="C86" s="118">
        <f>INDIRECT("'Закуп'!A" &amp; B86)</f>
        <v/>
      </c>
      <c r="D86" s="119">
        <f>C86*1.2</f>
        <v/>
      </c>
      <c r="G86" s="172">
        <f>IF(INDIRECT("'Закуп'!L" &amp; B86)="Sale","Sale","")</f>
        <v/>
      </c>
      <c r="H86" s="158">
        <f>IF(INDIRECT("'Закуп'!F" &amp; B86)=0,"",INDIRECT("'Закуп'!F" &amp; B86))</f>
        <v/>
      </c>
      <c r="I86" s="120" t="n">
        <v>1000</v>
      </c>
      <c r="J86" s="121">
        <f>K86/1.2</f>
        <v/>
      </c>
      <c r="K86" s="70" t="n">
        <v>0.54</v>
      </c>
      <c r="L86" s="122">
        <f>J86-C86-(J86-C86)*0.2</f>
        <v/>
      </c>
      <c r="M86" s="123">
        <f>L86*I86</f>
        <v/>
      </c>
      <c r="N86" s="124" t="inlineStr">
        <is>
          <t xml:space="preserve">1000 + шт - </t>
        </is>
      </c>
      <c r="O86" s="47" t="inlineStr">
        <is>
          <t xml:space="preserve"> руб / шт с НДС</t>
        </is>
      </c>
      <c r="P86" s="125">
        <f>ROUND(K86,2)</f>
        <v/>
      </c>
      <c r="Q86" s="207">
        <f>CONCATENATE(N86,P86,O86,)</f>
        <v/>
      </c>
      <c r="R86" s="240" t="n"/>
      <c r="T86" s="241" t="n"/>
      <c r="U86" s="240" t="n"/>
      <c r="V86" s="241" t="n"/>
      <c r="Z86" s="240" t="n"/>
      <c r="AB86" s="241" t="n"/>
      <c r="AC86" s="240" t="n"/>
      <c r="AD86" s="241" t="n"/>
    </row>
    <row r="87">
      <c r="A87" s="232" t="n">
        <v>19</v>
      </c>
      <c r="B87" s="47" t="n">
        <v>19</v>
      </c>
      <c r="C87" s="118">
        <f>INDIRECT("'Закуп'!A" &amp; B87)</f>
        <v/>
      </c>
      <c r="D87" s="119">
        <f>C87*1.2</f>
        <v/>
      </c>
      <c r="E87" s="224">
        <f>INDIRECT("'Закуп'!D" &amp; A87)</f>
        <v/>
      </c>
      <c r="F87" s="231">
        <f>INDIRECT("'Закуп'!E" &amp; B87)</f>
        <v/>
      </c>
      <c r="G87" s="172">
        <f>IF(INDIRECT("'Закуп'!L" &amp; B87)="Sale","Sale","")</f>
        <v/>
      </c>
      <c r="H87" s="158">
        <f>IF(INDIRECT("'Закуп'!F" &amp; B87)=0,"",INDIRECT("'Закуп'!F" &amp; B87))</f>
        <v/>
      </c>
      <c r="I87" s="120" t="n">
        <v>50</v>
      </c>
      <c r="J87" s="121">
        <f>K87/1.2</f>
        <v/>
      </c>
      <c r="K87" s="70" t="n">
        <v>1</v>
      </c>
      <c r="L87" s="122">
        <f>J87-C87-(J87-C87)*0.2</f>
        <v/>
      </c>
      <c r="M87" s="123">
        <f>L87*I87</f>
        <v/>
      </c>
      <c r="N87" s="124" t="inlineStr">
        <is>
          <t xml:space="preserve">50-90 шт - </t>
        </is>
      </c>
      <c r="O87" s="47" t="inlineStr">
        <is>
          <t xml:space="preserve"> руб / шт с НДС</t>
        </is>
      </c>
      <c r="P87" s="125">
        <f>ROUND(K87,2)</f>
        <v/>
      </c>
      <c r="Q87" s="207">
        <f>CONCATENATE(N87,P87,O87,)</f>
        <v/>
      </c>
      <c r="R87" s="235">
        <f>INDIRECT("'Закуп'!k" &amp; A87)</f>
        <v/>
      </c>
      <c r="S87" s="239">
        <f>INDIRECT("'Закуп'!o" &amp; A87)</f>
        <v/>
      </c>
      <c r="T87" s="226">
        <f>INDIRECT("'Закуп'!p" &amp; A87)</f>
        <v/>
      </c>
      <c r="U87" s="235">
        <f>INDIRECT("'Закуп'!v" &amp; A87)</f>
        <v/>
      </c>
      <c r="V87" s="222">
        <f>INDIRECT("'Закуп'!w" &amp; A87)</f>
        <v/>
      </c>
      <c r="W87" s="229">
        <f>INDIRECT("'Закуп'!H" &amp; A87)</f>
        <v/>
      </c>
      <c r="X87" s="237">
        <f>INDIRECT("'Закуп'!g" &amp; A87)</f>
        <v/>
      </c>
      <c r="Y87" s="229">
        <f>INDIRECT("'Закуп'!i" &amp; A87)</f>
        <v/>
      </c>
      <c r="Z87" s="236">
        <f>INDIRECT("'Закуп'!x" &amp; A87)</f>
        <v/>
      </c>
      <c r="AA87" s="237">
        <f>INDIRECT("'Закуп'!y" &amp; A87)</f>
        <v/>
      </c>
      <c r="AB87" s="238">
        <f>INDIRECT("'Закуп'!z" &amp; A87)</f>
        <v/>
      </c>
      <c r="AC87" s="223">
        <f>SUBSTITUTE(INDEX(F:F, ROUNDUP((ROW(A86))/5,0)*5 - 3), "х", "x")</f>
        <v/>
      </c>
      <c r="AD87" s="222">
        <f>SUBSTITUTE(INDEX(F:F, ROUNDUP((ROW(A86))/5,0)*5 - 3), "х", "x") &amp; " - " &amp; SUBSTITUTE(SUBSTITUTE(INDEX(F:F, ROUNDUP((ROW(A86))/5,0)*5 - 3), "х", "*"), "x", "*") &amp; " мм"</f>
        <v/>
      </c>
    </row>
    <row r="88">
      <c r="B88" s="47" t="n">
        <v>19</v>
      </c>
      <c r="C88" s="118">
        <f>INDIRECT("'Закуп'!A" &amp; B88)</f>
        <v/>
      </c>
      <c r="D88" s="119">
        <f>C88*1.2</f>
        <v/>
      </c>
      <c r="G88" s="172">
        <f>IF(INDIRECT("'Закуп'!L" &amp; B88)="Sale","Sale","")</f>
        <v/>
      </c>
      <c r="H88" s="158">
        <f>IF(INDIRECT("'Закуп'!F" &amp; B88)=0,"",INDIRECT("'Закуп'!F" &amp; B88))</f>
        <v/>
      </c>
      <c r="I88" s="120" t="n">
        <v>100</v>
      </c>
      <c r="J88" s="121">
        <f>K88/1.2</f>
        <v/>
      </c>
      <c r="K88" s="70" t="n">
        <v>0.86</v>
      </c>
      <c r="L88" s="122">
        <f>J88-C88-(J88-C88)*0.2</f>
        <v/>
      </c>
      <c r="M88" s="123">
        <f>L88*I88</f>
        <v/>
      </c>
      <c r="N88" s="124" t="inlineStr">
        <is>
          <t xml:space="preserve">100-290 шт - </t>
        </is>
      </c>
      <c r="O88" s="47" t="inlineStr">
        <is>
          <t xml:space="preserve"> руб / шт с НДС</t>
        </is>
      </c>
      <c r="P88" s="125">
        <f>ROUND(K88,2)</f>
        <v/>
      </c>
      <c r="Q88" s="207">
        <f>CONCATENATE(N88,P88,O88,)</f>
        <v/>
      </c>
      <c r="R88" s="240" t="n"/>
      <c r="T88" s="241" t="n"/>
      <c r="U88" s="240" t="n"/>
      <c r="V88" s="241" t="n"/>
      <c r="Z88" s="240" t="n"/>
      <c r="AB88" s="241" t="n"/>
      <c r="AC88" s="240" t="n"/>
      <c r="AD88" s="241" t="n"/>
    </row>
    <row r="89">
      <c r="B89" s="47" t="n">
        <v>19</v>
      </c>
      <c r="C89" s="118">
        <f>INDIRECT("'Закуп'!A" &amp; B89)</f>
        <v/>
      </c>
      <c r="D89" s="119">
        <f>C89*1.2</f>
        <v/>
      </c>
      <c r="G89" s="172">
        <f>IF(INDIRECT("'Закуп'!L" &amp; B89)="Sale","Sale","")</f>
        <v/>
      </c>
      <c r="H89" s="158">
        <f>IF(INDIRECT("'Закуп'!F" &amp; B89)=0,"",INDIRECT("'Закуп'!F" &amp; B89))</f>
        <v/>
      </c>
      <c r="I89" s="120" t="n">
        <v>300</v>
      </c>
      <c r="J89" s="121">
        <f>K89/1.2</f>
        <v/>
      </c>
      <c r="K89" s="70" t="n">
        <v>0.68</v>
      </c>
      <c r="L89" s="122">
        <f>J89-C89-(J89-C89)*0.2</f>
        <v/>
      </c>
      <c r="M89" s="123">
        <f>L89*I89</f>
        <v/>
      </c>
      <c r="N89" s="124" t="inlineStr">
        <is>
          <t xml:space="preserve">300-490 шт - </t>
        </is>
      </c>
      <c r="O89" s="47" t="inlineStr">
        <is>
          <t xml:space="preserve"> руб / шт с НДС</t>
        </is>
      </c>
      <c r="P89" s="125">
        <f>ROUND(K89,2)</f>
        <v/>
      </c>
      <c r="Q89" s="207">
        <f>CONCATENATE(N89,P89,O89,)</f>
        <v/>
      </c>
      <c r="R89" s="240" t="n"/>
      <c r="T89" s="241" t="n"/>
      <c r="U89" s="240" t="n"/>
      <c r="V89" s="241" t="n"/>
      <c r="Z89" s="240" t="n"/>
      <c r="AB89" s="241" t="n"/>
      <c r="AC89" s="240" t="n"/>
      <c r="AD89" s="241" t="n"/>
    </row>
    <row r="90">
      <c r="B90" s="47" t="n">
        <v>19</v>
      </c>
      <c r="C90" s="118">
        <f>INDIRECT("'Закуп'!A" &amp; B90)</f>
        <v/>
      </c>
      <c r="D90" s="119">
        <f>C90*1.2</f>
        <v/>
      </c>
      <c r="G90" s="172">
        <f>IF(INDIRECT("'Закуп'!L" &amp; B90)="Sale","Sale","")</f>
        <v/>
      </c>
      <c r="H90" s="158">
        <f>IF(INDIRECT("'Закуп'!F" &amp; B90)=0,"",INDIRECT("'Закуп'!F" &amp; B90))</f>
        <v/>
      </c>
      <c r="I90" s="120" t="n">
        <v>500</v>
      </c>
      <c r="J90" s="121">
        <f>K90/1.2</f>
        <v/>
      </c>
      <c r="K90" s="70" t="n">
        <v>0.63</v>
      </c>
      <c r="L90" s="122">
        <f>J90-C90-(J90-C90)*0.2</f>
        <v/>
      </c>
      <c r="M90" s="123">
        <f>L90*I90</f>
        <v/>
      </c>
      <c r="N90" s="124" t="inlineStr">
        <is>
          <t xml:space="preserve">500-990 шт - </t>
        </is>
      </c>
      <c r="O90" s="47" t="inlineStr">
        <is>
          <t xml:space="preserve"> руб / шт с НДС</t>
        </is>
      </c>
      <c r="P90" s="125">
        <f>ROUND(K90,2)</f>
        <v/>
      </c>
      <c r="Q90" s="207">
        <f>CONCATENATE(N90,P90,O90,)</f>
        <v/>
      </c>
      <c r="R90" s="240" t="n"/>
      <c r="T90" s="241" t="n"/>
      <c r="U90" s="240" t="n"/>
      <c r="V90" s="241" t="n"/>
      <c r="Z90" s="240" t="n"/>
      <c r="AB90" s="241" t="n"/>
      <c r="AC90" s="240" t="n"/>
      <c r="AD90" s="241" t="n"/>
    </row>
    <row r="91">
      <c r="B91" s="47" t="n">
        <v>19</v>
      </c>
      <c r="C91" s="118">
        <f>INDIRECT("'Закуп'!A" &amp; B91)</f>
        <v/>
      </c>
      <c r="D91" s="119">
        <f>C91*1.2</f>
        <v/>
      </c>
      <c r="G91" s="172">
        <f>IF(INDIRECT("'Закуп'!L" &amp; B91)="Sale","Sale","")</f>
        <v/>
      </c>
      <c r="H91" s="158">
        <f>IF(INDIRECT("'Закуп'!F" &amp; B91)=0,"",INDIRECT("'Закуп'!F" &amp; B91))</f>
        <v/>
      </c>
      <c r="I91" s="120" t="n">
        <v>1000</v>
      </c>
      <c r="J91" s="121">
        <f>K91/1.2</f>
        <v/>
      </c>
      <c r="K91" s="70" t="n">
        <v>0.54</v>
      </c>
      <c r="L91" s="122">
        <f>J91-C91-(J91-C91)*0.2</f>
        <v/>
      </c>
      <c r="M91" s="123">
        <f>L91*I91</f>
        <v/>
      </c>
      <c r="N91" s="124" t="inlineStr">
        <is>
          <t xml:space="preserve">1000 + шт - </t>
        </is>
      </c>
      <c r="O91" s="47" t="inlineStr">
        <is>
          <t xml:space="preserve"> руб / шт с НДС</t>
        </is>
      </c>
      <c r="P91" s="125">
        <f>ROUND(K91,2)</f>
        <v/>
      </c>
      <c r="Q91" s="207">
        <f>CONCATENATE(N91,P91,O91,)</f>
        <v/>
      </c>
      <c r="R91" s="240" t="n"/>
      <c r="T91" s="241" t="n"/>
      <c r="U91" s="240" t="n"/>
      <c r="V91" s="241" t="n"/>
      <c r="Z91" s="240" t="n"/>
      <c r="AB91" s="241" t="n"/>
      <c r="AC91" s="240" t="n"/>
      <c r="AD91" s="241" t="n"/>
    </row>
    <row r="92">
      <c r="A92" s="232" t="n">
        <v>20</v>
      </c>
      <c r="B92" s="47" t="n">
        <v>20</v>
      </c>
      <c r="C92" s="118">
        <f>INDIRECT("'Закуп'!A" &amp; B92)</f>
        <v/>
      </c>
      <c r="D92" s="119">
        <f>C92*1.2</f>
        <v/>
      </c>
      <c r="E92" s="224">
        <f>INDIRECT("'Закуп'!D" &amp; A92)</f>
        <v/>
      </c>
      <c r="F92" s="231">
        <f>INDIRECT("'Закуп'!E" &amp; B92)</f>
        <v/>
      </c>
      <c r="G92" s="172">
        <f>IF(INDIRECT("'Закуп'!L" &amp; B92)="Sale","Sale","")</f>
        <v/>
      </c>
      <c r="H92" s="158">
        <f>IF(INDIRECT("'Закуп'!F" &amp; B92)=0,"",INDIRECT("'Закуп'!F" &amp; B92))</f>
        <v/>
      </c>
      <c r="I92" s="120" t="n">
        <v>50</v>
      </c>
      <c r="J92" s="121">
        <f>K92/1.2</f>
        <v/>
      </c>
      <c r="K92" s="70" t="n">
        <v>1.07</v>
      </c>
      <c r="L92" s="122">
        <f>J92-C92-(J92-C92)*0.2</f>
        <v/>
      </c>
      <c r="M92" s="123">
        <f>L92*I92</f>
        <v/>
      </c>
      <c r="N92" s="124" t="inlineStr">
        <is>
          <t xml:space="preserve">50-90 шт - </t>
        </is>
      </c>
      <c r="O92" s="47" t="inlineStr">
        <is>
          <t xml:space="preserve"> руб / шт с НДС</t>
        </is>
      </c>
      <c r="P92" s="125">
        <f>ROUND(K92,2)</f>
        <v/>
      </c>
      <c r="Q92" s="207">
        <f>CONCATENATE(N92,P92,O92,)</f>
        <v/>
      </c>
      <c r="R92" s="235">
        <f>INDIRECT("'Закуп'!k" &amp; A92)</f>
        <v/>
      </c>
      <c r="S92" s="239">
        <f>INDIRECT("'Закуп'!o" &amp; A92)</f>
        <v/>
      </c>
      <c r="T92" s="226">
        <f>INDIRECT("'Закуп'!p" &amp; A92)</f>
        <v/>
      </c>
      <c r="U92" s="235">
        <f>INDIRECT("'Закуп'!v" &amp; A92)</f>
        <v/>
      </c>
      <c r="V92" s="222">
        <f>INDIRECT("'Закуп'!w" &amp; A92)</f>
        <v/>
      </c>
      <c r="W92" s="229">
        <f>INDIRECT("'Закуп'!H" &amp; A92)</f>
        <v/>
      </c>
      <c r="X92" s="237">
        <f>INDIRECT("'Закуп'!g" &amp; A92)</f>
        <v/>
      </c>
      <c r="Y92" s="229">
        <f>INDIRECT("'Закуп'!i" &amp; A92)</f>
        <v/>
      </c>
      <c r="Z92" s="236">
        <f>INDIRECT("'Закуп'!x" &amp; A92)</f>
        <v/>
      </c>
      <c r="AA92" s="237">
        <f>INDIRECT("'Закуп'!y" &amp; A92)</f>
        <v/>
      </c>
      <c r="AB92" s="238">
        <f>INDIRECT("'Закуп'!z" &amp; A92)</f>
        <v/>
      </c>
      <c r="AC92" s="223">
        <f>SUBSTITUTE(INDEX(F:F, ROUNDUP((ROW(A91))/5,0)*5 - 3), "х", "x")</f>
        <v/>
      </c>
      <c r="AD92" s="222">
        <f>SUBSTITUTE(INDEX(F:F, ROUNDUP((ROW(A91))/5,0)*5 - 3), "х", "x") &amp; " - " &amp; SUBSTITUTE(SUBSTITUTE(INDEX(F:F, ROUNDUP((ROW(A91))/5,0)*5 - 3), "х", "*"), "x", "*") &amp; " мм"</f>
        <v/>
      </c>
    </row>
    <row r="93">
      <c r="B93" s="47" t="n">
        <v>20</v>
      </c>
      <c r="C93" s="118">
        <f>INDIRECT("'Закуп'!A" &amp; B93)</f>
        <v/>
      </c>
      <c r="D93" s="119">
        <f>C93*1.2</f>
        <v/>
      </c>
      <c r="G93" s="172">
        <f>IF(INDIRECT("'Закуп'!L" &amp; B93)="Sale","Sale","")</f>
        <v/>
      </c>
      <c r="H93" s="158">
        <f>IF(INDIRECT("'Закуп'!F" &amp; B93)=0,"",INDIRECT("'Закуп'!F" &amp; B93))</f>
        <v/>
      </c>
      <c r="I93" s="120" t="n">
        <v>100</v>
      </c>
      <c r="J93" s="121">
        <f>K93/1.2</f>
        <v/>
      </c>
      <c r="K93" s="70" t="n">
        <v>0.91</v>
      </c>
      <c r="L93" s="122">
        <f>J93-C93-(J93-C93)*0.2</f>
        <v/>
      </c>
      <c r="M93" s="123">
        <f>L93*I93</f>
        <v/>
      </c>
      <c r="N93" s="124" t="inlineStr">
        <is>
          <t xml:space="preserve">100-290 шт - </t>
        </is>
      </c>
      <c r="O93" s="47" t="inlineStr">
        <is>
          <t xml:space="preserve"> руб / шт с НДС</t>
        </is>
      </c>
      <c r="P93" s="125">
        <f>ROUND(K93,2)</f>
        <v/>
      </c>
      <c r="Q93" s="207">
        <f>CONCATENATE(N93,P93,O93,)</f>
        <v/>
      </c>
      <c r="R93" s="240" t="n"/>
      <c r="T93" s="241" t="n"/>
      <c r="U93" s="240" t="n"/>
      <c r="V93" s="241" t="n"/>
      <c r="Z93" s="240" t="n"/>
      <c r="AB93" s="241" t="n"/>
      <c r="AC93" s="240" t="n"/>
      <c r="AD93" s="241" t="n"/>
    </row>
    <row r="94">
      <c r="B94" s="47" t="n">
        <v>20</v>
      </c>
      <c r="C94" s="118">
        <f>INDIRECT("'Закуп'!A" &amp; B94)</f>
        <v/>
      </c>
      <c r="D94" s="119">
        <f>C94*1.2</f>
        <v/>
      </c>
      <c r="G94" s="172">
        <f>IF(INDIRECT("'Закуп'!L" &amp; B94)="Sale","Sale","")</f>
        <v/>
      </c>
      <c r="H94" s="158">
        <f>IF(INDIRECT("'Закуп'!F" &amp; B94)=0,"",INDIRECT("'Закуп'!F" &amp; B94))</f>
        <v/>
      </c>
      <c r="I94" s="120" t="n">
        <v>300</v>
      </c>
      <c r="J94" s="121">
        <f>K94/1.2</f>
        <v/>
      </c>
      <c r="K94" s="70" t="n">
        <v>0.68</v>
      </c>
      <c r="L94" s="122">
        <f>J94-C94-(J94-C94)*0.2</f>
        <v/>
      </c>
      <c r="M94" s="123">
        <f>L94*I94</f>
        <v/>
      </c>
      <c r="N94" s="124" t="inlineStr">
        <is>
          <t xml:space="preserve">300-490 шт - </t>
        </is>
      </c>
      <c r="O94" s="47" t="inlineStr">
        <is>
          <t xml:space="preserve"> руб / шт с НДС</t>
        </is>
      </c>
      <c r="P94" s="125">
        <f>ROUND(K94,2)</f>
        <v/>
      </c>
      <c r="Q94" s="207">
        <f>CONCATENATE(N94,P94,O94,)</f>
        <v/>
      </c>
      <c r="R94" s="240" t="n"/>
      <c r="T94" s="241" t="n"/>
      <c r="U94" s="240" t="n"/>
      <c r="V94" s="241" t="n"/>
      <c r="Z94" s="240" t="n"/>
      <c r="AB94" s="241" t="n"/>
      <c r="AC94" s="240" t="n"/>
      <c r="AD94" s="241" t="n"/>
    </row>
    <row r="95">
      <c r="B95" s="47" t="n">
        <v>20</v>
      </c>
      <c r="C95" s="118">
        <f>INDIRECT("'Закуп'!A" &amp; B95)</f>
        <v/>
      </c>
      <c r="D95" s="119">
        <f>C95*1.2</f>
        <v/>
      </c>
      <c r="G95" s="172">
        <f>IF(INDIRECT("'Закуп'!L" &amp; B95)="Sale","Sale","")</f>
        <v/>
      </c>
      <c r="H95" s="158">
        <f>IF(INDIRECT("'Закуп'!F" &amp; B95)=0,"",INDIRECT("'Закуп'!F" &amp; B95))</f>
        <v/>
      </c>
      <c r="I95" s="120" t="n">
        <v>500</v>
      </c>
      <c r="J95" s="121">
        <f>K95/1.2</f>
        <v/>
      </c>
      <c r="K95" s="70" t="n">
        <v>0.63</v>
      </c>
      <c r="L95" s="122">
        <f>J95-C95-(J95-C95)*0.2</f>
        <v/>
      </c>
      <c r="M95" s="123">
        <f>L95*I95</f>
        <v/>
      </c>
      <c r="N95" s="124" t="inlineStr">
        <is>
          <t xml:space="preserve">500-990 шт - </t>
        </is>
      </c>
      <c r="O95" s="47" t="inlineStr">
        <is>
          <t xml:space="preserve"> руб / шт с НДС</t>
        </is>
      </c>
      <c r="P95" s="125">
        <f>ROUND(K95,2)</f>
        <v/>
      </c>
      <c r="Q95" s="207">
        <f>CONCATENATE(N95,P95,O95,)</f>
        <v/>
      </c>
      <c r="R95" s="240" t="n"/>
      <c r="T95" s="241" t="n"/>
      <c r="U95" s="240" t="n"/>
      <c r="V95" s="241" t="n"/>
      <c r="Z95" s="240" t="n"/>
      <c r="AB95" s="241" t="n"/>
      <c r="AC95" s="240" t="n"/>
      <c r="AD95" s="241" t="n"/>
    </row>
    <row r="96">
      <c r="B96" s="47" t="n">
        <v>20</v>
      </c>
      <c r="C96" s="118">
        <f>INDIRECT("'Закуп'!A" &amp; B96)</f>
        <v/>
      </c>
      <c r="D96" s="119">
        <f>C96*1.2</f>
        <v/>
      </c>
      <c r="G96" s="172">
        <f>IF(INDIRECT("'Закуп'!L" &amp; B96)="Sale","Sale","")</f>
        <v/>
      </c>
      <c r="H96" s="158">
        <f>IF(INDIRECT("'Закуп'!F" &amp; B96)=0,"",INDIRECT("'Закуп'!F" &amp; B96))</f>
        <v/>
      </c>
      <c r="I96" s="120" t="n">
        <v>1000</v>
      </c>
      <c r="J96" s="121">
        <f>K96/1.2</f>
        <v/>
      </c>
      <c r="K96" s="70" t="n">
        <v>0.59</v>
      </c>
      <c r="L96" s="122">
        <f>J96-C96-(J96-C96)*0.2</f>
        <v/>
      </c>
      <c r="M96" s="123">
        <f>L96*I96</f>
        <v/>
      </c>
      <c r="N96" s="124" t="inlineStr">
        <is>
          <t xml:space="preserve">1000 + шт - </t>
        </is>
      </c>
      <c r="O96" s="47" t="inlineStr">
        <is>
          <t xml:space="preserve"> руб / шт с НДС</t>
        </is>
      </c>
      <c r="P96" s="125">
        <f>ROUND(K96,2)</f>
        <v/>
      </c>
      <c r="Q96" s="207">
        <f>CONCATENATE(N96,P96,O96,)</f>
        <v/>
      </c>
      <c r="R96" s="240" t="n"/>
      <c r="T96" s="241" t="n"/>
      <c r="U96" s="240" t="n"/>
      <c r="V96" s="241" t="n"/>
      <c r="Z96" s="240" t="n"/>
      <c r="AB96" s="241" t="n"/>
      <c r="AC96" s="240" t="n"/>
      <c r="AD96" s="241" t="n"/>
    </row>
    <row r="97">
      <c r="A97" s="232" t="n">
        <v>21</v>
      </c>
      <c r="B97" s="42" t="n">
        <v>21</v>
      </c>
      <c r="C97" s="118">
        <f>INDIRECT("'Закуп'!A" &amp; B97)</f>
        <v/>
      </c>
      <c r="D97" s="119">
        <f>C97*1.2</f>
        <v/>
      </c>
      <c r="E97" s="224">
        <f>INDIRECT("'Закуп'!D" &amp; A97)</f>
        <v/>
      </c>
      <c r="F97" s="231">
        <f>INDIRECT("'Закуп'!E" &amp; B97)</f>
        <v/>
      </c>
      <c r="G97" s="172">
        <f>IF(INDIRECT("'Закуп'!L" &amp; B97)="Sale","Sale","")</f>
        <v/>
      </c>
      <c r="H97" s="158">
        <f>IF(INDIRECT("'Закуп'!F" &amp; B97)=0,"",INDIRECT("'Закуп'!F" &amp; B97))</f>
        <v/>
      </c>
      <c r="I97" s="120" t="n">
        <v>50</v>
      </c>
      <c r="J97" s="121">
        <f>K97/1.2</f>
        <v/>
      </c>
      <c r="K97" s="70" t="n">
        <v>1.12</v>
      </c>
      <c r="L97" s="122">
        <f>J97-C97-(J97-C97)*0.2</f>
        <v/>
      </c>
      <c r="M97" s="123">
        <f>L97*I97</f>
        <v/>
      </c>
      <c r="N97" s="124" t="inlineStr">
        <is>
          <t xml:space="preserve">50-90 шт - </t>
        </is>
      </c>
      <c r="O97" s="47" t="inlineStr">
        <is>
          <t xml:space="preserve"> руб / шт с НДС</t>
        </is>
      </c>
      <c r="P97" s="125">
        <f>ROUND(K97,2)</f>
        <v/>
      </c>
      <c r="Q97" s="207">
        <f>CONCATENATE(N97,P97,O97,)</f>
        <v/>
      </c>
      <c r="R97" s="235">
        <f>INDIRECT("'Закуп'!k" &amp; A97)</f>
        <v/>
      </c>
      <c r="S97" s="239">
        <f>INDIRECT("'Закуп'!o" &amp; A97)</f>
        <v/>
      </c>
      <c r="T97" s="226">
        <f>INDIRECT("'Закуп'!p" &amp; A97)</f>
        <v/>
      </c>
      <c r="U97" s="235">
        <f>INDIRECT("'Закуп'!v" &amp; A97)</f>
        <v/>
      </c>
      <c r="V97" s="222">
        <f>INDIRECT("'Закуп'!w" &amp; A97)</f>
        <v/>
      </c>
      <c r="W97" s="229">
        <f>INDIRECT("'Закуп'!H" &amp; A97)</f>
        <v/>
      </c>
      <c r="X97" s="237">
        <f>INDIRECT("'Закуп'!g" &amp; A97)</f>
        <v/>
      </c>
      <c r="Y97" s="229">
        <f>INDIRECT("'Закуп'!i" &amp; A97)</f>
        <v/>
      </c>
      <c r="Z97" s="236">
        <f>INDIRECT("'Закуп'!x" &amp; A97)</f>
        <v/>
      </c>
      <c r="AA97" s="237">
        <f>INDIRECT("'Закуп'!y" &amp; A97)</f>
        <v/>
      </c>
      <c r="AB97" s="238">
        <f>INDIRECT("'Закуп'!z" &amp; A97)</f>
        <v/>
      </c>
      <c r="AC97" s="223">
        <f>SUBSTITUTE(INDEX(F:F, ROUNDUP((ROW(A96))/5,0)*5 - 3), "х", "x")</f>
        <v/>
      </c>
      <c r="AD97" s="222">
        <f>SUBSTITUTE(INDEX(F:F, ROUNDUP((ROW(A96))/5,0)*5 - 3), "х", "x") &amp; " - " &amp; SUBSTITUTE(SUBSTITUTE(INDEX(F:F, ROUNDUP((ROW(A96))/5,0)*5 - 3), "х", "*"), "x", "*") &amp; " мм"</f>
        <v/>
      </c>
    </row>
    <row r="98">
      <c r="B98" s="42" t="n">
        <v>21</v>
      </c>
      <c r="C98" s="118">
        <f>INDIRECT("'Закуп'!A" &amp; B98)</f>
        <v/>
      </c>
      <c r="D98" s="119">
        <f>C98*1.2</f>
        <v/>
      </c>
      <c r="G98" s="172">
        <f>IF(INDIRECT("'Закуп'!L" &amp; B98)="Sale","Sale","")</f>
        <v/>
      </c>
      <c r="H98" s="158">
        <f>IF(INDIRECT("'Закуп'!F" &amp; B98)=0,"",INDIRECT("'Закуп'!F" &amp; B98))</f>
        <v/>
      </c>
      <c r="I98" s="120" t="n">
        <v>100</v>
      </c>
      <c r="J98" s="121">
        <f>K98/1.2</f>
        <v/>
      </c>
      <c r="K98" s="70" t="n">
        <v>0.96</v>
      </c>
      <c r="L98" s="122">
        <f>J98-C98-(J98-C98)*0.2</f>
        <v/>
      </c>
      <c r="M98" s="123">
        <f>L98*I98</f>
        <v/>
      </c>
      <c r="N98" s="124" t="inlineStr">
        <is>
          <t xml:space="preserve">100-290 шт - </t>
        </is>
      </c>
      <c r="O98" s="47" t="inlineStr">
        <is>
          <t xml:space="preserve"> руб / шт с НДС</t>
        </is>
      </c>
      <c r="P98" s="125">
        <f>ROUND(K98,2)</f>
        <v/>
      </c>
      <c r="Q98" s="207">
        <f>CONCATENATE(N98,P98,O98,)</f>
        <v/>
      </c>
      <c r="R98" s="240" t="n"/>
      <c r="T98" s="241" t="n"/>
      <c r="U98" s="240" t="n"/>
      <c r="V98" s="241" t="n"/>
      <c r="Z98" s="240" t="n"/>
      <c r="AB98" s="241" t="n"/>
      <c r="AC98" s="240" t="n"/>
      <c r="AD98" s="241" t="n"/>
    </row>
    <row r="99">
      <c r="B99" s="42" t="n">
        <v>21</v>
      </c>
      <c r="C99" s="118">
        <f>INDIRECT("'Закуп'!A" &amp; B99)</f>
        <v/>
      </c>
      <c r="D99" s="119">
        <f>C99*1.2</f>
        <v/>
      </c>
      <c r="G99" s="172">
        <f>IF(INDIRECT("'Закуп'!L" &amp; B99)="Sale","Sale","")</f>
        <v/>
      </c>
      <c r="H99" s="158">
        <f>IF(INDIRECT("'Закуп'!F" &amp; B99)=0,"",INDIRECT("'Закуп'!F" &amp; B99))</f>
        <v/>
      </c>
      <c r="I99" s="120" t="n">
        <v>300</v>
      </c>
      <c r="J99" s="121">
        <f>K99/1.2</f>
        <v/>
      </c>
      <c r="K99" s="70" t="n">
        <v>0.85</v>
      </c>
      <c r="L99" s="122">
        <f>J99-C99-(J99-C99)*0.2</f>
        <v/>
      </c>
      <c r="M99" s="123">
        <f>L99*I99</f>
        <v/>
      </c>
      <c r="N99" s="124" t="inlineStr">
        <is>
          <t xml:space="preserve">300-490 шт - </t>
        </is>
      </c>
      <c r="O99" s="47" t="inlineStr">
        <is>
          <t xml:space="preserve"> руб / шт с НДС</t>
        </is>
      </c>
      <c r="P99" s="125">
        <f>ROUND(K99,2)</f>
        <v/>
      </c>
      <c r="Q99" s="207">
        <f>CONCATENATE(N99,P99,O99,)</f>
        <v/>
      </c>
      <c r="R99" s="240" t="n"/>
      <c r="T99" s="241" t="n"/>
      <c r="U99" s="240" t="n"/>
      <c r="V99" s="241" t="n"/>
      <c r="Z99" s="240" t="n"/>
      <c r="AB99" s="241" t="n"/>
      <c r="AC99" s="240" t="n"/>
      <c r="AD99" s="241" t="n"/>
    </row>
    <row r="100">
      <c r="B100" s="42" t="n">
        <v>21</v>
      </c>
      <c r="C100" s="118">
        <f>INDIRECT("'Закуп'!A" &amp; B100)</f>
        <v/>
      </c>
      <c r="D100" s="119">
        <f>C100*1.2</f>
        <v/>
      </c>
      <c r="G100" s="172">
        <f>IF(INDIRECT("'Закуп'!L" &amp; B100)="Sale","Sale","")</f>
        <v/>
      </c>
      <c r="H100" s="158">
        <f>IF(INDIRECT("'Закуп'!F" &amp; B100)=0,"",INDIRECT("'Закуп'!F" &amp; B100))</f>
        <v/>
      </c>
      <c r="I100" s="120" t="n">
        <v>500</v>
      </c>
      <c r="J100" s="121">
        <f>K100/1.2</f>
        <v/>
      </c>
      <c r="K100" s="70" t="n">
        <v>0.7</v>
      </c>
      <c r="L100" s="122">
        <f>J100-C100-(J100-C100)*0.2</f>
        <v/>
      </c>
      <c r="M100" s="123">
        <f>L100*I100</f>
        <v/>
      </c>
      <c r="N100" s="124" t="inlineStr">
        <is>
          <t xml:space="preserve">500-990 шт - </t>
        </is>
      </c>
      <c r="O100" s="47" t="inlineStr">
        <is>
          <t xml:space="preserve"> руб / шт с НДС</t>
        </is>
      </c>
      <c r="P100" s="125">
        <f>ROUND(K100,2)</f>
        <v/>
      </c>
      <c r="Q100" s="207">
        <f>CONCATENATE(N100,P100,O100,)</f>
        <v/>
      </c>
      <c r="R100" s="240" t="n"/>
      <c r="T100" s="241" t="n"/>
      <c r="U100" s="240" t="n"/>
      <c r="V100" s="241" t="n"/>
      <c r="Z100" s="240" t="n"/>
      <c r="AB100" s="241" t="n"/>
      <c r="AC100" s="240" t="n"/>
      <c r="AD100" s="241" t="n"/>
    </row>
    <row r="101">
      <c r="B101" s="42" t="n">
        <v>21</v>
      </c>
      <c r="C101" s="118">
        <f>INDIRECT("'Закуп'!A" &amp; B101)</f>
        <v/>
      </c>
      <c r="D101" s="119">
        <f>C101*1.2</f>
        <v/>
      </c>
      <c r="G101" s="172">
        <f>IF(INDIRECT("'Закуп'!L" &amp; B101)="Sale","Sale","")</f>
        <v/>
      </c>
      <c r="H101" s="158">
        <f>IF(INDIRECT("'Закуп'!F" &amp; B101)=0,"",INDIRECT("'Закуп'!F" &amp; B101))</f>
        <v/>
      </c>
      <c r="I101" s="120" t="n">
        <v>1000</v>
      </c>
      <c r="J101" s="121">
        <f>K101/1.2</f>
        <v/>
      </c>
      <c r="K101" s="70" t="n">
        <v>0.55</v>
      </c>
      <c r="L101" s="122">
        <f>J101-C101-(J101-C101)*0.2</f>
        <v/>
      </c>
      <c r="M101" s="123">
        <f>L101*I101</f>
        <v/>
      </c>
      <c r="N101" s="124" t="inlineStr">
        <is>
          <t xml:space="preserve">1000 + шт - </t>
        </is>
      </c>
      <c r="O101" s="47" t="inlineStr">
        <is>
          <t xml:space="preserve"> руб / шт с НДС</t>
        </is>
      </c>
      <c r="P101" s="125">
        <f>ROUND(K101,2)</f>
        <v/>
      </c>
      <c r="Q101" s="207">
        <f>CONCATENATE(N101,P101,O101,)</f>
        <v/>
      </c>
      <c r="R101" s="240" t="n"/>
      <c r="T101" s="241" t="n"/>
      <c r="U101" s="240" t="n"/>
      <c r="V101" s="241" t="n"/>
      <c r="Z101" s="240" t="n"/>
      <c r="AB101" s="241" t="n"/>
      <c r="AC101" s="240" t="n"/>
      <c r="AD101" s="241" t="n"/>
    </row>
    <row r="102">
      <c r="A102" s="232" t="n">
        <v>22</v>
      </c>
      <c r="B102" s="42" t="n">
        <v>22</v>
      </c>
      <c r="C102" s="118">
        <f>INDIRECT("'Закуп'!A" &amp; B102)</f>
        <v/>
      </c>
      <c r="D102" s="119">
        <f>C102*1.2</f>
        <v/>
      </c>
      <c r="E102" s="224">
        <f>INDIRECT("'Закуп'!D" &amp; A102)</f>
        <v/>
      </c>
      <c r="F102" s="231">
        <f>INDIRECT("'Закуп'!E" &amp; B102)</f>
        <v/>
      </c>
      <c r="G102" s="172">
        <f>IF(INDIRECT("'Закуп'!L" &amp; B102)="Sale","Sale","")</f>
        <v/>
      </c>
      <c r="H102" s="158">
        <f>IF(INDIRECT("'Закуп'!F" &amp; B102)=0,"",INDIRECT("'Закуп'!F" &amp; B102))</f>
        <v/>
      </c>
      <c r="I102" s="120" t="n">
        <v>50</v>
      </c>
      <c r="J102" s="121">
        <f>K102/1.2</f>
        <v/>
      </c>
      <c r="K102" s="70" t="n">
        <v>1.07</v>
      </c>
      <c r="L102" s="122">
        <f>J102-C102-(J102-C102)*0.2</f>
        <v/>
      </c>
      <c r="M102" s="123">
        <f>L102*I102</f>
        <v/>
      </c>
      <c r="N102" s="124" t="inlineStr">
        <is>
          <t xml:space="preserve">50-90 шт - </t>
        </is>
      </c>
      <c r="O102" s="47" t="inlineStr">
        <is>
          <t xml:space="preserve"> руб / шт с НДС</t>
        </is>
      </c>
      <c r="P102" s="125">
        <f>ROUND(K102,2)</f>
        <v/>
      </c>
      <c r="Q102" s="207">
        <f>CONCATENATE(N102,P102,O102,)</f>
        <v/>
      </c>
      <c r="R102" s="235">
        <f>INDIRECT("'Закуп'!k" &amp; A102)</f>
        <v/>
      </c>
      <c r="S102" s="239">
        <f>INDIRECT("'Закуп'!o" &amp; A102)</f>
        <v/>
      </c>
      <c r="T102" s="226">
        <f>INDIRECT("'Закуп'!p" &amp; A102)</f>
        <v/>
      </c>
      <c r="U102" s="235">
        <f>INDIRECT("'Закуп'!v" &amp; A102)</f>
        <v/>
      </c>
      <c r="V102" s="222">
        <f>INDIRECT("'Закуп'!w" &amp; A102)</f>
        <v/>
      </c>
      <c r="W102" s="229">
        <f>INDIRECT("'Закуп'!H" &amp; A102)</f>
        <v/>
      </c>
      <c r="X102" s="237">
        <f>INDIRECT("'Закуп'!g" &amp; A102)</f>
        <v/>
      </c>
      <c r="Y102" s="229">
        <f>INDIRECT("'Закуп'!i" &amp; A102)</f>
        <v/>
      </c>
      <c r="Z102" s="236">
        <f>INDIRECT("'Закуп'!x" &amp; A102)</f>
        <v/>
      </c>
      <c r="AA102" s="237">
        <f>INDIRECT("'Закуп'!y" &amp; A102)</f>
        <v/>
      </c>
      <c r="AB102" s="238">
        <f>INDIRECT("'Закуп'!z" &amp; A102)</f>
        <v/>
      </c>
      <c r="AC102" s="223">
        <f>SUBSTITUTE(INDEX(F:F, ROUNDUP((ROW(A101))/5,0)*5 - 3), "х", "x")</f>
        <v/>
      </c>
      <c r="AD102" s="222">
        <f>SUBSTITUTE(INDEX(F:F, ROUNDUP((ROW(A101))/5,0)*5 - 3), "х", "x") &amp; " - " &amp; SUBSTITUTE(SUBSTITUTE(INDEX(F:F, ROUNDUP((ROW(A101))/5,0)*5 - 3), "х", "*"), "x", "*") &amp; " мм"</f>
        <v/>
      </c>
    </row>
    <row r="103">
      <c r="B103" s="42" t="n">
        <v>22</v>
      </c>
      <c r="C103" s="118">
        <f>INDIRECT("'Закуп'!A" &amp; B103)</f>
        <v/>
      </c>
      <c r="D103" s="119">
        <f>C103*1.2</f>
        <v/>
      </c>
      <c r="G103" s="172">
        <f>IF(INDIRECT("'Закуп'!L" &amp; B103)="Sale","Sale","")</f>
        <v/>
      </c>
      <c r="H103" s="158">
        <f>IF(INDIRECT("'Закуп'!F" &amp; B103)=0,"",INDIRECT("'Закуп'!F" &amp; B103))</f>
        <v/>
      </c>
      <c r="I103" s="120" t="n">
        <v>100</v>
      </c>
      <c r="J103" s="121">
        <f>K103/1.2</f>
        <v/>
      </c>
      <c r="K103" s="70" t="n">
        <v>0.9</v>
      </c>
      <c r="L103" s="122">
        <f>J103-C103-(J103-C103)*0.2</f>
        <v/>
      </c>
      <c r="M103" s="123">
        <f>L103*I103</f>
        <v/>
      </c>
      <c r="N103" s="124" t="inlineStr">
        <is>
          <t xml:space="preserve">100-290 шт - </t>
        </is>
      </c>
      <c r="O103" s="47" t="inlineStr">
        <is>
          <t xml:space="preserve"> руб / шт с НДС</t>
        </is>
      </c>
      <c r="P103" s="125">
        <f>ROUND(K103,2)</f>
        <v/>
      </c>
      <c r="Q103" s="207">
        <f>CONCATENATE(N103,P103,O103,)</f>
        <v/>
      </c>
      <c r="R103" s="240" t="n"/>
      <c r="T103" s="241" t="n"/>
      <c r="U103" s="240" t="n"/>
      <c r="V103" s="241" t="n"/>
      <c r="Z103" s="240" t="n"/>
      <c r="AB103" s="241" t="n"/>
      <c r="AC103" s="240" t="n"/>
      <c r="AD103" s="241" t="n"/>
    </row>
    <row r="104">
      <c r="B104" s="42" t="n">
        <v>22</v>
      </c>
      <c r="C104" s="118">
        <f>INDIRECT("'Закуп'!A" &amp; B104)</f>
        <v/>
      </c>
      <c r="D104" s="119">
        <f>C104*1.2</f>
        <v/>
      </c>
      <c r="G104" s="172">
        <f>IF(INDIRECT("'Закуп'!L" &amp; B104)="Sale","Sale","")</f>
        <v/>
      </c>
      <c r="H104" s="158">
        <f>IF(INDIRECT("'Закуп'!F" &amp; B104)=0,"",INDIRECT("'Закуп'!F" &amp; B104))</f>
        <v/>
      </c>
      <c r="I104" s="120" t="n">
        <v>300</v>
      </c>
      <c r="J104" s="121">
        <f>K104/1.2</f>
        <v/>
      </c>
      <c r="K104" s="70" t="n">
        <v>0.82</v>
      </c>
      <c r="L104" s="122">
        <f>J104-C104-(J104-C104)*0.2</f>
        <v/>
      </c>
      <c r="M104" s="123">
        <f>L104*I104</f>
        <v/>
      </c>
      <c r="N104" s="124" t="inlineStr">
        <is>
          <t xml:space="preserve">300-490 шт - </t>
        </is>
      </c>
      <c r="O104" s="47" t="inlineStr">
        <is>
          <t xml:space="preserve"> руб / шт с НДС</t>
        </is>
      </c>
      <c r="P104" s="125">
        <f>ROUND(K104,2)</f>
        <v/>
      </c>
      <c r="Q104" s="207">
        <f>CONCATENATE(N104,P104,O104,)</f>
        <v/>
      </c>
      <c r="R104" s="240" t="n"/>
      <c r="T104" s="241" t="n"/>
      <c r="U104" s="240" t="n"/>
      <c r="V104" s="241" t="n"/>
      <c r="Z104" s="240" t="n"/>
      <c r="AB104" s="241" t="n"/>
      <c r="AC104" s="240" t="n"/>
      <c r="AD104" s="241" t="n"/>
    </row>
    <row r="105">
      <c r="B105" s="42" t="n">
        <v>22</v>
      </c>
      <c r="C105" s="118">
        <f>INDIRECT("'Закуп'!A" &amp; B105)</f>
        <v/>
      </c>
      <c r="D105" s="119">
        <f>C105*1.2</f>
        <v/>
      </c>
      <c r="G105" s="172">
        <f>IF(INDIRECT("'Закуп'!L" &amp; B105)="Sale","Sale","")</f>
        <v/>
      </c>
      <c r="H105" s="158">
        <f>IF(INDIRECT("'Закуп'!F" &amp; B105)=0,"",INDIRECT("'Закуп'!F" &amp; B105))</f>
        <v/>
      </c>
      <c r="I105" s="120" t="n">
        <v>500</v>
      </c>
      <c r="J105" s="121">
        <f>K105/1.2</f>
        <v/>
      </c>
      <c r="K105" s="70" t="n">
        <v>0.75</v>
      </c>
      <c r="L105" s="122">
        <f>J105-C105-(J105-C105)*0.2</f>
        <v/>
      </c>
      <c r="M105" s="123">
        <f>L105*I105</f>
        <v/>
      </c>
      <c r="N105" s="124" t="inlineStr">
        <is>
          <t xml:space="preserve">500-990 шт - </t>
        </is>
      </c>
      <c r="O105" s="47" t="inlineStr">
        <is>
          <t xml:space="preserve"> руб / шт с НДС</t>
        </is>
      </c>
      <c r="P105" s="125">
        <f>ROUND(K105,2)</f>
        <v/>
      </c>
      <c r="Q105" s="207">
        <f>CONCATENATE(N105,P105,O105,)</f>
        <v/>
      </c>
      <c r="R105" s="240" t="n"/>
      <c r="T105" s="241" t="n"/>
      <c r="U105" s="240" t="n"/>
      <c r="V105" s="241" t="n"/>
      <c r="Z105" s="240" t="n"/>
      <c r="AB105" s="241" t="n"/>
      <c r="AC105" s="240" t="n"/>
      <c r="AD105" s="241" t="n"/>
    </row>
    <row r="106">
      <c r="B106" s="42" t="n">
        <v>22</v>
      </c>
      <c r="C106" s="118">
        <f>INDIRECT("'Закуп'!A" &amp; B106)</f>
        <v/>
      </c>
      <c r="D106" s="119">
        <f>C106*1.2</f>
        <v/>
      </c>
      <c r="G106" s="172">
        <f>IF(INDIRECT("'Закуп'!L" &amp; B106)="Sale","Sale","")</f>
        <v/>
      </c>
      <c r="H106" s="158">
        <f>IF(INDIRECT("'Закуп'!F" &amp; B106)=0,"",INDIRECT("'Закуп'!F" &amp; B106))</f>
        <v/>
      </c>
      <c r="I106" s="120" t="n">
        <v>1000</v>
      </c>
      <c r="J106" s="121">
        <f>K106/1.2</f>
        <v/>
      </c>
      <c r="K106" s="70" t="n">
        <v>0.7</v>
      </c>
      <c r="L106" s="122">
        <f>J106-C106-(J106-C106)*0.2</f>
        <v/>
      </c>
      <c r="M106" s="123">
        <f>L106*I106</f>
        <v/>
      </c>
      <c r="N106" s="124" t="inlineStr">
        <is>
          <t xml:space="preserve">1000 + шт - </t>
        </is>
      </c>
      <c r="O106" s="47" t="inlineStr">
        <is>
          <t xml:space="preserve"> руб / шт с НДС</t>
        </is>
      </c>
      <c r="P106" s="125">
        <f>ROUND(K106,2)</f>
        <v/>
      </c>
      <c r="Q106" s="207">
        <f>CONCATENATE(N106,P106,O106,)</f>
        <v/>
      </c>
      <c r="R106" s="240" t="n"/>
      <c r="T106" s="241" t="n"/>
      <c r="U106" s="240" t="n"/>
      <c r="V106" s="241" t="n"/>
      <c r="Z106" s="240" t="n"/>
      <c r="AB106" s="241" t="n"/>
      <c r="AC106" s="240" t="n"/>
      <c r="AD106" s="241" t="n"/>
    </row>
    <row r="107">
      <c r="A107" s="232" t="n">
        <v>23</v>
      </c>
      <c r="B107" s="42" t="n">
        <v>23</v>
      </c>
      <c r="C107" s="118">
        <f>INDIRECT("'Закуп'!A" &amp; B107)</f>
        <v/>
      </c>
      <c r="D107" s="119">
        <f>C107*1.2</f>
        <v/>
      </c>
      <c r="E107" s="224">
        <f>INDIRECT("'Закуп'!D" &amp; A107)</f>
        <v/>
      </c>
      <c r="F107" s="231">
        <f>INDIRECT("'Закуп'!E" &amp; B107)</f>
        <v/>
      </c>
      <c r="G107" s="172">
        <f>IF(INDIRECT("'Закуп'!L" &amp; B107)="Sale","Sale","")</f>
        <v/>
      </c>
      <c r="H107" s="158">
        <f>IF(INDIRECT("'Закуп'!F" &amp; B107)=0,"",INDIRECT("'Закуп'!F" &amp; B107))</f>
        <v/>
      </c>
      <c r="I107" s="120" t="n">
        <v>50</v>
      </c>
      <c r="J107" s="121">
        <f>K107/1.2</f>
        <v/>
      </c>
      <c r="K107" s="70" t="n">
        <v>1.07</v>
      </c>
      <c r="L107" s="122">
        <f>J107-C107-(J107-C107)*0.2</f>
        <v/>
      </c>
      <c r="M107" s="123">
        <f>L107*I107</f>
        <v/>
      </c>
      <c r="N107" s="124" t="inlineStr">
        <is>
          <t xml:space="preserve">50-90 шт - </t>
        </is>
      </c>
      <c r="O107" s="47" t="inlineStr">
        <is>
          <t xml:space="preserve"> руб / шт с НДС</t>
        </is>
      </c>
      <c r="P107" s="125">
        <f>ROUND(K107,2)</f>
        <v/>
      </c>
      <c r="Q107" s="207">
        <f>CONCATENATE(N107,P107,O107,)</f>
        <v/>
      </c>
      <c r="R107" s="235">
        <f>INDIRECT("'Закуп'!k" &amp; A107)</f>
        <v/>
      </c>
      <c r="S107" s="239">
        <f>INDIRECT("'Закуп'!o" &amp; A107)</f>
        <v/>
      </c>
      <c r="T107" s="226">
        <f>INDIRECT("'Закуп'!p" &amp; A107)</f>
        <v/>
      </c>
      <c r="U107" s="235">
        <f>INDIRECT("'Закуп'!v" &amp; A107)</f>
        <v/>
      </c>
      <c r="V107" s="222">
        <f>INDIRECT("'Закуп'!w" &amp; A107)</f>
        <v/>
      </c>
      <c r="W107" s="229">
        <f>INDIRECT("'Закуп'!H" &amp; A107)</f>
        <v/>
      </c>
      <c r="X107" s="237">
        <f>INDIRECT("'Закуп'!g" &amp; A107)</f>
        <v/>
      </c>
      <c r="Y107" s="229">
        <f>INDIRECT("'Закуп'!i" &amp; A107)</f>
        <v/>
      </c>
      <c r="Z107" s="236">
        <f>INDIRECT("'Закуп'!x" &amp; A107)</f>
        <v/>
      </c>
      <c r="AA107" s="237">
        <f>INDIRECT("'Закуп'!y" &amp; A107)</f>
        <v/>
      </c>
      <c r="AB107" s="238">
        <f>INDIRECT("'Закуп'!z" &amp; A107)</f>
        <v/>
      </c>
      <c r="AC107" s="223">
        <f>SUBSTITUTE(INDEX(F:F, ROUNDUP((ROW(A106))/5,0)*5 - 3), "х", "x")</f>
        <v/>
      </c>
      <c r="AD107" s="222">
        <f>SUBSTITUTE(INDEX(F:F, ROUNDUP((ROW(A106))/5,0)*5 - 3), "х", "x") &amp; " - " &amp; SUBSTITUTE(SUBSTITUTE(INDEX(F:F, ROUNDUP((ROW(A106))/5,0)*5 - 3), "х", "*"), "x", "*") &amp; " мм"</f>
        <v/>
      </c>
    </row>
    <row r="108">
      <c r="B108" s="42" t="n">
        <v>23</v>
      </c>
      <c r="C108" s="118">
        <f>INDIRECT("'Закуп'!A" &amp; B108)</f>
        <v/>
      </c>
      <c r="D108" s="119">
        <f>C108*1.2</f>
        <v/>
      </c>
      <c r="G108" s="172">
        <f>IF(INDIRECT("'Закуп'!L" &amp; B108)="Sale","Sale","")</f>
        <v/>
      </c>
      <c r="H108" s="158">
        <f>IF(INDIRECT("'Закуп'!F" &amp; B108)=0,"",INDIRECT("'Закуп'!F" &amp; B108))</f>
        <v/>
      </c>
      <c r="I108" s="120" t="n">
        <v>100</v>
      </c>
      <c r="J108" s="121">
        <f>K108/1.2</f>
        <v/>
      </c>
      <c r="K108" s="70" t="n">
        <v>0.96</v>
      </c>
      <c r="L108" s="122">
        <f>J108-C108-(J108-C108)*0.2</f>
        <v/>
      </c>
      <c r="M108" s="123">
        <f>L108*I108</f>
        <v/>
      </c>
      <c r="N108" s="124" t="inlineStr">
        <is>
          <t xml:space="preserve">100-290 шт - </t>
        </is>
      </c>
      <c r="O108" s="47" t="inlineStr">
        <is>
          <t xml:space="preserve"> руб / шт с НДС</t>
        </is>
      </c>
      <c r="P108" s="125">
        <f>ROUND(K108,2)</f>
        <v/>
      </c>
      <c r="Q108" s="207">
        <f>CONCATENATE(N108,P108,O108,)</f>
        <v/>
      </c>
      <c r="R108" s="240" t="n"/>
      <c r="T108" s="241" t="n"/>
      <c r="U108" s="240" t="n"/>
      <c r="V108" s="241" t="n"/>
      <c r="Z108" s="240" t="n"/>
      <c r="AB108" s="241" t="n"/>
      <c r="AC108" s="240" t="n"/>
      <c r="AD108" s="241" t="n"/>
    </row>
    <row r="109">
      <c r="B109" s="42" t="n">
        <v>23</v>
      </c>
      <c r="C109" s="118">
        <f>INDIRECT("'Закуп'!A" &amp; B109)</f>
        <v/>
      </c>
      <c r="D109" s="119">
        <f>C109*1.2</f>
        <v/>
      </c>
      <c r="G109" s="172">
        <f>IF(INDIRECT("'Закуп'!L" &amp; B109)="Sale","Sale","")</f>
        <v/>
      </c>
      <c r="H109" s="158">
        <f>IF(INDIRECT("'Закуп'!F" &amp; B109)=0,"",INDIRECT("'Закуп'!F" &amp; B109))</f>
        <v/>
      </c>
      <c r="I109" s="120" t="n">
        <v>300</v>
      </c>
      <c r="J109" s="121">
        <f>K109/1.2</f>
        <v/>
      </c>
      <c r="K109" s="70" t="n">
        <v>0.86</v>
      </c>
      <c r="L109" s="122">
        <f>J109-C109-(J109-C109)*0.2</f>
        <v/>
      </c>
      <c r="M109" s="123">
        <f>L109*I109</f>
        <v/>
      </c>
      <c r="N109" s="124" t="inlineStr">
        <is>
          <t xml:space="preserve">300-490 шт - </t>
        </is>
      </c>
      <c r="O109" s="47" t="inlineStr">
        <is>
          <t xml:space="preserve"> руб / шт с НДС</t>
        </is>
      </c>
      <c r="P109" s="125">
        <f>ROUND(K109,2)</f>
        <v/>
      </c>
      <c r="Q109" s="207">
        <f>CONCATENATE(N109,P109,O109,)</f>
        <v/>
      </c>
      <c r="R109" s="240" t="n"/>
      <c r="T109" s="241" t="n"/>
      <c r="U109" s="240" t="n"/>
      <c r="V109" s="241" t="n"/>
      <c r="Z109" s="240" t="n"/>
      <c r="AB109" s="241" t="n"/>
      <c r="AC109" s="240" t="n"/>
      <c r="AD109" s="241" t="n"/>
    </row>
    <row r="110">
      <c r="B110" s="42" t="n">
        <v>23</v>
      </c>
      <c r="C110" s="118">
        <f>INDIRECT("'Закуп'!A" &amp; B110)</f>
        <v/>
      </c>
      <c r="D110" s="119">
        <f>C110*1.2</f>
        <v/>
      </c>
      <c r="G110" s="172">
        <f>IF(INDIRECT("'Закуп'!L" &amp; B110)="Sale","Sale","")</f>
        <v/>
      </c>
      <c r="H110" s="158">
        <f>IF(INDIRECT("'Закуп'!F" &amp; B110)=0,"",INDIRECT("'Закуп'!F" &amp; B110))</f>
        <v/>
      </c>
      <c r="I110" s="120" t="n">
        <v>500</v>
      </c>
      <c r="J110" s="121">
        <f>K110/1.2</f>
        <v/>
      </c>
      <c r="K110" s="70" t="n">
        <v>0.7</v>
      </c>
      <c r="L110" s="122">
        <f>J110-C110-(J110-C110)*0.2</f>
        <v/>
      </c>
      <c r="M110" s="123">
        <f>L110*I110</f>
        <v/>
      </c>
      <c r="N110" s="124" t="inlineStr">
        <is>
          <t xml:space="preserve">500-990 шт - </t>
        </is>
      </c>
      <c r="O110" s="47" t="inlineStr">
        <is>
          <t xml:space="preserve"> руб / шт с НДС</t>
        </is>
      </c>
      <c r="P110" s="125">
        <f>ROUND(K110,2)</f>
        <v/>
      </c>
      <c r="Q110" s="207">
        <f>CONCATENATE(N110,P110,O110,)</f>
        <v/>
      </c>
      <c r="R110" s="240" t="n"/>
      <c r="T110" s="241" t="n"/>
      <c r="U110" s="240" t="n"/>
      <c r="V110" s="241" t="n"/>
      <c r="Z110" s="240" t="n"/>
      <c r="AB110" s="241" t="n"/>
      <c r="AC110" s="240" t="n"/>
      <c r="AD110" s="241" t="n"/>
    </row>
    <row r="111">
      <c r="B111" s="42" t="n">
        <v>23</v>
      </c>
      <c r="C111" s="118">
        <f>INDIRECT("'Закуп'!A" &amp; B111)</f>
        <v/>
      </c>
      <c r="D111" s="119">
        <f>C111*1.2</f>
        <v/>
      </c>
      <c r="G111" s="172">
        <f>IF(INDIRECT("'Закуп'!L" &amp; B111)="Sale","Sale","")</f>
        <v/>
      </c>
      <c r="H111" s="158">
        <f>IF(INDIRECT("'Закуп'!F" &amp; B111)=0,"",INDIRECT("'Закуп'!F" &amp; B111))</f>
        <v/>
      </c>
      <c r="I111" s="120" t="n">
        <v>1000</v>
      </c>
      <c r="J111" s="121">
        <f>K111/1.2</f>
        <v/>
      </c>
      <c r="K111" s="70" t="n">
        <v>0.54</v>
      </c>
      <c r="L111" s="122">
        <f>J111-C111-(J111-C111)*0.2</f>
        <v/>
      </c>
      <c r="M111" s="123">
        <f>L111*I111</f>
        <v/>
      </c>
      <c r="N111" s="124" t="inlineStr">
        <is>
          <t xml:space="preserve">1000 + шт - </t>
        </is>
      </c>
      <c r="O111" s="47" t="inlineStr">
        <is>
          <t xml:space="preserve"> руб / шт с НДС</t>
        </is>
      </c>
      <c r="P111" s="125">
        <f>ROUND(K111,2)</f>
        <v/>
      </c>
      <c r="Q111" s="207">
        <f>CONCATENATE(N111,P111,O111,)</f>
        <v/>
      </c>
      <c r="R111" s="240" t="n"/>
      <c r="T111" s="241" t="n"/>
      <c r="U111" s="240" t="n"/>
      <c r="V111" s="241" t="n"/>
      <c r="Z111" s="240" t="n"/>
      <c r="AB111" s="241" t="n"/>
      <c r="AC111" s="240" t="n"/>
      <c r="AD111" s="241" t="n"/>
    </row>
    <row r="112">
      <c r="A112" s="232" t="n">
        <v>24</v>
      </c>
      <c r="B112" s="42" t="n">
        <v>24</v>
      </c>
      <c r="C112" s="118">
        <f>INDIRECT("'Закуп'!A" &amp; B112)</f>
        <v/>
      </c>
      <c r="D112" s="119">
        <f>C112*1.2</f>
        <v/>
      </c>
      <c r="E112" s="224">
        <f>INDIRECT("'Закуп'!D" &amp; A112)</f>
        <v/>
      </c>
      <c r="F112" s="231">
        <f>INDIRECT("'Закуп'!E" &amp; B112)</f>
        <v/>
      </c>
      <c r="G112" s="172">
        <f>IF(INDIRECT("'Закуп'!L" &amp; B112)="Sale","Sale","")</f>
        <v/>
      </c>
      <c r="H112" s="158">
        <f>IF(INDIRECT("'Закуп'!F" &amp; B112)=0,"",INDIRECT("'Закуп'!F" &amp; B112))</f>
        <v/>
      </c>
      <c r="I112" s="120" t="n">
        <v>50</v>
      </c>
      <c r="J112" s="121">
        <f>K112/1.2</f>
        <v/>
      </c>
      <c r="K112" s="70" t="n">
        <v>1.41</v>
      </c>
      <c r="L112" s="122">
        <f>J112-C112-(J112-C112)*0.2</f>
        <v/>
      </c>
      <c r="M112" s="123">
        <f>L112*I112</f>
        <v/>
      </c>
      <c r="N112" s="124" t="inlineStr">
        <is>
          <t xml:space="preserve">50-90 шт - </t>
        </is>
      </c>
      <c r="O112" s="47" t="inlineStr">
        <is>
          <t xml:space="preserve"> руб / шт с НДС</t>
        </is>
      </c>
      <c r="P112" s="125">
        <f>ROUND(K112,2)</f>
        <v/>
      </c>
      <c r="Q112" s="207">
        <f>CONCATENATE(N112,P112,O112,)</f>
        <v/>
      </c>
      <c r="R112" s="235">
        <f>INDIRECT("'Закуп'!k" &amp; A112)</f>
        <v/>
      </c>
      <c r="S112" s="239">
        <f>INDIRECT("'Закуп'!o" &amp; A112)</f>
        <v/>
      </c>
      <c r="T112" s="226">
        <f>INDIRECT("'Закуп'!p" &amp; A112)</f>
        <v/>
      </c>
      <c r="U112" s="235">
        <f>INDIRECT("'Закуп'!v" &amp; A112)</f>
        <v/>
      </c>
      <c r="V112" s="222">
        <f>INDIRECT("'Закуп'!w" &amp; A112)</f>
        <v/>
      </c>
      <c r="W112" s="229">
        <f>INDIRECT("'Закуп'!H" &amp; A112)</f>
        <v/>
      </c>
      <c r="X112" s="237">
        <f>INDIRECT("'Закуп'!g" &amp; A112)</f>
        <v/>
      </c>
      <c r="Y112" s="229">
        <f>INDIRECT("'Закуп'!i" &amp; A112)</f>
        <v/>
      </c>
      <c r="Z112" s="236">
        <f>INDIRECT("'Закуп'!x" &amp; A112)</f>
        <v/>
      </c>
      <c r="AA112" s="237">
        <f>INDIRECT("'Закуп'!y" &amp; A112)</f>
        <v/>
      </c>
      <c r="AB112" s="238">
        <f>INDIRECT("'Закуп'!z" &amp; A112)</f>
        <v/>
      </c>
      <c r="AC112" s="223">
        <f>SUBSTITUTE(INDEX(F:F, ROUNDUP((ROW(A111))/5,0)*5 - 3), "х", "x")</f>
        <v/>
      </c>
      <c r="AD112" s="222">
        <f>SUBSTITUTE(INDEX(F:F, ROUNDUP((ROW(A111))/5,0)*5 - 3), "х", "x") &amp; " - " &amp; SUBSTITUTE(SUBSTITUTE(INDEX(F:F, ROUNDUP((ROW(A111))/5,0)*5 - 3), "х", "*"), "x", "*") &amp; " мм"</f>
        <v/>
      </c>
    </row>
    <row r="113">
      <c r="B113" s="42" t="n">
        <v>24</v>
      </c>
      <c r="C113" s="118">
        <f>INDIRECT("'Закуп'!A" &amp; B113)</f>
        <v/>
      </c>
      <c r="D113" s="119">
        <f>C113*1.2</f>
        <v/>
      </c>
      <c r="G113" s="172">
        <f>IF(INDIRECT("'Закуп'!L" &amp; B113)="Sale","Sale","")</f>
        <v/>
      </c>
      <c r="H113" s="158">
        <f>IF(INDIRECT("'Закуп'!F" &amp; B113)=0,"",INDIRECT("'Закуп'!F" &amp; B113))</f>
        <v/>
      </c>
      <c r="I113" s="120" t="n">
        <v>100</v>
      </c>
      <c r="J113" s="121">
        <f>K113/1.2</f>
        <v/>
      </c>
      <c r="K113" s="70" t="n">
        <v>1.28</v>
      </c>
      <c r="L113" s="122">
        <f>J113-C113-(J113-C113)*0.2</f>
        <v/>
      </c>
      <c r="M113" s="123">
        <f>L113*I113</f>
        <v/>
      </c>
      <c r="N113" s="124" t="inlineStr">
        <is>
          <t xml:space="preserve">100-290 шт - </t>
        </is>
      </c>
      <c r="O113" s="47" t="inlineStr">
        <is>
          <t xml:space="preserve"> руб / шт с НДС</t>
        </is>
      </c>
      <c r="P113" s="125">
        <f>ROUND(K113,2)</f>
        <v/>
      </c>
      <c r="Q113" s="207">
        <f>CONCATENATE(N113,P113,O113,)</f>
        <v/>
      </c>
      <c r="R113" s="240" t="n"/>
      <c r="T113" s="241" t="n"/>
      <c r="U113" s="240" t="n"/>
      <c r="V113" s="241" t="n"/>
      <c r="Z113" s="240" t="n"/>
      <c r="AB113" s="241" t="n"/>
      <c r="AC113" s="240" t="n"/>
      <c r="AD113" s="241" t="n"/>
    </row>
    <row r="114">
      <c r="B114" s="42" t="n">
        <v>24</v>
      </c>
      <c r="C114" s="118">
        <f>INDIRECT("'Закуп'!A" &amp; B114)</f>
        <v/>
      </c>
      <c r="D114" s="119">
        <f>C114*1.2</f>
        <v/>
      </c>
      <c r="G114" s="172">
        <f>IF(INDIRECT("'Закуп'!L" &amp; B114)="Sale","Sale","")</f>
        <v/>
      </c>
      <c r="H114" s="158">
        <f>IF(INDIRECT("'Закуп'!F" &amp; B114)=0,"",INDIRECT("'Закуп'!F" &amp; B114))</f>
        <v/>
      </c>
      <c r="I114" s="120" t="n">
        <v>300</v>
      </c>
      <c r="J114" s="121">
        <f>K114/1.2</f>
        <v/>
      </c>
      <c r="K114" s="70" t="n">
        <v>1.02</v>
      </c>
      <c r="L114" s="122">
        <f>J114-C114-(J114-C114)*0.2</f>
        <v/>
      </c>
      <c r="M114" s="123">
        <f>L114*I114</f>
        <v/>
      </c>
      <c r="N114" s="124" t="inlineStr">
        <is>
          <t xml:space="preserve">300-490 шт - </t>
        </is>
      </c>
      <c r="O114" s="47" t="inlineStr">
        <is>
          <t xml:space="preserve"> руб / шт с НДС</t>
        </is>
      </c>
      <c r="P114" s="125">
        <f>ROUND(K114,2)</f>
        <v/>
      </c>
      <c r="Q114" s="207">
        <f>CONCATENATE(N114,P114,O114,)</f>
        <v/>
      </c>
      <c r="R114" s="240" t="n"/>
      <c r="T114" s="241" t="n"/>
      <c r="U114" s="240" t="n"/>
      <c r="V114" s="241" t="n"/>
      <c r="Z114" s="240" t="n"/>
      <c r="AB114" s="241" t="n"/>
      <c r="AC114" s="240" t="n"/>
      <c r="AD114" s="241" t="n"/>
    </row>
    <row r="115">
      <c r="B115" s="42" t="n">
        <v>24</v>
      </c>
      <c r="C115" s="118">
        <f>INDIRECT("'Закуп'!A" &amp; B115)</f>
        <v/>
      </c>
      <c r="D115" s="119">
        <f>C115*1.2</f>
        <v/>
      </c>
      <c r="G115" s="172">
        <f>IF(INDIRECT("'Закуп'!L" &amp; B115)="Sale","Sale","")</f>
        <v/>
      </c>
      <c r="H115" s="158">
        <f>IF(INDIRECT("'Закуп'!F" &amp; B115)=0,"",INDIRECT("'Закуп'!F" &amp; B115))</f>
        <v/>
      </c>
      <c r="I115" s="120" t="n">
        <v>500</v>
      </c>
      <c r="J115" s="121">
        <f>K115/1.2</f>
        <v/>
      </c>
      <c r="K115" s="70" t="n">
        <v>0.95</v>
      </c>
      <c r="L115" s="122">
        <f>J115-C115-(J115-C115)*0.2</f>
        <v/>
      </c>
      <c r="M115" s="123">
        <f>L115*I115</f>
        <v/>
      </c>
      <c r="N115" s="124" t="inlineStr">
        <is>
          <t xml:space="preserve">500-990 шт - </t>
        </is>
      </c>
      <c r="O115" s="47" t="inlineStr">
        <is>
          <t xml:space="preserve"> руб / шт с НДС</t>
        </is>
      </c>
      <c r="P115" s="125">
        <f>ROUND(K115,2)</f>
        <v/>
      </c>
      <c r="Q115" s="207">
        <f>CONCATENATE(N115,P115,O115,)</f>
        <v/>
      </c>
      <c r="R115" s="240" t="n"/>
      <c r="T115" s="241" t="n"/>
      <c r="U115" s="240" t="n"/>
      <c r="V115" s="241" t="n"/>
      <c r="Z115" s="240" t="n"/>
      <c r="AB115" s="241" t="n"/>
      <c r="AC115" s="240" t="n"/>
      <c r="AD115" s="241" t="n"/>
    </row>
    <row r="116">
      <c r="B116" s="42" t="n">
        <v>24</v>
      </c>
      <c r="C116" s="118">
        <f>INDIRECT("'Закуп'!A" &amp; B116)</f>
        <v/>
      </c>
      <c r="D116" s="119">
        <f>C116*1.2</f>
        <v/>
      </c>
      <c r="G116" s="172">
        <f>IF(INDIRECT("'Закуп'!L" &amp; B116)="Sale","Sale","")</f>
        <v/>
      </c>
      <c r="H116" s="158">
        <f>IF(INDIRECT("'Закуп'!F" &amp; B116)=0,"",INDIRECT("'Закуп'!F" &amp; B116))</f>
        <v/>
      </c>
      <c r="I116" s="120" t="n">
        <v>1000</v>
      </c>
      <c r="J116" s="121">
        <f>K116/1.2</f>
        <v/>
      </c>
      <c r="K116" s="70" t="n">
        <v>0.9</v>
      </c>
      <c r="L116" s="122">
        <f>J116-C116-(J116-C116)*0.2</f>
        <v/>
      </c>
      <c r="M116" s="123">
        <f>L116*I116</f>
        <v/>
      </c>
      <c r="N116" s="124" t="inlineStr">
        <is>
          <t xml:space="preserve">1000 + шт - </t>
        </is>
      </c>
      <c r="O116" s="47" t="inlineStr">
        <is>
          <t xml:space="preserve"> руб / шт с НДС</t>
        </is>
      </c>
      <c r="P116" s="125">
        <f>ROUND(K116,2)</f>
        <v/>
      </c>
      <c r="Q116" s="207">
        <f>CONCATENATE(N116,P116,O116,)</f>
        <v/>
      </c>
      <c r="R116" s="240" t="n"/>
      <c r="T116" s="241" t="n"/>
      <c r="U116" s="240" t="n"/>
      <c r="V116" s="241" t="n"/>
      <c r="Z116" s="240" t="n"/>
      <c r="AB116" s="241" t="n"/>
      <c r="AC116" s="240" t="n"/>
      <c r="AD116" s="241" t="n"/>
    </row>
    <row r="117">
      <c r="A117" s="232" t="n">
        <v>25</v>
      </c>
      <c r="B117" s="42" t="n">
        <v>25</v>
      </c>
      <c r="C117" s="118">
        <f>INDIRECT("'Закуп'!A" &amp; B117)</f>
        <v/>
      </c>
      <c r="D117" s="119">
        <f>C117*1.2</f>
        <v/>
      </c>
      <c r="E117" s="224">
        <f>INDIRECT("'Закуп'!D" &amp; A117)</f>
        <v/>
      </c>
      <c r="F117" s="231">
        <f>INDIRECT("'Закуп'!E" &amp; B117)</f>
        <v/>
      </c>
      <c r="G117" s="172">
        <f>IF(INDIRECT("'Закуп'!L" &amp; B117)="Sale","Sale","")</f>
        <v/>
      </c>
      <c r="H117" s="158">
        <f>IF(INDIRECT("'Закуп'!F" &amp; B117)=0,"",INDIRECT("'Закуп'!F" &amp; B117))</f>
        <v/>
      </c>
      <c r="I117" s="120" t="n">
        <v>50</v>
      </c>
      <c r="J117" s="121">
        <f>K117/1.2</f>
        <v/>
      </c>
      <c r="K117" s="70" t="n">
        <v>1.69</v>
      </c>
      <c r="L117" s="122">
        <f>J117-C117-(J117-C117)*0.2</f>
        <v/>
      </c>
      <c r="M117" s="123">
        <f>L117*I117</f>
        <v/>
      </c>
      <c r="N117" s="124" t="inlineStr">
        <is>
          <t xml:space="preserve">50-90 шт - </t>
        </is>
      </c>
      <c r="O117" s="47" t="inlineStr">
        <is>
          <t xml:space="preserve"> руб / шт с НДС</t>
        </is>
      </c>
      <c r="P117" s="125">
        <f>ROUND(K117,2)</f>
        <v/>
      </c>
      <c r="Q117" s="207">
        <f>CONCATENATE(N117,P117,O117,)</f>
        <v/>
      </c>
      <c r="R117" s="235">
        <f>INDIRECT("'Закуп'!k" &amp; A117)</f>
        <v/>
      </c>
      <c r="S117" s="239">
        <f>INDIRECT("'Закуп'!o" &amp; A117)</f>
        <v/>
      </c>
      <c r="T117" s="226">
        <f>INDIRECT("'Закуп'!p" &amp; A117)</f>
        <v/>
      </c>
      <c r="U117" s="235">
        <f>INDIRECT("'Закуп'!v" &amp; A117)</f>
        <v/>
      </c>
      <c r="V117" s="222">
        <f>INDIRECT("'Закуп'!w" &amp; A117)</f>
        <v/>
      </c>
      <c r="W117" s="229">
        <f>INDIRECT("'Закуп'!H" &amp; A117)</f>
        <v/>
      </c>
      <c r="X117" s="237">
        <f>INDIRECT("'Закуп'!g" &amp; A117)</f>
        <v/>
      </c>
      <c r="Y117" s="229">
        <f>INDIRECT("'Закуп'!i" &amp; A117)</f>
        <v/>
      </c>
      <c r="Z117" s="236">
        <f>INDIRECT("'Закуп'!x" &amp; A117)</f>
        <v/>
      </c>
      <c r="AA117" s="237">
        <f>INDIRECT("'Закуп'!y" &amp; A117)</f>
        <v/>
      </c>
      <c r="AB117" s="238">
        <f>INDIRECT("'Закуп'!z" &amp; A117)</f>
        <v/>
      </c>
      <c r="AC117" s="223">
        <f>SUBSTITUTE(INDEX(F:F, ROUNDUP((ROW(A116))/5,0)*5 - 3), "х", "x")</f>
        <v/>
      </c>
      <c r="AD117" s="222">
        <f>SUBSTITUTE(INDEX(F:F, ROUNDUP((ROW(A116))/5,0)*5 - 3), "х", "x") &amp; " - " &amp; SUBSTITUTE(SUBSTITUTE(INDEX(F:F, ROUNDUP((ROW(A116))/5,0)*5 - 3), "х", "*"), "x", "*") &amp; " мм"</f>
        <v/>
      </c>
    </row>
    <row r="118">
      <c r="B118" s="42" t="n">
        <v>25</v>
      </c>
      <c r="C118" s="118">
        <f>INDIRECT("'Закуп'!A" &amp; B118)</f>
        <v/>
      </c>
      <c r="D118" s="119">
        <f>C118*1.2</f>
        <v/>
      </c>
      <c r="G118" s="172">
        <f>IF(INDIRECT("'Закуп'!L" &amp; B118)="Sale","Sale","")</f>
        <v/>
      </c>
      <c r="H118" s="158">
        <f>IF(INDIRECT("'Закуп'!F" &amp; B118)=0,"",INDIRECT("'Закуп'!F" &amp; B118))</f>
        <v/>
      </c>
      <c r="I118" s="120" t="n">
        <v>100</v>
      </c>
      <c r="J118" s="121">
        <f>K118/1.2</f>
        <v/>
      </c>
      <c r="K118" s="70" t="n">
        <v>1.54</v>
      </c>
      <c r="L118" s="122">
        <f>J118-C118-(J118-C118)*0.2</f>
        <v/>
      </c>
      <c r="M118" s="123">
        <f>L118*I118</f>
        <v/>
      </c>
      <c r="N118" s="124" t="inlineStr">
        <is>
          <t xml:space="preserve">100-290 шт - </t>
        </is>
      </c>
      <c r="O118" s="47" t="inlineStr">
        <is>
          <t xml:space="preserve"> руб / шт с НДС</t>
        </is>
      </c>
      <c r="P118" s="125">
        <f>ROUND(K118,2)</f>
        <v/>
      </c>
      <c r="Q118" s="207">
        <f>CONCATENATE(N118,P118,O118,)</f>
        <v/>
      </c>
      <c r="R118" s="240" t="n"/>
      <c r="T118" s="241" t="n"/>
      <c r="U118" s="240" t="n"/>
      <c r="V118" s="241" t="n"/>
      <c r="Z118" s="240" t="n"/>
      <c r="AB118" s="241" t="n"/>
      <c r="AC118" s="240" t="n"/>
      <c r="AD118" s="241" t="n"/>
    </row>
    <row r="119">
      <c r="B119" s="42" t="n">
        <v>25</v>
      </c>
      <c r="C119" s="118">
        <f>INDIRECT("'Закуп'!A" &amp; B119)</f>
        <v/>
      </c>
      <c r="D119" s="119">
        <f>C119*1.2</f>
        <v/>
      </c>
      <c r="G119" s="172">
        <f>IF(INDIRECT("'Закуп'!L" &amp; B119)="Sale","Sale","")</f>
        <v/>
      </c>
      <c r="H119" s="158">
        <f>IF(INDIRECT("'Закуп'!F" &amp; B119)=0,"",INDIRECT("'Закуп'!F" &amp; B119))</f>
        <v/>
      </c>
      <c r="I119" s="120" t="n">
        <v>300</v>
      </c>
      <c r="J119" s="121">
        <f>K119/1.2</f>
        <v/>
      </c>
      <c r="K119" s="70" t="n">
        <v>1.22</v>
      </c>
      <c r="L119" s="122">
        <f>J119-C119-(J119-C119)*0.2</f>
        <v/>
      </c>
      <c r="M119" s="123">
        <f>L119*I119</f>
        <v/>
      </c>
      <c r="N119" s="124" t="inlineStr">
        <is>
          <t xml:space="preserve">300-490 шт - </t>
        </is>
      </c>
      <c r="O119" s="47" t="inlineStr">
        <is>
          <t xml:space="preserve"> руб / шт с НДС</t>
        </is>
      </c>
      <c r="P119" s="125">
        <f>ROUND(K119,2)</f>
        <v/>
      </c>
      <c r="Q119" s="207">
        <f>CONCATENATE(N119,P119,O119,)</f>
        <v/>
      </c>
      <c r="R119" s="240" t="n"/>
      <c r="T119" s="241" t="n"/>
      <c r="U119" s="240" t="n"/>
      <c r="V119" s="241" t="n"/>
      <c r="Z119" s="240" t="n"/>
      <c r="AB119" s="241" t="n"/>
      <c r="AC119" s="240" t="n"/>
      <c r="AD119" s="241" t="n"/>
    </row>
    <row r="120">
      <c r="B120" s="42" t="n">
        <v>25</v>
      </c>
      <c r="C120" s="118">
        <f>INDIRECT("'Закуп'!A" &amp; B120)</f>
        <v/>
      </c>
      <c r="D120" s="119">
        <f>C120*1.2</f>
        <v/>
      </c>
      <c r="G120" s="172">
        <f>IF(INDIRECT("'Закуп'!L" &amp; B120)="Sale","Sale","")</f>
        <v/>
      </c>
      <c r="H120" s="158">
        <f>IF(INDIRECT("'Закуп'!F" &amp; B120)=0,"",INDIRECT("'Закуп'!F" &amp; B120))</f>
        <v/>
      </c>
      <c r="I120" s="120" t="n">
        <v>500</v>
      </c>
      <c r="J120" s="121">
        <f>K120/1.2</f>
        <v/>
      </c>
      <c r="K120" s="70" t="n">
        <v>1.14</v>
      </c>
      <c r="L120" s="122">
        <f>J120-C120-(J120-C120)*0.2</f>
        <v/>
      </c>
      <c r="M120" s="123">
        <f>L120*I120</f>
        <v/>
      </c>
      <c r="N120" s="124" t="inlineStr">
        <is>
          <t xml:space="preserve">500-990 шт - </t>
        </is>
      </c>
      <c r="O120" s="47" t="inlineStr">
        <is>
          <t xml:space="preserve"> руб / шт с НДС</t>
        </is>
      </c>
      <c r="P120" s="125">
        <f>ROUND(K120,2)</f>
        <v/>
      </c>
      <c r="Q120" s="207">
        <f>CONCATENATE(N120,P120,O120,)</f>
        <v/>
      </c>
      <c r="R120" s="240" t="n"/>
      <c r="T120" s="241" t="n"/>
      <c r="U120" s="240" t="n"/>
      <c r="V120" s="241" t="n"/>
      <c r="Z120" s="240" t="n"/>
      <c r="AB120" s="241" t="n"/>
      <c r="AC120" s="240" t="n"/>
      <c r="AD120" s="241" t="n"/>
    </row>
    <row r="121">
      <c r="B121" s="42" t="n">
        <v>25</v>
      </c>
      <c r="C121" s="118">
        <f>INDIRECT("'Закуп'!A" &amp; B121)</f>
        <v/>
      </c>
      <c r="D121" s="119">
        <f>C121*1.2</f>
        <v/>
      </c>
      <c r="G121" s="172">
        <f>IF(INDIRECT("'Закуп'!L" &amp; B121)="Sale","Sale","")</f>
        <v/>
      </c>
      <c r="H121" s="158">
        <f>IF(INDIRECT("'Закуп'!F" &amp; B121)=0,"",INDIRECT("'Закуп'!F" &amp; B121))</f>
        <v/>
      </c>
      <c r="I121" s="120" t="n">
        <v>1000</v>
      </c>
      <c r="J121" s="121">
        <f>K121/1.2</f>
        <v/>
      </c>
      <c r="K121" s="70" t="n">
        <v>1.01</v>
      </c>
      <c r="L121" s="122">
        <f>J121-C121-(J121-C121)*0.2</f>
        <v/>
      </c>
      <c r="M121" s="123">
        <f>L121*I121</f>
        <v/>
      </c>
      <c r="N121" s="124" t="inlineStr">
        <is>
          <t xml:space="preserve">1000 + шт - </t>
        </is>
      </c>
      <c r="O121" s="47" t="inlineStr">
        <is>
          <t xml:space="preserve"> руб / шт с НДС</t>
        </is>
      </c>
      <c r="P121" s="125">
        <f>ROUND(K121,2)</f>
        <v/>
      </c>
      <c r="Q121" s="207">
        <f>CONCATENATE(N121,P121,O121,)</f>
        <v/>
      </c>
      <c r="R121" s="240" t="n"/>
      <c r="T121" s="241" t="n"/>
      <c r="U121" s="240" t="n"/>
      <c r="V121" s="241" t="n"/>
      <c r="Z121" s="240" t="n"/>
      <c r="AB121" s="241" t="n"/>
      <c r="AC121" s="240" t="n"/>
      <c r="AD121" s="241" t="n"/>
    </row>
    <row r="122">
      <c r="A122" s="232" t="n">
        <v>26</v>
      </c>
      <c r="B122" s="42" t="n">
        <v>26</v>
      </c>
      <c r="C122" s="118">
        <f>INDIRECT("'Закуп'!A" &amp; B122)</f>
        <v/>
      </c>
      <c r="D122" s="119">
        <f>C122*1.2</f>
        <v/>
      </c>
      <c r="E122" s="224">
        <f>INDIRECT("'Закуп'!D" &amp; A122)</f>
        <v/>
      </c>
      <c r="F122" s="231">
        <f>INDIRECT("'Закуп'!E" &amp; B122)</f>
        <v/>
      </c>
      <c r="G122" s="172">
        <f>IF(INDIRECT("'Закуп'!L" &amp; B122)="Sale","Sale","")</f>
        <v/>
      </c>
      <c r="H122" s="158">
        <f>IF(INDIRECT("'Закуп'!F" &amp; B122)=0,"",INDIRECT("'Закуп'!F" &amp; B122))</f>
        <v/>
      </c>
      <c r="I122" s="120" t="n">
        <v>50</v>
      </c>
      <c r="J122" s="121">
        <f>K122/1.2</f>
        <v/>
      </c>
      <c r="K122" s="70" t="n">
        <v>1.12</v>
      </c>
      <c r="L122" s="122">
        <f>J122-C122-(J122-C122)*0.2</f>
        <v/>
      </c>
      <c r="M122" s="123">
        <f>L122*I122</f>
        <v/>
      </c>
      <c r="N122" s="124" t="inlineStr">
        <is>
          <t xml:space="preserve">50-90 шт - </t>
        </is>
      </c>
      <c r="O122" s="47" t="inlineStr">
        <is>
          <t xml:space="preserve"> руб / шт с НДС</t>
        </is>
      </c>
      <c r="P122" s="125">
        <f>ROUND(K122,2)</f>
        <v/>
      </c>
      <c r="Q122" s="207">
        <f>CONCATENATE(N122,P122,O122,)</f>
        <v/>
      </c>
      <c r="R122" s="235">
        <f>INDIRECT("'Закуп'!k" &amp; A122)</f>
        <v/>
      </c>
      <c r="S122" s="239">
        <f>INDIRECT("'Закуп'!o" &amp; A122)</f>
        <v/>
      </c>
      <c r="T122" s="226">
        <f>INDIRECT("'Закуп'!p" &amp; A122)</f>
        <v/>
      </c>
      <c r="U122" s="235">
        <f>INDIRECT("'Закуп'!v" &amp; A122)</f>
        <v/>
      </c>
      <c r="V122" s="222">
        <f>INDIRECT("'Закуп'!w" &amp; A122)</f>
        <v/>
      </c>
      <c r="W122" s="229">
        <f>INDIRECT("'Закуп'!H" &amp; A122)</f>
        <v/>
      </c>
      <c r="X122" s="237">
        <f>INDIRECT("'Закуп'!g" &amp; A122)</f>
        <v/>
      </c>
      <c r="Y122" s="229">
        <f>INDIRECT("'Закуп'!i" &amp; A122)</f>
        <v/>
      </c>
      <c r="Z122" s="236">
        <f>INDIRECT("'Закуп'!x" &amp; A122)</f>
        <v/>
      </c>
      <c r="AA122" s="237">
        <f>INDIRECT("'Закуп'!y" &amp; A122)</f>
        <v/>
      </c>
      <c r="AB122" s="238">
        <f>INDIRECT("'Закуп'!z" &amp; A122)</f>
        <v/>
      </c>
      <c r="AC122" s="223">
        <f>SUBSTITUTE(INDEX(F:F, ROUNDUP((ROW(A121))/5,0)*5 - 3), "х", "x")</f>
        <v/>
      </c>
      <c r="AD122" s="222">
        <f>SUBSTITUTE(INDEX(F:F, ROUNDUP((ROW(A121))/5,0)*5 - 3), "х", "x") &amp; " - " &amp; SUBSTITUTE(SUBSTITUTE(INDEX(F:F, ROUNDUP((ROW(A121))/5,0)*5 - 3), "х", "*"), "x", "*") &amp; " мм"</f>
        <v/>
      </c>
    </row>
    <row r="123">
      <c r="B123" s="42" t="n">
        <v>26</v>
      </c>
      <c r="C123" s="118">
        <f>INDIRECT("'Закуп'!A" &amp; B123)</f>
        <v/>
      </c>
      <c r="D123" s="119">
        <f>C123*1.2</f>
        <v/>
      </c>
      <c r="G123" s="172">
        <f>IF(INDIRECT("'Закуп'!L" &amp; B123)="Sale","Sale","")</f>
        <v/>
      </c>
      <c r="H123" s="158">
        <f>IF(INDIRECT("'Закуп'!F" &amp; B123)=0,"",INDIRECT("'Закуп'!F" &amp; B123))</f>
        <v/>
      </c>
      <c r="I123" s="120" t="n">
        <v>100</v>
      </c>
      <c r="J123" s="121">
        <f>K123/1.2</f>
        <v/>
      </c>
      <c r="K123" s="70" t="n">
        <v>0.93</v>
      </c>
      <c r="L123" s="122">
        <f>J123-C123-(J123-C123)*0.2</f>
        <v/>
      </c>
      <c r="M123" s="123">
        <f>L123*I123</f>
        <v/>
      </c>
      <c r="N123" s="124" t="inlineStr">
        <is>
          <t xml:space="preserve">100-290 шт - </t>
        </is>
      </c>
      <c r="O123" s="47" t="inlineStr">
        <is>
          <t xml:space="preserve"> руб / шт с НДС</t>
        </is>
      </c>
      <c r="P123" s="125">
        <f>ROUND(K123,2)</f>
        <v/>
      </c>
      <c r="Q123" s="207">
        <f>CONCATENATE(N123,P123,O123,)</f>
        <v/>
      </c>
      <c r="R123" s="240" t="n"/>
      <c r="T123" s="241" t="n"/>
      <c r="U123" s="240" t="n"/>
      <c r="V123" s="241" t="n"/>
      <c r="Z123" s="240" t="n"/>
      <c r="AB123" s="241" t="n"/>
      <c r="AC123" s="240" t="n"/>
      <c r="AD123" s="241" t="n"/>
    </row>
    <row r="124">
      <c r="B124" s="42" t="n">
        <v>26</v>
      </c>
      <c r="C124" s="118">
        <f>INDIRECT("'Закуп'!A" &amp; B124)</f>
        <v/>
      </c>
      <c r="D124" s="119">
        <f>C124*1.2</f>
        <v/>
      </c>
      <c r="G124" s="172">
        <f>IF(INDIRECT("'Закуп'!L" &amp; B124)="Sale","Sale","")</f>
        <v/>
      </c>
      <c r="H124" s="158">
        <f>IF(INDIRECT("'Закуп'!F" &amp; B124)=0,"",INDIRECT("'Закуп'!F" &amp; B124))</f>
        <v/>
      </c>
      <c r="I124" s="120" t="n">
        <v>300</v>
      </c>
      <c r="J124" s="121">
        <f>K124/1.2</f>
        <v/>
      </c>
      <c r="K124" s="70" t="n">
        <v>0.8100000000000001</v>
      </c>
      <c r="L124" s="122">
        <f>J124-C124-(J124-C124)*0.2</f>
        <v/>
      </c>
      <c r="M124" s="123">
        <f>L124*I124</f>
        <v/>
      </c>
      <c r="N124" s="124" t="inlineStr">
        <is>
          <t xml:space="preserve">300-490 шт - </t>
        </is>
      </c>
      <c r="O124" s="47" t="inlineStr">
        <is>
          <t xml:space="preserve"> руб / шт с НДС</t>
        </is>
      </c>
      <c r="P124" s="125">
        <f>ROUND(K124,2)</f>
        <v/>
      </c>
      <c r="Q124" s="207">
        <f>CONCATENATE(N124,P124,O124,)</f>
        <v/>
      </c>
      <c r="R124" s="240" t="n"/>
      <c r="T124" s="241" t="n"/>
      <c r="U124" s="240" t="n"/>
      <c r="V124" s="241" t="n"/>
      <c r="Z124" s="240" t="n"/>
      <c r="AB124" s="241" t="n"/>
      <c r="AC124" s="240" t="n"/>
      <c r="AD124" s="241" t="n"/>
    </row>
    <row r="125">
      <c r="B125" s="42" t="n">
        <v>26</v>
      </c>
      <c r="C125" s="118">
        <f>INDIRECT("'Закуп'!A" &amp; B125)</f>
        <v/>
      </c>
      <c r="D125" s="119">
        <f>C125*1.2</f>
        <v/>
      </c>
      <c r="G125" s="172">
        <f>IF(INDIRECT("'Закуп'!L" &amp; B125)="Sale","Sale","")</f>
        <v/>
      </c>
      <c r="H125" s="158">
        <f>IF(INDIRECT("'Закуп'!F" &amp; B125)=0,"",INDIRECT("'Закуп'!F" &amp; B125))</f>
        <v/>
      </c>
      <c r="I125" s="120" t="n">
        <v>500</v>
      </c>
      <c r="J125" s="121">
        <f>K125/1.2</f>
        <v/>
      </c>
      <c r="K125" s="70" t="n">
        <v>0.73</v>
      </c>
      <c r="L125" s="122">
        <f>J125-C125-(J125-C125)*0.2</f>
        <v/>
      </c>
      <c r="M125" s="123">
        <f>L125*I125</f>
        <v/>
      </c>
      <c r="N125" s="124" t="inlineStr">
        <is>
          <t xml:space="preserve">500-990 шт - </t>
        </is>
      </c>
      <c r="O125" s="47" t="inlineStr">
        <is>
          <t xml:space="preserve"> руб / шт с НДС</t>
        </is>
      </c>
      <c r="P125" s="125">
        <f>ROUND(K125,2)</f>
        <v/>
      </c>
      <c r="Q125" s="207">
        <f>CONCATENATE(N125,P125,O125,)</f>
        <v/>
      </c>
      <c r="R125" s="240" t="n"/>
      <c r="T125" s="241" t="n"/>
      <c r="U125" s="240" t="n"/>
      <c r="V125" s="241" t="n"/>
      <c r="Z125" s="240" t="n"/>
      <c r="AB125" s="241" t="n"/>
      <c r="AC125" s="240" t="n"/>
      <c r="AD125" s="241" t="n"/>
    </row>
    <row r="126">
      <c r="B126" s="42" t="n">
        <v>26</v>
      </c>
      <c r="C126" s="118">
        <f>INDIRECT("'Закуп'!A" &amp; B126)</f>
        <v/>
      </c>
      <c r="D126" s="119">
        <f>C126*1.2</f>
        <v/>
      </c>
      <c r="G126" s="172">
        <f>IF(INDIRECT("'Закуп'!L" &amp; B126)="Sale","Sale","")</f>
        <v/>
      </c>
      <c r="H126" s="158">
        <f>IF(INDIRECT("'Закуп'!F" &amp; B126)=0,"",INDIRECT("'Закуп'!F" &amp; B126))</f>
        <v/>
      </c>
      <c r="I126" s="120" t="n">
        <v>1000</v>
      </c>
      <c r="J126" s="121">
        <f>K126/1.2</f>
        <v/>
      </c>
      <c r="K126" s="70" t="n">
        <v>0.65</v>
      </c>
      <c r="L126" s="122">
        <f>J126-C126-(J126-C126)*0.2</f>
        <v/>
      </c>
      <c r="M126" s="123">
        <f>L126*I126</f>
        <v/>
      </c>
      <c r="N126" s="124" t="inlineStr">
        <is>
          <t xml:space="preserve">1000 + шт - </t>
        </is>
      </c>
      <c r="O126" s="47" t="inlineStr">
        <is>
          <t xml:space="preserve"> руб / шт с НДС</t>
        </is>
      </c>
      <c r="P126" s="125">
        <f>ROUND(K126,2)</f>
        <v/>
      </c>
      <c r="Q126" s="207">
        <f>CONCATENATE(N126,P126,O126,)</f>
        <v/>
      </c>
      <c r="R126" s="240" t="n"/>
      <c r="T126" s="241" t="n"/>
      <c r="U126" s="240" t="n"/>
      <c r="V126" s="241" t="n"/>
      <c r="Z126" s="240" t="n"/>
      <c r="AB126" s="241" t="n"/>
      <c r="AC126" s="240" t="n"/>
      <c r="AD126" s="241" t="n"/>
    </row>
    <row r="127">
      <c r="A127" s="232" t="n">
        <v>27</v>
      </c>
      <c r="B127" s="42" t="n">
        <v>27</v>
      </c>
      <c r="C127" s="118">
        <f>INDIRECT("'Закуп'!A" &amp; B127)</f>
        <v/>
      </c>
      <c r="D127" s="119">
        <f>C127*1.2</f>
        <v/>
      </c>
      <c r="E127" s="224">
        <f>INDIRECT("'Закуп'!D" &amp; A127)</f>
        <v/>
      </c>
      <c r="F127" s="231">
        <f>INDIRECT("'Закуп'!E" &amp; B127)</f>
        <v/>
      </c>
      <c r="G127" s="172">
        <f>IF(INDIRECT("'Закуп'!L" &amp; B127)="Sale","Sale","")</f>
        <v/>
      </c>
      <c r="H127" s="158">
        <f>IF(INDIRECT("'Закуп'!F" &amp; B127)=0,"",INDIRECT("'Закуп'!F" &amp; B127))</f>
        <v/>
      </c>
      <c r="I127" s="120" t="n">
        <v>50</v>
      </c>
      <c r="J127" s="121">
        <f>K127/1.2</f>
        <v/>
      </c>
      <c r="K127" s="70" t="n">
        <v>1.72</v>
      </c>
      <c r="L127" s="122">
        <f>J127-C127-(J127-C127)*0.2</f>
        <v/>
      </c>
      <c r="M127" s="123">
        <f>L127*I127</f>
        <v/>
      </c>
      <c r="N127" s="124" t="inlineStr">
        <is>
          <t xml:space="preserve">50-90 шт - </t>
        </is>
      </c>
      <c r="O127" s="47" t="inlineStr">
        <is>
          <t xml:space="preserve"> руб / шт с НДС</t>
        </is>
      </c>
      <c r="P127" s="125">
        <f>ROUND(K127,2)</f>
        <v/>
      </c>
      <c r="Q127" s="207">
        <f>CONCATENATE(N127,P127,O127,)</f>
        <v/>
      </c>
      <c r="R127" s="235">
        <f>INDIRECT("'Закуп'!k" &amp; A127)</f>
        <v/>
      </c>
      <c r="S127" s="239">
        <f>INDIRECT("'Закуп'!o" &amp; A127)</f>
        <v/>
      </c>
      <c r="T127" s="226">
        <f>INDIRECT("'Закуп'!p" &amp; A127)</f>
        <v/>
      </c>
      <c r="U127" s="235">
        <f>INDIRECT("'Закуп'!v" &amp; A127)</f>
        <v/>
      </c>
      <c r="V127" s="222">
        <f>INDIRECT("'Закуп'!w" &amp; A127)</f>
        <v/>
      </c>
      <c r="W127" s="229">
        <f>INDIRECT("'Закуп'!H" &amp; A127)</f>
        <v/>
      </c>
      <c r="X127" s="237">
        <f>INDIRECT("'Закуп'!g" &amp; A127)</f>
        <v/>
      </c>
      <c r="Y127" s="229">
        <f>INDIRECT("'Закуп'!i" &amp; A127)</f>
        <v/>
      </c>
      <c r="Z127" s="236">
        <f>INDIRECT("'Закуп'!x" &amp; A127)</f>
        <v/>
      </c>
      <c r="AA127" s="237">
        <f>INDIRECT("'Закуп'!y" &amp; A127)</f>
        <v/>
      </c>
      <c r="AB127" s="238">
        <f>INDIRECT("'Закуп'!z" &amp; A127)</f>
        <v/>
      </c>
      <c r="AC127" s="223">
        <f>SUBSTITUTE(INDEX(F:F, ROUNDUP((ROW(A126))/5,0)*5 - 3), "х", "x")</f>
        <v/>
      </c>
      <c r="AD127" s="222">
        <f>SUBSTITUTE(INDEX(F:F, ROUNDUP((ROW(A126))/5,0)*5 - 3), "х", "x") &amp; " - " &amp; SUBSTITUTE(SUBSTITUTE(INDEX(F:F, ROUNDUP((ROW(A126))/5,0)*5 - 3), "х", "*"), "x", "*") &amp; " мм"</f>
        <v/>
      </c>
    </row>
    <row r="128">
      <c r="B128" s="42" t="n">
        <v>27</v>
      </c>
      <c r="C128" s="118">
        <f>INDIRECT("'Закуп'!A" &amp; B128)</f>
        <v/>
      </c>
      <c r="D128" s="119">
        <f>C128*1.2</f>
        <v/>
      </c>
      <c r="G128" s="172">
        <f>IF(INDIRECT("'Закуп'!L" &amp; B128)="Sale","Sale","")</f>
        <v/>
      </c>
      <c r="H128" s="158">
        <f>IF(INDIRECT("'Закуп'!F" &amp; B128)=0,"",INDIRECT("'Закуп'!F" &amp; B128))</f>
        <v/>
      </c>
      <c r="I128" s="120" t="n">
        <v>100</v>
      </c>
      <c r="J128" s="121">
        <f>K128/1.2</f>
        <v/>
      </c>
      <c r="K128" s="70" t="n">
        <v>1.56</v>
      </c>
      <c r="L128" s="122">
        <f>J128-C128-(J128-C128)*0.2</f>
        <v/>
      </c>
      <c r="M128" s="123">
        <f>L128*I128</f>
        <v/>
      </c>
      <c r="N128" s="124" t="inlineStr">
        <is>
          <t xml:space="preserve">100-290 шт - </t>
        </is>
      </c>
      <c r="O128" s="47" t="inlineStr">
        <is>
          <t xml:space="preserve"> руб / шт с НДС</t>
        </is>
      </c>
      <c r="P128" s="125">
        <f>ROUND(K128,2)</f>
        <v/>
      </c>
      <c r="Q128" s="207">
        <f>CONCATENATE(N128,P128,O128,)</f>
        <v/>
      </c>
      <c r="R128" s="240" t="n"/>
      <c r="T128" s="241" t="n"/>
      <c r="U128" s="240" t="n"/>
      <c r="V128" s="241" t="n"/>
      <c r="Z128" s="240" t="n"/>
      <c r="AB128" s="241" t="n"/>
      <c r="AC128" s="240" t="n"/>
      <c r="AD128" s="241" t="n"/>
    </row>
    <row r="129">
      <c r="B129" s="42" t="n">
        <v>27</v>
      </c>
      <c r="C129" s="118">
        <f>INDIRECT("'Закуп'!A" &amp; B129)</f>
        <v/>
      </c>
      <c r="D129" s="119">
        <f>C129*1.2</f>
        <v/>
      </c>
      <c r="G129" s="172">
        <f>IF(INDIRECT("'Закуп'!L" &amp; B129)="Sale","Sale","")</f>
        <v/>
      </c>
      <c r="H129" s="158">
        <f>IF(INDIRECT("'Закуп'!F" &amp; B129)=0,"",INDIRECT("'Закуп'!F" &amp; B129))</f>
        <v/>
      </c>
      <c r="I129" s="120" t="n">
        <v>300</v>
      </c>
      <c r="J129" s="121">
        <f>K129/1.2</f>
        <v/>
      </c>
      <c r="K129" s="70" t="n">
        <v>1.24</v>
      </c>
      <c r="L129" s="122">
        <f>J129-C129-(J129-C129)*0.2</f>
        <v/>
      </c>
      <c r="M129" s="123">
        <f>L129*I129</f>
        <v/>
      </c>
      <c r="N129" s="124" t="inlineStr">
        <is>
          <t xml:space="preserve">300-490 шт - </t>
        </is>
      </c>
      <c r="O129" s="47" t="inlineStr">
        <is>
          <t xml:space="preserve"> руб / шт с НДС</t>
        </is>
      </c>
      <c r="P129" s="125">
        <f>ROUND(K129,2)</f>
        <v/>
      </c>
      <c r="Q129" s="207">
        <f>CONCATENATE(N129,P129,O129,)</f>
        <v/>
      </c>
      <c r="R129" s="240" t="n"/>
      <c r="T129" s="241" t="n"/>
      <c r="U129" s="240" t="n"/>
      <c r="V129" s="241" t="n"/>
      <c r="Z129" s="240" t="n"/>
      <c r="AB129" s="241" t="n"/>
      <c r="AC129" s="240" t="n"/>
      <c r="AD129" s="241" t="n"/>
    </row>
    <row r="130">
      <c r="B130" s="42" t="n">
        <v>27</v>
      </c>
      <c r="C130" s="118">
        <f>INDIRECT("'Закуп'!A" &amp; B130)</f>
        <v/>
      </c>
      <c r="D130" s="119">
        <f>C130*1.2</f>
        <v/>
      </c>
      <c r="G130" s="172">
        <f>IF(INDIRECT("'Закуп'!L" &amp; B130)="Sale","Sale","")</f>
        <v/>
      </c>
      <c r="H130" s="158">
        <f>IF(INDIRECT("'Закуп'!F" &amp; B130)=0,"",INDIRECT("'Закуп'!F" &amp; B130))</f>
        <v/>
      </c>
      <c r="I130" s="120" t="n">
        <v>500</v>
      </c>
      <c r="J130" s="121">
        <f>K130/1.2</f>
        <v/>
      </c>
      <c r="K130" s="70" t="n">
        <v>1.16</v>
      </c>
      <c r="L130" s="122">
        <f>J130-C130-(J130-C130)*0.2</f>
        <v/>
      </c>
      <c r="M130" s="123">
        <f>L130*I130</f>
        <v/>
      </c>
      <c r="N130" s="124" t="inlineStr">
        <is>
          <t xml:space="preserve">500-990 шт - </t>
        </is>
      </c>
      <c r="O130" s="47" t="inlineStr">
        <is>
          <t xml:space="preserve"> руб / шт с НДС</t>
        </is>
      </c>
      <c r="P130" s="125">
        <f>ROUND(K130,2)</f>
        <v/>
      </c>
      <c r="Q130" s="207">
        <f>CONCATENATE(N130,P130,O130,)</f>
        <v/>
      </c>
      <c r="R130" s="240" t="n"/>
      <c r="T130" s="241" t="n"/>
      <c r="U130" s="240" t="n"/>
      <c r="V130" s="241" t="n"/>
      <c r="Z130" s="240" t="n"/>
      <c r="AB130" s="241" t="n"/>
      <c r="AC130" s="240" t="n"/>
      <c r="AD130" s="241" t="n"/>
    </row>
    <row r="131">
      <c r="B131" s="42" t="n">
        <v>27</v>
      </c>
      <c r="C131" s="118">
        <f>INDIRECT("'Закуп'!A" &amp; B131)</f>
        <v/>
      </c>
      <c r="D131" s="119">
        <f>C131*1.2</f>
        <v/>
      </c>
      <c r="G131" s="172">
        <f>IF(INDIRECT("'Закуп'!L" &amp; B131)="Sale","Sale","")</f>
        <v/>
      </c>
      <c r="H131" s="158">
        <f>IF(INDIRECT("'Закуп'!F" &amp; B131)=0,"",INDIRECT("'Закуп'!F" &amp; B131))</f>
        <v/>
      </c>
      <c r="I131" s="120" t="n">
        <v>1000</v>
      </c>
      <c r="J131" s="121">
        <f>K131/1.2</f>
        <v/>
      </c>
      <c r="K131" s="70" t="n">
        <v>1.02</v>
      </c>
      <c r="L131" s="122">
        <f>J131-C131-(J131-C131)*0.2</f>
        <v/>
      </c>
      <c r="M131" s="123">
        <f>L131*I131</f>
        <v/>
      </c>
      <c r="N131" s="124" t="inlineStr">
        <is>
          <t xml:space="preserve">1000 + шт - </t>
        </is>
      </c>
      <c r="O131" s="47" t="inlineStr">
        <is>
          <t xml:space="preserve"> руб / шт с НДС</t>
        </is>
      </c>
      <c r="P131" s="125">
        <f>ROUND(K131,2)</f>
        <v/>
      </c>
      <c r="Q131" s="207">
        <f>CONCATENATE(N131,P131,O131,)</f>
        <v/>
      </c>
      <c r="R131" s="240" t="n"/>
      <c r="T131" s="241" t="n"/>
      <c r="U131" s="240" t="n"/>
      <c r="V131" s="241" t="n"/>
      <c r="Z131" s="240" t="n"/>
      <c r="AB131" s="241" t="n"/>
      <c r="AC131" s="240" t="n"/>
      <c r="AD131" s="241" t="n"/>
    </row>
    <row r="132">
      <c r="A132" s="232" t="n">
        <v>28</v>
      </c>
      <c r="B132" s="42" t="n">
        <v>28</v>
      </c>
      <c r="C132" s="118">
        <f>INDIRECT("'Закуп'!A" &amp; B132)</f>
        <v/>
      </c>
      <c r="D132" s="119">
        <f>C132*1.2</f>
        <v/>
      </c>
      <c r="E132" s="224">
        <f>INDIRECT("'Закуп'!D" &amp; A132)</f>
        <v/>
      </c>
      <c r="F132" s="231">
        <f>INDIRECT("'Закуп'!E" &amp; B132)</f>
        <v/>
      </c>
      <c r="G132" s="172">
        <f>IF(INDIRECT("'Закуп'!L" &amp; B132)="Sale","Sale","")</f>
        <v/>
      </c>
      <c r="H132" s="158">
        <f>IF(INDIRECT("'Закуп'!F" &amp; B132)=0,"",INDIRECT("'Закуп'!F" &amp; B132))</f>
        <v/>
      </c>
      <c r="I132" s="120" t="n">
        <v>50</v>
      </c>
      <c r="J132" s="121">
        <f>K132/1.2</f>
        <v/>
      </c>
      <c r="K132" s="70" t="n">
        <v>1.72</v>
      </c>
      <c r="L132" s="122">
        <f>J132-C132-(J132-C132)*0.2</f>
        <v/>
      </c>
      <c r="M132" s="123">
        <f>L132*I132</f>
        <v/>
      </c>
      <c r="N132" s="124" t="inlineStr">
        <is>
          <t xml:space="preserve">50-90 шт - </t>
        </is>
      </c>
      <c r="O132" s="47" t="inlineStr">
        <is>
          <t xml:space="preserve"> руб / шт с НДС</t>
        </is>
      </c>
      <c r="P132" s="125">
        <f>ROUND(K132,2)</f>
        <v/>
      </c>
      <c r="Q132" s="207">
        <f>CONCATENATE(N132,P132,O132,)</f>
        <v/>
      </c>
      <c r="R132" s="235">
        <f>INDIRECT("'Закуп'!k" &amp; A132)</f>
        <v/>
      </c>
      <c r="S132" s="239">
        <f>INDIRECT("'Закуп'!o" &amp; A132)</f>
        <v/>
      </c>
      <c r="T132" s="226">
        <f>INDIRECT("'Закуп'!p" &amp; A132)</f>
        <v/>
      </c>
      <c r="U132" s="235">
        <f>INDIRECT("'Закуп'!v" &amp; A132)</f>
        <v/>
      </c>
      <c r="V132" s="222">
        <f>INDIRECT("'Закуп'!w" &amp; A132)</f>
        <v/>
      </c>
      <c r="W132" s="229">
        <f>INDIRECT("'Закуп'!H" &amp; A132)</f>
        <v/>
      </c>
      <c r="X132" s="237">
        <f>INDIRECT("'Закуп'!g" &amp; A132)</f>
        <v/>
      </c>
      <c r="Y132" s="229">
        <f>INDIRECT("'Закуп'!i" &amp; A132)</f>
        <v/>
      </c>
      <c r="Z132" s="236">
        <f>INDIRECT("'Закуп'!x" &amp; A132)</f>
        <v/>
      </c>
      <c r="AA132" s="237">
        <f>INDIRECT("'Закуп'!y" &amp; A132)</f>
        <v/>
      </c>
      <c r="AB132" s="238">
        <f>INDIRECT("'Закуп'!z" &amp; A132)</f>
        <v/>
      </c>
      <c r="AC132" s="223">
        <f>SUBSTITUTE(INDEX(F:F, ROUNDUP((ROW(A131))/5,0)*5 - 3), "х", "x")</f>
        <v/>
      </c>
      <c r="AD132" s="222">
        <f>SUBSTITUTE(INDEX(F:F, ROUNDUP((ROW(A131))/5,0)*5 - 3), "х", "x") &amp; " - " &amp; SUBSTITUTE(SUBSTITUTE(INDEX(F:F, ROUNDUP((ROW(A131))/5,0)*5 - 3), "х", "*"), "x", "*") &amp; " мм"</f>
        <v/>
      </c>
    </row>
    <row r="133">
      <c r="B133" s="42" t="n">
        <v>28</v>
      </c>
      <c r="C133" s="118">
        <f>INDIRECT("'Закуп'!A" &amp; B133)</f>
        <v/>
      </c>
      <c r="D133" s="119">
        <f>C133*1.2</f>
        <v/>
      </c>
      <c r="G133" s="172">
        <f>IF(INDIRECT("'Закуп'!L" &amp; B133)="Sale","Sale","")</f>
        <v/>
      </c>
      <c r="H133" s="158">
        <f>IF(INDIRECT("'Закуп'!F" &amp; B133)=0,"",INDIRECT("'Закуп'!F" &amp; B133))</f>
        <v/>
      </c>
      <c r="I133" s="120" t="n">
        <v>100</v>
      </c>
      <c r="J133" s="121">
        <f>K133/1.2</f>
        <v/>
      </c>
      <c r="K133" s="70" t="n">
        <v>1.56</v>
      </c>
      <c r="L133" s="122">
        <f>J133-C133-(J133-C133)*0.2</f>
        <v/>
      </c>
      <c r="M133" s="123">
        <f>L133*I133</f>
        <v/>
      </c>
      <c r="N133" s="124" t="inlineStr">
        <is>
          <t xml:space="preserve">100-290 шт - </t>
        </is>
      </c>
      <c r="O133" s="47" t="inlineStr">
        <is>
          <t xml:space="preserve"> руб / шт с НДС</t>
        </is>
      </c>
      <c r="P133" s="125">
        <f>ROUND(K133,2)</f>
        <v/>
      </c>
      <c r="Q133" s="207">
        <f>CONCATENATE(N133,P133,O133,)</f>
        <v/>
      </c>
      <c r="R133" s="240" t="n"/>
      <c r="T133" s="241" t="n"/>
      <c r="U133" s="240" t="n"/>
      <c r="V133" s="241" t="n"/>
      <c r="Z133" s="240" t="n"/>
      <c r="AB133" s="241" t="n"/>
      <c r="AC133" s="240" t="n"/>
      <c r="AD133" s="241" t="n"/>
    </row>
    <row r="134">
      <c r="B134" s="42" t="n">
        <v>28</v>
      </c>
      <c r="C134" s="118">
        <f>INDIRECT("'Закуп'!A" &amp; B134)</f>
        <v/>
      </c>
      <c r="D134" s="119">
        <f>C134*1.2</f>
        <v/>
      </c>
      <c r="G134" s="172">
        <f>IF(INDIRECT("'Закуп'!L" &amp; B134)="Sale","Sale","")</f>
        <v/>
      </c>
      <c r="H134" s="158">
        <f>IF(INDIRECT("'Закуп'!F" &amp; B134)=0,"",INDIRECT("'Закуп'!F" &amp; B134))</f>
        <v/>
      </c>
      <c r="I134" s="120" t="n">
        <v>300</v>
      </c>
      <c r="J134" s="121">
        <f>K134/1.2</f>
        <v/>
      </c>
      <c r="K134" s="70" t="n">
        <v>1.24</v>
      </c>
      <c r="L134" s="122">
        <f>J134-C134-(J134-C134)*0.2</f>
        <v/>
      </c>
      <c r="M134" s="123">
        <f>L134*I134</f>
        <v/>
      </c>
      <c r="N134" s="124" t="inlineStr">
        <is>
          <t xml:space="preserve">300-490 шт - </t>
        </is>
      </c>
      <c r="O134" s="47" t="inlineStr">
        <is>
          <t xml:space="preserve"> руб / шт с НДС</t>
        </is>
      </c>
      <c r="P134" s="125">
        <f>ROUND(K134,2)</f>
        <v/>
      </c>
      <c r="Q134" s="207">
        <f>CONCATENATE(N134,P134,O134,)</f>
        <v/>
      </c>
      <c r="R134" s="240" t="n"/>
      <c r="T134" s="241" t="n"/>
      <c r="U134" s="240" t="n"/>
      <c r="V134" s="241" t="n"/>
      <c r="Z134" s="240" t="n"/>
      <c r="AB134" s="241" t="n"/>
      <c r="AC134" s="240" t="n"/>
      <c r="AD134" s="241" t="n"/>
    </row>
    <row r="135">
      <c r="B135" s="42" t="n">
        <v>28</v>
      </c>
      <c r="C135" s="118">
        <f>INDIRECT("'Закуп'!A" &amp; B135)</f>
        <v/>
      </c>
      <c r="D135" s="119">
        <f>C135*1.2</f>
        <v/>
      </c>
      <c r="G135" s="172">
        <f>IF(INDIRECT("'Закуп'!L" &amp; B135)="Sale","Sale","")</f>
        <v/>
      </c>
      <c r="H135" s="158">
        <f>IF(INDIRECT("'Закуп'!F" &amp; B135)=0,"",INDIRECT("'Закуп'!F" &amp; B135))</f>
        <v/>
      </c>
      <c r="I135" s="120" t="n">
        <v>500</v>
      </c>
      <c r="J135" s="121">
        <f>K135/1.2</f>
        <v/>
      </c>
      <c r="K135" s="70" t="n">
        <v>1.16</v>
      </c>
      <c r="L135" s="122">
        <f>J135-C135-(J135-C135)*0.2</f>
        <v/>
      </c>
      <c r="M135" s="123">
        <f>L135*I135</f>
        <v/>
      </c>
      <c r="N135" s="124" t="inlineStr">
        <is>
          <t xml:space="preserve">500-990 шт - </t>
        </is>
      </c>
      <c r="O135" s="47" t="inlineStr">
        <is>
          <t xml:space="preserve"> руб / шт с НДС</t>
        </is>
      </c>
      <c r="P135" s="125">
        <f>ROUND(K135,2)</f>
        <v/>
      </c>
      <c r="Q135" s="207">
        <f>CONCATENATE(N135,P135,O135,)</f>
        <v/>
      </c>
      <c r="R135" s="240" t="n"/>
      <c r="T135" s="241" t="n"/>
      <c r="U135" s="240" t="n"/>
      <c r="V135" s="241" t="n"/>
      <c r="Z135" s="240" t="n"/>
      <c r="AB135" s="241" t="n"/>
      <c r="AC135" s="240" t="n"/>
      <c r="AD135" s="241" t="n"/>
    </row>
    <row r="136">
      <c r="B136" s="42" t="n">
        <v>28</v>
      </c>
      <c r="C136" s="118">
        <f>INDIRECT("'Закуп'!A" &amp; B136)</f>
        <v/>
      </c>
      <c r="D136" s="119">
        <f>C136*1.2</f>
        <v/>
      </c>
      <c r="G136" s="172">
        <f>IF(INDIRECT("'Закуп'!L" &amp; B136)="Sale","Sale","")</f>
        <v/>
      </c>
      <c r="H136" s="158">
        <f>IF(INDIRECT("'Закуп'!F" &amp; B136)=0,"",INDIRECT("'Закуп'!F" &amp; B136))</f>
        <v/>
      </c>
      <c r="I136" s="120" t="n">
        <v>1000</v>
      </c>
      <c r="J136" s="121">
        <f>K136/1.2</f>
        <v/>
      </c>
      <c r="K136" s="70" t="n">
        <v>1.02</v>
      </c>
      <c r="L136" s="122">
        <f>J136-C136-(J136-C136)*0.2</f>
        <v/>
      </c>
      <c r="M136" s="123">
        <f>L136*I136</f>
        <v/>
      </c>
      <c r="N136" s="124" t="inlineStr">
        <is>
          <t xml:space="preserve">1000 + шт - </t>
        </is>
      </c>
      <c r="O136" s="47" t="inlineStr">
        <is>
          <t xml:space="preserve"> руб / шт с НДС</t>
        </is>
      </c>
      <c r="P136" s="125">
        <f>ROUND(K136,2)</f>
        <v/>
      </c>
      <c r="Q136" s="207">
        <f>CONCATENATE(N136,P136,O136,)</f>
        <v/>
      </c>
      <c r="R136" s="240" t="n"/>
      <c r="T136" s="241" t="n"/>
      <c r="U136" s="240" t="n"/>
      <c r="V136" s="241" t="n"/>
      <c r="Z136" s="240" t="n"/>
      <c r="AB136" s="241" t="n"/>
      <c r="AC136" s="240" t="n"/>
      <c r="AD136" s="241" t="n"/>
    </row>
    <row r="137">
      <c r="A137" s="232" t="n">
        <v>29</v>
      </c>
      <c r="B137" s="42" t="n">
        <v>29</v>
      </c>
      <c r="C137" s="118">
        <f>INDIRECT("'Закуп'!A" &amp; B137)</f>
        <v/>
      </c>
      <c r="D137" s="119">
        <f>C137*1.2</f>
        <v/>
      </c>
      <c r="E137" s="224">
        <f>INDIRECT("'Закуп'!D" &amp; A137)</f>
        <v/>
      </c>
      <c r="F137" s="231">
        <f>INDIRECT("'Закуп'!E" &amp; B137)</f>
        <v/>
      </c>
      <c r="G137" s="172">
        <f>IF(INDIRECT("'Закуп'!L" &amp; B137)="Sale","Sale","")</f>
        <v/>
      </c>
      <c r="H137" s="158">
        <f>IF(INDIRECT("'Закуп'!F" &amp; B137)=0,"",INDIRECT("'Закуп'!F" &amp; B137))</f>
        <v/>
      </c>
      <c r="I137" s="120" t="n">
        <v>50</v>
      </c>
      <c r="J137" s="121">
        <f>K137/1.2</f>
        <v/>
      </c>
      <c r="K137" s="70" t="n">
        <v>1.72</v>
      </c>
      <c r="L137" s="122">
        <f>J137-C137-(J137-C137)*0.2</f>
        <v/>
      </c>
      <c r="M137" s="123">
        <f>L137*I137</f>
        <v/>
      </c>
      <c r="N137" s="124" t="inlineStr">
        <is>
          <t xml:space="preserve">50-90 шт - </t>
        </is>
      </c>
      <c r="O137" s="47" t="inlineStr">
        <is>
          <t xml:space="preserve"> руб / шт с НДС</t>
        </is>
      </c>
      <c r="P137" s="125">
        <f>ROUND(K137,2)</f>
        <v/>
      </c>
      <c r="Q137" s="207">
        <f>CONCATENATE(N137,P137,O137,)</f>
        <v/>
      </c>
      <c r="R137" s="235">
        <f>INDIRECT("'Закуп'!k" &amp; A137)</f>
        <v/>
      </c>
      <c r="S137" s="239">
        <f>INDIRECT("'Закуп'!o" &amp; A137)</f>
        <v/>
      </c>
      <c r="T137" s="226">
        <f>INDIRECT("'Закуп'!p" &amp; A137)</f>
        <v/>
      </c>
      <c r="U137" s="235">
        <f>INDIRECT("'Закуп'!v" &amp; A137)</f>
        <v/>
      </c>
      <c r="V137" s="222">
        <f>INDIRECT("'Закуп'!w" &amp; A137)</f>
        <v/>
      </c>
      <c r="W137" s="229">
        <f>INDIRECT("'Закуп'!H" &amp; A137)</f>
        <v/>
      </c>
      <c r="X137" s="237">
        <f>INDIRECT("'Закуп'!g" &amp; A137)</f>
        <v/>
      </c>
      <c r="Y137" s="229">
        <f>INDIRECT("'Закуп'!i" &amp; A137)</f>
        <v/>
      </c>
      <c r="Z137" s="236">
        <f>INDIRECT("'Закуп'!x" &amp; A137)</f>
        <v/>
      </c>
      <c r="AA137" s="237">
        <f>INDIRECT("'Закуп'!y" &amp; A137)</f>
        <v/>
      </c>
      <c r="AB137" s="238">
        <f>INDIRECT("'Закуп'!z" &amp; A137)</f>
        <v/>
      </c>
      <c r="AC137" s="223">
        <f>SUBSTITUTE(INDEX(F:F, ROUNDUP((ROW(A136))/5,0)*5 - 3), "х", "x")</f>
        <v/>
      </c>
      <c r="AD137" s="222">
        <f>SUBSTITUTE(INDEX(F:F, ROUNDUP((ROW(A136))/5,0)*5 - 3), "х", "x") &amp; " - " &amp; SUBSTITUTE(SUBSTITUTE(INDEX(F:F, ROUNDUP((ROW(A136))/5,0)*5 - 3), "х", "*"), "x", "*") &amp; " мм"</f>
        <v/>
      </c>
    </row>
    <row r="138">
      <c r="B138" s="42" t="n">
        <v>29</v>
      </c>
      <c r="C138" s="118">
        <f>INDIRECT("'Закуп'!A" &amp; B138)</f>
        <v/>
      </c>
      <c r="D138" s="119">
        <f>C138*1.2</f>
        <v/>
      </c>
      <c r="G138" s="172">
        <f>IF(INDIRECT("'Закуп'!L" &amp; B138)="Sale","Sale","")</f>
        <v/>
      </c>
      <c r="H138" s="158">
        <f>IF(INDIRECT("'Закуп'!F" &amp; B138)=0,"",INDIRECT("'Закуп'!F" &amp; B138))</f>
        <v/>
      </c>
      <c r="I138" s="120" t="n">
        <v>100</v>
      </c>
      <c r="J138" s="121">
        <f>K138/1.2</f>
        <v/>
      </c>
      <c r="K138" s="70" t="n">
        <v>1.56</v>
      </c>
      <c r="L138" s="122">
        <f>J138-C138-(J138-C138)*0.2</f>
        <v/>
      </c>
      <c r="M138" s="123">
        <f>L138*I138</f>
        <v/>
      </c>
      <c r="N138" s="124" t="inlineStr">
        <is>
          <t xml:space="preserve">100-290 шт - </t>
        </is>
      </c>
      <c r="O138" s="47" t="inlineStr">
        <is>
          <t xml:space="preserve"> руб / шт с НДС</t>
        </is>
      </c>
      <c r="P138" s="125">
        <f>ROUND(K138,2)</f>
        <v/>
      </c>
      <c r="Q138" s="207">
        <f>CONCATENATE(N138,P138,O138,)</f>
        <v/>
      </c>
      <c r="R138" s="240" t="n"/>
      <c r="T138" s="241" t="n"/>
      <c r="U138" s="240" t="n"/>
      <c r="V138" s="241" t="n"/>
      <c r="Z138" s="240" t="n"/>
      <c r="AB138" s="241" t="n"/>
      <c r="AC138" s="240" t="n"/>
      <c r="AD138" s="241" t="n"/>
    </row>
    <row r="139">
      <c r="B139" s="42" t="n">
        <v>29</v>
      </c>
      <c r="C139" s="118">
        <f>INDIRECT("'Закуп'!A" &amp; B139)</f>
        <v/>
      </c>
      <c r="D139" s="119">
        <f>C139*1.2</f>
        <v/>
      </c>
      <c r="G139" s="172">
        <f>IF(INDIRECT("'Закуп'!L" &amp; B139)="Sale","Sale","")</f>
        <v/>
      </c>
      <c r="H139" s="158">
        <f>IF(INDIRECT("'Закуп'!F" &amp; B139)=0,"",INDIRECT("'Закуп'!F" &amp; B139))</f>
        <v/>
      </c>
      <c r="I139" s="120" t="n">
        <v>300</v>
      </c>
      <c r="J139" s="121">
        <f>K139/1.2</f>
        <v/>
      </c>
      <c r="K139" s="70" t="n">
        <v>1.24</v>
      </c>
      <c r="L139" s="122">
        <f>J139-C139-(J139-C139)*0.2</f>
        <v/>
      </c>
      <c r="M139" s="123">
        <f>L139*I139</f>
        <v/>
      </c>
      <c r="N139" s="124" t="inlineStr">
        <is>
          <t xml:space="preserve">300-490 шт - </t>
        </is>
      </c>
      <c r="O139" s="47" t="inlineStr">
        <is>
          <t xml:space="preserve"> руб / шт с НДС</t>
        </is>
      </c>
      <c r="P139" s="125">
        <f>ROUND(K139,2)</f>
        <v/>
      </c>
      <c r="Q139" s="207">
        <f>CONCATENATE(N139,P139,O139,)</f>
        <v/>
      </c>
      <c r="R139" s="240" t="n"/>
      <c r="T139" s="241" t="n"/>
      <c r="U139" s="240" t="n"/>
      <c r="V139" s="241" t="n"/>
      <c r="Z139" s="240" t="n"/>
      <c r="AB139" s="241" t="n"/>
      <c r="AC139" s="240" t="n"/>
      <c r="AD139" s="241" t="n"/>
    </row>
    <row r="140">
      <c r="B140" s="42" t="n">
        <v>29</v>
      </c>
      <c r="C140" s="118">
        <f>INDIRECT("'Закуп'!A" &amp; B140)</f>
        <v/>
      </c>
      <c r="D140" s="119">
        <f>C140*1.2</f>
        <v/>
      </c>
      <c r="G140" s="172">
        <f>IF(INDIRECT("'Закуп'!L" &amp; B140)="Sale","Sale","")</f>
        <v/>
      </c>
      <c r="H140" s="158">
        <f>IF(INDIRECT("'Закуп'!F" &amp; B140)=0,"",INDIRECT("'Закуп'!F" &amp; B140))</f>
        <v/>
      </c>
      <c r="I140" s="120" t="n">
        <v>500</v>
      </c>
      <c r="J140" s="121">
        <f>K140/1.2</f>
        <v/>
      </c>
      <c r="K140" s="70" t="n">
        <v>1.16</v>
      </c>
      <c r="L140" s="122">
        <f>J140-C140-(J140-C140)*0.2</f>
        <v/>
      </c>
      <c r="M140" s="123">
        <f>L140*I140</f>
        <v/>
      </c>
      <c r="N140" s="124" t="inlineStr">
        <is>
          <t xml:space="preserve">500-990 шт - </t>
        </is>
      </c>
      <c r="O140" s="47" t="inlineStr">
        <is>
          <t xml:space="preserve"> руб / шт с НДС</t>
        </is>
      </c>
      <c r="P140" s="125">
        <f>ROUND(K140,2)</f>
        <v/>
      </c>
      <c r="Q140" s="207">
        <f>CONCATENATE(N140,P140,O140,)</f>
        <v/>
      </c>
      <c r="R140" s="240" t="n"/>
      <c r="T140" s="241" t="n"/>
      <c r="U140" s="240" t="n"/>
      <c r="V140" s="241" t="n"/>
      <c r="Z140" s="240" t="n"/>
      <c r="AB140" s="241" t="n"/>
      <c r="AC140" s="240" t="n"/>
      <c r="AD140" s="241" t="n"/>
    </row>
    <row r="141">
      <c r="B141" s="42" t="n">
        <v>29</v>
      </c>
      <c r="C141" s="118">
        <f>INDIRECT("'Закуп'!A" &amp; B141)</f>
        <v/>
      </c>
      <c r="D141" s="119">
        <f>C141*1.2</f>
        <v/>
      </c>
      <c r="G141" s="172">
        <f>IF(INDIRECT("'Закуп'!L" &amp; B141)="Sale","Sale","")</f>
        <v/>
      </c>
      <c r="H141" s="158">
        <f>IF(INDIRECT("'Закуп'!F" &amp; B141)=0,"",INDIRECT("'Закуп'!F" &amp; B141))</f>
        <v/>
      </c>
      <c r="I141" s="120" t="n">
        <v>1000</v>
      </c>
      <c r="J141" s="121">
        <f>K141/1.2</f>
        <v/>
      </c>
      <c r="K141" s="70" t="n">
        <v>1.02</v>
      </c>
      <c r="L141" s="122">
        <f>J141-C141-(J141-C141)*0.2</f>
        <v/>
      </c>
      <c r="M141" s="123">
        <f>L141*I141</f>
        <v/>
      </c>
      <c r="N141" s="124" t="inlineStr">
        <is>
          <t xml:space="preserve">1000 + шт - </t>
        </is>
      </c>
      <c r="O141" s="47" t="inlineStr">
        <is>
          <t xml:space="preserve"> руб / шт с НДС</t>
        </is>
      </c>
      <c r="P141" s="125">
        <f>ROUND(K141,2)</f>
        <v/>
      </c>
      <c r="Q141" s="207">
        <f>CONCATENATE(N141,P141,O141,)</f>
        <v/>
      </c>
      <c r="R141" s="240" t="n"/>
      <c r="T141" s="241" t="n"/>
      <c r="U141" s="240" t="n"/>
      <c r="V141" s="241" t="n"/>
      <c r="Z141" s="240" t="n"/>
      <c r="AB141" s="241" t="n"/>
      <c r="AC141" s="240" t="n"/>
      <c r="AD141" s="241" t="n"/>
    </row>
    <row r="142">
      <c r="A142" s="232" t="n">
        <v>30</v>
      </c>
      <c r="B142" s="42" t="n">
        <v>30</v>
      </c>
      <c r="C142" s="118">
        <f>INDIRECT("'Закуп'!A" &amp; B142)</f>
        <v/>
      </c>
      <c r="D142" s="119">
        <f>C142*1.2</f>
        <v/>
      </c>
      <c r="E142" s="224">
        <f>INDIRECT("'Закуп'!D" &amp; A142)</f>
        <v/>
      </c>
      <c r="F142" s="231">
        <f>INDIRECT("'Закуп'!E" &amp; B142)</f>
        <v/>
      </c>
      <c r="G142" s="172">
        <f>IF(INDIRECT("'Закуп'!L" &amp; B142)="Sale","Sale","")</f>
        <v/>
      </c>
      <c r="H142" s="158">
        <f>IF(INDIRECT("'Закуп'!F" &amp; B142)=0,"",INDIRECT("'Закуп'!F" &amp; B142))</f>
        <v/>
      </c>
      <c r="I142" s="120" t="n">
        <v>50</v>
      </c>
      <c r="J142" s="121">
        <f>K142/1.2</f>
        <v/>
      </c>
      <c r="K142" s="70" t="n">
        <v>1.32</v>
      </c>
      <c r="L142" s="122">
        <f>J142-C142-(J142-C142)*0.2</f>
        <v/>
      </c>
      <c r="M142" s="123">
        <f>L142*I142</f>
        <v/>
      </c>
      <c r="N142" s="124" t="inlineStr">
        <is>
          <t xml:space="preserve">50-90 шт - </t>
        </is>
      </c>
      <c r="O142" s="47" t="inlineStr">
        <is>
          <t xml:space="preserve"> руб / шт с НДС</t>
        </is>
      </c>
      <c r="P142" s="125">
        <f>ROUND(K142,2)</f>
        <v/>
      </c>
      <c r="Q142" s="207">
        <f>CONCATENATE(N142,P142,O142,)</f>
        <v/>
      </c>
      <c r="R142" s="235">
        <f>INDIRECT("'Закуп'!k" &amp; A142)</f>
        <v/>
      </c>
      <c r="S142" s="239">
        <f>INDIRECT("'Закуп'!o" &amp; A142)</f>
        <v/>
      </c>
      <c r="T142" s="226">
        <f>INDIRECT("'Закуп'!p" &amp; A142)</f>
        <v/>
      </c>
      <c r="U142" s="235">
        <f>INDIRECT("'Закуп'!v" &amp; A142)</f>
        <v/>
      </c>
      <c r="V142" s="222">
        <f>INDIRECT("'Закуп'!w" &amp; A142)</f>
        <v/>
      </c>
      <c r="W142" s="229">
        <f>INDIRECT("'Закуп'!H" &amp; A142)</f>
        <v/>
      </c>
      <c r="X142" s="237">
        <f>INDIRECT("'Закуп'!g" &amp; A142)</f>
        <v/>
      </c>
      <c r="Y142" s="229">
        <f>INDIRECT("'Закуп'!i" &amp; A142)</f>
        <v/>
      </c>
      <c r="Z142" s="236">
        <f>INDIRECT("'Закуп'!x" &amp; A142)</f>
        <v/>
      </c>
      <c r="AA142" s="237">
        <f>INDIRECT("'Закуп'!y" &amp; A142)</f>
        <v/>
      </c>
      <c r="AB142" s="238">
        <f>INDIRECT("'Закуп'!z" &amp; A142)</f>
        <v/>
      </c>
      <c r="AC142" s="223">
        <f>SUBSTITUTE(INDEX(F:F, ROUNDUP((ROW(A141))/5,0)*5 - 3), "х", "x")</f>
        <v/>
      </c>
      <c r="AD142" s="222">
        <f>SUBSTITUTE(INDEX(F:F, ROUNDUP((ROW(A141))/5,0)*5 - 3), "х", "x") &amp; " - " &amp; SUBSTITUTE(SUBSTITUTE(INDEX(F:F, ROUNDUP((ROW(A141))/5,0)*5 - 3), "х", "*"), "x", "*") &amp; " мм"</f>
        <v/>
      </c>
    </row>
    <row r="143">
      <c r="B143" s="42" t="n">
        <v>30</v>
      </c>
      <c r="C143" s="118">
        <f>INDIRECT("'Закуп'!A" &amp; B143)</f>
        <v/>
      </c>
      <c r="D143" s="119">
        <f>C143*1.2</f>
        <v/>
      </c>
      <c r="G143" s="172">
        <f>IF(INDIRECT("'Закуп'!L" &amp; B143)="Sale","Sale","")</f>
        <v/>
      </c>
      <c r="H143" s="158">
        <f>IF(INDIRECT("'Закуп'!F" &amp; B143)=0,"",INDIRECT("'Закуп'!F" &amp; B143))</f>
        <v/>
      </c>
      <c r="I143" s="120" t="n">
        <v>100</v>
      </c>
      <c r="J143" s="121">
        <f>K143/1.2</f>
        <v/>
      </c>
      <c r="K143" s="70" t="n">
        <v>1.2</v>
      </c>
      <c r="L143" s="122">
        <f>J143-C143-(J143-C143)*0.2</f>
        <v/>
      </c>
      <c r="M143" s="123">
        <f>L143*I143</f>
        <v/>
      </c>
      <c r="N143" s="124" t="inlineStr">
        <is>
          <t xml:space="preserve">100-290 шт - </t>
        </is>
      </c>
      <c r="O143" s="47" t="inlineStr">
        <is>
          <t xml:space="preserve"> руб / шт с НДС</t>
        </is>
      </c>
      <c r="P143" s="125">
        <f>ROUND(K143,2)</f>
        <v/>
      </c>
      <c r="Q143" s="207">
        <f>CONCATENATE(N143,P143,O143,)</f>
        <v/>
      </c>
      <c r="R143" s="240" t="n"/>
      <c r="T143" s="241" t="n"/>
      <c r="U143" s="240" t="n"/>
      <c r="V143" s="241" t="n"/>
      <c r="Z143" s="240" t="n"/>
      <c r="AB143" s="241" t="n"/>
      <c r="AC143" s="240" t="n"/>
      <c r="AD143" s="241" t="n"/>
    </row>
    <row r="144">
      <c r="B144" s="42" t="n">
        <v>30</v>
      </c>
      <c r="C144" s="118">
        <f>INDIRECT("'Закуп'!A" &amp; B144)</f>
        <v/>
      </c>
      <c r="D144" s="119">
        <f>C144*1.2</f>
        <v/>
      </c>
      <c r="G144" s="172">
        <f>IF(INDIRECT("'Закуп'!L" &amp; B144)="Sale","Sale","")</f>
        <v/>
      </c>
      <c r="H144" s="158">
        <f>IF(INDIRECT("'Закуп'!F" &amp; B144)=0,"",INDIRECT("'Закуп'!F" &amp; B144))</f>
        <v/>
      </c>
      <c r="I144" s="120" t="n">
        <v>300</v>
      </c>
      <c r="J144" s="121">
        <f>K144/1.2</f>
        <v/>
      </c>
      <c r="K144" s="70" t="n">
        <v>0.95</v>
      </c>
      <c r="L144" s="122">
        <f>J144-C144-(J144-C144)*0.2</f>
        <v/>
      </c>
      <c r="M144" s="123">
        <f>L144*I144</f>
        <v/>
      </c>
      <c r="N144" s="124" t="inlineStr">
        <is>
          <t xml:space="preserve">300-490 шт - </t>
        </is>
      </c>
      <c r="O144" s="47" t="inlineStr">
        <is>
          <t xml:space="preserve"> руб / шт с НДС</t>
        </is>
      </c>
      <c r="P144" s="125">
        <f>ROUND(K144,2)</f>
        <v/>
      </c>
      <c r="Q144" s="207">
        <f>CONCATENATE(N144,P144,O144,)</f>
        <v/>
      </c>
      <c r="R144" s="240" t="n"/>
      <c r="T144" s="241" t="n"/>
      <c r="U144" s="240" t="n"/>
      <c r="V144" s="241" t="n"/>
      <c r="Z144" s="240" t="n"/>
      <c r="AB144" s="241" t="n"/>
      <c r="AC144" s="240" t="n"/>
      <c r="AD144" s="241" t="n"/>
    </row>
    <row r="145">
      <c r="B145" s="42" t="n">
        <v>30</v>
      </c>
      <c r="C145" s="118">
        <f>INDIRECT("'Закуп'!A" &amp; B145)</f>
        <v/>
      </c>
      <c r="D145" s="119">
        <f>C145*1.2</f>
        <v/>
      </c>
      <c r="G145" s="172">
        <f>IF(INDIRECT("'Закуп'!L" &amp; B145)="Sale","Sale","")</f>
        <v/>
      </c>
      <c r="H145" s="158">
        <f>IF(INDIRECT("'Закуп'!F" &amp; B145)=0,"",INDIRECT("'Закуп'!F" &amp; B145))</f>
        <v/>
      </c>
      <c r="I145" s="120" t="n">
        <v>500</v>
      </c>
      <c r="J145" s="121">
        <f>K145/1.2</f>
        <v/>
      </c>
      <c r="K145" s="70" t="n">
        <v>0.86</v>
      </c>
      <c r="L145" s="122">
        <f>J145-C145-(J145-C145)*0.2</f>
        <v/>
      </c>
      <c r="M145" s="123">
        <f>L145*I145</f>
        <v/>
      </c>
      <c r="N145" s="124" t="inlineStr">
        <is>
          <t xml:space="preserve">500-990 шт - </t>
        </is>
      </c>
      <c r="O145" s="47" t="inlineStr">
        <is>
          <t xml:space="preserve"> руб / шт с НДС</t>
        </is>
      </c>
      <c r="P145" s="125">
        <f>ROUND(K145,2)</f>
        <v/>
      </c>
      <c r="Q145" s="207">
        <f>CONCATENATE(N145,P145,O145,)</f>
        <v/>
      </c>
      <c r="R145" s="240" t="n"/>
      <c r="T145" s="241" t="n"/>
      <c r="U145" s="240" t="n"/>
      <c r="V145" s="241" t="n"/>
      <c r="Z145" s="240" t="n"/>
      <c r="AB145" s="241" t="n"/>
      <c r="AC145" s="240" t="n"/>
      <c r="AD145" s="241" t="n"/>
    </row>
    <row r="146">
      <c r="B146" s="42" t="n">
        <v>30</v>
      </c>
      <c r="C146" s="118">
        <f>INDIRECT("'Закуп'!A" &amp; B146)</f>
        <v/>
      </c>
      <c r="D146" s="119">
        <f>C146*1.2</f>
        <v/>
      </c>
      <c r="G146" s="172">
        <f>IF(INDIRECT("'Закуп'!L" &amp; B146)="Sale","Sale","")</f>
        <v/>
      </c>
      <c r="H146" s="158">
        <f>IF(INDIRECT("'Закуп'!F" &amp; B146)=0,"",INDIRECT("'Закуп'!F" &amp; B146))</f>
        <v/>
      </c>
      <c r="I146" s="120" t="n">
        <v>1000</v>
      </c>
      <c r="J146" s="121">
        <f>K146/1.2</f>
        <v/>
      </c>
      <c r="K146" s="70" t="n">
        <v>0.66</v>
      </c>
      <c r="L146" s="122">
        <f>J146-C146-(J146-C146)*0.2</f>
        <v/>
      </c>
      <c r="M146" s="123">
        <f>L146*I146</f>
        <v/>
      </c>
      <c r="N146" s="124" t="inlineStr">
        <is>
          <t xml:space="preserve">1000 + шт - </t>
        </is>
      </c>
      <c r="O146" s="47" t="inlineStr">
        <is>
          <t xml:space="preserve"> руб / шт с НДС</t>
        </is>
      </c>
      <c r="P146" s="125">
        <f>ROUND(K146,2)</f>
        <v/>
      </c>
      <c r="Q146" s="207">
        <f>CONCATENATE(N146,P146,O146,)</f>
        <v/>
      </c>
      <c r="R146" s="240" t="n"/>
      <c r="T146" s="241" t="n"/>
      <c r="U146" s="240" t="n"/>
      <c r="V146" s="241" t="n"/>
      <c r="Z146" s="240" t="n"/>
      <c r="AB146" s="241" t="n"/>
      <c r="AC146" s="240" t="n"/>
      <c r="AD146" s="241" t="n"/>
    </row>
    <row r="147">
      <c r="A147" s="232" t="n">
        <v>31</v>
      </c>
      <c r="B147" s="42" t="n">
        <v>31</v>
      </c>
      <c r="C147" s="118">
        <f>INDIRECT("'Закуп'!A" &amp; B147)</f>
        <v/>
      </c>
      <c r="D147" s="119">
        <f>C147*1.2</f>
        <v/>
      </c>
      <c r="E147" s="224">
        <f>INDIRECT("'Закуп'!D" &amp; A147)</f>
        <v/>
      </c>
      <c r="F147" s="231">
        <f>INDIRECT("'Закуп'!E" &amp; B147)</f>
        <v/>
      </c>
      <c r="G147" s="172">
        <f>IF(INDIRECT("'Закуп'!L" &amp; B147)="Sale","Sale","")</f>
        <v/>
      </c>
      <c r="H147" s="158">
        <f>IF(INDIRECT("'Закуп'!F" &amp; B147)=0,"",INDIRECT("'Закуп'!F" &amp; B147))</f>
        <v/>
      </c>
      <c r="I147" s="120" t="n">
        <v>50</v>
      </c>
      <c r="J147" s="121">
        <f>K147/1.2</f>
        <v/>
      </c>
      <c r="K147" s="70" t="n">
        <v>0.95</v>
      </c>
      <c r="L147" s="122">
        <f>J147-C147-(J147-C147)*0.2</f>
        <v/>
      </c>
      <c r="M147" s="123">
        <f>L147*I147</f>
        <v/>
      </c>
      <c r="N147" s="124" t="inlineStr">
        <is>
          <t xml:space="preserve">50-90 шт - </t>
        </is>
      </c>
      <c r="O147" s="47" t="inlineStr">
        <is>
          <t xml:space="preserve"> руб / шт с НДС</t>
        </is>
      </c>
      <c r="P147" s="125">
        <f>ROUND(K147,2)</f>
        <v/>
      </c>
      <c r="Q147" s="207">
        <f>CONCATENATE(N147,P147,O147,)</f>
        <v/>
      </c>
      <c r="R147" s="235">
        <f>INDIRECT("'Закуп'!k" &amp; A147)</f>
        <v/>
      </c>
      <c r="S147" s="239">
        <f>INDIRECT("'Закуп'!o" &amp; A147)</f>
        <v/>
      </c>
      <c r="T147" s="226">
        <f>INDIRECT("'Закуп'!p" &amp; A147)</f>
        <v/>
      </c>
      <c r="U147" s="235">
        <f>INDIRECT("'Закуп'!v" &amp; A147)</f>
        <v/>
      </c>
      <c r="V147" s="222">
        <f>INDIRECT("'Закуп'!w" &amp; A147)</f>
        <v/>
      </c>
      <c r="W147" s="229">
        <f>INDIRECT("'Закуп'!H" &amp; A147)</f>
        <v/>
      </c>
      <c r="X147" s="237">
        <f>INDIRECT("'Закуп'!g" &amp; A147)</f>
        <v/>
      </c>
      <c r="Y147" s="229">
        <f>INDIRECT("'Закуп'!i" &amp; A147)</f>
        <v/>
      </c>
      <c r="Z147" s="236">
        <f>INDIRECT("'Закуп'!x" &amp; A147)</f>
        <v/>
      </c>
      <c r="AA147" s="237">
        <f>INDIRECT("'Закуп'!y" &amp; A147)</f>
        <v/>
      </c>
      <c r="AB147" s="238">
        <f>INDIRECT("'Закуп'!z" &amp; A147)</f>
        <v/>
      </c>
      <c r="AC147" s="223">
        <f>SUBSTITUTE(INDEX(F:F, ROUNDUP((ROW(A146))/5,0)*5 - 3), "х", "x")</f>
        <v/>
      </c>
      <c r="AD147" s="222">
        <f>SUBSTITUTE(INDEX(F:F, ROUNDUP((ROW(A146))/5,0)*5 - 3), "х", "x") &amp; " - " &amp; SUBSTITUTE(SUBSTITUTE(INDEX(F:F, ROUNDUP((ROW(A146))/5,0)*5 - 3), "х", "*"), "x", "*") &amp; " мм"</f>
        <v/>
      </c>
    </row>
    <row r="148">
      <c r="B148" s="42" t="n">
        <v>31</v>
      </c>
      <c r="C148" s="118">
        <f>INDIRECT("'Закуп'!A" &amp; B148)</f>
        <v/>
      </c>
      <c r="D148" s="119">
        <f>C148*1.2</f>
        <v/>
      </c>
      <c r="G148" s="172">
        <f>IF(INDIRECT("'Закуп'!L" &amp; B148)="Sale","Sale","")</f>
        <v/>
      </c>
      <c r="H148" s="158">
        <f>IF(INDIRECT("'Закуп'!F" &amp; B148)=0,"",INDIRECT("'Закуп'!F" &amp; B148))</f>
        <v/>
      </c>
      <c r="I148" s="120" t="n">
        <v>100</v>
      </c>
      <c r="J148" s="121">
        <f>K148/1.2</f>
        <v/>
      </c>
      <c r="K148" s="70" t="n">
        <v>0.85</v>
      </c>
      <c r="L148" s="122">
        <f>J148-C148-(J148-C148)*0.2</f>
        <v/>
      </c>
      <c r="M148" s="123">
        <f>L148*I148</f>
        <v/>
      </c>
      <c r="N148" s="124" t="inlineStr">
        <is>
          <t xml:space="preserve">100-290 шт - </t>
        </is>
      </c>
      <c r="O148" s="47" t="inlineStr">
        <is>
          <t xml:space="preserve"> руб / шт с НДС</t>
        </is>
      </c>
      <c r="P148" s="125">
        <f>ROUND(K148,2)</f>
        <v/>
      </c>
      <c r="Q148" s="207">
        <f>CONCATENATE(N148,P148,O148,)</f>
        <v/>
      </c>
      <c r="R148" s="240" t="n"/>
      <c r="T148" s="241" t="n"/>
      <c r="U148" s="240" t="n"/>
      <c r="V148" s="241" t="n"/>
      <c r="Z148" s="240" t="n"/>
      <c r="AB148" s="241" t="n"/>
      <c r="AC148" s="240" t="n"/>
      <c r="AD148" s="241" t="n"/>
    </row>
    <row r="149">
      <c r="B149" s="42" t="n">
        <v>31</v>
      </c>
      <c r="C149" s="118">
        <f>INDIRECT("'Закуп'!A" &amp; B149)</f>
        <v/>
      </c>
      <c r="D149" s="119">
        <f>C149*1.2</f>
        <v/>
      </c>
      <c r="G149" s="172">
        <f>IF(INDIRECT("'Закуп'!L" &amp; B149)="Sale","Sale","")</f>
        <v/>
      </c>
      <c r="H149" s="158">
        <f>IF(INDIRECT("'Закуп'!F" &amp; B149)=0,"",INDIRECT("'Закуп'!F" &amp; B149))</f>
        <v/>
      </c>
      <c r="I149" s="120" t="n">
        <v>300</v>
      </c>
      <c r="J149" s="121">
        <f>K149/1.2</f>
        <v/>
      </c>
      <c r="K149" s="70" t="n">
        <v>0.75</v>
      </c>
      <c r="L149" s="122">
        <f>J149-C149-(J149-C149)*0.2</f>
        <v/>
      </c>
      <c r="M149" s="123">
        <f>L149*I149</f>
        <v/>
      </c>
      <c r="N149" s="124" t="inlineStr">
        <is>
          <t xml:space="preserve">300-490 шт - </t>
        </is>
      </c>
      <c r="O149" s="47" t="inlineStr">
        <is>
          <t xml:space="preserve"> руб / шт с НДС</t>
        </is>
      </c>
      <c r="P149" s="125">
        <f>ROUND(K149,2)</f>
        <v/>
      </c>
      <c r="Q149" s="207">
        <f>CONCATENATE(N149,P149,O149,)</f>
        <v/>
      </c>
      <c r="R149" s="240" t="n"/>
      <c r="T149" s="241" t="n"/>
      <c r="U149" s="240" t="n"/>
      <c r="V149" s="241" t="n"/>
      <c r="Z149" s="240" t="n"/>
      <c r="AB149" s="241" t="n"/>
      <c r="AC149" s="240" t="n"/>
      <c r="AD149" s="241" t="n"/>
    </row>
    <row r="150">
      <c r="B150" s="42" t="n">
        <v>31</v>
      </c>
      <c r="C150" s="118">
        <f>INDIRECT("'Закуп'!A" &amp; B150)</f>
        <v/>
      </c>
      <c r="D150" s="119">
        <f>C150*1.2</f>
        <v/>
      </c>
      <c r="G150" s="172">
        <f>IF(INDIRECT("'Закуп'!L" &amp; B150)="Sale","Sale","")</f>
        <v/>
      </c>
      <c r="H150" s="158">
        <f>IF(INDIRECT("'Закуп'!F" &amp; B150)=0,"",INDIRECT("'Закуп'!F" &amp; B150))</f>
        <v/>
      </c>
      <c r="I150" s="120" t="n">
        <v>500</v>
      </c>
      <c r="J150" s="121">
        <f>K150/1.2</f>
        <v/>
      </c>
      <c r="K150" s="70" t="n">
        <v>0.65</v>
      </c>
      <c r="L150" s="122">
        <f>J150-C150-(J150-C150)*0.2</f>
        <v/>
      </c>
      <c r="M150" s="123">
        <f>L150*I150</f>
        <v/>
      </c>
      <c r="N150" s="124" t="inlineStr">
        <is>
          <t xml:space="preserve">500-990 шт - </t>
        </is>
      </c>
      <c r="O150" s="47" t="inlineStr">
        <is>
          <t xml:space="preserve"> руб / шт с НДС</t>
        </is>
      </c>
      <c r="P150" s="125">
        <f>ROUND(K150,2)</f>
        <v/>
      </c>
      <c r="Q150" s="207">
        <f>CONCATENATE(N150,P150,O150,)</f>
        <v/>
      </c>
      <c r="R150" s="240" t="n"/>
      <c r="T150" s="241" t="n"/>
      <c r="U150" s="240" t="n"/>
      <c r="V150" s="241" t="n"/>
      <c r="Z150" s="240" t="n"/>
      <c r="AB150" s="241" t="n"/>
      <c r="AC150" s="240" t="n"/>
      <c r="AD150" s="241" t="n"/>
    </row>
    <row r="151">
      <c r="B151" s="42" t="n">
        <v>31</v>
      </c>
      <c r="C151" s="118">
        <f>INDIRECT("'Закуп'!A" &amp; B151)</f>
        <v/>
      </c>
      <c r="D151" s="119">
        <f>C151*1.2</f>
        <v/>
      </c>
      <c r="G151" s="172">
        <f>IF(INDIRECT("'Закуп'!L" &amp; B151)="Sale","Sale","")</f>
        <v/>
      </c>
      <c r="H151" s="158">
        <f>IF(INDIRECT("'Закуп'!F" &amp; B151)=0,"",INDIRECT("'Закуп'!F" &amp; B151))</f>
        <v/>
      </c>
      <c r="I151" s="120" t="n">
        <v>1000</v>
      </c>
      <c r="J151" s="121">
        <f>K151/1.2</f>
        <v/>
      </c>
      <c r="K151" s="70" t="n">
        <v>0.55</v>
      </c>
      <c r="L151" s="122">
        <f>J151-C151-(J151-C151)*0.2</f>
        <v/>
      </c>
      <c r="M151" s="123">
        <f>L151*I151</f>
        <v/>
      </c>
      <c r="N151" s="124" t="inlineStr">
        <is>
          <t xml:space="preserve">1000 + шт - </t>
        </is>
      </c>
      <c r="O151" s="47" t="inlineStr">
        <is>
          <t xml:space="preserve"> руб / шт с НДС</t>
        </is>
      </c>
      <c r="P151" s="125">
        <f>ROUND(K151,2)</f>
        <v/>
      </c>
      <c r="Q151" s="207">
        <f>CONCATENATE(N151,P151,O151,)</f>
        <v/>
      </c>
      <c r="R151" s="240" t="n"/>
      <c r="T151" s="241" t="n"/>
      <c r="U151" s="240" t="n"/>
      <c r="V151" s="241" t="n"/>
      <c r="Z151" s="240" t="n"/>
      <c r="AB151" s="241" t="n"/>
      <c r="AC151" s="240" t="n"/>
      <c r="AD151" s="241" t="n"/>
    </row>
    <row r="152">
      <c r="A152" s="232" t="n">
        <v>32</v>
      </c>
      <c r="B152" s="42" t="n">
        <v>32</v>
      </c>
      <c r="C152" s="118">
        <f>INDIRECT("'Закуп'!A" &amp; B152)</f>
        <v/>
      </c>
      <c r="D152" s="119">
        <f>C152*1.2</f>
        <v/>
      </c>
      <c r="E152" s="224">
        <f>INDIRECT("'Закуп'!D" &amp; A152)</f>
        <v/>
      </c>
      <c r="F152" s="231">
        <f>INDIRECT("'Закуп'!E" &amp; B152)</f>
        <v/>
      </c>
      <c r="G152" s="172">
        <f>IF(INDIRECT("'Закуп'!L" &amp; B152)="Sale","Sale","")</f>
        <v/>
      </c>
      <c r="H152" s="158">
        <f>IF(INDIRECT("'Закуп'!F" &amp; B152)=0,"",INDIRECT("'Закуп'!F" &amp; B152))</f>
        <v/>
      </c>
      <c r="I152" s="120" t="n">
        <v>50</v>
      </c>
      <c r="J152" s="121">
        <f>K152/1.2</f>
        <v/>
      </c>
      <c r="K152" s="70" t="n">
        <v>1.21</v>
      </c>
      <c r="L152" s="122">
        <f>J152-C152-(J152-C152)*0.2</f>
        <v/>
      </c>
      <c r="M152" s="123">
        <f>L152*I152</f>
        <v/>
      </c>
      <c r="N152" s="124" t="inlineStr">
        <is>
          <t xml:space="preserve">50-90 шт - </t>
        </is>
      </c>
      <c r="O152" s="47" t="inlineStr">
        <is>
          <t xml:space="preserve"> руб / шт с НДС</t>
        </is>
      </c>
      <c r="P152" s="125">
        <f>ROUND(K152,2)</f>
        <v/>
      </c>
      <c r="Q152" s="207">
        <f>CONCATENATE(N152,P152,O152,)</f>
        <v/>
      </c>
      <c r="R152" s="235">
        <f>INDIRECT("'Закуп'!k" &amp; A152)</f>
        <v/>
      </c>
      <c r="S152" s="239">
        <f>INDIRECT("'Закуп'!o" &amp; A152)</f>
        <v/>
      </c>
      <c r="T152" s="226">
        <f>INDIRECT("'Закуп'!p" &amp; A152)</f>
        <v/>
      </c>
      <c r="U152" s="235">
        <f>INDIRECT("'Закуп'!v" &amp; A152)</f>
        <v/>
      </c>
      <c r="V152" s="222">
        <f>INDIRECT("'Закуп'!w" &amp; A152)</f>
        <v/>
      </c>
      <c r="W152" s="229">
        <f>INDIRECT("'Закуп'!H" &amp; A152)</f>
        <v/>
      </c>
      <c r="X152" s="237">
        <f>INDIRECT("'Закуп'!g" &amp; A152)</f>
        <v/>
      </c>
      <c r="Y152" s="229">
        <f>INDIRECT("'Закуп'!i" &amp; A152)</f>
        <v/>
      </c>
      <c r="Z152" s="236">
        <f>INDIRECT("'Закуп'!x" &amp; A152)</f>
        <v/>
      </c>
      <c r="AA152" s="237">
        <f>INDIRECT("'Закуп'!y" &amp; A152)</f>
        <v/>
      </c>
      <c r="AB152" s="238">
        <f>INDIRECT("'Закуп'!z" &amp; A152)</f>
        <v/>
      </c>
      <c r="AC152" s="223">
        <f>SUBSTITUTE(INDEX(F:F, ROUNDUP((ROW(A151))/5,0)*5 - 3), "х", "x")</f>
        <v/>
      </c>
      <c r="AD152" s="222">
        <f>SUBSTITUTE(INDEX(F:F, ROUNDUP((ROW(A151))/5,0)*5 - 3), "х", "x") &amp; " - " &amp; SUBSTITUTE(SUBSTITUTE(INDEX(F:F, ROUNDUP((ROW(A151))/5,0)*5 - 3), "х", "*"), "x", "*") &amp; " мм"</f>
        <v/>
      </c>
    </row>
    <row r="153">
      <c r="B153" s="42" t="n">
        <v>32</v>
      </c>
      <c r="C153" s="118">
        <f>INDIRECT("'Закуп'!A" &amp; B153)</f>
        <v/>
      </c>
      <c r="D153" s="119">
        <f>C153*1.2</f>
        <v/>
      </c>
      <c r="G153" s="172">
        <f>IF(INDIRECT("'Закуп'!L" &amp; B153)="Sale","Sale","")</f>
        <v/>
      </c>
      <c r="H153" s="158">
        <f>IF(INDIRECT("'Закуп'!F" &amp; B153)=0,"",INDIRECT("'Закуп'!F" &amp; B153))</f>
        <v/>
      </c>
      <c r="I153" s="120" t="n">
        <v>100</v>
      </c>
      <c r="J153" s="121">
        <f>K153/1.2</f>
        <v/>
      </c>
      <c r="K153" s="70" t="n">
        <v>1.05</v>
      </c>
      <c r="L153" s="122">
        <f>J153-C153-(J153-C153)*0.2</f>
        <v/>
      </c>
      <c r="M153" s="123">
        <f>L153*I153</f>
        <v/>
      </c>
      <c r="N153" s="124" t="inlineStr">
        <is>
          <t xml:space="preserve">100-290 шт - </t>
        </is>
      </c>
      <c r="O153" s="47" t="inlineStr">
        <is>
          <t xml:space="preserve"> руб / шт с НДС</t>
        </is>
      </c>
      <c r="P153" s="125">
        <f>ROUND(K153,2)</f>
        <v/>
      </c>
      <c r="Q153" s="207">
        <f>CONCATENATE(N153,P153,O153,)</f>
        <v/>
      </c>
      <c r="R153" s="240" t="n"/>
      <c r="T153" s="241" t="n"/>
      <c r="U153" s="240" t="n"/>
      <c r="V153" s="241" t="n"/>
      <c r="Z153" s="240" t="n"/>
      <c r="AB153" s="241" t="n"/>
      <c r="AC153" s="240" t="n"/>
      <c r="AD153" s="241" t="n"/>
    </row>
    <row r="154">
      <c r="B154" s="42" t="n">
        <v>32</v>
      </c>
      <c r="C154" s="118">
        <f>INDIRECT("'Закуп'!A" &amp; B154)</f>
        <v/>
      </c>
      <c r="D154" s="119">
        <f>C154*1.2</f>
        <v/>
      </c>
      <c r="G154" s="172">
        <f>IF(INDIRECT("'Закуп'!L" &amp; B154)="Sale","Sale","")</f>
        <v/>
      </c>
      <c r="H154" s="158">
        <f>IF(INDIRECT("'Закуп'!F" &amp; B154)=0,"",INDIRECT("'Закуп'!F" &amp; B154))</f>
        <v/>
      </c>
      <c r="I154" s="120" t="n">
        <v>300</v>
      </c>
      <c r="J154" s="121">
        <f>K154/1.2</f>
        <v/>
      </c>
      <c r="K154" s="70" t="n">
        <v>0.9</v>
      </c>
      <c r="L154" s="122">
        <f>J154-C154-(J154-C154)*0.2</f>
        <v/>
      </c>
      <c r="M154" s="123">
        <f>L154*I154</f>
        <v/>
      </c>
      <c r="N154" s="124" t="inlineStr">
        <is>
          <t xml:space="preserve">300-490 шт - </t>
        </is>
      </c>
      <c r="O154" s="47" t="inlineStr">
        <is>
          <t xml:space="preserve"> руб / шт с НДС</t>
        </is>
      </c>
      <c r="P154" s="125">
        <f>ROUND(K154,2)</f>
        <v/>
      </c>
      <c r="Q154" s="207">
        <f>CONCATENATE(N154,P154,O154,)</f>
        <v/>
      </c>
      <c r="R154" s="240" t="n"/>
      <c r="T154" s="241" t="n"/>
      <c r="U154" s="240" t="n"/>
      <c r="V154" s="241" t="n"/>
      <c r="Z154" s="240" t="n"/>
      <c r="AB154" s="241" t="n"/>
      <c r="AC154" s="240" t="n"/>
      <c r="AD154" s="241" t="n"/>
    </row>
    <row r="155">
      <c r="B155" s="42" t="n">
        <v>32</v>
      </c>
      <c r="C155" s="118">
        <f>INDIRECT("'Закуп'!A" &amp; B155)</f>
        <v/>
      </c>
      <c r="D155" s="119">
        <f>C155*1.2</f>
        <v/>
      </c>
      <c r="G155" s="172">
        <f>IF(INDIRECT("'Закуп'!L" &amp; B155)="Sale","Sale","")</f>
        <v/>
      </c>
      <c r="H155" s="158">
        <f>IF(INDIRECT("'Закуп'!F" &amp; B155)=0,"",INDIRECT("'Закуп'!F" &amp; B155))</f>
        <v/>
      </c>
      <c r="I155" s="120" t="n">
        <v>500</v>
      </c>
      <c r="J155" s="121">
        <f>K155/1.2</f>
        <v/>
      </c>
      <c r="K155" s="70" t="n">
        <v>0.85</v>
      </c>
      <c r="L155" s="122">
        <f>J155-C155-(J155-C155)*0.2</f>
        <v/>
      </c>
      <c r="M155" s="123">
        <f>L155*I155</f>
        <v/>
      </c>
      <c r="N155" s="124" t="inlineStr">
        <is>
          <t xml:space="preserve">500-990 шт - </t>
        </is>
      </c>
      <c r="O155" s="47" t="inlineStr">
        <is>
          <t xml:space="preserve"> руб / шт с НДС</t>
        </is>
      </c>
      <c r="P155" s="125">
        <f>ROUND(K155,2)</f>
        <v/>
      </c>
      <c r="Q155" s="207">
        <f>CONCATENATE(N155,P155,O155,)</f>
        <v/>
      </c>
      <c r="R155" s="240" t="n"/>
      <c r="T155" s="241" t="n"/>
      <c r="U155" s="240" t="n"/>
      <c r="V155" s="241" t="n"/>
      <c r="Z155" s="240" t="n"/>
      <c r="AB155" s="241" t="n"/>
      <c r="AC155" s="240" t="n"/>
      <c r="AD155" s="241" t="n"/>
    </row>
    <row r="156">
      <c r="B156" s="42" t="n">
        <v>32</v>
      </c>
      <c r="C156" s="118">
        <f>INDIRECT("'Закуп'!A" &amp; B156)</f>
        <v/>
      </c>
      <c r="D156" s="119">
        <f>C156*1.2</f>
        <v/>
      </c>
      <c r="G156" s="172">
        <f>IF(INDIRECT("'Закуп'!L" &amp; B156)="Sale","Sale","")</f>
        <v/>
      </c>
      <c r="H156" s="158">
        <f>IF(INDIRECT("'Закуп'!F" &amp; B156)=0,"",INDIRECT("'Закуп'!F" &amp; B156))</f>
        <v/>
      </c>
      <c r="I156" s="120" t="n">
        <v>1000</v>
      </c>
      <c r="J156" s="121">
        <f>K156/1.2</f>
        <v/>
      </c>
      <c r="K156" s="70" t="n">
        <v>0.78</v>
      </c>
      <c r="L156" s="122">
        <f>J156-C156-(J156-C156)*0.2</f>
        <v/>
      </c>
      <c r="M156" s="123">
        <f>L156*I156</f>
        <v/>
      </c>
      <c r="N156" s="124" t="inlineStr">
        <is>
          <t xml:space="preserve">1000 + шт - </t>
        </is>
      </c>
      <c r="O156" s="47" t="inlineStr">
        <is>
          <t xml:space="preserve"> руб / шт с НДС</t>
        </is>
      </c>
      <c r="P156" s="125">
        <f>ROUND(K156,2)</f>
        <v/>
      </c>
      <c r="Q156" s="207">
        <f>CONCATENATE(N156,P156,O156,)</f>
        <v/>
      </c>
      <c r="R156" s="240" t="n"/>
      <c r="T156" s="241" t="n"/>
      <c r="U156" s="240" t="n"/>
      <c r="V156" s="241" t="n"/>
      <c r="Z156" s="240" t="n"/>
      <c r="AB156" s="241" t="n"/>
      <c r="AC156" s="240" t="n"/>
      <c r="AD156" s="241" t="n"/>
    </row>
    <row r="157" ht="32.15" customHeight="1" s="55">
      <c r="A157" s="232" t="n">
        <v>33</v>
      </c>
      <c r="B157" s="42" t="n">
        <v>33</v>
      </c>
      <c r="C157" s="118">
        <f>INDIRECT("'Закуп'!A" &amp; B157)</f>
        <v/>
      </c>
      <c r="D157" s="119">
        <f>C157*1.2</f>
        <v/>
      </c>
      <c r="E157" s="224">
        <f>INDIRECT("'Закуп'!D" &amp; A157)</f>
        <v/>
      </c>
      <c r="F157" s="231">
        <f>INDIRECT("'Закуп'!E" &amp; B157)</f>
        <v/>
      </c>
      <c r="G157" s="172">
        <f>IF(INDIRECT("'Закуп'!L" &amp; B157)="Sale","Sale","")</f>
        <v/>
      </c>
      <c r="H157" s="158">
        <f>IF(INDIRECT("'Закуп'!F" &amp; B157)=0,"",INDIRECT("'Закуп'!F" &amp; B157))</f>
        <v/>
      </c>
      <c r="I157" s="120" t="n">
        <v>50</v>
      </c>
      <c r="J157" s="121">
        <f>K157/1.2</f>
        <v/>
      </c>
      <c r="K157" s="70" t="n">
        <v>1.1</v>
      </c>
      <c r="L157" s="122">
        <f>J157-C157-(J157-C157)*0.2</f>
        <v/>
      </c>
      <c r="M157" s="123">
        <f>L157*I157</f>
        <v/>
      </c>
      <c r="N157" s="124" t="inlineStr">
        <is>
          <t xml:space="preserve">50-90 шт - </t>
        </is>
      </c>
      <c r="O157" s="47" t="inlineStr">
        <is>
          <t xml:space="preserve"> руб / шт с НДС</t>
        </is>
      </c>
      <c r="P157" s="125">
        <f>ROUND(K157,2)</f>
        <v/>
      </c>
      <c r="Q157" s="207">
        <f>CONCATENATE(N157,P157,O157,)</f>
        <v/>
      </c>
      <c r="R157" s="235">
        <f>INDIRECT("'Закуп'!k" &amp; A157)</f>
        <v/>
      </c>
      <c r="S157" s="239">
        <f>INDIRECT("'Закуп'!o" &amp; A157)</f>
        <v/>
      </c>
      <c r="T157" s="226">
        <f>INDIRECT("'Закуп'!p" &amp; A157)</f>
        <v/>
      </c>
      <c r="U157" s="235">
        <f>INDIRECT("'Закуп'!v" &amp; A157)</f>
        <v/>
      </c>
      <c r="V157" s="222">
        <f>INDIRECT("'Закуп'!w" &amp; A157)</f>
        <v/>
      </c>
      <c r="W157" s="229">
        <f>INDIRECT("'Закуп'!H" &amp; A157)</f>
        <v/>
      </c>
      <c r="X157" s="237">
        <f>INDIRECT("'Закуп'!g" &amp; A157)</f>
        <v/>
      </c>
      <c r="Y157" s="229">
        <f>INDIRECT("'Закуп'!i" &amp; A157)</f>
        <v/>
      </c>
      <c r="Z157" s="236">
        <f>INDIRECT("'Закуп'!x" &amp; A157)</f>
        <v/>
      </c>
      <c r="AA157" s="237">
        <f>INDIRECT("'Закуп'!y" &amp; A157)</f>
        <v/>
      </c>
      <c r="AB157" s="238">
        <f>INDIRECT("'Закуп'!z" &amp; A157)</f>
        <v/>
      </c>
      <c r="AC157" s="223">
        <f>SUBSTITUTE(INDEX(F:F, ROUNDUP((ROW(A156))/5,0)*5 - 3), "х", "x")</f>
        <v/>
      </c>
      <c r="AD157" s="222">
        <f>SUBSTITUTE(INDEX(F:F, ROUNDUP((ROW(A156))/5,0)*5 - 3), "х", "x") &amp; " - " &amp; SUBSTITUTE(SUBSTITUTE(INDEX(F:F, ROUNDUP((ROW(A156))/5,0)*5 - 3), "х", "*"), "x", "*") &amp; " мм"</f>
        <v/>
      </c>
    </row>
    <row r="158" ht="32.15" customHeight="1" s="55">
      <c r="B158" s="42" t="n">
        <v>33</v>
      </c>
      <c r="C158" s="118">
        <f>INDIRECT("'Закуп'!A" &amp; B158)</f>
        <v/>
      </c>
      <c r="D158" s="119">
        <f>C158*1.2</f>
        <v/>
      </c>
      <c r="G158" s="172">
        <f>IF(INDIRECT("'Закуп'!L" &amp; B158)="Sale","Sale","")</f>
        <v/>
      </c>
      <c r="H158" s="158">
        <f>IF(INDIRECT("'Закуп'!F" &amp; B158)=0,"",INDIRECT("'Закуп'!F" &amp; B158))</f>
        <v/>
      </c>
      <c r="I158" s="120" t="n">
        <v>100</v>
      </c>
      <c r="J158" s="121">
        <f>K158/1.2</f>
        <v/>
      </c>
      <c r="K158" s="70" t="n">
        <v>1.1</v>
      </c>
      <c r="L158" s="122">
        <f>J158-C158-(J158-C158)*0.2</f>
        <v/>
      </c>
      <c r="M158" s="123">
        <f>L158*I158</f>
        <v/>
      </c>
      <c r="N158" s="124" t="inlineStr">
        <is>
          <t xml:space="preserve">100-290 шт - </t>
        </is>
      </c>
      <c r="O158" s="47" t="inlineStr">
        <is>
          <t xml:space="preserve"> руб / шт с НДС</t>
        </is>
      </c>
      <c r="P158" s="125">
        <f>ROUND(K158,2)</f>
        <v/>
      </c>
      <c r="Q158" s="207">
        <f>CONCATENATE(N158,P158,O158,)</f>
        <v/>
      </c>
      <c r="R158" s="240" t="n"/>
      <c r="T158" s="241" t="n"/>
      <c r="U158" s="240" t="n"/>
      <c r="V158" s="241" t="n"/>
      <c r="Z158" s="240" t="n"/>
      <c r="AB158" s="241" t="n"/>
      <c r="AC158" s="240" t="n"/>
      <c r="AD158" s="241" t="n"/>
    </row>
    <row r="159" ht="32.15" customHeight="1" s="55">
      <c r="B159" s="42" t="n">
        <v>33</v>
      </c>
      <c r="C159" s="118">
        <f>INDIRECT("'Закуп'!A" &amp; B159)</f>
        <v/>
      </c>
      <c r="D159" s="119">
        <f>C159*1.2</f>
        <v/>
      </c>
      <c r="G159" s="172">
        <f>IF(INDIRECT("'Закуп'!L" &amp; B159)="Sale","Sale","")</f>
        <v/>
      </c>
      <c r="H159" s="158">
        <f>IF(INDIRECT("'Закуп'!F" &amp; B159)=0,"",INDIRECT("'Закуп'!F" &amp; B159))</f>
        <v/>
      </c>
      <c r="I159" s="120" t="n">
        <v>300</v>
      </c>
      <c r="J159" s="121">
        <f>K159/1.2</f>
        <v/>
      </c>
      <c r="K159" s="70" t="n">
        <v>1.1</v>
      </c>
      <c r="L159" s="122">
        <f>J159-C159-(J159-C159)*0.2</f>
        <v/>
      </c>
      <c r="M159" s="123">
        <f>L159*I159</f>
        <v/>
      </c>
      <c r="N159" s="124" t="inlineStr">
        <is>
          <t xml:space="preserve">300-490 шт - </t>
        </is>
      </c>
      <c r="O159" s="47" t="inlineStr">
        <is>
          <t xml:space="preserve"> руб / шт с НДС</t>
        </is>
      </c>
      <c r="P159" s="125">
        <f>ROUND(K159,2)</f>
        <v/>
      </c>
      <c r="Q159" s="207">
        <f>CONCATENATE(N159,P159,O159,)</f>
        <v/>
      </c>
      <c r="R159" s="240" t="n"/>
      <c r="T159" s="241" t="n"/>
      <c r="U159" s="240" t="n"/>
      <c r="V159" s="241" t="n"/>
      <c r="Z159" s="240" t="n"/>
      <c r="AB159" s="241" t="n"/>
      <c r="AC159" s="240" t="n"/>
      <c r="AD159" s="241" t="n"/>
    </row>
    <row r="160" ht="32.15" customHeight="1" s="55">
      <c r="B160" s="42" t="n">
        <v>33</v>
      </c>
      <c r="C160" s="118">
        <f>INDIRECT("'Закуп'!A" &amp; B160)</f>
        <v/>
      </c>
      <c r="D160" s="119">
        <f>C160*1.2</f>
        <v/>
      </c>
      <c r="G160" s="172">
        <f>IF(INDIRECT("'Закуп'!L" &amp; B160)="Sale","Sale","")</f>
        <v/>
      </c>
      <c r="H160" s="158">
        <f>IF(INDIRECT("'Закуп'!F" &amp; B160)=0,"",INDIRECT("'Закуп'!F" &amp; B160))</f>
        <v/>
      </c>
      <c r="I160" s="120" t="n">
        <v>500</v>
      </c>
      <c r="J160" s="121">
        <f>K160/1.2</f>
        <v/>
      </c>
      <c r="K160" s="70" t="n">
        <v>1.1</v>
      </c>
      <c r="L160" s="122">
        <f>J160-C160-(J160-C160)*0.2</f>
        <v/>
      </c>
      <c r="M160" s="123">
        <f>L160*I160</f>
        <v/>
      </c>
      <c r="N160" s="124" t="inlineStr">
        <is>
          <t xml:space="preserve">500-990 шт - </t>
        </is>
      </c>
      <c r="O160" s="47" t="inlineStr">
        <is>
          <t xml:space="preserve"> руб / шт с НДС</t>
        </is>
      </c>
      <c r="P160" s="125">
        <f>ROUND(K160,2)</f>
        <v/>
      </c>
      <c r="Q160" s="207">
        <f>CONCATENATE(N160,P160,O160,)</f>
        <v/>
      </c>
      <c r="R160" s="240" t="n"/>
      <c r="T160" s="241" t="n"/>
      <c r="U160" s="240" t="n"/>
      <c r="V160" s="241" t="n"/>
      <c r="Z160" s="240" t="n"/>
      <c r="AB160" s="241" t="n"/>
      <c r="AC160" s="240" t="n"/>
      <c r="AD160" s="241" t="n"/>
    </row>
    <row r="161" ht="32.15" customHeight="1" s="55">
      <c r="B161" s="42" t="n">
        <v>33</v>
      </c>
      <c r="C161" s="118">
        <f>INDIRECT("'Закуп'!A" &amp; B161)</f>
        <v/>
      </c>
      <c r="D161" s="119">
        <f>C161*1.2</f>
        <v/>
      </c>
      <c r="G161" s="172">
        <f>IF(INDIRECT("'Закуп'!L" &amp; B161)="Sale","Sale","")</f>
        <v/>
      </c>
      <c r="H161" s="158">
        <f>IF(INDIRECT("'Закуп'!F" &amp; B161)=0,"",INDIRECT("'Закуп'!F" &amp; B161))</f>
        <v/>
      </c>
      <c r="I161" s="120" t="n">
        <v>1000</v>
      </c>
      <c r="J161" s="121">
        <f>K161/1.2</f>
        <v/>
      </c>
      <c r="K161" s="70" t="n">
        <v>1.1</v>
      </c>
      <c r="L161" s="122">
        <f>J161-C161-(J161-C161)*0.2</f>
        <v/>
      </c>
      <c r="M161" s="123">
        <f>L161*I161</f>
        <v/>
      </c>
      <c r="N161" s="124" t="inlineStr">
        <is>
          <t xml:space="preserve">1000 + шт - </t>
        </is>
      </c>
      <c r="O161" s="47" t="inlineStr">
        <is>
          <t xml:space="preserve"> руб / шт с НДС</t>
        </is>
      </c>
      <c r="P161" s="125">
        <f>ROUND(K161,2)</f>
        <v/>
      </c>
      <c r="Q161" s="207">
        <f>CONCATENATE(N161,P161,O161,)</f>
        <v/>
      </c>
      <c r="R161" s="240" t="n"/>
      <c r="T161" s="241" t="n"/>
      <c r="U161" s="240" t="n"/>
      <c r="V161" s="241" t="n"/>
      <c r="Z161" s="240" t="n"/>
      <c r="AB161" s="241" t="n"/>
      <c r="AC161" s="240" t="n"/>
      <c r="AD161" s="241" t="n"/>
    </row>
    <row r="162">
      <c r="A162" s="232" t="n">
        <v>34</v>
      </c>
      <c r="B162" s="42" t="n">
        <v>34</v>
      </c>
      <c r="C162" s="118">
        <f>INDIRECT("'Закуп'!A" &amp; B162)</f>
        <v/>
      </c>
      <c r="D162" s="119">
        <f>C162*1.2</f>
        <v/>
      </c>
      <c r="E162" s="224">
        <f>INDIRECT("'Закуп'!D" &amp; A162)</f>
        <v/>
      </c>
      <c r="F162" s="231">
        <f>INDIRECT("'Закуп'!E" &amp; B162)</f>
        <v/>
      </c>
      <c r="G162" s="172">
        <f>IF(INDIRECT("'Закуп'!L" &amp; B162)="Sale","Sale","")</f>
        <v/>
      </c>
      <c r="H162" s="158">
        <f>IF(INDIRECT("'Закуп'!F" &amp; B162)=0,"",INDIRECT("'Закуп'!F" &amp; B162))</f>
        <v/>
      </c>
      <c r="I162" s="120" t="n">
        <v>50</v>
      </c>
      <c r="J162" s="121">
        <f>K162/1.2</f>
        <v/>
      </c>
      <c r="K162" s="70" t="n">
        <v>1.07</v>
      </c>
      <c r="L162" s="122">
        <f>J162-C162-(J162-C162)*0.2</f>
        <v/>
      </c>
      <c r="M162" s="123">
        <f>L162*I162</f>
        <v/>
      </c>
      <c r="N162" s="124" t="inlineStr">
        <is>
          <t xml:space="preserve">50-90 шт - </t>
        </is>
      </c>
      <c r="O162" s="47" t="inlineStr">
        <is>
          <t xml:space="preserve"> руб / шт с НДС</t>
        </is>
      </c>
      <c r="P162" s="125">
        <f>ROUND(K162,2)</f>
        <v/>
      </c>
      <c r="Q162" s="207">
        <f>CONCATENATE(N162,P162,O162,)</f>
        <v/>
      </c>
      <c r="R162" s="235">
        <f>INDIRECT("'Закуп'!k" &amp; A162)</f>
        <v/>
      </c>
      <c r="S162" s="239">
        <f>INDIRECT("'Закуп'!o" &amp; A162)</f>
        <v/>
      </c>
      <c r="T162" s="226">
        <f>INDIRECT("'Закуп'!p" &amp; A162)</f>
        <v/>
      </c>
      <c r="U162" s="235">
        <f>INDIRECT("'Закуп'!v" &amp; A162)</f>
        <v/>
      </c>
      <c r="V162" s="222">
        <f>INDIRECT("'Закуп'!w" &amp; A162)</f>
        <v/>
      </c>
      <c r="W162" s="229">
        <f>INDIRECT("'Закуп'!H" &amp; A162)</f>
        <v/>
      </c>
      <c r="X162" s="237">
        <f>INDIRECT("'Закуп'!g" &amp; A162)</f>
        <v/>
      </c>
      <c r="Y162" s="229">
        <f>INDIRECT("'Закуп'!i" &amp; A162)</f>
        <v/>
      </c>
      <c r="Z162" s="236">
        <f>INDIRECT("'Закуп'!x" &amp; A162)</f>
        <v/>
      </c>
      <c r="AA162" s="237">
        <f>INDIRECT("'Закуп'!y" &amp; A162)</f>
        <v/>
      </c>
      <c r="AB162" s="238">
        <f>INDIRECT("'Закуп'!z" &amp; A162)</f>
        <v/>
      </c>
      <c r="AC162" s="223">
        <f>SUBSTITUTE(INDEX(F:F, ROUNDUP((ROW(A161))/5,0)*5 - 3), "х", "x")</f>
        <v/>
      </c>
      <c r="AD162" s="222">
        <f>SUBSTITUTE(INDEX(F:F, ROUNDUP((ROW(A161))/5,0)*5 - 3), "х", "x") &amp; " - " &amp; SUBSTITUTE(SUBSTITUTE(INDEX(F:F, ROUNDUP((ROW(A161))/5,0)*5 - 3), "х", "*"), "x", "*") &amp; " мм"</f>
        <v/>
      </c>
    </row>
    <row r="163">
      <c r="B163" s="42" t="n">
        <v>34</v>
      </c>
      <c r="C163" s="118">
        <f>INDIRECT("'Закуп'!A" &amp; B163)</f>
        <v/>
      </c>
      <c r="D163" s="119">
        <f>C163*1.2</f>
        <v/>
      </c>
      <c r="G163" s="172">
        <f>IF(INDIRECT("'Закуп'!L" &amp; B163)="Sale","Sale","")</f>
        <v/>
      </c>
      <c r="H163" s="158">
        <f>IF(INDIRECT("'Закуп'!F" &amp; B163)=0,"",INDIRECT("'Закуп'!F" &amp; B163))</f>
        <v/>
      </c>
      <c r="I163" s="120" t="n">
        <v>100</v>
      </c>
      <c r="J163" s="121">
        <f>K163/1.2</f>
        <v/>
      </c>
      <c r="K163" s="70" t="n">
        <v>0.96</v>
      </c>
      <c r="L163" s="122">
        <f>J163-C163-(J163-C163)*0.2</f>
        <v/>
      </c>
      <c r="M163" s="123">
        <f>L163*I163</f>
        <v/>
      </c>
      <c r="N163" s="124" t="inlineStr">
        <is>
          <t xml:space="preserve">100-290 шт - </t>
        </is>
      </c>
      <c r="O163" s="47" t="inlineStr">
        <is>
          <t xml:space="preserve"> руб / шт с НДС</t>
        </is>
      </c>
      <c r="P163" s="125">
        <f>ROUND(K163,2)</f>
        <v/>
      </c>
      <c r="Q163" s="207">
        <f>CONCATENATE(N163,P163,O163,)</f>
        <v/>
      </c>
      <c r="R163" s="240" t="n"/>
      <c r="T163" s="241" t="n"/>
      <c r="U163" s="240" t="n"/>
      <c r="V163" s="241" t="n"/>
      <c r="Z163" s="240" t="n"/>
      <c r="AB163" s="241" t="n"/>
      <c r="AC163" s="240" t="n"/>
      <c r="AD163" s="241" t="n"/>
    </row>
    <row r="164">
      <c r="B164" s="42" t="n">
        <v>34</v>
      </c>
      <c r="C164" s="118">
        <f>INDIRECT("'Закуп'!A" &amp; B164)</f>
        <v/>
      </c>
      <c r="D164" s="119">
        <f>C164*1.2</f>
        <v/>
      </c>
      <c r="G164" s="172">
        <f>IF(INDIRECT("'Закуп'!L" &amp; B164)="Sale","Sale","")</f>
        <v/>
      </c>
      <c r="H164" s="158">
        <f>IF(INDIRECT("'Закуп'!F" &amp; B164)=0,"",INDIRECT("'Закуп'!F" &amp; B164))</f>
        <v/>
      </c>
      <c r="I164" s="120" t="n">
        <v>300</v>
      </c>
      <c r="J164" s="121">
        <f>K164/1.2</f>
        <v/>
      </c>
      <c r="K164" s="70" t="n">
        <v>0.86</v>
      </c>
      <c r="L164" s="122">
        <f>J164-C164-(J164-C164)*0.2</f>
        <v/>
      </c>
      <c r="M164" s="123">
        <f>L164*I164</f>
        <v/>
      </c>
      <c r="N164" s="124" t="inlineStr">
        <is>
          <t xml:space="preserve">300-490 шт - </t>
        </is>
      </c>
      <c r="O164" s="47" t="inlineStr">
        <is>
          <t xml:space="preserve"> руб / шт с НДС</t>
        </is>
      </c>
      <c r="P164" s="125">
        <f>ROUND(K164,2)</f>
        <v/>
      </c>
      <c r="Q164" s="207">
        <f>CONCATENATE(N164,P164,O164,)</f>
        <v/>
      </c>
      <c r="R164" s="240" t="n"/>
      <c r="T164" s="241" t="n"/>
      <c r="U164" s="240" t="n"/>
      <c r="V164" s="241" t="n"/>
      <c r="Z164" s="240" t="n"/>
      <c r="AB164" s="241" t="n"/>
      <c r="AC164" s="240" t="n"/>
      <c r="AD164" s="241" t="n"/>
    </row>
    <row r="165">
      <c r="B165" s="42" t="n">
        <v>34</v>
      </c>
      <c r="C165" s="118">
        <f>INDIRECT("'Закуп'!A" &amp; B165)</f>
        <v/>
      </c>
      <c r="D165" s="119">
        <f>C165*1.2</f>
        <v/>
      </c>
      <c r="G165" s="172">
        <f>IF(INDIRECT("'Закуп'!L" &amp; B165)="Sale","Sale","")</f>
        <v/>
      </c>
      <c r="H165" s="158">
        <f>IF(INDIRECT("'Закуп'!F" &amp; B165)=0,"",INDIRECT("'Закуп'!F" &amp; B165))</f>
        <v/>
      </c>
      <c r="I165" s="120" t="n">
        <v>500</v>
      </c>
      <c r="J165" s="121">
        <f>K165/1.2</f>
        <v/>
      </c>
      <c r="K165" s="70" t="n">
        <v>0.75</v>
      </c>
      <c r="L165" s="122">
        <f>J165-C165-(J165-C165)*0.2</f>
        <v/>
      </c>
      <c r="M165" s="123">
        <f>L165*I165</f>
        <v/>
      </c>
      <c r="N165" s="124" t="inlineStr">
        <is>
          <t xml:space="preserve">500-990 шт - </t>
        </is>
      </c>
      <c r="O165" s="47" t="inlineStr">
        <is>
          <t xml:space="preserve"> руб / шт с НДС</t>
        </is>
      </c>
      <c r="P165" s="125">
        <f>ROUND(K165,2)</f>
        <v/>
      </c>
      <c r="Q165" s="207">
        <f>CONCATENATE(N165,P165,O165,)</f>
        <v/>
      </c>
      <c r="R165" s="240" t="n"/>
      <c r="T165" s="241" t="n"/>
      <c r="U165" s="240" t="n"/>
      <c r="V165" s="241" t="n"/>
      <c r="Z165" s="240" t="n"/>
      <c r="AB165" s="241" t="n"/>
      <c r="AC165" s="240" t="n"/>
      <c r="AD165" s="241" t="n"/>
    </row>
    <row r="166">
      <c r="B166" s="42" t="n">
        <v>34</v>
      </c>
      <c r="C166" s="118">
        <f>INDIRECT("'Закуп'!A" &amp; B166)</f>
        <v/>
      </c>
      <c r="D166" s="119">
        <f>C166*1.2</f>
        <v/>
      </c>
      <c r="G166" s="172">
        <f>IF(INDIRECT("'Закуп'!L" &amp; B166)="Sale","Sale","")</f>
        <v/>
      </c>
      <c r="H166" s="158">
        <f>IF(INDIRECT("'Закуп'!F" &amp; B166)=0,"",INDIRECT("'Закуп'!F" &amp; B166))</f>
        <v/>
      </c>
      <c r="I166" s="120" t="n">
        <v>1000</v>
      </c>
      <c r="J166" s="121">
        <f>K166/1.2</f>
        <v/>
      </c>
      <c r="K166" s="70" t="n">
        <v>0.64</v>
      </c>
      <c r="L166" s="122">
        <f>J166-C166-(J166-C166)*0.2</f>
        <v/>
      </c>
      <c r="M166" s="123">
        <f>L166*I166</f>
        <v/>
      </c>
      <c r="N166" s="124" t="inlineStr">
        <is>
          <t xml:space="preserve">1000 + шт - </t>
        </is>
      </c>
      <c r="O166" s="47" t="inlineStr">
        <is>
          <t xml:space="preserve"> руб / шт с НДС</t>
        </is>
      </c>
      <c r="P166" s="125">
        <f>ROUND(K166,2)</f>
        <v/>
      </c>
      <c r="Q166" s="207">
        <f>CONCATENATE(N166,P166,O166,)</f>
        <v/>
      </c>
      <c r="R166" s="240" t="n"/>
      <c r="T166" s="241" t="n"/>
      <c r="U166" s="240" t="n"/>
      <c r="V166" s="241" t="n"/>
      <c r="Z166" s="240" t="n"/>
      <c r="AB166" s="241" t="n"/>
      <c r="AC166" s="240" t="n"/>
      <c r="AD166" s="241" t="n"/>
    </row>
    <row r="167">
      <c r="A167" s="232" t="n">
        <v>35</v>
      </c>
      <c r="B167" s="42" t="n">
        <v>35</v>
      </c>
      <c r="C167" s="118">
        <f>INDIRECT("'Закуп'!A" &amp; B167)</f>
        <v/>
      </c>
      <c r="D167" s="119">
        <f>C167*1.2</f>
        <v/>
      </c>
      <c r="E167" s="224">
        <f>INDIRECT("'Закуп'!D" &amp; A167)</f>
        <v/>
      </c>
      <c r="F167" s="231">
        <f>INDIRECT("'Закуп'!E" &amp; B167)</f>
        <v/>
      </c>
      <c r="G167" s="172">
        <f>IF(INDIRECT("'Закуп'!L" &amp; B167)="Sale","Sale","")</f>
        <v/>
      </c>
      <c r="H167" s="158">
        <f>IF(INDIRECT("'Закуп'!F" &amp; B167)=0,"",INDIRECT("'Закуп'!F" &amp; B167))</f>
        <v/>
      </c>
      <c r="I167" s="120" t="n">
        <v>50</v>
      </c>
      <c r="J167" s="121">
        <f>K167/1.2</f>
        <v/>
      </c>
      <c r="K167" s="70" t="n">
        <v>2.34</v>
      </c>
      <c r="L167" s="122">
        <f>J167-C167-(J167-C167)*0.2</f>
        <v/>
      </c>
      <c r="M167" s="123">
        <f>L167*I167</f>
        <v/>
      </c>
      <c r="N167" s="124" t="inlineStr">
        <is>
          <t xml:space="preserve">50-90 шт - </t>
        </is>
      </c>
      <c r="O167" s="47" t="inlineStr">
        <is>
          <t xml:space="preserve"> руб / шт с НДС</t>
        </is>
      </c>
      <c r="P167" s="125">
        <f>ROUND(K167,2)</f>
        <v/>
      </c>
      <c r="Q167" s="207">
        <f>CONCATENATE(N167,P167,O167,)</f>
        <v/>
      </c>
      <c r="R167" s="235">
        <f>INDIRECT("'Закуп'!k" &amp; A167)</f>
        <v/>
      </c>
      <c r="S167" s="239">
        <f>INDIRECT("'Закуп'!o" &amp; A167)</f>
        <v/>
      </c>
      <c r="T167" s="226">
        <f>INDIRECT("'Закуп'!p" &amp; A167)</f>
        <v/>
      </c>
      <c r="U167" s="235">
        <f>INDIRECT("'Закуп'!v" &amp; A167)</f>
        <v/>
      </c>
      <c r="V167" s="222">
        <f>INDIRECT("'Закуп'!w" &amp; A167)</f>
        <v/>
      </c>
      <c r="W167" s="229">
        <f>INDIRECT("'Закуп'!H" &amp; A167)</f>
        <v/>
      </c>
      <c r="X167" s="237">
        <f>INDIRECT("'Закуп'!g" &amp; A167)</f>
        <v/>
      </c>
      <c r="Y167" s="229">
        <f>INDIRECT("'Закуп'!i" &amp; A167)</f>
        <v/>
      </c>
      <c r="Z167" s="236">
        <f>INDIRECT("'Закуп'!x" &amp; A167)</f>
        <v/>
      </c>
      <c r="AA167" s="237">
        <f>INDIRECT("'Закуп'!y" &amp; A167)</f>
        <v/>
      </c>
      <c r="AB167" s="238">
        <f>INDIRECT("'Закуп'!z" &amp; A167)</f>
        <v/>
      </c>
      <c r="AC167" s="223">
        <f>SUBSTITUTE(INDEX(F:F, ROUNDUP((ROW(A166))/5,0)*5 - 3), "х", "x")</f>
        <v/>
      </c>
      <c r="AD167" s="222">
        <f>SUBSTITUTE(INDEX(F:F, ROUNDUP((ROW(A166))/5,0)*5 - 3), "х", "x") &amp; " - " &amp; SUBSTITUTE(SUBSTITUTE(INDEX(F:F, ROUNDUP((ROW(A166))/5,0)*5 - 3), "х", "*"), "x", "*") &amp; " мм"</f>
        <v/>
      </c>
    </row>
    <row r="168">
      <c r="B168" s="42" t="n">
        <v>35</v>
      </c>
      <c r="C168" s="118">
        <f>INDIRECT("'Закуп'!A" &amp; B168)</f>
        <v/>
      </c>
      <c r="D168" s="119">
        <f>C168*1.2</f>
        <v/>
      </c>
      <c r="G168" s="172">
        <f>IF(INDIRECT("'Закуп'!L" &amp; B168)="Sale","Sale","")</f>
        <v/>
      </c>
      <c r="H168" s="158">
        <f>IF(INDIRECT("'Закуп'!F" &amp; B168)=0,"",INDIRECT("'Закуп'!F" &amp; B168))</f>
        <v/>
      </c>
      <c r="I168" s="120" t="n">
        <v>100</v>
      </c>
      <c r="J168" s="121">
        <f>K168/1.2</f>
        <v/>
      </c>
      <c r="K168" s="70" t="n">
        <v>2.13</v>
      </c>
      <c r="L168" s="122">
        <f>J168-C168-(J168-C168)*0.2</f>
        <v/>
      </c>
      <c r="M168" s="123">
        <f>L168*I168</f>
        <v/>
      </c>
      <c r="N168" s="124" t="inlineStr">
        <is>
          <t xml:space="preserve">100-290 шт - </t>
        </is>
      </c>
      <c r="O168" s="47" t="inlineStr">
        <is>
          <t xml:space="preserve"> руб / шт с НДС</t>
        </is>
      </c>
      <c r="P168" s="125">
        <f>ROUND(K168,2)</f>
        <v/>
      </c>
      <c r="Q168" s="207">
        <f>CONCATENATE(N168,P168,O168,)</f>
        <v/>
      </c>
      <c r="R168" s="240" t="n"/>
      <c r="T168" s="241" t="n"/>
      <c r="U168" s="240" t="n"/>
      <c r="V168" s="241" t="n"/>
      <c r="Z168" s="240" t="n"/>
      <c r="AB168" s="241" t="n"/>
      <c r="AC168" s="240" t="n"/>
      <c r="AD168" s="241" t="n"/>
    </row>
    <row r="169">
      <c r="B169" s="42" t="n">
        <v>35</v>
      </c>
      <c r="C169" s="118">
        <f>INDIRECT("'Закуп'!A" &amp; B169)</f>
        <v/>
      </c>
      <c r="D169" s="119">
        <f>C169*1.2</f>
        <v/>
      </c>
      <c r="G169" s="172">
        <f>IF(INDIRECT("'Закуп'!L" &amp; B169)="Sale","Sale","")</f>
        <v/>
      </c>
      <c r="H169" s="158">
        <f>IF(INDIRECT("'Закуп'!F" &amp; B169)=0,"",INDIRECT("'Закуп'!F" &amp; B169))</f>
        <v/>
      </c>
      <c r="I169" s="120" t="n">
        <v>300</v>
      </c>
      <c r="J169" s="121">
        <f>K169/1.2</f>
        <v/>
      </c>
      <c r="K169" s="70" t="n">
        <v>1.66</v>
      </c>
      <c r="L169" s="122">
        <f>J169-C169-(J169-C169)*0.2</f>
        <v/>
      </c>
      <c r="M169" s="123">
        <f>L169*I169</f>
        <v/>
      </c>
      <c r="N169" s="124" t="inlineStr">
        <is>
          <t xml:space="preserve">300-490 шт - </t>
        </is>
      </c>
      <c r="O169" s="47" t="inlineStr">
        <is>
          <t xml:space="preserve"> руб / шт с НДС</t>
        </is>
      </c>
      <c r="P169" s="125">
        <f>ROUND(K169,2)</f>
        <v/>
      </c>
      <c r="Q169" s="207">
        <f>CONCATENATE(N169,P169,O169,)</f>
        <v/>
      </c>
      <c r="R169" s="240" t="n"/>
      <c r="T169" s="241" t="n"/>
      <c r="U169" s="240" t="n"/>
      <c r="V169" s="241" t="n"/>
      <c r="Z169" s="240" t="n"/>
      <c r="AB169" s="241" t="n"/>
      <c r="AC169" s="240" t="n"/>
      <c r="AD169" s="241" t="n"/>
    </row>
    <row r="170">
      <c r="B170" s="42" t="n">
        <v>35</v>
      </c>
      <c r="C170" s="118">
        <f>INDIRECT("'Закуп'!A" &amp; B170)</f>
        <v/>
      </c>
      <c r="D170" s="119">
        <f>C170*1.2</f>
        <v/>
      </c>
      <c r="G170" s="172">
        <f>IF(INDIRECT("'Закуп'!L" &amp; B170)="Sale","Sale","")</f>
        <v/>
      </c>
      <c r="H170" s="158">
        <f>IF(INDIRECT("'Закуп'!F" &amp; B170)=0,"",INDIRECT("'Закуп'!F" &amp; B170))</f>
        <v/>
      </c>
      <c r="I170" s="120" t="n">
        <v>500</v>
      </c>
      <c r="J170" s="121">
        <f>K170/1.2</f>
        <v/>
      </c>
      <c r="K170" s="70" t="n">
        <v>1.43</v>
      </c>
      <c r="L170" s="122">
        <f>J170-C170-(J170-C170)*0.2</f>
        <v/>
      </c>
      <c r="M170" s="123">
        <f>L170*I170</f>
        <v/>
      </c>
      <c r="N170" s="124" t="inlineStr">
        <is>
          <t xml:space="preserve">500-990 шт - </t>
        </is>
      </c>
      <c r="O170" s="47" t="inlineStr">
        <is>
          <t xml:space="preserve"> руб / шт с НДС</t>
        </is>
      </c>
      <c r="P170" s="125">
        <f>ROUND(K170,2)</f>
        <v/>
      </c>
      <c r="Q170" s="207">
        <f>CONCATENATE(N170,P170,O170,)</f>
        <v/>
      </c>
      <c r="R170" s="240" t="n"/>
      <c r="T170" s="241" t="n"/>
      <c r="U170" s="240" t="n"/>
      <c r="V170" s="241" t="n"/>
      <c r="Z170" s="240" t="n"/>
      <c r="AB170" s="241" t="n"/>
      <c r="AC170" s="240" t="n"/>
      <c r="AD170" s="241" t="n"/>
    </row>
    <row r="171">
      <c r="B171" s="42" t="n">
        <v>35</v>
      </c>
      <c r="C171" s="118">
        <f>INDIRECT("'Закуп'!A" &amp; B171)</f>
        <v/>
      </c>
      <c r="D171" s="119">
        <f>C171*1.2</f>
        <v/>
      </c>
      <c r="G171" s="172">
        <f>IF(INDIRECT("'Закуп'!L" &amp; B171)="Sale","Sale","")</f>
        <v/>
      </c>
      <c r="H171" s="158">
        <f>IF(INDIRECT("'Закуп'!F" &amp; B171)=0,"",INDIRECT("'Закуп'!F" &amp; B171))</f>
        <v/>
      </c>
      <c r="I171" s="120" t="n">
        <v>1000</v>
      </c>
      <c r="J171" s="121">
        <f>K171/1.2</f>
        <v/>
      </c>
      <c r="K171" s="70" t="n">
        <v>1.34</v>
      </c>
      <c r="L171" s="122">
        <f>J171-C171-(J171-C171)*0.2</f>
        <v/>
      </c>
      <c r="M171" s="123">
        <f>L171*I171</f>
        <v/>
      </c>
      <c r="N171" s="124" t="inlineStr">
        <is>
          <t xml:space="preserve">1000 + шт - </t>
        </is>
      </c>
      <c r="O171" s="47" t="inlineStr">
        <is>
          <t xml:space="preserve"> руб / шт с НДС</t>
        </is>
      </c>
      <c r="P171" s="125">
        <f>ROUND(K171,2)</f>
        <v/>
      </c>
      <c r="Q171" s="207">
        <f>CONCATENATE(N171,P171,O171,)</f>
        <v/>
      </c>
      <c r="R171" s="240" t="n"/>
      <c r="T171" s="241" t="n"/>
      <c r="U171" s="240" t="n"/>
      <c r="V171" s="241" t="n"/>
      <c r="Z171" s="240" t="n"/>
      <c r="AB171" s="241" t="n"/>
      <c r="AC171" s="240" t="n"/>
      <c r="AD171" s="241" t="n"/>
    </row>
    <row r="172">
      <c r="A172" s="232" t="n">
        <v>36</v>
      </c>
      <c r="B172" s="42" t="n">
        <v>36</v>
      </c>
      <c r="C172" s="118">
        <f>INDIRECT("'Закуп'!A" &amp; B172)</f>
        <v/>
      </c>
      <c r="D172" s="119">
        <f>C172*1.2</f>
        <v/>
      </c>
      <c r="E172" s="224">
        <f>INDIRECT("'Закуп'!D" &amp; A172)</f>
        <v/>
      </c>
      <c r="F172" s="231">
        <f>INDIRECT("'Закуп'!E" &amp; B172)</f>
        <v/>
      </c>
      <c r="G172" s="172">
        <f>IF(INDIRECT("'Закуп'!L" &amp; B172)="Sale","Sale","")</f>
        <v/>
      </c>
      <c r="H172" s="158">
        <f>IF(INDIRECT("'Закуп'!F" &amp; B172)=0,"",INDIRECT("'Закуп'!F" &amp; B172))</f>
        <v/>
      </c>
      <c r="I172" s="120" t="n">
        <v>50</v>
      </c>
      <c r="J172" s="121">
        <f>K172/1.2</f>
        <v/>
      </c>
      <c r="K172" s="70" t="n">
        <v>3.55</v>
      </c>
      <c r="L172" s="122">
        <f>J172-C172-(J172-C172)*0.2</f>
        <v/>
      </c>
      <c r="M172" s="123">
        <f>L172*I172</f>
        <v/>
      </c>
      <c r="N172" s="124" t="inlineStr">
        <is>
          <t xml:space="preserve">50-90 шт - </t>
        </is>
      </c>
      <c r="O172" s="47" t="inlineStr">
        <is>
          <t xml:space="preserve"> руб / шт с НДС</t>
        </is>
      </c>
      <c r="P172" s="125">
        <f>ROUND(K172,2)</f>
        <v/>
      </c>
      <c r="Q172" s="207">
        <f>CONCATENATE(N172,P172,O172,)</f>
        <v/>
      </c>
      <c r="R172" s="235">
        <f>INDIRECT("'Закуп'!k" &amp; A172)</f>
        <v/>
      </c>
      <c r="S172" s="239">
        <f>INDIRECT("'Закуп'!o" &amp; A172)</f>
        <v/>
      </c>
      <c r="T172" s="226">
        <f>INDIRECT("'Закуп'!p" &amp; A172)</f>
        <v/>
      </c>
      <c r="U172" s="235">
        <f>INDIRECT("'Закуп'!v" &amp; A172)</f>
        <v/>
      </c>
      <c r="V172" s="222">
        <f>INDIRECT("'Закуп'!w" &amp; A172)</f>
        <v/>
      </c>
      <c r="W172" s="229">
        <f>INDIRECT("'Закуп'!H" &amp; A172)</f>
        <v/>
      </c>
      <c r="X172" s="237">
        <f>INDIRECT("'Закуп'!g" &amp; A172)</f>
        <v/>
      </c>
      <c r="Y172" s="229">
        <f>INDIRECT("'Закуп'!i" &amp; A172)</f>
        <v/>
      </c>
      <c r="Z172" s="236">
        <f>INDIRECT("'Закуп'!x" &amp; A172)</f>
        <v/>
      </c>
      <c r="AA172" s="237">
        <f>INDIRECT("'Закуп'!y" &amp; A172)</f>
        <v/>
      </c>
      <c r="AB172" s="238">
        <f>INDIRECT("'Закуп'!z" &amp; A172)</f>
        <v/>
      </c>
      <c r="AC172" s="223">
        <f>SUBSTITUTE(INDEX(F:F, ROUNDUP((ROW(A171))/5,0)*5 - 3), "х", "x")</f>
        <v/>
      </c>
      <c r="AD172" s="222">
        <f>SUBSTITUTE(INDEX(F:F, ROUNDUP((ROW(A171))/5,0)*5 - 3), "х", "x") &amp; " - " &amp; SUBSTITUTE(SUBSTITUTE(INDEX(F:F, ROUNDUP((ROW(A171))/5,0)*5 - 3), "х", "*"), "x", "*") &amp; " мм"</f>
        <v/>
      </c>
    </row>
    <row r="173">
      <c r="B173" s="42" t="n">
        <v>36</v>
      </c>
      <c r="C173" s="118">
        <f>INDIRECT("'Закуп'!A" &amp; B173)</f>
        <v/>
      </c>
      <c r="D173" s="119">
        <f>C173*1.2</f>
        <v/>
      </c>
      <c r="G173" s="172">
        <f>IF(INDIRECT("'Закуп'!L" &amp; B173)="Sale","Sale","")</f>
        <v/>
      </c>
      <c r="H173" s="158">
        <f>IF(INDIRECT("'Закуп'!F" &amp; B173)=0,"",INDIRECT("'Закуп'!F" &amp; B173))</f>
        <v/>
      </c>
      <c r="I173" s="120" t="n">
        <v>100</v>
      </c>
      <c r="J173" s="121">
        <f>K173/1.2</f>
        <v/>
      </c>
      <c r="K173" s="70" t="n">
        <v>3.22</v>
      </c>
      <c r="L173" s="122">
        <f>J173-C173-(J173-C173)*0.2</f>
        <v/>
      </c>
      <c r="M173" s="123">
        <f>L173*I173</f>
        <v/>
      </c>
      <c r="N173" s="124" t="inlineStr">
        <is>
          <t xml:space="preserve">100-290 шт - </t>
        </is>
      </c>
      <c r="O173" s="47" t="inlineStr">
        <is>
          <t xml:space="preserve"> руб / шт с НДС</t>
        </is>
      </c>
      <c r="P173" s="125">
        <f>ROUND(K173,2)</f>
        <v/>
      </c>
      <c r="Q173" s="207">
        <f>CONCATENATE(N173,P173,O173,)</f>
        <v/>
      </c>
      <c r="R173" s="240" t="n"/>
      <c r="T173" s="241" t="n"/>
      <c r="U173" s="240" t="n"/>
      <c r="V173" s="241" t="n"/>
      <c r="Z173" s="240" t="n"/>
      <c r="AB173" s="241" t="n"/>
      <c r="AC173" s="240" t="n"/>
      <c r="AD173" s="241" t="n"/>
    </row>
    <row r="174">
      <c r="B174" s="42" t="n">
        <v>36</v>
      </c>
      <c r="C174" s="118">
        <f>INDIRECT("'Закуп'!A" &amp; B174)</f>
        <v/>
      </c>
      <c r="D174" s="119">
        <f>C174*1.2</f>
        <v/>
      </c>
      <c r="G174" s="172">
        <f>IF(INDIRECT("'Закуп'!L" &amp; B174)="Sale","Sale","")</f>
        <v/>
      </c>
      <c r="H174" s="158">
        <f>IF(INDIRECT("'Закуп'!F" &amp; B174)=0,"",INDIRECT("'Закуп'!F" &amp; B174))</f>
        <v/>
      </c>
      <c r="I174" s="120" t="n">
        <v>300</v>
      </c>
      <c r="J174" s="121">
        <f>K174/1.2</f>
        <v/>
      </c>
      <c r="K174" s="70" t="n">
        <v>2.89</v>
      </c>
      <c r="L174" s="122">
        <f>J174-C174-(J174-C174)*0.2</f>
        <v/>
      </c>
      <c r="M174" s="123">
        <f>L174*I174</f>
        <v/>
      </c>
      <c r="N174" s="124" t="inlineStr">
        <is>
          <t xml:space="preserve">300-490 шт - </t>
        </is>
      </c>
      <c r="O174" s="47" t="inlineStr">
        <is>
          <t xml:space="preserve"> руб / шт с НДС</t>
        </is>
      </c>
      <c r="P174" s="125">
        <f>ROUND(K174,2)</f>
        <v/>
      </c>
      <c r="Q174" s="207">
        <f>CONCATENATE(N174,P174,O174,)</f>
        <v/>
      </c>
      <c r="R174" s="240" t="n"/>
      <c r="T174" s="241" t="n"/>
      <c r="U174" s="240" t="n"/>
      <c r="V174" s="241" t="n"/>
      <c r="Z174" s="240" t="n"/>
      <c r="AB174" s="241" t="n"/>
      <c r="AC174" s="240" t="n"/>
      <c r="AD174" s="241" t="n"/>
    </row>
    <row r="175">
      <c r="B175" s="42" t="n">
        <v>36</v>
      </c>
      <c r="C175" s="118">
        <f>INDIRECT("'Закуп'!A" &amp; B175)</f>
        <v/>
      </c>
      <c r="D175" s="119">
        <f>C175*1.2</f>
        <v/>
      </c>
      <c r="G175" s="172">
        <f>IF(INDIRECT("'Закуп'!L" &amp; B175)="Sale","Sale","")</f>
        <v/>
      </c>
      <c r="H175" s="158">
        <f>IF(INDIRECT("'Закуп'!F" &amp; B175)=0,"",INDIRECT("'Закуп'!F" &amp; B175))</f>
        <v/>
      </c>
      <c r="I175" s="120" t="n">
        <v>500</v>
      </c>
      <c r="J175" s="121">
        <f>K175/1.2</f>
        <v/>
      </c>
      <c r="K175" s="70" t="n">
        <v>2.71</v>
      </c>
      <c r="L175" s="122">
        <f>J175-C175-(J175-C175)*0.2</f>
        <v/>
      </c>
      <c r="M175" s="123">
        <f>L175*I175</f>
        <v/>
      </c>
      <c r="N175" s="124" t="inlineStr">
        <is>
          <t xml:space="preserve">500-990 шт - </t>
        </is>
      </c>
      <c r="O175" s="47" t="inlineStr">
        <is>
          <t xml:space="preserve"> руб / шт с НДС</t>
        </is>
      </c>
      <c r="P175" s="125">
        <f>ROUND(K175,2)</f>
        <v/>
      </c>
      <c r="Q175" s="207">
        <f>CONCATENATE(N175,P175,O175,)</f>
        <v/>
      </c>
      <c r="R175" s="240" t="n"/>
      <c r="T175" s="241" t="n"/>
      <c r="U175" s="240" t="n"/>
      <c r="V175" s="241" t="n"/>
      <c r="Z175" s="240" t="n"/>
      <c r="AB175" s="241" t="n"/>
      <c r="AC175" s="240" t="n"/>
      <c r="AD175" s="241" t="n"/>
    </row>
    <row r="176">
      <c r="B176" s="42" t="n">
        <v>36</v>
      </c>
      <c r="C176" s="118">
        <f>INDIRECT("'Закуп'!A" &amp; B176)</f>
        <v/>
      </c>
      <c r="D176" s="119">
        <f>C176*1.2</f>
        <v/>
      </c>
      <c r="G176" s="172">
        <f>IF(INDIRECT("'Закуп'!L" &amp; B176)="Sale","Sale","")</f>
        <v/>
      </c>
      <c r="H176" s="158">
        <f>IF(INDIRECT("'Закуп'!F" &amp; B176)=0,"",INDIRECT("'Закуп'!F" &amp; B176))</f>
        <v/>
      </c>
      <c r="I176" s="120" t="n">
        <v>1000</v>
      </c>
      <c r="J176" s="121">
        <f>K176/1.2</f>
        <v/>
      </c>
      <c r="K176" s="70" t="n">
        <v>2.55</v>
      </c>
      <c r="L176" s="122">
        <f>J176-C176-(J176-C176)*0.2</f>
        <v/>
      </c>
      <c r="M176" s="123">
        <f>L176*I176</f>
        <v/>
      </c>
      <c r="N176" s="124" t="inlineStr">
        <is>
          <t xml:space="preserve">1000 + шт - </t>
        </is>
      </c>
      <c r="O176" s="47" t="inlineStr">
        <is>
          <t xml:space="preserve"> руб / шт с НДС</t>
        </is>
      </c>
      <c r="P176" s="125">
        <f>ROUND(K176,2)</f>
        <v/>
      </c>
      <c r="Q176" s="207">
        <f>CONCATENATE(N176,P176,O176,)</f>
        <v/>
      </c>
      <c r="R176" s="240" t="n"/>
      <c r="T176" s="241" t="n"/>
      <c r="U176" s="240" t="n"/>
      <c r="V176" s="241" t="n"/>
      <c r="Z176" s="240" t="n"/>
      <c r="AB176" s="241" t="n"/>
      <c r="AC176" s="240" t="n"/>
      <c r="AD176" s="241" t="n"/>
    </row>
    <row r="177">
      <c r="A177" s="232" t="n">
        <v>37</v>
      </c>
      <c r="B177" s="42" t="n">
        <v>37</v>
      </c>
      <c r="C177" s="118">
        <f>INDIRECT("'Закуп'!A" &amp; B177)</f>
        <v/>
      </c>
      <c r="D177" s="119">
        <f>C177*1.2</f>
        <v/>
      </c>
      <c r="E177" s="224">
        <f>INDIRECT("'Закуп'!D" &amp; A177)</f>
        <v/>
      </c>
      <c r="F177" s="231">
        <f>INDIRECT("'Закуп'!E" &amp; B177)</f>
        <v/>
      </c>
      <c r="G177" s="172">
        <f>IF(INDIRECT("'Закуп'!L" &amp; B177)="Sale","Sale","")</f>
        <v/>
      </c>
      <c r="H177" s="158">
        <f>IF(INDIRECT("'Закуп'!F" &amp; B177)=0,"",INDIRECT("'Закуп'!F" &amp; B177))</f>
        <v/>
      </c>
      <c r="I177" s="120" t="n">
        <v>50</v>
      </c>
      <c r="J177" s="121">
        <f>K177/1.2</f>
        <v/>
      </c>
      <c r="K177" s="70" t="n">
        <v>3.39</v>
      </c>
      <c r="L177" s="122">
        <f>J177-C177-(J177-C177)*0.2</f>
        <v/>
      </c>
      <c r="M177" s="123">
        <f>L177*I177</f>
        <v/>
      </c>
      <c r="N177" s="124" t="inlineStr">
        <is>
          <t xml:space="preserve">50-90 шт - </t>
        </is>
      </c>
      <c r="O177" s="47" t="inlineStr">
        <is>
          <t xml:space="preserve"> руб / шт с НДС</t>
        </is>
      </c>
      <c r="P177" s="125">
        <f>ROUND(K177,2)</f>
        <v/>
      </c>
      <c r="Q177" s="207">
        <f>CONCATENATE(N177,P177,O177,)</f>
        <v/>
      </c>
      <c r="R177" s="235">
        <f>INDIRECT("'Закуп'!k" &amp; A177)</f>
        <v/>
      </c>
      <c r="S177" s="239">
        <f>INDIRECT("'Закуп'!o" &amp; A177)</f>
        <v/>
      </c>
      <c r="T177" s="226">
        <f>INDIRECT("'Закуп'!p" &amp; A177)</f>
        <v/>
      </c>
      <c r="U177" s="235">
        <f>INDIRECT("'Закуп'!v" &amp; A177)</f>
        <v/>
      </c>
      <c r="V177" s="222">
        <f>INDIRECT("'Закуп'!w" &amp; A177)</f>
        <v/>
      </c>
      <c r="W177" s="229">
        <f>INDIRECT("'Закуп'!H" &amp; A177)</f>
        <v/>
      </c>
      <c r="X177" s="237">
        <f>INDIRECT("'Закуп'!g" &amp; A177)</f>
        <v/>
      </c>
      <c r="Y177" s="229">
        <f>INDIRECT("'Закуп'!i" &amp; A177)</f>
        <v/>
      </c>
      <c r="Z177" s="236">
        <f>INDIRECT("'Закуп'!x" &amp; A177)</f>
        <v/>
      </c>
      <c r="AA177" s="237">
        <f>INDIRECT("'Закуп'!y" &amp; A177)</f>
        <v/>
      </c>
      <c r="AB177" s="238">
        <f>INDIRECT("'Закуп'!z" &amp; A177)</f>
        <v/>
      </c>
      <c r="AC177" s="223">
        <f>SUBSTITUTE(INDEX(F:F, ROUNDUP((ROW(A176))/5,0)*5 - 3), "х", "x")</f>
        <v/>
      </c>
      <c r="AD177" s="222">
        <f>SUBSTITUTE(INDEX(F:F, ROUNDUP((ROW(A176))/5,0)*5 - 3), "х", "x") &amp; " - " &amp; SUBSTITUTE(SUBSTITUTE(INDEX(F:F, ROUNDUP((ROW(A176))/5,0)*5 - 3), "х", "*"), "x", "*") &amp; " мм"</f>
        <v/>
      </c>
    </row>
    <row r="178">
      <c r="B178" s="42" t="n">
        <v>37</v>
      </c>
      <c r="C178" s="118">
        <f>INDIRECT("'Закуп'!A" &amp; B178)</f>
        <v/>
      </c>
      <c r="D178" s="119">
        <f>C178*1.2</f>
        <v/>
      </c>
      <c r="G178" s="172">
        <f>IF(INDIRECT("'Закуп'!L" &amp; B178)="Sale","Sale","")</f>
        <v/>
      </c>
      <c r="H178" s="158">
        <f>IF(INDIRECT("'Закуп'!F" &amp; B178)=0,"",INDIRECT("'Закуп'!F" &amp; B178))</f>
        <v/>
      </c>
      <c r="I178" s="120" t="n">
        <v>100</v>
      </c>
      <c r="J178" s="121">
        <f>K178/1.2</f>
        <v/>
      </c>
      <c r="K178" s="70" t="n">
        <v>3.05</v>
      </c>
      <c r="L178" s="122">
        <f>J178-C178-(J178-C178)*0.2</f>
        <v/>
      </c>
      <c r="M178" s="123">
        <f>L178*I178</f>
        <v/>
      </c>
      <c r="N178" s="124" t="inlineStr">
        <is>
          <t xml:space="preserve">100-290 шт - </t>
        </is>
      </c>
      <c r="O178" s="47" t="inlineStr">
        <is>
          <t xml:space="preserve"> руб / шт с НДС</t>
        </is>
      </c>
      <c r="P178" s="125">
        <f>ROUND(K178,2)</f>
        <v/>
      </c>
      <c r="Q178" s="207">
        <f>CONCATENATE(N178,P178,O178,)</f>
        <v/>
      </c>
      <c r="R178" s="240" t="n"/>
      <c r="T178" s="241" t="n"/>
      <c r="U178" s="240" t="n"/>
      <c r="V178" s="241" t="n"/>
      <c r="Z178" s="240" t="n"/>
      <c r="AB178" s="241" t="n"/>
      <c r="AC178" s="240" t="n"/>
      <c r="AD178" s="241" t="n"/>
    </row>
    <row r="179">
      <c r="B179" s="42" t="n">
        <v>37</v>
      </c>
      <c r="C179" s="118">
        <f>INDIRECT("'Закуп'!A" &amp; B179)</f>
        <v/>
      </c>
      <c r="D179" s="119">
        <f>C179*1.2</f>
        <v/>
      </c>
      <c r="G179" s="172">
        <f>IF(INDIRECT("'Закуп'!L" &amp; B179)="Sale","Sale","")</f>
        <v/>
      </c>
      <c r="H179" s="158">
        <f>IF(INDIRECT("'Закуп'!F" &amp; B179)=0,"",INDIRECT("'Закуп'!F" &amp; B179))</f>
        <v/>
      </c>
      <c r="I179" s="120" t="n">
        <v>300</v>
      </c>
      <c r="J179" s="121">
        <f>K179/1.2</f>
        <v/>
      </c>
      <c r="K179" s="70" t="n">
        <v>2.89</v>
      </c>
      <c r="L179" s="122">
        <f>J179-C179-(J179-C179)*0.2</f>
        <v/>
      </c>
      <c r="M179" s="123">
        <f>L179*I179</f>
        <v/>
      </c>
      <c r="N179" s="124" t="inlineStr">
        <is>
          <t xml:space="preserve">300-490 шт - </t>
        </is>
      </c>
      <c r="O179" s="47" t="inlineStr">
        <is>
          <t xml:space="preserve"> руб / шт с НДС</t>
        </is>
      </c>
      <c r="P179" s="125">
        <f>ROUND(K179,2)</f>
        <v/>
      </c>
      <c r="Q179" s="207">
        <f>CONCATENATE(N179,P179,O179,)</f>
        <v/>
      </c>
      <c r="R179" s="240" t="n"/>
      <c r="T179" s="241" t="n"/>
      <c r="U179" s="240" t="n"/>
      <c r="V179" s="241" t="n"/>
      <c r="Z179" s="240" t="n"/>
      <c r="AB179" s="241" t="n"/>
      <c r="AC179" s="240" t="n"/>
      <c r="AD179" s="241" t="n"/>
    </row>
    <row r="180">
      <c r="B180" s="42" t="n">
        <v>37</v>
      </c>
      <c r="C180" s="118">
        <f>INDIRECT("'Закуп'!A" &amp; B180)</f>
        <v/>
      </c>
      <c r="D180" s="119">
        <f>C180*1.2</f>
        <v/>
      </c>
      <c r="G180" s="172">
        <f>IF(INDIRECT("'Закуп'!L" &amp; B180)="Sale","Sale","")</f>
        <v/>
      </c>
      <c r="H180" s="158">
        <f>IF(INDIRECT("'Закуп'!F" &amp; B180)=0,"",INDIRECT("'Закуп'!F" &amp; B180))</f>
        <v/>
      </c>
      <c r="I180" s="120" t="n">
        <v>500</v>
      </c>
      <c r="J180" s="121">
        <f>K180/1.2</f>
        <v/>
      </c>
      <c r="K180" s="70" t="n">
        <v>2.71</v>
      </c>
      <c r="L180" s="122">
        <f>J180-C180-(J180-C180)*0.2</f>
        <v/>
      </c>
      <c r="M180" s="123">
        <f>L180*I180</f>
        <v/>
      </c>
      <c r="N180" s="124" t="inlineStr">
        <is>
          <t xml:space="preserve">500-990 шт - </t>
        </is>
      </c>
      <c r="O180" s="47" t="inlineStr">
        <is>
          <t xml:space="preserve"> руб / шт с НДС</t>
        </is>
      </c>
      <c r="P180" s="125">
        <f>ROUND(K180,2)</f>
        <v/>
      </c>
      <c r="Q180" s="207">
        <f>CONCATENATE(N180,P180,O180,)</f>
        <v/>
      </c>
      <c r="R180" s="240" t="n"/>
      <c r="T180" s="241" t="n"/>
      <c r="U180" s="240" t="n"/>
      <c r="V180" s="241" t="n"/>
      <c r="Z180" s="240" t="n"/>
      <c r="AB180" s="241" t="n"/>
      <c r="AC180" s="240" t="n"/>
      <c r="AD180" s="241" t="n"/>
    </row>
    <row r="181">
      <c r="B181" s="42" t="n">
        <v>37</v>
      </c>
      <c r="C181" s="118">
        <f>INDIRECT("'Закуп'!A" &amp; B181)</f>
        <v/>
      </c>
      <c r="D181" s="119">
        <f>C181*1.2</f>
        <v/>
      </c>
      <c r="G181" s="172">
        <f>IF(INDIRECT("'Закуп'!L" &amp; B181)="Sale","Sale","")</f>
        <v/>
      </c>
      <c r="H181" s="158">
        <f>IF(INDIRECT("'Закуп'!F" &amp; B181)=0,"",INDIRECT("'Закуп'!F" &amp; B181))</f>
        <v/>
      </c>
      <c r="I181" s="120" t="n">
        <v>1000</v>
      </c>
      <c r="J181" s="121">
        <f>K181/1.2</f>
        <v/>
      </c>
      <c r="K181" s="70" t="n">
        <v>2.55</v>
      </c>
      <c r="L181" s="122">
        <f>J181-C181-(J181-C181)*0.2</f>
        <v/>
      </c>
      <c r="M181" s="123">
        <f>L181*I181</f>
        <v/>
      </c>
      <c r="N181" s="124" t="inlineStr">
        <is>
          <t xml:space="preserve">1000 + шт - </t>
        </is>
      </c>
      <c r="O181" s="47" t="inlineStr">
        <is>
          <t xml:space="preserve"> руб / шт с НДС</t>
        </is>
      </c>
      <c r="P181" s="125">
        <f>ROUND(K181,2)</f>
        <v/>
      </c>
      <c r="Q181" s="207">
        <f>CONCATENATE(N181,P181,O181,)</f>
        <v/>
      </c>
      <c r="R181" s="240" t="n"/>
      <c r="T181" s="241" t="n"/>
      <c r="U181" s="240" t="n"/>
      <c r="V181" s="241" t="n"/>
      <c r="Z181" s="240" t="n"/>
      <c r="AB181" s="241" t="n"/>
      <c r="AC181" s="240" t="n"/>
      <c r="AD181" s="241" t="n"/>
    </row>
    <row r="182">
      <c r="A182" s="232" t="n">
        <v>38</v>
      </c>
      <c r="B182" s="42" t="n">
        <v>38</v>
      </c>
      <c r="C182" s="118">
        <f>INDIRECT("'Закуп'!A" &amp; B182)</f>
        <v/>
      </c>
      <c r="D182" s="119">
        <f>C182*1.2</f>
        <v/>
      </c>
      <c r="E182" s="224">
        <f>INDIRECT("'Закуп'!D" &amp; A182)</f>
        <v/>
      </c>
      <c r="F182" s="231">
        <f>INDIRECT("'Закуп'!E" &amp; B182)</f>
        <v/>
      </c>
      <c r="G182" s="172">
        <f>IF(INDIRECT("'Закуп'!L" &amp; B182)="Sale","Sale","")</f>
        <v/>
      </c>
      <c r="H182" s="158">
        <f>IF(INDIRECT("'Закуп'!F" &amp; B182)=0,"",INDIRECT("'Закуп'!F" &amp; B182))</f>
        <v/>
      </c>
      <c r="I182" s="120" t="n">
        <v>50</v>
      </c>
      <c r="J182" s="121">
        <f>K182/1.2</f>
        <v/>
      </c>
      <c r="K182" s="70" t="n">
        <v>2.09</v>
      </c>
      <c r="L182" s="122">
        <f>J182-C182-(J182-C182)*0.2</f>
        <v/>
      </c>
      <c r="M182" s="123">
        <f>L182*I182</f>
        <v/>
      </c>
      <c r="N182" s="124" t="inlineStr">
        <is>
          <t xml:space="preserve">50-90 шт - </t>
        </is>
      </c>
      <c r="O182" s="47" t="inlineStr">
        <is>
          <t xml:space="preserve"> руб / шт с НДС</t>
        </is>
      </c>
      <c r="P182" s="125">
        <f>ROUND(K182,2)</f>
        <v/>
      </c>
      <c r="Q182" s="207">
        <f>CONCATENATE(N182,P182,O182,)</f>
        <v/>
      </c>
      <c r="R182" s="235">
        <f>INDIRECT("'Закуп'!k" &amp; A182)</f>
        <v/>
      </c>
      <c r="S182" s="239">
        <f>INDIRECT("'Закуп'!o" &amp; A182)</f>
        <v/>
      </c>
      <c r="T182" s="226">
        <f>INDIRECT("'Закуп'!p" &amp; A182)</f>
        <v/>
      </c>
      <c r="U182" s="235">
        <f>INDIRECT("'Закуп'!v" &amp; A182)</f>
        <v/>
      </c>
      <c r="V182" s="222">
        <f>INDIRECT("'Закуп'!w" &amp; A182)</f>
        <v/>
      </c>
      <c r="W182" s="229">
        <f>INDIRECT("'Закуп'!H" &amp; A182)</f>
        <v/>
      </c>
      <c r="X182" s="237">
        <f>INDIRECT("'Закуп'!g" &amp; A182)</f>
        <v/>
      </c>
      <c r="Y182" s="229">
        <f>INDIRECT("'Закуп'!i" &amp; A182)</f>
        <v/>
      </c>
      <c r="Z182" s="236">
        <f>INDIRECT("'Закуп'!x" &amp; A182)</f>
        <v/>
      </c>
      <c r="AA182" s="237">
        <f>INDIRECT("'Закуп'!y" &amp; A182)</f>
        <v/>
      </c>
      <c r="AB182" s="238">
        <f>INDIRECT("'Закуп'!z" &amp; A182)</f>
        <v/>
      </c>
      <c r="AC182" s="223">
        <f>SUBSTITUTE(INDEX(F:F, ROUNDUP((ROW(A181))/5,0)*5 - 3), "х", "x")</f>
        <v/>
      </c>
      <c r="AD182" s="222">
        <f>SUBSTITUTE(INDEX(F:F, ROUNDUP((ROW(A181))/5,0)*5 - 3), "х", "x") &amp; " - " &amp; SUBSTITUTE(SUBSTITUTE(INDEX(F:F, ROUNDUP((ROW(A181))/5,0)*5 - 3), "х", "*"), "x", "*") &amp; " мм"</f>
        <v/>
      </c>
    </row>
    <row r="183">
      <c r="B183" s="42" t="n">
        <v>38</v>
      </c>
      <c r="C183" s="118">
        <f>INDIRECT("'Закуп'!A" &amp; B183)</f>
        <v/>
      </c>
      <c r="D183" s="119">
        <f>C183*1.2</f>
        <v/>
      </c>
      <c r="G183" s="172">
        <f>IF(INDIRECT("'Закуп'!L" &amp; B183)="Sale","Sale","")</f>
        <v/>
      </c>
      <c r="H183" s="158">
        <f>IF(INDIRECT("'Закуп'!F" &amp; B183)=0,"",INDIRECT("'Закуп'!F" &amp; B183))</f>
        <v/>
      </c>
      <c r="I183" s="120" t="n">
        <v>100</v>
      </c>
      <c r="J183" s="121">
        <f>K183/1.2</f>
        <v/>
      </c>
      <c r="K183" s="70" t="n">
        <v>1.88</v>
      </c>
      <c r="L183" s="122">
        <f>J183-C183-(J183-C183)*0.2</f>
        <v/>
      </c>
      <c r="M183" s="123">
        <f>L183*I183</f>
        <v/>
      </c>
      <c r="N183" s="124" t="inlineStr">
        <is>
          <t xml:space="preserve">100-290 шт - </t>
        </is>
      </c>
      <c r="O183" s="47" t="inlineStr">
        <is>
          <t xml:space="preserve"> руб / шт с НДС</t>
        </is>
      </c>
      <c r="P183" s="125">
        <f>ROUND(K183,2)</f>
        <v/>
      </c>
      <c r="Q183" s="207">
        <f>CONCATENATE(N183,P183,O183,)</f>
        <v/>
      </c>
      <c r="R183" s="240" t="n"/>
      <c r="T183" s="241" t="n"/>
      <c r="U183" s="240" t="n"/>
      <c r="V183" s="241" t="n"/>
      <c r="Z183" s="240" t="n"/>
      <c r="AB183" s="241" t="n"/>
      <c r="AC183" s="240" t="n"/>
      <c r="AD183" s="241" t="n"/>
    </row>
    <row r="184">
      <c r="B184" s="42" t="n">
        <v>38</v>
      </c>
      <c r="C184" s="118">
        <f>INDIRECT("'Закуп'!A" &amp; B184)</f>
        <v/>
      </c>
      <c r="D184" s="119">
        <f>C184*1.2</f>
        <v/>
      </c>
      <c r="G184" s="172">
        <f>IF(INDIRECT("'Закуп'!L" &amp; B184)="Sale","Sale","")</f>
        <v/>
      </c>
      <c r="H184" s="158">
        <f>IF(INDIRECT("'Закуп'!F" &amp; B184)=0,"",INDIRECT("'Закуп'!F" &amp; B184))</f>
        <v/>
      </c>
      <c r="I184" s="120" t="n">
        <v>300</v>
      </c>
      <c r="J184" s="121">
        <f>K184/1.2</f>
        <v/>
      </c>
      <c r="K184" s="70" t="n">
        <v>1.68</v>
      </c>
      <c r="L184" s="122">
        <f>J184-C184-(J184-C184)*0.2</f>
        <v/>
      </c>
      <c r="M184" s="123">
        <f>L184*I184</f>
        <v/>
      </c>
      <c r="N184" s="124" t="inlineStr">
        <is>
          <t xml:space="preserve">300-490 шт - </t>
        </is>
      </c>
      <c r="O184" s="47" t="inlineStr">
        <is>
          <t xml:space="preserve"> руб / шт с НДС</t>
        </is>
      </c>
      <c r="P184" s="125">
        <f>ROUND(K184,2)</f>
        <v/>
      </c>
      <c r="Q184" s="207">
        <f>CONCATENATE(N184,P184,O184,)</f>
        <v/>
      </c>
      <c r="R184" s="240" t="n"/>
      <c r="T184" s="241" t="n"/>
      <c r="U184" s="240" t="n"/>
      <c r="V184" s="241" t="n"/>
      <c r="Z184" s="240" t="n"/>
      <c r="AB184" s="241" t="n"/>
      <c r="AC184" s="240" t="n"/>
      <c r="AD184" s="241" t="n"/>
    </row>
    <row r="185">
      <c r="B185" s="42" t="n">
        <v>38</v>
      </c>
      <c r="C185" s="118">
        <f>INDIRECT("'Закуп'!A" &amp; B185)</f>
        <v/>
      </c>
      <c r="D185" s="119">
        <f>C185*1.2</f>
        <v/>
      </c>
      <c r="G185" s="172">
        <f>IF(INDIRECT("'Закуп'!L" &amp; B185)="Sale","Sale","")</f>
        <v/>
      </c>
      <c r="H185" s="158">
        <f>IF(INDIRECT("'Закуп'!F" &amp; B185)=0,"",INDIRECT("'Закуп'!F" &amp; B185))</f>
        <v/>
      </c>
      <c r="I185" s="120" t="n">
        <v>500</v>
      </c>
      <c r="J185" s="121">
        <f>K185/1.2</f>
        <v/>
      </c>
      <c r="K185" s="70" t="n">
        <v>1.59</v>
      </c>
      <c r="L185" s="122">
        <f>J185-C185-(J185-C185)*0.2</f>
        <v/>
      </c>
      <c r="M185" s="123">
        <f>L185*I185</f>
        <v/>
      </c>
      <c r="N185" s="124" t="inlineStr">
        <is>
          <t xml:space="preserve">500-990 шт - </t>
        </is>
      </c>
      <c r="O185" s="47" t="inlineStr">
        <is>
          <t xml:space="preserve"> руб / шт с НДС</t>
        </is>
      </c>
      <c r="P185" s="125">
        <f>ROUND(K185,2)</f>
        <v/>
      </c>
      <c r="Q185" s="207">
        <f>CONCATENATE(N185,P185,O185,)</f>
        <v/>
      </c>
      <c r="R185" s="240" t="n"/>
      <c r="T185" s="241" t="n"/>
      <c r="U185" s="240" t="n"/>
      <c r="V185" s="241" t="n"/>
      <c r="Z185" s="240" t="n"/>
      <c r="AB185" s="241" t="n"/>
      <c r="AC185" s="240" t="n"/>
      <c r="AD185" s="241" t="n"/>
    </row>
    <row r="186">
      <c r="B186" s="42" t="n">
        <v>38</v>
      </c>
      <c r="C186" s="118">
        <f>INDIRECT("'Закуп'!A" &amp; B186)</f>
        <v/>
      </c>
      <c r="D186" s="119">
        <f>C186*1.2</f>
        <v/>
      </c>
      <c r="G186" s="172">
        <f>IF(INDIRECT("'Закуп'!L" &amp; B186)="Sale","Sale","")</f>
        <v/>
      </c>
      <c r="H186" s="158">
        <f>IF(INDIRECT("'Закуп'!F" &amp; B186)=0,"",INDIRECT("'Закуп'!F" &amp; B186))</f>
        <v/>
      </c>
      <c r="I186" s="120" t="n">
        <v>1000</v>
      </c>
      <c r="J186" s="121">
        <f>K186/1.2</f>
        <v/>
      </c>
      <c r="K186" s="70" t="n">
        <v>1.49</v>
      </c>
      <c r="L186" s="122">
        <f>J186-C186-(J186-C186)*0.2</f>
        <v/>
      </c>
      <c r="M186" s="123">
        <f>L186*I186</f>
        <v/>
      </c>
      <c r="N186" s="124" t="inlineStr">
        <is>
          <t xml:space="preserve">1000 + шт - </t>
        </is>
      </c>
      <c r="O186" s="47" t="inlineStr">
        <is>
          <t xml:space="preserve"> руб / шт с НДС</t>
        </is>
      </c>
      <c r="P186" s="125">
        <f>ROUND(K186,2)</f>
        <v/>
      </c>
      <c r="Q186" s="207">
        <f>CONCATENATE(N186,P186,O186,)</f>
        <v/>
      </c>
      <c r="R186" s="240" t="n"/>
      <c r="T186" s="241" t="n"/>
      <c r="U186" s="240" t="n"/>
      <c r="V186" s="241" t="n"/>
      <c r="Z186" s="240" t="n"/>
      <c r="AB186" s="241" t="n"/>
      <c r="AC186" s="240" t="n"/>
      <c r="AD186" s="241" t="n"/>
    </row>
    <row r="187">
      <c r="A187" s="232" t="n">
        <v>39</v>
      </c>
      <c r="B187" s="42" t="n">
        <v>39</v>
      </c>
      <c r="C187" s="118">
        <f>INDIRECT("'Закуп'!A" &amp; B187)</f>
        <v/>
      </c>
      <c r="D187" s="119">
        <f>C187*1.2</f>
        <v/>
      </c>
      <c r="E187" s="224">
        <f>INDIRECT("'Закуп'!D" &amp; A187)</f>
        <v/>
      </c>
      <c r="F187" s="231">
        <f>INDIRECT("'Закуп'!E" &amp; B187)</f>
        <v/>
      </c>
      <c r="G187" s="172">
        <f>IF(INDIRECT("'Закуп'!L" &amp; B187)="Sale","Sale","")</f>
        <v/>
      </c>
      <c r="H187" s="158">
        <f>IF(INDIRECT("'Закуп'!F" &amp; B187)=0,"",INDIRECT("'Закуп'!F" &amp; B187))</f>
        <v/>
      </c>
      <c r="I187" s="120" t="n">
        <v>50</v>
      </c>
      <c r="J187" s="121">
        <f>K187/1.2</f>
        <v/>
      </c>
      <c r="K187" s="70" t="n">
        <v>2.42</v>
      </c>
      <c r="L187" s="122">
        <f>J187-C187-(J187-C187)*0.2</f>
        <v/>
      </c>
      <c r="M187" s="123">
        <f>L187*I187</f>
        <v/>
      </c>
      <c r="N187" s="124" t="inlineStr">
        <is>
          <t xml:space="preserve">50-90 шт - </t>
        </is>
      </c>
      <c r="O187" s="47" t="inlineStr">
        <is>
          <t xml:space="preserve"> руб / шт с НДС</t>
        </is>
      </c>
      <c r="P187" s="125">
        <f>ROUND(K187,2)</f>
        <v/>
      </c>
      <c r="Q187" s="207">
        <f>CONCATENATE(N187,P187,O187,)</f>
        <v/>
      </c>
      <c r="R187" s="235">
        <f>INDIRECT("'Закуп'!k" &amp; A187)</f>
        <v/>
      </c>
      <c r="S187" s="239">
        <f>INDIRECT("'Закуп'!o" &amp; A187)</f>
        <v/>
      </c>
      <c r="T187" s="226">
        <f>INDIRECT("'Закуп'!p" &amp; A187)</f>
        <v/>
      </c>
      <c r="U187" s="235">
        <f>INDIRECT("'Закуп'!v" &amp; A187)</f>
        <v/>
      </c>
      <c r="V187" s="222">
        <f>INDIRECT("'Закуп'!w" &amp; A187)</f>
        <v/>
      </c>
      <c r="W187" s="229">
        <f>INDIRECT("'Закуп'!H" &amp; A187)</f>
        <v/>
      </c>
      <c r="X187" s="237">
        <f>INDIRECT("'Закуп'!g" &amp; A187)</f>
        <v/>
      </c>
      <c r="Y187" s="229">
        <f>INDIRECT("'Закуп'!i" &amp; A187)</f>
        <v/>
      </c>
      <c r="Z187" s="236">
        <f>INDIRECT("'Закуп'!x" &amp; A187)</f>
        <v/>
      </c>
      <c r="AA187" s="237">
        <f>INDIRECT("'Закуп'!y" &amp; A187)</f>
        <v/>
      </c>
      <c r="AB187" s="238">
        <f>INDIRECT("'Закуп'!z" &amp; A187)</f>
        <v/>
      </c>
      <c r="AC187" s="223">
        <f>SUBSTITUTE(INDEX(F:F, ROUNDUP((ROW(A186))/5,0)*5 - 3), "х", "x")</f>
        <v/>
      </c>
      <c r="AD187" s="222">
        <f>SUBSTITUTE(INDEX(F:F, ROUNDUP((ROW(A186))/5,0)*5 - 3), "х", "x") &amp; " - " &amp; SUBSTITUTE(SUBSTITUTE(INDEX(F:F, ROUNDUP((ROW(A186))/5,0)*5 - 3), "х", "*"), "x", "*") &amp; " мм"</f>
        <v/>
      </c>
    </row>
    <row r="188">
      <c r="B188" s="42" t="n">
        <v>39</v>
      </c>
      <c r="C188" s="118">
        <f>INDIRECT("'Закуп'!A" &amp; B188)</f>
        <v/>
      </c>
      <c r="D188" s="119">
        <f>C188*1.2</f>
        <v/>
      </c>
      <c r="G188" s="172">
        <f>IF(INDIRECT("'Закуп'!L" &amp; B188)="Sale","Sale","")</f>
        <v/>
      </c>
      <c r="H188" s="158">
        <f>IF(INDIRECT("'Закуп'!F" &amp; B188)=0,"",INDIRECT("'Закуп'!F" &amp; B188))</f>
        <v/>
      </c>
      <c r="I188" s="120" t="n">
        <v>100</v>
      </c>
      <c r="J188" s="121">
        <f>K188/1.2</f>
        <v/>
      </c>
      <c r="K188" s="70" t="n">
        <v>2.05</v>
      </c>
      <c r="L188" s="122">
        <f>J188-C188-(J188-C188)*0.2</f>
        <v/>
      </c>
      <c r="M188" s="123">
        <f>L188*I188</f>
        <v/>
      </c>
      <c r="N188" s="124" t="inlineStr">
        <is>
          <t xml:space="preserve">100-290 шт - </t>
        </is>
      </c>
      <c r="O188" s="47" t="inlineStr">
        <is>
          <t xml:space="preserve"> руб / шт с НДС</t>
        </is>
      </c>
      <c r="P188" s="125">
        <f>ROUND(K188,2)</f>
        <v/>
      </c>
      <c r="Q188" s="207">
        <f>CONCATENATE(N188,P188,O188,)</f>
        <v/>
      </c>
      <c r="R188" s="240" t="n"/>
      <c r="T188" s="241" t="n"/>
      <c r="U188" s="240" t="n"/>
      <c r="V188" s="241" t="n"/>
      <c r="Z188" s="240" t="n"/>
      <c r="AB188" s="241" t="n"/>
      <c r="AC188" s="240" t="n"/>
      <c r="AD188" s="241" t="n"/>
    </row>
    <row r="189">
      <c r="B189" s="42" t="n">
        <v>39</v>
      </c>
      <c r="C189" s="118">
        <f>INDIRECT("'Закуп'!A" &amp; B189)</f>
        <v/>
      </c>
      <c r="D189" s="119">
        <f>C189*1.2</f>
        <v/>
      </c>
      <c r="G189" s="172">
        <f>IF(INDIRECT("'Закуп'!L" &amp; B189)="Sale","Sale","")</f>
        <v/>
      </c>
      <c r="H189" s="158">
        <f>IF(INDIRECT("'Закуп'!F" &amp; B189)=0,"",INDIRECT("'Закуп'!F" &amp; B189))</f>
        <v/>
      </c>
      <c r="I189" s="120" t="n">
        <v>300</v>
      </c>
      <c r="J189" s="121">
        <f>K189/1.2</f>
        <v/>
      </c>
      <c r="K189" s="70" t="n">
        <v>1.79</v>
      </c>
      <c r="L189" s="122">
        <f>J189-C189-(J189-C189)*0.2</f>
        <v/>
      </c>
      <c r="M189" s="123">
        <f>L189*I189</f>
        <v/>
      </c>
      <c r="N189" s="124" t="inlineStr">
        <is>
          <t xml:space="preserve">300-490 шт - </t>
        </is>
      </c>
      <c r="O189" s="47" t="inlineStr">
        <is>
          <t xml:space="preserve"> руб / шт с НДС</t>
        </is>
      </c>
      <c r="P189" s="125">
        <f>ROUND(K189,2)</f>
        <v/>
      </c>
      <c r="Q189" s="207">
        <f>CONCATENATE(N189,P189,O189,)</f>
        <v/>
      </c>
      <c r="R189" s="240" t="n"/>
      <c r="T189" s="241" t="n"/>
      <c r="U189" s="240" t="n"/>
      <c r="V189" s="241" t="n"/>
      <c r="Z189" s="240" t="n"/>
      <c r="AB189" s="241" t="n"/>
      <c r="AC189" s="240" t="n"/>
      <c r="AD189" s="241" t="n"/>
    </row>
    <row r="190">
      <c r="B190" s="42" t="n">
        <v>39</v>
      </c>
      <c r="C190" s="118">
        <f>INDIRECT("'Закуп'!A" &amp; B190)</f>
        <v/>
      </c>
      <c r="D190" s="119">
        <f>C190*1.2</f>
        <v/>
      </c>
      <c r="G190" s="172">
        <f>IF(INDIRECT("'Закуп'!L" &amp; B190)="Sale","Sale","")</f>
        <v/>
      </c>
      <c r="H190" s="158">
        <f>IF(INDIRECT("'Закуп'!F" &amp; B190)=0,"",INDIRECT("'Закуп'!F" &amp; B190))</f>
        <v/>
      </c>
      <c r="I190" s="120" t="n">
        <v>500</v>
      </c>
      <c r="J190" s="121">
        <f>K190/1.2</f>
        <v/>
      </c>
      <c r="K190" s="70" t="n">
        <v>1.61</v>
      </c>
      <c r="L190" s="122">
        <f>J190-C190-(J190-C190)*0.2</f>
        <v/>
      </c>
      <c r="M190" s="123">
        <f>L190*I190</f>
        <v/>
      </c>
      <c r="N190" s="124" t="inlineStr">
        <is>
          <t xml:space="preserve">500-990 шт - </t>
        </is>
      </c>
      <c r="O190" s="47" t="inlineStr">
        <is>
          <t xml:space="preserve"> руб / шт с НДС</t>
        </is>
      </c>
      <c r="P190" s="125">
        <f>ROUND(K190,2)</f>
        <v/>
      </c>
      <c r="Q190" s="207">
        <f>CONCATENATE(N190,P190,O190,)</f>
        <v/>
      </c>
      <c r="R190" s="240" t="n"/>
      <c r="T190" s="241" t="n"/>
      <c r="U190" s="240" t="n"/>
      <c r="V190" s="241" t="n"/>
      <c r="Z190" s="240" t="n"/>
      <c r="AB190" s="241" t="n"/>
      <c r="AC190" s="240" t="n"/>
      <c r="AD190" s="241" t="n"/>
    </row>
    <row r="191">
      <c r="B191" s="42" t="n">
        <v>39</v>
      </c>
      <c r="C191" s="118">
        <f>INDIRECT("'Закуп'!A" &amp; B191)</f>
        <v/>
      </c>
      <c r="D191" s="119">
        <f>C191*1.2</f>
        <v/>
      </c>
      <c r="G191" s="172">
        <f>IF(INDIRECT("'Закуп'!L" &amp; B191)="Sale","Sale","")</f>
        <v/>
      </c>
      <c r="H191" s="158">
        <f>IF(INDIRECT("'Закуп'!F" &amp; B191)=0,"",INDIRECT("'Закуп'!F" &amp; B191))</f>
        <v/>
      </c>
      <c r="I191" s="120" t="n">
        <v>1000</v>
      </c>
      <c r="J191" s="121">
        <f>K191/1.2</f>
        <v/>
      </c>
      <c r="K191" s="70" t="n">
        <v>1.52</v>
      </c>
      <c r="L191" s="122">
        <f>J191-C191-(J191-C191)*0.2</f>
        <v/>
      </c>
      <c r="M191" s="123">
        <f>L191*I191</f>
        <v/>
      </c>
      <c r="N191" s="124" t="inlineStr">
        <is>
          <t xml:space="preserve">1000 + шт - </t>
        </is>
      </c>
      <c r="O191" s="47" t="inlineStr">
        <is>
          <t xml:space="preserve"> руб / шт с НДС</t>
        </is>
      </c>
      <c r="P191" s="125">
        <f>ROUND(K191,2)</f>
        <v/>
      </c>
      <c r="Q191" s="207">
        <f>CONCATENATE(N191,P191,O191,)</f>
        <v/>
      </c>
      <c r="R191" s="240" t="n"/>
      <c r="T191" s="241" t="n"/>
      <c r="U191" s="240" t="n"/>
      <c r="V191" s="241" t="n"/>
      <c r="Z191" s="240" t="n"/>
      <c r="AB191" s="241" t="n"/>
      <c r="AC191" s="240" t="n"/>
      <c r="AD191" s="241" t="n"/>
    </row>
    <row r="192">
      <c r="A192" s="232" t="n">
        <v>40</v>
      </c>
      <c r="B192" s="42" t="n">
        <v>40</v>
      </c>
      <c r="C192" s="118">
        <f>INDIRECT("'Закуп'!A" &amp; B192)</f>
        <v/>
      </c>
      <c r="D192" s="119">
        <f>C192*1.2</f>
        <v/>
      </c>
      <c r="E192" s="224">
        <f>INDIRECT("'Закуп'!D" &amp; A192)</f>
        <v/>
      </c>
      <c r="F192" s="231">
        <f>INDIRECT("'Закуп'!E" &amp; B192)</f>
        <v/>
      </c>
      <c r="G192" s="172">
        <f>IF(INDIRECT("'Закуп'!L" &amp; B192)="Sale","Sale","")</f>
        <v/>
      </c>
      <c r="H192" s="158">
        <f>IF(INDIRECT("'Закуп'!F" &amp; B192)=0,"",INDIRECT("'Закуп'!F" &amp; B192))</f>
        <v/>
      </c>
      <c r="I192" s="120" t="n">
        <v>50</v>
      </c>
      <c r="J192" s="121">
        <f>K192/1.2</f>
        <v/>
      </c>
      <c r="K192" s="70" t="n">
        <v>1.78</v>
      </c>
      <c r="L192" s="122">
        <f>J192-C192-(J192-C192)*0.2</f>
        <v/>
      </c>
      <c r="M192" s="123">
        <f>L192*I192</f>
        <v/>
      </c>
      <c r="N192" s="124" t="inlineStr">
        <is>
          <t xml:space="preserve">50-90 шт - </t>
        </is>
      </c>
      <c r="O192" s="47" t="inlineStr">
        <is>
          <t xml:space="preserve"> руб / шт с НДС</t>
        </is>
      </c>
      <c r="P192" s="125">
        <f>ROUND(K192,2)</f>
        <v/>
      </c>
      <c r="Q192" s="207">
        <f>CONCATENATE(N192,P192,O192,)</f>
        <v/>
      </c>
      <c r="R192" s="235">
        <f>INDIRECT("'Закуп'!k" &amp; A192)</f>
        <v/>
      </c>
      <c r="S192" s="239">
        <f>INDIRECT("'Закуп'!o" &amp; A192)</f>
        <v/>
      </c>
      <c r="T192" s="226">
        <f>INDIRECT("'Закуп'!p" &amp; A192)</f>
        <v/>
      </c>
      <c r="U192" s="235">
        <f>INDIRECT("'Закуп'!v" &amp; A192)</f>
        <v/>
      </c>
      <c r="V192" s="222">
        <f>INDIRECT("'Закуп'!w" &amp; A192)</f>
        <v/>
      </c>
      <c r="W192" s="229">
        <f>INDIRECT("'Закуп'!H" &amp; A192)</f>
        <v/>
      </c>
      <c r="X192" s="237">
        <f>INDIRECT("'Закуп'!g" &amp; A192)</f>
        <v/>
      </c>
      <c r="Y192" s="229">
        <f>INDIRECT("'Закуп'!i" &amp; A192)</f>
        <v/>
      </c>
      <c r="Z192" s="236">
        <f>INDIRECT("'Закуп'!x" &amp; A192)</f>
        <v/>
      </c>
      <c r="AA192" s="237">
        <f>INDIRECT("'Закуп'!y" &amp; A192)</f>
        <v/>
      </c>
      <c r="AB192" s="238">
        <f>INDIRECT("'Закуп'!z" &amp; A192)</f>
        <v/>
      </c>
      <c r="AC192" s="223">
        <f>SUBSTITUTE(INDEX(F:F, ROUNDUP((ROW(A191))/5,0)*5 - 3), "х", "x")</f>
        <v/>
      </c>
      <c r="AD192" s="222">
        <f>SUBSTITUTE(INDEX(F:F, ROUNDUP((ROW(A191))/5,0)*5 - 3), "х", "x") &amp; " - " &amp; SUBSTITUTE(SUBSTITUTE(INDEX(F:F, ROUNDUP((ROW(A191))/5,0)*5 - 3), "х", "*"), "x", "*") &amp; " мм"</f>
        <v/>
      </c>
    </row>
    <row r="193">
      <c r="B193" s="42" t="n">
        <v>40</v>
      </c>
      <c r="C193" s="118">
        <f>INDIRECT("'Закуп'!A" &amp; B193)</f>
        <v/>
      </c>
      <c r="D193" s="119">
        <f>C193*1.2</f>
        <v/>
      </c>
      <c r="G193" s="172">
        <f>IF(INDIRECT("'Закуп'!L" &amp; B193)="Sale","Sale","")</f>
        <v/>
      </c>
      <c r="H193" s="158">
        <f>IF(INDIRECT("'Закуп'!F" &amp; B193)=0,"",INDIRECT("'Закуп'!F" &amp; B193))</f>
        <v/>
      </c>
      <c r="I193" s="120" t="n">
        <v>100</v>
      </c>
      <c r="J193" s="121">
        <f>K193/1.2</f>
        <v/>
      </c>
      <c r="K193" s="70" t="n">
        <v>1.62</v>
      </c>
      <c r="L193" s="122">
        <f>J193-C193-(J193-C193)*0.2</f>
        <v/>
      </c>
      <c r="M193" s="123">
        <f>L193*I193</f>
        <v/>
      </c>
      <c r="N193" s="124" t="inlineStr">
        <is>
          <t xml:space="preserve">100-290 шт - </t>
        </is>
      </c>
      <c r="O193" s="47" t="inlineStr">
        <is>
          <t xml:space="preserve"> руб / шт с НДС</t>
        </is>
      </c>
      <c r="P193" s="125">
        <f>ROUND(K193,2)</f>
        <v/>
      </c>
      <c r="Q193" s="207">
        <f>CONCATENATE(N193,P193,O193,)</f>
        <v/>
      </c>
      <c r="R193" s="240" t="n"/>
      <c r="T193" s="241" t="n"/>
      <c r="U193" s="240" t="n"/>
      <c r="V193" s="241" t="n"/>
      <c r="Z193" s="240" t="n"/>
      <c r="AB193" s="241" t="n"/>
      <c r="AC193" s="240" t="n"/>
      <c r="AD193" s="241" t="n"/>
    </row>
    <row r="194">
      <c r="B194" s="42" t="n">
        <v>40</v>
      </c>
      <c r="C194" s="118">
        <f>INDIRECT("'Закуп'!A" &amp; B194)</f>
        <v/>
      </c>
      <c r="D194" s="119">
        <f>C194*1.2</f>
        <v/>
      </c>
      <c r="G194" s="172">
        <f>IF(INDIRECT("'Закуп'!L" &amp; B194)="Sale","Sale","")</f>
        <v/>
      </c>
      <c r="H194" s="158">
        <f>IF(INDIRECT("'Закуп'!F" &amp; B194)=0,"",INDIRECT("'Закуп'!F" &amp; B194))</f>
        <v/>
      </c>
      <c r="I194" s="120" t="n">
        <v>300</v>
      </c>
      <c r="J194" s="121">
        <f>K194/1.2</f>
        <v/>
      </c>
      <c r="K194" s="70" t="n">
        <v>1.27</v>
      </c>
      <c r="L194" s="122">
        <f>J194-C194-(J194-C194)*0.2</f>
        <v/>
      </c>
      <c r="M194" s="123">
        <f>L194*I194</f>
        <v/>
      </c>
      <c r="N194" s="124" t="inlineStr">
        <is>
          <t xml:space="preserve">300-490 шт - </t>
        </is>
      </c>
      <c r="O194" s="47" t="inlineStr">
        <is>
          <t xml:space="preserve"> руб / шт с НДС</t>
        </is>
      </c>
      <c r="P194" s="125">
        <f>ROUND(K194,2)</f>
        <v/>
      </c>
      <c r="Q194" s="207">
        <f>CONCATENATE(N194,P194,O194,)</f>
        <v/>
      </c>
      <c r="R194" s="240" t="n"/>
      <c r="T194" s="241" t="n"/>
      <c r="U194" s="240" t="n"/>
      <c r="V194" s="241" t="n"/>
      <c r="Z194" s="240" t="n"/>
      <c r="AB194" s="241" t="n"/>
      <c r="AC194" s="240" t="n"/>
      <c r="AD194" s="241" t="n"/>
    </row>
    <row r="195">
      <c r="B195" s="42" t="n">
        <v>40</v>
      </c>
      <c r="C195" s="118">
        <f>INDIRECT("'Закуп'!A" &amp; B195)</f>
        <v/>
      </c>
      <c r="D195" s="119">
        <f>C195*1.2</f>
        <v/>
      </c>
      <c r="G195" s="172">
        <f>IF(INDIRECT("'Закуп'!L" &amp; B195)="Sale","Sale","")</f>
        <v/>
      </c>
      <c r="H195" s="158">
        <f>IF(INDIRECT("'Закуп'!F" &amp; B195)=0,"",INDIRECT("'Закуп'!F" &amp; B195))</f>
        <v/>
      </c>
      <c r="I195" s="120" t="n">
        <v>500</v>
      </c>
      <c r="J195" s="121">
        <f>K195/1.2</f>
        <v/>
      </c>
      <c r="K195" s="70" t="n">
        <v>1.2</v>
      </c>
      <c r="L195" s="122">
        <f>J195-C195-(J195-C195)*0.2</f>
        <v/>
      </c>
      <c r="M195" s="123">
        <f>L195*I195</f>
        <v/>
      </c>
      <c r="N195" s="124" t="inlineStr">
        <is>
          <t xml:space="preserve">500-990 шт - </t>
        </is>
      </c>
      <c r="O195" s="47" t="inlineStr">
        <is>
          <t xml:space="preserve"> руб / шт с НДС</t>
        </is>
      </c>
      <c r="P195" s="125">
        <f>ROUND(K195,2)</f>
        <v/>
      </c>
      <c r="Q195" s="207">
        <f>CONCATENATE(N195,P195,O195,)</f>
        <v/>
      </c>
      <c r="R195" s="240" t="n"/>
      <c r="T195" s="241" t="n"/>
      <c r="U195" s="240" t="n"/>
      <c r="V195" s="241" t="n"/>
      <c r="Z195" s="240" t="n"/>
      <c r="AB195" s="241" t="n"/>
      <c r="AC195" s="240" t="n"/>
      <c r="AD195" s="241" t="n"/>
    </row>
    <row r="196">
      <c r="B196" s="42" t="n">
        <v>40</v>
      </c>
      <c r="C196" s="118">
        <f>INDIRECT("'Закуп'!A" &amp; B196)</f>
        <v/>
      </c>
      <c r="D196" s="119">
        <f>C196*1.2</f>
        <v/>
      </c>
      <c r="G196" s="172">
        <f>IF(INDIRECT("'Закуп'!L" &amp; B196)="Sale","Sale","")</f>
        <v/>
      </c>
      <c r="H196" s="158">
        <f>IF(INDIRECT("'Закуп'!F" &amp; B196)=0,"",INDIRECT("'Закуп'!F" &amp; B196))</f>
        <v/>
      </c>
      <c r="I196" s="120" t="n">
        <v>1000</v>
      </c>
      <c r="J196" s="121">
        <f>K196/1.2</f>
        <v/>
      </c>
      <c r="K196" s="70" t="n">
        <v>1.05</v>
      </c>
      <c r="L196" s="122">
        <f>J196-C196-(J196-C196)*0.2</f>
        <v/>
      </c>
      <c r="M196" s="123">
        <f>L196*I196</f>
        <v/>
      </c>
      <c r="N196" s="124" t="inlineStr">
        <is>
          <t xml:space="preserve">1000 + шт - </t>
        </is>
      </c>
      <c r="O196" s="47" t="inlineStr">
        <is>
          <t xml:space="preserve"> руб / шт с НДС</t>
        </is>
      </c>
      <c r="P196" s="125">
        <f>ROUND(K196,2)</f>
        <v/>
      </c>
      <c r="Q196" s="207">
        <f>CONCATENATE(N196,P196,O196,)</f>
        <v/>
      </c>
      <c r="R196" s="240" t="n"/>
      <c r="T196" s="241" t="n"/>
      <c r="U196" s="240" t="n"/>
      <c r="V196" s="241" t="n"/>
      <c r="Z196" s="240" t="n"/>
      <c r="AB196" s="241" t="n"/>
      <c r="AC196" s="240" t="n"/>
      <c r="AD196" s="241" t="n"/>
    </row>
    <row r="197">
      <c r="A197" s="232" t="n">
        <v>41</v>
      </c>
      <c r="B197" s="42" t="n">
        <v>41</v>
      </c>
      <c r="C197" s="118">
        <f>INDIRECT("'Закуп'!A" &amp; B197)</f>
        <v/>
      </c>
      <c r="D197" s="119">
        <f>C197*1.2</f>
        <v/>
      </c>
      <c r="E197" s="224">
        <f>INDIRECT("'Закуп'!D" &amp; A197)</f>
        <v/>
      </c>
      <c r="F197" s="231">
        <f>INDIRECT("'Закуп'!E" &amp; B197)</f>
        <v/>
      </c>
      <c r="G197" s="172">
        <f>IF(INDIRECT("'Закуп'!L" &amp; B197)="Sale","Sale","")</f>
        <v/>
      </c>
      <c r="H197" s="158">
        <f>IF(INDIRECT("'Закуп'!F" &amp; B197)=0,"",INDIRECT("'Закуп'!F" &amp; B197))</f>
        <v/>
      </c>
      <c r="I197" s="120" t="n">
        <v>50</v>
      </c>
      <c r="J197" s="121">
        <f>K197/1.2</f>
        <v/>
      </c>
      <c r="K197" s="70" t="n">
        <v>1.69</v>
      </c>
      <c r="L197" s="122">
        <f>J197-C197-(J197-C197)*0.2</f>
        <v/>
      </c>
      <c r="M197" s="123">
        <f>L197*I197</f>
        <v/>
      </c>
      <c r="N197" s="124" t="inlineStr">
        <is>
          <t xml:space="preserve">50-90 шт - </t>
        </is>
      </c>
      <c r="O197" s="47" t="inlineStr">
        <is>
          <t xml:space="preserve"> руб / шт с НДС</t>
        </is>
      </c>
      <c r="P197" s="125">
        <f>ROUND(K197,2)</f>
        <v/>
      </c>
      <c r="Q197" s="207">
        <f>CONCATENATE(N197,P197,O197,)</f>
        <v/>
      </c>
      <c r="R197" s="235">
        <f>INDIRECT("'Закуп'!k" &amp; A197)</f>
        <v/>
      </c>
      <c r="S197" s="239">
        <f>INDIRECT("'Закуп'!o" &amp; A197)</f>
        <v/>
      </c>
      <c r="T197" s="226">
        <f>INDIRECT("'Закуп'!p" &amp; A197)</f>
        <v/>
      </c>
      <c r="U197" s="235">
        <f>INDIRECT("'Закуп'!v" &amp; A197)</f>
        <v/>
      </c>
      <c r="V197" s="222">
        <f>INDIRECT("'Закуп'!w" &amp; A197)</f>
        <v/>
      </c>
      <c r="W197" s="229">
        <f>INDIRECT("'Закуп'!H" &amp; A197)</f>
        <v/>
      </c>
      <c r="X197" s="237">
        <f>INDIRECT("'Закуп'!g" &amp; A197)</f>
        <v/>
      </c>
      <c r="Y197" s="229">
        <f>INDIRECT("'Закуп'!i" &amp; A197)</f>
        <v/>
      </c>
      <c r="Z197" s="236">
        <f>INDIRECT("'Закуп'!x" &amp; A197)</f>
        <v/>
      </c>
      <c r="AA197" s="237">
        <f>INDIRECT("'Закуп'!y" &amp; A197)</f>
        <v/>
      </c>
      <c r="AB197" s="238">
        <f>INDIRECT("'Закуп'!z" &amp; A197)</f>
        <v/>
      </c>
      <c r="AC197" s="223">
        <f>SUBSTITUTE(INDEX(F:F, ROUNDUP((ROW(A196))/5,0)*5 - 3), "х", "x")</f>
        <v/>
      </c>
      <c r="AD197" s="222">
        <f>SUBSTITUTE(INDEX(F:F, ROUNDUP((ROW(A196))/5,0)*5 - 3), "х", "x") &amp; " - " &amp; SUBSTITUTE(SUBSTITUTE(INDEX(F:F, ROUNDUP((ROW(A196))/5,0)*5 - 3), "х", "*"), "x", "*") &amp; " мм"</f>
        <v/>
      </c>
    </row>
    <row r="198">
      <c r="B198" s="42" t="n">
        <v>41</v>
      </c>
      <c r="C198" s="118">
        <f>INDIRECT("'Закуп'!A" &amp; B198)</f>
        <v/>
      </c>
      <c r="D198" s="119">
        <f>C198*1.2</f>
        <v/>
      </c>
      <c r="G198" s="172">
        <f>IF(INDIRECT("'Закуп'!L" &amp; B198)="Sale","Sale","")</f>
        <v/>
      </c>
      <c r="H198" s="158">
        <f>IF(INDIRECT("'Закуп'!F" &amp; B198)=0,"",INDIRECT("'Закуп'!F" &amp; B198))</f>
        <v/>
      </c>
      <c r="I198" s="120" t="n">
        <v>100</v>
      </c>
      <c r="J198" s="121">
        <f>K198/1.2</f>
        <v/>
      </c>
      <c r="K198" s="70" t="n">
        <v>1.54</v>
      </c>
      <c r="L198" s="122">
        <f>J198-C198-(J198-C198)*0.2</f>
        <v/>
      </c>
      <c r="M198" s="123">
        <f>L198*I198</f>
        <v/>
      </c>
      <c r="N198" s="124" t="inlineStr">
        <is>
          <t xml:space="preserve">100-290 шт - </t>
        </is>
      </c>
      <c r="O198" s="47" t="inlineStr">
        <is>
          <t xml:space="preserve"> руб / шт с НДС</t>
        </is>
      </c>
      <c r="P198" s="125">
        <f>ROUND(K198,2)</f>
        <v/>
      </c>
      <c r="Q198" s="207">
        <f>CONCATENATE(N198,P198,O198,)</f>
        <v/>
      </c>
      <c r="R198" s="240" t="n"/>
      <c r="T198" s="241" t="n"/>
      <c r="U198" s="240" t="n"/>
      <c r="V198" s="241" t="n"/>
      <c r="Z198" s="240" t="n"/>
      <c r="AB198" s="241" t="n"/>
      <c r="AC198" s="240" t="n"/>
      <c r="AD198" s="241" t="n"/>
    </row>
    <row r="199">
      <c r="B199" s="42" t="n">
        <v>41</v>
      </c>
      <c r="C199" s="118">
        <f>INDIRECT("'Закуп'!A" &amp; B199)</f>
        <v/>
      </c>
      <c r="D199" s="119">
        <f>C199*1.2</f>
        <v/>
      </c>
      <c r="G199" s="172">
        <f>IF(INDIRECT("'Закуп'!L" &amp; B199)="Sale","Sale","")</f>
        <v/>
      </c>
      <c r="H199" s="158">
        <f>IF(INDIRECT("'Закуп'!F" &amp; B199)=0,"",INDIRECT("'Закуп'!F" &amp; B199))</f>
        <v/>
      </c>
      <c r="I199" s="120" t="n">
        <v>300</v>
      </c>
      <c r="J199" s="121">
        <f>K199/1.2</f>
        <v/>
      </c>
      <c r="K199" s="70" t="n">
        <v>1.22</v>
      </c>
      <c r="L199" s="122">
        <f>J199-C199-(J199-C199)*0.2</f>
        <v/>
      </c>
      <c r="M199" s="123">
        <f>L199*I199</f>
        <v/>
      </c>
      <c r="N199" s="124" t="inlineStr">
        <is>
          <t xml:space="preserve">300-490 шт - </t>
        </is>
      </c>
      <c r="O199" s="47" t="inlineStr">
        <is>
          <t xml:space="preserve"> руб / шт с НДС</t>
        </is>
      </c>
      <c r="P199" s="125">
        <f>ROUND(K199,2)</f>
        <v/>
      </c>
      <c r="Q199" s="207">
        <f>CONCATENATE(N199,P199,O199,)</f>
        <v/>
      </c>
      <c r="R199" s="240" t="n"/>
      <c r="T199" s="241" t="n"/>
      <c r="U199" s="240" t="n"/>
      <c r="V199" s="241" t="n"/>
      <c r="Z199" s="240" t="n"/>
      <c r="AB199" s="241" t="n"/>
      <c r="AC199" s="240" t="n"/>
      <c r="AD199" s="241" t="n"/>
    </row>
    <row r="200">
      <c r="B200" s="42" t="n">
        <v>41</v>
      </c>
      <c r="C200" s="118">
        <f>INDIRECT("'Закуп'!A" &amp; B200)</f>
        <v/>
      </c>
      <c r="D200" s="119">
        <f>C200*1.2</f>
        <v/>
      </c>
      <c r="G200" s="172">
        <f>IF(INDIRECT("'Закуп'!L" &amp; B200)="Sale","Sale","")</f>
        <v/>
      </c>
      <c r="H200" s="158">
        <f>IF(INDIRECT("'Закуп'!F" &amp; B200)=0,"",INDIRECT("'Закуп'!F" &amp; B200))</f>
        <v/>
      </c>
      <c r="I200" s="120" t="n">
        <v>500</v>
      </c>
      <c r="J200" s="121">
        <f>K200/1.2</f>
        <v/>
      </c>
      <c r="K200" s="70" t="n">
        <v>1.14</v>
      </c>
      <c r="L200" s="122">
        <f>J200-C200-(J200-C200)*0.2</f>
        <v/>
      </c>
      <c r="M200" s="123">
        <f>L200*I200</f>
        <v/>
      </c>
      <c r="N200" s="124" t="inlineStr">
        <is>
          <t xml:space="preserve">500-990 шт - </t>
        </is>
      </c>
      <c r="O200" s="47" t="inlineStr">
        <is>
          <t xml:space="preserve"> руб / шт с НДС</t>
        </is>
      </c>
      <c r="P200" s="125">
        <f>ROUND(K200,2)</f>
        <v/>
      </c>
      <c r="Q200" s="207">
        <f>CONCATENATE(N200,P200,O200,)</f>
        <v/>
      </c>
      <c r="R200" s="240" t="n"/>
      <c r="T200" s="241" t="n"/>
      <c r="U200" s="240" t="n"/>
      <c r="V200" s="241" t="n"/>
      <c r="Z200" s="240" t="n"/>
      <c r="AB200" s="241" t="n"/>
      <c r="AC200" s="240" t="n"/>
      <c r="AD200" s="241" t="n"/>
    </row>
    <row r="201">
      <c r="B201" s="42" t="n">
        <v>41</v>
      </c>
      <c r="C201" s="118">
        <f>INDIRECT("'Закуп'!A" &amp; B201)</f>
        <v/>
      </c>
      <c r="D201" s="119">
        <f>C201*1.2</f>
        <v/>
      </c>
      <c r="G201" s="172">
        <f>IF(INDIRECT("'Закуп'!L" &amp; B201)="Sale","Sale","")</f>
        <v/>
      </c>
      <c r="H201" s="158">
        <f>IF(INDIRECT("'Закуп'!F" &amp; B201)=0,"",INDIRECT("'Закуп'!F" &amp; B201))</f>
        <v/>
      </c>
      <c r="I201" s="120" t="n">
        <v>1000</v>
      </c>
      <c r="J201" s="121">
        <f>K201/1.2</f>
        <v/>
      </c>
      <c r="K201" s="70" t="n">
        <v>1.01</v>
      </c>
      <c r="L201" s="122">
        <f>J201-C201-(J201-C201)*0.2</f>
        <v/>
      </c>
      <c r="M201" s="123">
        <f>L201*I201</f>
        <v/>
      </c>
      <c r="N201" s="124" t="inlineStr">
        <is>
          <t xml:space="preserve">1000 + шт - </t>
        </is>
      </c>
      <c r="O201" s="47" t="inlineStr">
        <is>
          <t xml:space="preserve"> руб / шт с НДС</t>
        </is>
      </c>
      <c r="P201" s="125">
        <f>ROUND(K201,2)</f>
        <v/>
      </c>
      <c r="Q201" s="207">
        <f>CONCATENATE(N201,P201,O201,)</f>
        <v/>
      </c>
      <c r="R201" s="240" t="n"/>
      <c r="T201" s="241" t="n"/>
      <c r="U201" s="240" t="n"/>
      <c r="V201" s="241" t="n"/>
      <c r="Z201" s="240" t="n"/>
      <c r="AB201" s="241" t="n"/>
      <c r="AC201" s="240" t="n"/>
      <c r="AD201" s="241" t="n"/>
    </row>
    <row r="202">
      <c r="A202" s="232" t="n">
        <v>42</v>
      </c>
      <c r="B202" s="42" t="n">
        <v>42</v>
      </c>
      <c r="C202" s="118">
        <f>INDIRECT("'Закуп'!A" &amp; B202)</f>
        <v/>
      </c>
      <c r="D202" s="119">
        <f>C202*1.2</f>
        <v/>
      </c>
      <c r="E202" s="224">
        <f>INDIRECT("'Закуп'!D" &amp; A202)</f>
        <v/>
      </c>
      <c r="F202" s="231">
        <f>INDIRECT("'Закуп'!E" &amp; B202)</f>
        <v/>
      </c>
      <c r="G202" s="172">
        <f>IF(INDIRECT("'Закуп'!L" &amp; B202)="Sale","Sale","")</f>
        <v/>
      </c>
      <c r="H202" s="158">
        <f>IF(INDIRECT("'Закуп'!F" &amp; B202)=0,"",INDIRECT("'Закуп'!F" &amp; B202))</f>
        <v/>
      </c>
      <c r="I202" s="120" t="n">
        <v>50</v>
      </c>
      <c r="J202" s="121">
        <f>K202/1.2</f>
        <v/>
      </c>
      <c r="K202" s="242" t="n">
        <v>1.73</v>
      </c>
      <c r="L202" s="122">
        <f>J202-C202-(J202-C202)*0.2</f>
        <v/>
      </c>
      <c r="M202" s="123">
        <f>L202*I202</f>
        <v/>
      </c>
      <c r="N202" s="124" t="inlineStr">
        <is>
          <t xml:space="preserve">50-90 шт - </t>
        </is>
      </c>
      <c r="O202" s="47" t="inlineStr">
        <is>
          <t xml:space="preserve"> руб / шт с НДС</t>
        </is>
      </c>
      <c r="P202" s="125">
        <f>ROUND(K202,2)</f>
        <v/>
      </c>
      <c r="Q202" s="207">
        <f>CONCATENATE(N202,P202,O202,)</f>
        <v/>
      </c>
      <c r="R202" s="235">
        <f>INDIRECT("'Закуп'!k" &amp; A202)</f>
        <v/>
      </c>
      <c r="S202" s="239">
        <f>INDIRECT("'Закуп'!o" &amp; A202)</f>
        <v/>
      </c>
      <c r="T202" s="226">
        <f>INDIRECT("'Закуп'!p" &amp; A202)</f>
        <v/>
      </c>
      <c r="U202" s="235">
        <f>INDIRECT("'Закуп'!v" &amp; A202)</f>
        <v/>
      </c>
      <c r="V202" s="222">
        <f>INDIRECT("'Закуп'!w" &amp; A202)</f>
        <v/>
      </c>
      <c r="W202" s="229">
        <f>INDIRECT("'Закуп'!H" &amp; A202)</f>
        <v/>
      </c>
      <c r="X202" s="237">
        <f>INDIRECT("'Закуп'!g" &amp; A202)</f>
        <v/>
      </c>
      <c r="Y202" s="229">
        <f>INDIRECT("'Закуп'!i" &amp; A202)</f>
        <v/>
      </c>
      <c r="Z202" s="236">
        <f>INDIRECT("'Закуп'!x" &amp; A202)</f>
        <v/>
      </c>
      <c r="AA202" s="237">
        <f>INDIRECT("'Закуп'!y" &amp; A202)</f>
        <v/>
      </c>
      <c r="AB202" s="238">
        <f>INDIRECT("'Закуп'!z" &amp; A202)</f>
        <v/>
      </c>
      <c r="AC202" s="223">
        <f>SUBSTITUTE(INDEX(F:F, ROUNDUP((ROW(A201))/5,0)*5 - 3), "х", "x")</f>
        <v/>
      </c>
      <c r="AD202" s="222">
        <f>SUBSTITUTE(INDEX(F:F, ROUNDUP((ROW(A201))/5,0)*5 - 3), "х", "x") &amp; " - " &amp; SUBSTITUTE(SUBSTITUTE(INDEX(F:F, ROUNDUP((ROW(A201))/5,0)*5 - 3), "х", "*"), "x", "*") &amp; " мм"</f>
        <v/>
      </c>
      <c r="AE202" t="n">
        <v>2.57</v>
      </c>
    </row>
    <row r="203">
      <c r="B203" s="42" t="n">
        <v>42</v>
      </c>
      <c r="C203" s="118">
        <f>INDIRECT("'Закуп'!A" &amp; B203)</f>
        <v/>
      </c>
      <c r="D203" s="119">
        <f>C203*1.2</f>
        <v/>
      </c>
      <c r="G203" s="172">
        <f>IF(INDIRECT("'Закуп'!L" &amp; B203)="Sale","Sale","")</f>
        <v/>
      </c>
      <c r="H203" s="158">
        <f>IF(INDIRECT("'Закуп'!F" &amp; B203)=0,"",INDIRECT("'Закуп'!F" &amp; B203))</f>
        <v/>
      </c>
      <c r="I203" s="120" t="n">
        <v>100</v>
      </c>
      <c r="J203" s="121">
        <f>K203/1.2</f>
        <v/>
      </c>
      <c r="K203" s="242" t="n">
        <v>1.47</v>
      </c>
      <c r="L203" s="122">
        <f>J203-C203-(J203-C203)*0.2</f>
        <v/>
      </c>
      <c r="M203" s="123">
        <f>L203*I203</f>
        <v/>
      </c>
      <c r="N203" s="124" t="inlineStr">
        <is>
          <t xml:space="preserve">100-290 шт - </t>
        </is>
      </c>
      <c r="O203" s="47" t="inlineStr">
        <is>
          <t xml:space="preserve"> руб / шт с НДС</t>
        </is>
      </c>
      <c r="P203" s="125">
        <f>ROUND(K203,2)</f>
        <v/>
      </c>
      <c r="Q203" s="207">
        <f>CONCATENATE(N203,P203,O203,)</f>
        <v/>
      </c>
      <c r="R203" s="240" t="n"/>
      <c r="T203" s="241" t="n"/>
      <c r="U203" s="240" t="n"/>
      <c r="V203" s="241" t="n"/>
      <c r="Z203" s="240" t="n"/>
      <c r="AB203" s="241" t="n"/>
      <c r="AC203" s="240" t="n"/>
      <c r="AD203" s="241" t="n"/>
      <c r="AE203" t="n">
        <v>2.05</v>
      </c>
    </row>
    <row r="204">
      <c r="B204" s="42" t="n">
        <v>42</v>
      </c>
      <c r="C204" s="118">
        <f>INDIRECT("'Закуп'!A" &amp; B204)</f>
        <v/>
      </c>
      <c r="D204" s="119">
        <f>C204*1.2</f>
        <v/>
      </c>
      <c r="G204" s="172">
        <f>IF(INDIRECT("'Закуп'!L" &amp; B204)="Sale","Sale","")</f>
        <v/>
      </c>
      <c r="H204" s="158">
        <f>IF(INDIRECT("'Закуп'!F" &amp; B204)=0,"",INDIRECT("'Закуп'!F" &amp; B204))</f>
        <v/>
      </c>
      <c r="I204" s="120" t="n">
        <v>300</v>
      </c>
      <c r="J204" s="121">
        <f>K204/1.2</f>
        <v/>
      </c>
      <c r="K204" s="242" t="n">
        <v>1.39</v>
      </c>
      <c r="L204" s="122">
        <f>J204-C204-(J204-C204)*0.2</f>
        <v/>
      </c>
      <c r="M204" s="123">
        <f>L204*I204</f>
        <v/>
      </c>
      <c r="N204" s="124" t="inlineStr">
        <is>
          <t xml:space="preserve">300-490 шт - </t>
        </is>
      </c>
      <c r="O204" s="47" t="inlineStr">
        <is>
          <t xml:space="preserve"> руб / шт с НДС</t>
        </is>
      </c>
      <c r="P204" s="125">
        <f>ROUND(K204,2)</f>
        <v/>
      </c>
      <c r="Q204" s="207">
        <f>CONCATENATE(N204,P204,O204,)</f>
        <v/>
      </c>
      <c r="R204" s="240" t="n"/>
      <c r="T204" s="241" t="n"/>
      <c r="U204" s="240" t="n"/>
      <c r="V204" s="241" t="n"/>
      <c r="Z204" s="240" t="n"/>
      <c r="AB204" s="241" t="n"/>
      <c r="AC204" s="240" t="n"/>
      <c r="AD204" s="241" t="n"/>
      <c r="AE204" t="n">
        <v>1.87</v>
      </c>
    </row>
    <row r="205">
      <c r="B205" s="42" t="n">
        <v>42</v>
      </c>
      <c r="C205" s="118">
        <f>INDIRECT("'Закуп'!A" &amp; B205)</f>
        <v/>
      </c>
      <c r="D205" s="119">
        <f>C205*1.2</f>
        <v/>
      </c>
      <c r="G205" s="172">
        <f>IF(INDIRECT("'Закуп'!L" &amp; B205)="Sale","Sale","")</f>
        <v/>
      </c>
      <c r="H205" s="158">
        <f>IF(INDIRECT("'Закуп'!F" &amp; B205)=0,"",INDIRECT("'Закуп'!F" &amp; B205))</f>
        <v/>
      </c>
      <c r="I205" s="120" t="n">
        <v>500</v>
      </c>
      <c r="J205" s="121">
        <f>K205/1.2</f>
        <v/>
      </c>
      <c r="K205" s="242" t="n">
        <v>1.31</v>
      </c>
      <c r="L205" s="122">
        <f>J205-C205-(J205-C205)*0.2</f>
        <v/>
      </c>
      <c r="M205" s="123">
        <f>L205*I205</f>
        <v/>
      </c>
      <c r="N205" s="124" t="inlineStr">
        <is>
          <t xml:space="preserve">500-990 шт - </t>
        </is>
      </c>
      <c r="O205" s="47" t="inlineStr">
        <is>
          <t xml:space="preserve"> руб / шт с НДС</t>
        </is>
      </c>
      <c r="P205" s="125">
        <f>ROUND(K205,2)</f>
        <v/>
      </c>
      <c r="Q205" s="207">
        <f>CONCATENATE(N205,P205,O205,)</f>
        <v/>
      </c>
      <c r="R205" s="240" t="n"/>
      <c r="T205" s="241" t="n"/>
      <c r="U205" s="240" t="n"/>
      <c r="V205" s="241" t="n"/>
      <c r="Z205" s="240" t="n"/>
      <c r="AB205" s="241" t="n"/>
      <c r="AC205" s="240" t="n"/>
      <c r="AD205" s="241" t="n"/>
      <c r="AE205" t="n">
        <v>1.67</v>
      </c>
    </row>
    <row r="206">
      <c r="B206" s="42" t="n">
        <v>42</v>
      </c>
      <c r="C206" s="118">
        <f>INDIRECT("'Закуп'!A" &amp; B206)</f>
        <v/>
      </c>
      <c r="D206" s="119">
        <f>C206*1.2</f>
        <v/>
      </c>
      <c r="G206" s="172">
        <f>IF(INDIRECT("'Закуп'!L" &amp; B206)="Sale","Sale","")</f>
        <v/>
      </c>
      <c r="H206" s="158">
        <f>IF(INDIRECT("'Закуп'!F" &amp; B206)=0,"",INDIRECT("'Закуп'!F" &amp; B206))</f>
        <v/>
      </c>
      <c r="I206" s="120" t="n">
        <v>1000</v>
      </c>
      <c r="J206" s="121">
        <f>K206/1.2</f>
        <v/>
      </c>
      <c r="K206" s="242" t="n">
        <v>1.27</v>
      </c>
      <c r="L206" s="122">
        <f>J206-C206-(J206-C206)*0.2</f>
        <v/>
      </c>
      <c r="M206" s="123">
        <f>L206*I206</f>
        <v/>
      </c>
      <c r="N206" s="124" t="inlineStr">
        <is>
          <t xml:space="preserve">1000 + шт - </t>
        </is>
      </c>
      <c r="O206" s="47" t="inlineStr">
        <is>
          <t xml:space="preserve"> руб / шт с НДС</t>
        </is>
      </c>
      <c r="P206" s="125">
        <f>ROUND(K206,2)</f>
        <v/>
      </c>
      <c r="Q206" s="207">
        <f>CONCATENATE(N206,P206,O206,)</f>
        <v/>
      </c>
      <c r="R206" s="240" t="n"/>
      <c r="T206" s="241" t="n"/>
      <c r="U206" s="240" t="n"/>
      <c r="V206" s="241" t="n"/>
      <c r="Z206" s="240" t="n"/>
      <c r="AB206" s="241" t="n"/>
      <c r="AC206" s="240" t="n"/>
      <c r="AD206" s="241" t="n"/>
      <c r="AE206" t="n">
        <v>1.62</v>
      </c>
    </row>
    <row r="207">
      <c r="A207" s="232" t="n">
        <v>43</v>
      </c>
      <c r="B207" s="42" t="n">
        <v>43</v>
      </c>
      <c r="C207" s="118">
        <f>INDIRECT("'Закуп'!A" &amp; B207)</f>
        <v/>
      </c>
      <c r="D207" s="119">
        <f>C207*1.2</f>
        <v/>
      </c>
      <c r="E207" s="224">
        <f>INDIRECT("'Закуп'!D" &amp; A207)</f>
        <v/>
      </c>
      <c r="F207" s="231">
        <f>INDIRECT("'Закуп'!E" &amp; B207)</f>
        <v/>
      </c>
      <c r="G207" s="172">
        <f>IF(INDIRECT("'Закуп'!L" &amp; B207)="Sale","Sale","")</f>
        <v/>
      </c>
      <c r="H207" s="158">
        <f>IF(INDIRECT("'Закуп'!F" &amp; B207)=0,"",INDIRECT("'Закуп'!F" &amp; B207))</f>
        <v/>
      </c>
      <c r="I207" s="120" t="n">
        <v>50</v>
      </c>
      <c r="J207" s="121">
        <f>K207/1.2</f>
        <v/>
      </c>
      <c r="K207" s="70" t="n">
        <v>1.5</v>
      </c>
      <c r="L207" s="122">
        <f>J207-C207-(J207-C207)*0.2</f>
        <v/>
      </c>
      <c r="M207" s="123">
        <f>L207*I207</f>
        <v/>
      </c>
      <c r="N207" s="124" t="inlineStr">
        <is>
          <t xml:space="preserve">50-90 шт - </t>
        </is>
      </c>
      <c r="O207" s="47" t="inlineStr">
        <is>
          <t xml:space="preserve"> руб / шт с НДС</t>
        </is>
      </c>
      <c r="P207" s="125">
        <f>ROUND(K207,2)</f>
        <v/>
      </c>
      <c r="Q207" s="207">
        <f>CONCATENATE(N207,P207,O207,)</f>
        <v/>
      </c>
      <c r="R207" s="235">
        <f>INDIRECT("'Закуп'!k" &amp; A207)</f>
        <v/>
      </c>
      <c r="S207" s="239">
        <f>INDIRECT("'Закуп'!o" &amp; A207)</f>
        <v/>
      </c>
      <c r="T207" s="226">
        <f>INDIRECT("'Закуп'!p" &amp; A207)</f>
        <v/>
      </c>
      <c r="U207" s="235">
        <f>INDIRECT("'Закуп'!v" &amp; A207)</f>
        <v/>
      </c>
      <c r="V207" s="222">
        <f>INDIRECT("'Закуп'!w" &amp; A207)</f>
        <v/>
      </c>
      <c r="W207" s="229">
        <f>INDIRECT("'Закуп'!H" &amp; A207)</f>
        <v/>
      </c>
      <c r="X207" s="237">
        <f>INDIRECT("'Закуп'!g" &amp; A207)</f>
        <v/>
      </c>
      <c r="Y207" s="229">
        <f>INDIRECT("'Закуп'!i" &amp; A207)</f>
        <v/>
      </c>
      <c r="Z207" s="236">
        <f>INDIRECT("'Закуп'!x" &amp; A207)</f>
        <v/>
      </c>
      <c r="AA207" s="237">
        <f>INDIRECT("'Закуп'!y" &amp; A207)</f>
        <v/>
      </c>
      <c r="AB207" s="238">
        <f>INDIRECT("'Закуп'!z" &amp; A207)</f>
        <v/>
      </c>
      <c r="AC207" s="223">
        <f>SUBSTITUTE(INDEX(F:F, ROUNDUP((ROW(A206))/5,0)*5 - 3), "х", "x")</f>
        <v/>
      </c>
      <c r="AD207" s="222">
        <f>SUBSTITUTE(INDEX(F:F, ROUNDUP((ROW(A206))/5,0)*5 - 3), "х", "x") &amp; " - " &amp; SUBSTITUTE(SUBSTITUTE(INDEX(F:F, ROUNDUP((ROW(A206))/5,0)*5 - 3), "х", "*"), "x", "*") &amp; " мм"</f>
        <v/>
      </c>
    </row>
    <row r="208">
      <c r="B208" s="42" t="n">
        <v>43</v>
      </c>
      <c r="C208" s="118">
        <f>INDIRECT("'Закуп'!A" &amp; B208)</f>
        <v/>
      </c>
      <c r="D208" s="119">
        <f>C208*1.2</f>
        <v/>
      </c>
      <c r="G208" s="172">
        <f>IF(INDIRECT("'Закуп'!L" &amp; B208)="Sale","Sale","")</f>
        <v/>
      </c>
      <c r="H208" s="158">
        <f>IF(INDIRECT("'Закуп'!F" &amp; B208)=0,"",INDIRECT("'Закуп'!F" &amp; B208))</f>
        <v/>
      </c>
      <c r="I208" s="120" t="n">
        <v>100</v>
      </c>
      <c r="J208" s="121">
        <f>K208/1.2</f>
        <v/>
      </c>
      <c r="K208" s="70" t="n">
        <v>1.36</v>
      </c>
      <c r="L208" s="122">
        <f>J208-C208-(J208-C208)*0.2</f>
        <v/>
      </c>
      <c r="M208" s="123">
        <f>L208*I208</f>
        <v/>
      </c>
      <c r="N208" s="124" t="inlineStr">
        <is>
          <t xml:space="preserve">100-290 шт - </t>
        </is>
      </c>
      <c r="O208" s="47" t="inlineStr">
        <is>
          <t xml:space="preserve"> руб / шт с НДС</t>
        </is>
      </c>
      <c r="P208" s="125">
        <f>ROUND(K208,2)</f>
        <v/>
      </c>
      <c r="Q208" s="207">
        <f>CONCATENATE(N208,P208,O208,)</f>
        <v/>
      </c>
      <c r="R208" s="240" t="n"/>
      <c r="T208" s="241" t="n"/>
      <c r="U208" s="240" t="n"/>
      <c r="V208" s="241" t="n"/>
      <c r="Z208" s="240" t="n"/>
      <c r="AB208" s="241" t="n"/>
      <c r="AC208" s="240" t="n"/>
      <c r="AD208" s="241" t="n"/>
    </row>
    <row r="209">
      <c r="B209" s="42" t="n">
        <v>43</v>
      </c>
      <c r="C209" s="118">
        <f>INDIRECT("'Закуп'!A" &amp; B209)</f>
        <v/>
      </c>
      <c r="D209" s="119">
        <f>C209*1.2</f>
        <v/>
      </c>
      <c r="G209" s="172">
        <f>IF(INDIRECT("'Закуп'!L" &amp; B209)="Sale","Sale","")</f>
        <v/>
      </c>
      <c r="H209" s="158">
        <f>IF(INDIRECT("'Закуп'!F" &amp; B209)=0,"",INDIRECT("'Закуп'!F" &amp; B209))</f>
        <v/>
      </c>
      <c r="I209" s="120" t="n">
        <v>300</v>
      </c>
      <c r="J209" s="121">
        <f>K209/1.2</f>
        <v/>
      </c>
      <c r="K209" s="70" t="n">
        <v>1.07</v>
      </c>
      <c r="L209" s="122">
        <f>J209-C209-(J209-C209)*0.2</f>
        <v/>
      </c>
      <c r="M209" s="123">
        <f>L209*I209</f>
        <v/>
      </c>
      <c r="N209" s="124" t="inlineStr">
        <is>
          <t xml:space="preserve">300-490 шт - </t>
        </is>
      </c>
      <c r="O209" s="47" t="inlineStr">
        <is>
          <t xml:space="preserve"> руб / шт с НДС</t>
        </is>
      </c>
      <c r="P209" s="125">
        <f>ROUND(K209,2)</f>
        <v/>
      </c>
      <c r="Q209" s="207">
        <f>CONCATENATE(N209,P209,O209,)</f>
        <v/>
      </c>
      <c r="R209" s="240" t="n"/>
      <c r="T209" s="241" t="n"/>
      <c r="U209" s="240" t="n"/>
      <c r="V209" s="241" t="n"/>
      <c r="Z209" s="240" t="n"/>
      <c r="AB209" s="241" t="n"/>
      <c r="AC209" s="240" t="n"/>
      <c r="AD209" s="241" t="n"/>
    </row>
    <row r="210">
      <c r="B210" s="42" t="n">
        <v>43</v>
      </c>
      <c r="C210" s="118">
        <f>INDIRECT("'Закуп'!A" &amp; B210)</f>
        <v/>
      </c>
      <c r="D210" s="119">
        <f>C210*1.2</f>
        <v/>
      </c>
      <c r="G210" s="172">
        <f>IF(INDIRECT("'Закуп'!L" &amp; B210)="Sale","Sale","")</f>
        <v/>
      </c>
      <c r="H210" s="158">
        <f>IF(INDIRECT("'Закуп'!F" &amp; B210)=0,"",INDIRECT("'Закуп'!F" &amp; B210))</f>
        <v/>
      </c>
      <c r="I210" s="120" t="n">
        <v>500</v>
      </c>
      <c r="J210" s="121">
        <f>K210/1.2</f>
        <v/>
      </c>
      <c r="K210" s="70" t="n">
        <v>1.01</v>
      </c>
      <c r="L210" s="122">
        <f>J210-C210-(J210-C210)*0.2</f>
        <v/>
      </c>
      <c r="M210" s="123">
        <f>L210*I210</f>
        <v/>
      </c>
      <c r="N210" s="124" t="inlineStr">
        <is>
          <t xml:space="preserve">500-990 шт - </t>
        </is>
      </c>
      <c r="O210" s="47" t="inlineStr">
        <is>
          <t xml:space="preserve"> руб / шт с НДС</t>
        </is>
      </c>
      <c r="P210" s="125">
        <f>ROUND(K210,2)</f>
        <v/>
      </c>
      <c r="Q210" s="207">
        <f>CONCATENATE(N210,P210,O210,)</f>
        <v/>
      </c>
      <c r="R210" s="240" t="n"/>
      <c r="T210" s="241" t="n"/>
      <c r="U210" s="240" t="n"/>
      <c r="V210" s="241" t="n"/>
      <c r="Z210" s="240" t="n"/>
      <c r="AB210" s="241" t="n"/>
      <c r="AC210" s="240" t="n"/>
      <c r="AD210" s="241" t="n"/>
    </row>
    <row r="211">
      <c r="B211" s="42" t="n">
        <v>43</v>
      </c>
      <c r="C211" s="118">
        <f>INDIRECT("'Закуп'!A" &amp; B211)</f>
        <v/>
      </c>
      <c r="D211" s="119">
        <f>C211*1.2</f>
        <v/>
      </c>
      <c r="G211" s="172">
        <f>IF(INDIRECT("'Закуп'!L" &amp; B211)="Sale","Sale","")</f>
        <v/>
      </c>
      <c r="H211" s="158">
        <f>IF(INDIRECT("'Закуп'!F" &amp; B211)=0,"",INDIRECT("'Закуп'!F" &amp; B211))</f>
        <v/>
      </c>
      <c r="I211" s="120" t="n">
        <v>1000</v>
      </c>
      <c r="J211" s="121">
        <f>K211/1.2</f>
        <v/>
      </c>
      <c r="K211" s="70" t="n">
        <v>0.95</v>
      </c>
      <c r="L211" s="122">
        <f>J211-C211-(J211-C211)*0.2</f>
        <v/>
      </c>
      <c r="M211" s="123">
        <f>L211*I211</f>
        <v/>
      </c>
      <c r="N211" s="124" t="inlineStr">
        <is>
          <t xml:space="preserve">1000 + шт - </t>
        </is>
      </c>
      <c r="O211" s="47" t="inlineStr">
        <is>
          <t xml:space="preserve"> руб / шт с НДС</t>
        </is>
      </c>
      <c r="P211" s="125">
        <f>ROUND(K211,2)</f>
        <v/>
      </c>
      <c r="Q211" s="207">
        <f>CONCATENATE(N211,P211,O211,)</f>
        <v/>
      </c>
      <c r="R211" s="240" t="n"/>
      <c r="T211" s="241" t="n"/>
      <c r="U211" s="240" t="n"/>
      <c r="V211" s="241" t="n"/>
      <c r="Z211" s="240" t="n"/>
      <c r="AB211" s="241" t="n"/>
      <c r="AC211" s="240" t="n"/>
      <c r="AD211" s="241" t="n"/>
    </row>
    <row r="212">
      <c r="A212" s="232" t="n">
        <v>44</v>
      </c>
      <c r="B212" s="42" t="n">
        <v>44</v>
      </c>
      <c r="C212" s="118">
        <f>INDIRECT("'Закуп'!A" &amp; B212)</f>
        <v/>
      </c>
      <c r="D212" s="119">
        <f>C212*1.2</f>
        <v/>
      </c>
      <c r="E212" s="224">
        <f>INDIRECT("'Закуп'!D" &amp; A212)</f>
        <v/>
      </c>
      <c r="F212" s="231">
        <f>INDIRECT("'Закуп'!E" &amp; B212)</f>
        <v/>
      </c>
      <c r="G212" s="172">
        <f>IF(INDIRECT("'Закуп'!L" &amp; B212)="Sale","Sale","")</f>
        <v/>
      </c>
      <c r="H212" s="158">
        <f>IF(INDIRECT("'Закуп'!F" &amp; B212)=0,"",INDIRECT("'Закуп'!F" &amp; B212))</f>
        <v/>
      </c>
      <c r="I212" s="120" t="n">
        <v>50</v>
      </c>
      <c r="J212" s="121">
        <f>K212/1.2</f>
        <v/>
      </c>
      <c r="K212" s="70" t="n">
        <v>3.96</v>
      </c>
      <c r="L212" s="122">
        <f>J212-C212-(J212-C212)*0.2</f>
        <v/>
      </c>
      <c r="M212" s="123">
        <f>L212*I212</f>
        <v/>
      </c>
      <c r="N212" s="124" t="inlineStr">
        <is>
          <t xml:space="preserve">50-90 шт - </t>
        </is>
      </c>
      <c r="O212" s="47" t="inlineStr">
        <is>
          <t xml:space="preserve"> руб / шт с НДС</t>
        </is>
      </c>
      <c r="P212" s="125">
        <f>ROUND(K212,2)</f>
        <v/>
      </c>
      <c r="Q212" s="207">
        <f>CONCATENATE(N212,P212,O212,)</f>
        <v/>
      </c>
      <c r="R212" s="235">
        <f>INDIRECT("'Закуп'!k" &amp; A212)</f>
        <v/>
      </c>
      <c r="S212" s="239">
        <f>INDIRECT("'Закуп'!o" &amp; A212)</f>
        <v/>
      </c>
      <c r="T212" s="226">
        <f>INDIRECT("'Закуп'!p" &amp; A212)</f>
        <v/>
      </c>
      <c r="U212" s="235">
        <f>INDIRECT("'Закуп'!v" &amp; A212)</f>
        <v/>
      </c>
      <c r="V212" s="222">
        <f>INDIRECT("'Закуп'!w" &amp; A212)</f>
        <v/>
      </c>
      <c r="W212" s="229">
        <f>INDIRECT("'Закуп'!H" &amp; A212)</f>
        <v/>
      </c>
      <c r="X212" s="237">
        <f>INDIRECT("'Закуп'!g" &amp; A212)</f>
        <v/>
      </c>
      <c r="Y212" s="229">
        <f>INDIRECT("'Закуп'!i" &amp; A212)</f>
        <v/>
      </c>
      <c r="Z212" s="236">
        <f>INDIRECT("'Закуп'!x" &amp; A212)</f>
        <v/>
      </c>
      <c r="AA212" s="237">
        <f>INDIRECT("'Закуп'!y" &amp; A212)</f>
        <v/>
      </c>
      <c r="AB212" s="238">
        <f>INDIRECT("'Закуп'!z" &amp; A212)</f>
        <v/>
      </c>
      <c r="AC212" s="223">
        <f>SUBSTITUTE(INDEX(F:F, ROUNDUP((ROW(A211))/5,0)*5 - 3), "х", "x")</f>
        <v/>
      </c>
      <c r="AD212" s="222">
        <f>SUBSTITUTE(INDEX(F:F, ROUNDUP((ROW(A211))/5,0)*5 - 3), "х", "x") &amp; " - " &amp; SUBSTITUTE(SUBSTITUTE(INDEX(F:F, ROUNDUP((ROW(A211))/5,0)*5 - 3), "х", "*"), "x", "*") &amp; " мм"</f>
        <v/>
      </c>
    </row>
    <row r="213">
      <c r="B213" s="42" t="n">
        <v>44</v>
      </c>
      <c r="C213" s="118">
        <f>INDIRECT("'Закуп'!A" &amp; B213)</f>
        <v/>
      </c>
      <c r="D213" s="119">
        <f>C213*1.2</f>
        <v/>
      </c>
      <c r="G213" s="172">
        <f>IF(INDIRECT("'Закуп'!L" &amp; B213)="Sale","Sale","")</f>
        <v/>
      </c>
      <c r="H213" s="158">
        <f>IF(INDIRECT("'Закуп'!F" &amp; B213)=0,"",INDIRECT("'Закуп'!F" &amp; B213))</f>
        <v/>
      </c>
      <c r="I213" s="120" t="n">
        <v>100</v>
      </c>
      <c r="J213" s="121">
        <f>K213/1.2</f>
        <v/>
      </c>
      <c r="K213" s="70" t="n">
        <v>3.55</v>
      </c>
      <c r="L213" s="122">
        <f>J213-C213-(J213-C213)*0.2</f>
        <v/>
      </c>
      <c r="M213" s="123">
        <f>L213*I213</f>
        <v/>
      </c>
      <c r="N213" s="124" t="inlineStr">
        <is>
          <t xml:space="preserve">100-290 шт - </t>
        </is>
      </c>
      <c r="O213" s="47" t="inlineStr">
        <is>
          <t xml:space="preserve"> руб / шт с НДС</t>
        </is>
      </c>
      <c r="P213" s="125">
        <f>ROUND(K213,2)</f>
        <v/>
      </c>
      <c r="Q213" s="207">
        <f>CONCATENATE(N213,P213,O213,)</f>
        <v/>
      </c>
      <c r="R213" s="240" t="n"/>
      <c r="T213" s="241" t="n"/>
      <c r="U213" s="240" t="n"/>
      <c r="V213" s="241" t="n"/>
      <c r="Z213" s="240" t="n"/>
      <c r="AB213" s="241" t="n"/>
      <c r="AC213" s="240" t="n"/>
      <c r="AD213" s="241" t="n"/>
    </row>
    <row r="214">
      <c r="B214" s="42" t="n">
        <v>44</v>
      </c>
      <c r="C214" s="118">
        <f>INDIRECT("'Закуп'!A" &amp; B214)</f>
        <v/>
      </c>
      <c r="D214" s="119">
        <f>C214*1.2</f>
        <v/>
      </c>
      <c r="G214" s="172">
        <f>IF(INDIRECT("'Закуп'!L" &amp; B214)="Sale","Sale","")</f>
        <v/>
      </c>
      <c r="H214" s="158">
        <f>IF(INDIRECT("'Закуп'!F" &amp; B214)=0,"",INDIRECT("'Закуп'!F" &amp; B214))</f>
        <v/>
      </c>
      <c r="I214" s="120" t="n">
        <v>300</v>
      </c>
      <c r="J214" s="121">
        <f>K214/1.2</f>
        <v/>
      </c>
      <c r="K214" s="70" t="n">
        <v>3.37</v>
      </c>
      <c r="L214" s="122">
        <f>J214-C214-(J214-C214)*0.2</f>
        <v/>
      </c>
      <c r="M214" s="123">
        <f>L214*I214</f>
        <v/>
      </c>
      <c r="N214" s="124" t="inlineStr">
        <is>
          <t xml:space="preserve">300-490 шт - </t>
        </is>
      </c>
      <c r="O214" s="47" t="inlineStr">
        <is>
          <t xml:space="preserve"> руб / шт с НДС</t>
        </is>
      </c>
      <c r="P214" s="125">
        <f>ROUND(K214,2)</f>
        <v/>
      </c>
      <c r="Q214" s="207">
        <f>CONCATENATE(N214,P214,O214,)</f>
        <v/>
      </c>
      <c r="R214" s="240" t="n"/>
      <c r="T214" s="241" t="n"/>
      <c r="U214" s="240" t="n"/>
      <c r="V214" s="241" t="n"/>
      <c r="Z214" s="240" t="n"/>
      <c r="AB214" s="241" t="n"/>
      <c r="AC214" s="240" t="n"/>
      <c r="AD214" s="241" t="n"/>
    </row>
    <row r="215">
      <c r="B215" s="42" t="n">
        <v>44</v>
      </c>
      <c r="C215" s="118">
        <f>INDIRECT("'Закуп'!A" &amp; B215)</f>
        <v/>
      </c>
      <c r="D215" s="119">
        <f>C215*1.2</f>
        <v/>
      </c>
      <c r="G215" s="172">
        <f>IF(INDIRECT("'Закуп'!L" &amp; B215)="Sale","Sale","")</f>
        <v/>
      </c>
      <c r="H215" s="158">
        <f>IF(INDIRECT("'Закуп'!F" &amp; B215)=0,"",INDIRECT("'Закуп'!F" &amp; B215))</f>
        <v/>
      </c>
      <c r="I215" s="120" t="n">
        <v>500</v>
      </c>
      <c r="J215" s="121">
        <f>K215/1.2</f>
        <v/>
      </c>
      <c r="K215" s="70" t="n">
        <v>3.17</v>
      </c>
      <c r="L215" s="122">
        <f>J215-C215-(J215-C215)*0.2</f>
        <v/>
      </c>
      <c r="M215" s="123">
        <f>L215*I215</f>
        <v/>
      </c>
      <c r="N215" s="124" t="inlineStr">
        <is>
          <t xml:space="preserve">500-990 шт - </t>
        </is>
      </c>
      <c r="O215" s="47" t="inlineStr">
        <is>
          <t xml:space="preserve"> руб / шт с НДС</t>
        </is>
      </c>
      <c r="P215" s="125">
        <f>ROUND(K215,2)</f>
        <v/>
      </c>
      <c r="Q215" s="207">
        <f>CONCATENATE(N215,P215,O215,)</f>
        <v/>
      </c>
      <c r="R215" s="240" t="n"/>
      <c r="T215" s="241" t="n"/>
      <c r="U215" s="240" t="n"/>
      <c r="V215" s="241" t="n"/>
      <c r="Z215" s="240" t="n"/>
      <c r="AB215" s="241" t="n"/>
      <c r="AC215" s="240" t="n"/>
      <c r="AD215" s="241" t="n"/>
    </row>
    <row r="216">
      <c r="B216" s="42" t="n">
        <v>44</v>
      </c>
      <c r="C216" s="118">
        <f>INDIRECT("'Закуп'!A" &amp; B216)</f>
        <v/>
      </c>
      <c r="D216" s="119">
        <f>C216*1.2</f>
        <v/>
      </c>
      <c r="G216" s="172">
        <f>IF(INDIRECT("'Закуп'!L" &amp; B216)="Sale","Sale","")</f>
        <v/>
      </c>
      <c r="H216" s="158">
        <f>IF(INDIRECT("'Закуп'!F" &amp; B216)=0,"",INDIRECT("'Закуп'!F" &amp; B216))</f>
        <v/>
      </c>
      <c r="I216" s="120" t="n">
        <v>1000</v>
      </c>
      <c r="J216" s="121">
        <f>K216/1.2</f>
        <v/>
      </c>
      <c r="K216" s="70" t="n">
        <v>2.96</v>
      </c>
      <c r="L216" s="122">
        <f>J216-C216-(J216-C216)*0.2</f>
        <v/>
      </c>
      <c r="M216" s="123">
        <f>L216*I216</f>
        <v/>
      </c>
      <c r="N216" s="124" t="inlineStr">
        <is>
          <t xml:space="preserve">1000 + шт - </t>
        </is>
      </c>
      <c r="O216" s="47" t="inlineStr">
        <is>
          <t xml:space="preserve"> руб / шт с НДС</t>
        </is>
      </c>
      <c r="P216" s="125">
        <f>ROUND(K216,2)</f>
        <v/>
      </c>
      <c r="Q216" s="207">
        <f>CONCATENATE(N216,P216,O216,)</f>
        <v/>
      </c>
      <c r="R216" s="240" t="n"/>
      <c r="T216" s="241" t="n"/>
      <c r="U216" s="240" t="n"/>
      <c r="V216" s="241" t="n"/>
      <c r="Z216" s="240" t="n"/>
      <c r="AB216" s="241" t="n"/>
      <c r="AC216" s="240" t="n"/>
      <c r="AD216" s="241" t="n"/>
    </row>
    <row r="217">
      <c r="A217" s="232" t="n">
        <v>45</v>
      </c>
      <c r="B217" s="42" t="n">
        <v>45</v>
      </c>
      <c r="C217" s="118">
        <f>INDIRECT("'Закуп'!A" &amp; B217)</f>
        <v/>
      </c>
      <c r="D217" s="119">
        <f>C217*1.2</f>
        <v/>
      </c>
      <c r="E217" s="224">
        <f>INDIRECT("'Закуп'!D" &amp; A217)</f>
        <v/>
      </c>
      <c r="F217" s="231">
        <f>INDIRECT("'Закуп'!E" &amp; B217)</f>
        <v/>
      </c>
      <c r="G217" s="172">
        <f>IF(INDIRECT("'Закуп'!L" &amp; B217)="Sale","Sale","")</f>
        <v/>
      </c>
      <c r="H217" s="158">
        <f>IF(INDIRECT("'Закуп'!F" &amp; B217)=0,"",INDIRECT("'Закуп'!F" &amp; B217))</f>
        <v/>
      </c>
      <c r="I217" s="120" t="n">
        <v>50</v>
      </c>
      <c r="J217" s="121">
        <f>K217/1.2</f>
        <v/>
      </c>
      <c r="K217" s="70" t="n">
        <v>2.4</v>
      </c>
      <c r="L217" s="122">
        <f>J217-C217-(J217-C217)*0.2</f>
        <v/>
      </c>
      <c r="M217" s="123">
        <f>L217*I217</f>
        <v/>
      </c>
      <c r="N217" s="124" t="inlineStr">
        <is>
          <t xml:space="preserve">50-90 шт - </t>
        </is>
      </c>
      <c r="O217" s="47" t="inlineStr">
        <is>
          <t xml:space="preserve"> руб / шт с НДС</t>
        </is>
      </c>
      <c r="P217" s="125">
        <f>ROUND(K217,2)</f>
        <v/>
      </c>
      <c r="Q217" s="207">
        <f>CONCATENATE(N217,P217,O217,)</f>
        <v/>
      </c>
      <c r="R217" s="235">
        <f>INDIRECT("'Закуп'!k" &amp; A217)</f>
        <v/>
      </c>
      <c r="S217" s="239">
        <f>INDIRECT("'Закуп'!o" &amp; A217)</f>
        <v/>
      </c>
      <c r="T217" s="226">
        <f>INDIRECT("'Закуп'!p" &amp; A217)</f>
        <v/>
      </c>
      <c r="U217" s="235">
        <f>INDIRECT("'Закуп'!v" &amp; A217)</f>
        <v/>
      </c>
      <c r="V217" s="222">
        <f>INDIRECT("'Закуп'!w" &amp; A217)</f>
        <v/>
      </c>
      <c r="W217" s="229">
        <f>INDIRECT("'Закуп'!H" &amp; A217)</f>
        <v/>
      </c>
      <c r="X217" s="237">
        <f>INDIRECT("'Закуп'!g" &amp; A217)</f>
        <v/>
      </c>
      <c r="Y217" s="229">
        <f>INDIRECT("'Закуп'!i" &amp; A217)</f>
        <v/>
      </c>
      <c r="Z217" s="236">
        <f>INDIRECT("'Закуп'!x" &amp; A217)</f>
        <v/>
      </c>
      <c r="AA217" s="237">
        <f>INDIRECT("'Закуп'!y" &amp; A217)</f>
        <v/>
      </c>
      <c r="AB217" s="238">
        <f>INDIRECT("'Закуп'!z" &amp; A217)</f>
        <v/>
      </c>
      <c r="AC217" s="223">
        <f>SUBSTITUTE(INDEX(F:F, ROUNDUP((ROW(A216))/5,0)*5 - 3), "х", "x")</f>
        <v/>
      </c>
      <c r="AD217" s="222">
        <f>SUBSTITUTE(INDEX(F:F, ROUNDUP((ROW(A216))/5,0)*5 - 3), "х", "x") &amp; " - " &amp; SUBSTITUTE(SUBSTITUTE(INDEX(F:F, ROUNDUP((ROW(A216))/5,0)*5 - 3), "х", "*"), "x", "*") &amp; " мм"</f>
        <v/>
      </c>
    </row>
    <row r="218">
      <c r="B218" s="42" t="n">
        <v>45</v>
      </c>
      <c r="C218" s="118">
        <f>INDIRECT("'Закуп'!A" &amp; B218)</f>
        <v/>
      </c>
      <c r="D218" s="119">
        <f>C218*1.2</f>
        <v/>
      </c>
      <c r="G218" s="172">
        <f>IF(INDIRECT("'Закуп'!L" &amp; B218)="Sale","Sale","")</f>
        <v/>
      </c>
      <c r="H218" s="158">
        <f>IF(INDIRECT("'Закуп'!F" &amp; B218)=0,"",INDIRECT("'Закуп'!F" &amp; B218))</f>
        <v/>
      </c>
      <c r="I218" s="120" t="n">
        <v>100</v>
      </c>
      <c r="J218" s="121">
        <f>K218/1.2</f>
        <v/>
      </c>
      <c r="K218" s="70" t="n">
        <v>2.18</v>
      </c>
      <c r="L218" s="122">
        <f>J218-C218-(J218-C218)*0.2</f>
        <v/>
      </c>
      <c r="M218" s="123">
        <f>L218*I218</f>
        <v/>
      </c>
      <c r="N218" s="124" t="inlineStr">
        <is>
          <t xml:space="preserve">100-290 шт - </t>
        </is>
      </c>
      <c r="O218" s="47" t="inlineStr">
        <is>
          <t xml:space="preserve"> руб / шт с НДС</t>
        </is>
      </c>
      <c r="P218" s="125">
        <f>ROUND(K218,2)</f>
        <v/>
      </c>
      <c r="Q218" s="207">
        <f>CONCATENATE(N218,P218,O218,)</f>
        <v/>
      </c>
      <c r="R218" s="240" t="n"/>
      <c r="T218" s="241" t="n"/>
      <c r="U218" s="240" t="n"/>
      <c r="V218" s="241" t="n"/>
      <c r="Z218" s="240" t="n"/>
      <c r="AB218" s="241" t="n"/>
      <c r="AC218" s="240" t="n"/>
      <c r="AD218" s="241" t="n"/>
    </row>
    <row r="219">
      <c r="B219" s="42" t="n">
        <v>45</v>
      </c>
      <c r="C219" s="118">
        <f>INDIRECT("'Закуп'!A" &amp; B219)</f>
        <v/>
      </c>
      <c r="D219" s="119">
        <f>C219*1.2</f>
        <v/>
      </c>
      <c r="G219" s="172">
        <f>IF(INDIRECT("'Закуп'!L" &amp; B219)="Sale","Sale","")</f>
        <v/>
      </c>
      <c r="H219" s="158">
        <f>IF(INDIRECT("'Закуп'!F" &amp; B219)=0,"",INDIRECT("'Закуп'!F" &amp; B219))</f>
        <v/>
      </c>
      <c r="I219" s="120" t="n">
        <v>300</v>
      </c>
      <c r="J219" s="121">
        <f>K219/1.2</f>
        <v/>
      </c>
      <c r="K219" s="70" t="n">
        <v>1.7</v>
      </c>
      <c r="L219" s="122">
        <f>J219-C219-(J219-C219)*0.2</f>
        <v/>
      </c>
      <c r="M219" s="123">
        <f>L219*I219</f>
        <v/>
      </c>
      <c r="N219" s="124" t="inlineStr">
        <is>
          <t xml:space="preserve">300-490 шт - </t>
        </is>
      </c>
      <c r="O219" s="47" t="inlineStr">
        <is>
          <t xml:space="preserve"> руб / шт с НДС</t>
        </is>
      </c>
      <c r="P219" s="125">
        <f>ROUND(K219,2)</f>
        <v/>
      </c>
      <c r="Q219" s="207">
        <f>CONCATENATE(N219,P219,O219,)</f>
        <v/>
      </c>
      <c r="R219" s="240" t="n"/>
      <c r="T219" s="241" t="n"/>
      <c r="U219" s="240" t="n"/>
      <c r="V219" s="241" t="n"/>
      <c r="Z219" s="240" t="n"/>
      <c r="AB219" s="241" t="n"/>
      <c r="AC219" s="240" t="n"/>
      <c r="AD219" s="241" t="n"/>
    </row>
    <row r="220">
      <c r="B220" s="42" t="n">
        <v>45</v>
      </c>
      <c r="C220" s="118">
        <f>INDIRECT("'Закуп'!A" &amp; B220)</f>
        <v/>
      </c>
      <c r="D220" s="119">
        <f>C220*1.2</f>
        <v/>
      </c>
      <c r="G220" s="172">
        <f>IF(INDIRECT("'Закуп'!L" &amp; B220)="Sale","Sale","")</f>
        <v/>
      </c>
      <c r="H220" s="158">
        <f>IF(INDIRECT("'Закуп'!F" &amp; B220)=0,"",INDIRECT("'Закуп'!F" &amp; B220))</f>
        <v/>
      </c>
      <c r="I220" s="120" t="n">
        <v>500</v>
      </c>
      <c r="J220" s="121">
        <f>K220/1.2</f>
        <v/>
      </c>
      <c r="K220" s="70" t="n">
        <v>1.48</v>
      </c>
      <c r="L220" s="122">
        <f>J220-C220-(J220-C220)*0.2</f>
        <v/>
      </c>
      <c r="M220" s="123">
        <f>L220*I220</f>
        <v/>
      </c>
      <c r="N220" s="124" t="inlineStr">
        <is>
          <t xml:space="preserve">500-990 шт - </t>
        </is>
      </c>
      <c r="O220" s="47" t="inlineStr">
        <is>
          <t xml:space="preserve"> руб / шт с НДС</t>
        </is>
      </c>
      <c r="P220" s="125">
        <f>ROUND(K220,2)</f>
        <v/>
      </c>
      <c r="Q220" s="207">
        <f>CONCATENATE(N220,P220,O220,)</f>
        <v/>
      </c>
      <c r="R220" s="240" t="n"/>
      <c r="T220" s="241" t="n"/>
      <c r="U220" s="240" t="n"/>
      <c r="V220" s="241" t="n"/>
      <c r="Z220" s="240" t="n"/>
      <c r="AB220" s="241" t="n"/>
      <c r="AC220" s="240" t="n"/>
      <c r="AD220" s="241" t="n"/>
    </row>
    <row r="221">
      <c r="B221" s="42" t="n">
        <v>45</v>
      </c>
      <c r="C221" s="118">
        <f>INDIRECT("'Закуп'!A" &amp; B221)</f>
        <v/>
      </c>
      <c r="D221" s="119">
        <f>C221*1.2</f>
        <v/>
      </c>
      <c r="G221" s="172">
        <f>IF(INDIRECT("'Закуп'!L" &amp; B221)="Sale","Sale","")</f>
        <v/>
      </c>
      <c r="H221" s="158">
        <f>IF(INDIRECT("'Закуп'!F" &amp; B221)=0,"",INDIRECT("'Закуп'!F" &amp; B221))</f>
        <v/>
      </c>
      <c r="I221" s="120" t="n">
        <v>1000</v>
      </c>
      <c r="J221" s="121">
        <f>K221/1.2</f>
        <v/>
      </c>
      <c r="K221" s="70" t="n">
        <v>1.38</v>
      </c>
      <c r="L221" s="122">
        <f>J221-C221-(J221-C221)*0.2</f>
        <v/>
      </c>
      <c r="M221" s="123">
        <f>L221*I221</f>
        <v/>
      </c>
      <c r="N221" s="124" t="inlineStr">
        <is>
          <t xml:space="preserve">1000 + шт - </t>
        </is>
      </c>
      <c r="O221" s="47" t="inlineStr">
        <is>
          <t xml:space="preserve"> руб / шт с НДС</t>
        </is>
      </c>
      <c r="P221" s="125">
        <f>ROUND(K221,2)</f>
        <v/>
      </c>
      <c r="Q221" s="207">
        <f>CONCATENATE(N221,P221,O221,)</f>
        <v/>
      </c>
      <c r="R221" s="240" t="n"/>
      <c r="T221" s="241" t="n"/>
      <c r="U221" s="240" t="n"/>
      <c r="V221" s="241" t="n"/>
      <c r="Z221" s="240" t="n"/>
      <c r="AB221" s="241" t="n"/>
      <c r="AC221" s="240" t="n"/>
      <c r="AD221" s="241" t="n"/>
    </row>
    <row r="222">
      <c r="A222" s="232" t="n">
        <v>46</v>
      </c>
      <c r="B222" s="42" t="n">
        <v>46</v>
      </c>
      <c r="C222" s="118">
        <f>INDIRECT("'Закуп'!A" &amp; B222)</f>
        <v/>
      </c>
      <c r="D222" s="119">
        <f>C222*1.2</f>
        <v/>
      </c>
      <c r="E222" s="224">
        <f>INDIRECT("'Закуп'!D" &amp; A222)</f>
        <v/>
      </c>
      <c r="F222" s="231">
        <f>INDIRECT("'Закуп'!E" &amp; B222)</f>
        <v/>
      </c>
      <c r="G222" s="172">
        <f>IF(INDIRECT("'Закуп'!L" &amp; B222)="Sale","Sale","")</f>
        <v/>
      </c>
      <c r="H222" s="158">
        <f>IF(INDIRECT("'Закуп'!F" &amp; B222)=0,"",INDIRECT("'Закуп'!F" &amp; B222))</f>
        <v/>
      </c>
      <c r="I222" s="120" t="n">
        <v>50</v>
      </c>
      <c r="J222" s="121">
        <f>K222/1.2</f>
        <v/>
      </c>
      <c r="K222" s="70" t="n">
        <v>2.4</v>
      </c>
      <c r="L222" s="122">
        <f>J222-C222-(J222-C222)*0.2</f>
        <v/>
      </c>
      <c r="M222" s="123">
        <f>L222*I222</f>
        <v/>
      </c>
      <c r="N222" s="124" t="inlineStr">
        <is>
          <t xml:space="preserve">50-90 шт - </t>
        </is>
      </c>
      <c r="O222" s="47" t="inlineStr">
        <is>
          <t xml:space="preserve"> руб / шт с НДС</t>
        </is>
      </c>
      <c r="P222" s="125">
        <f>ROUND(K222,2)</f>
        <v/>
      </c>
      <c r="Q222" s="207">
        <f>CONCATENATE(N222,P222,O222,)</f>
        <v/>
      </c>
      <c r="R222" s="235">
        <f>INDIRECT("'Закуп'!k" &amp; A222)</f>
        <v/>
      </c>
      <c r="S222" s="239">
        <f>INDIRECT("'Закуп'!o" &amp; A222)</f>
        <v/>
      </c>
      <c r="T222" s="226">
        <f>INDIRECT("'Закуп'!p" &amp; A222)</f>
        <v/>
      </c>
      <c r="U222" s="235">
        <f>INDIRECT("'Закуп'!v" &amp; A222)</f>
        <v/>
      </c>
      <c r="V222" s="222">
        <f>INDIRECT("'Закуп'!w" &amp; A222)</f>
        <v/>
      </c>
      <c r="W222" s="229">
        <f>INDIRECT("'Закуп'!H" &amp; A222)</f>
        <v/>
      </c>
      <c r="X222" s="237">
        <f>INDIRECT("'Закуп'!g" &amp; A222)</f>
        <v/>
      </c>
      <c r="Y222" s="229">
        <f>INDIRECT("'Закуп'!i" &amp; A222)</f>
        <v/>
      </c>
      <c r="Z222" s="236">
        <f>INDIRECT("'Закуп'!x" &amp; A222)</f>
        <v/>
      </c>
      <c r="AA222" s="237">
        <f>INDIRECT("'Закуп'!y" &amp; A222)</f>
        <v/>
      </c>
      <c r="AB222" s="238">
        <f>INDIRECT("'Закуп'!z" &amp; A222)</f>
        <v/>
      </c>
      <c r="AC222" s="223">
        <f>SUBSTITUTE(INDEX(F:F, ROUNDUP((ROW(A221))/5,0)*5 - 3), "х", "x")</f>
        <v/>
      </c>
      <c r="AD222" s="222">
        <f>SUBSTITUTE(INDEX(F:F, ROUNDUP((ROW(A221))/5,0)*5 - 3), "х", "x") &amp; " - " &amp; SUBSTITUTE(SUBSTITUTE(INDEX(F:F, ROUNDUP((ROW(A221))/5,0)*5 - 3), "х", "*"), "x", "*") &amp; " мм"</f>
        <v/>
      </c>
    </row>
    <row r="223">
      <c r="B223" s="42" t="n">
        <v>46</v>
      </c>
      <c r="C223" s="118">
        <f>INDIRECT("'Закуп'!A" &amp; B223)</f>
        <v/>
      </c>
      <c r="D223" s="119">
        <f>C223*1.2</f>
        <v/>
      </c>
      <c r="G223" s="172">
        <f>IF(INDIRECT("'Закуп'!L" &amp; B223)="Sale","Sale","")</f>
        <v/>
      </c>
      <c r="H223" s="158">
        <f>IF(INDIRECT("'Закуп'!F" &amp; B223)=0,"",INDIRECT("'Закуп'!F" &amp; B223))</f>
        <v/>
      </c>
      <c r="I223" s="120" t="n">
        <v>100</v>
      </c>
      <c r="J223" s="121">
        <f>K223/1.2</f>
        <v/>
      </c>
      <c r="K223" s="70" t="n">
        <v>2.18</v>
      </c>
      <c r="L223" s="122">
        <f>J223-C223-(J223-C223)*0.2</f>
        <v/>
      </c>
      <c r="M223" s="123">
        <f>L223*I223</f>
        <v/>
      </c>
      <c r="N223" s="124" t="inlineStr">
        <is>
          <t xml:space="preserve">100-290 шт - </t>
        </is>
      </c>
      <c r="O223" s="47" t="inlineStr">
        <is>
          <t xml:space="preserve"> руб / шт с НДС</t>
        </is>
      </c>
      <c r="P223" s="125">
        <f>ROUND(K223,2)</f>
        <v/>
      </c>
      <c r="Q223" s="207">
        <f>CONCATENATE(N223,P223,O223,)</f>
        <v/>
      </c>
      <c r="R223" s="240" t="n"/>
      <c r="T223" s="241" t="n"/>
      <c r="U223" s="240" t="n"/>
      <c r="V223" s="241" t="n"/>
      <c r="Z223" s="240" t="n"/>
      <c r="AB223" s="241" t="n"/>
      <c r="AC223" s="240" t="n"/>
      <c r="AD223" s="241" t="n"/>
    </row>
    <row r="224">
      <c r="B224" s="42" t="n">
        <v>46</v>
      </c>
      <c r="C224" s="118">
        <f>INDIRECT("'Закуп'!A" &amp; B224)</f>
        <v/>
      </c>
      <c r="D224" s="119">
        <f>C224*1.2</f>
        <v/>
      </c>
      <c r="G224" s="172">
        <f>IF(INDIRECT("'Закуп'!L" &amp; B224)="Sale","Sale","")</f>
        <v/>
      </c>
      <c r="H224" s="158">
        <f>IF(INDIRECT("'Закуп'!F" &amp; B224)=0,"",INDIRECT("'Закуп'!F" &amp; B224))</f>
        <v/>
      </c>
      <c r="I224" s="120" t="n">
        <v>300</v>
      </c>
      <c r="J224" s="121">
        <f>K224/1.2</f>
        <v/>
      </c>
      <c r="K224" s="70" t="n">
        <v>1.7</v>
      </c>
      <c r="L224" s="122">
        <f>J224-C224-(J224-C224)*0.2</f>
        <v/>
      </c>
      <c r="M224" s="123">
        <f>L224*I224</f>
        <v/>
      </c>
      <c r="N224" s="124" t="inlineStr">
        <is>
          <t xml:space="preserve">300-490 шт - </t>
        </is>
      </c>
      <c r="O224" s="47" t="inlineStr">
        <is>
          <t xml:space="preserve"> руб / шт с НДС</t>
        </is>
      </c>
      <c r="P224" s="125">
        <f>ROUND(K224,2)</f>
        <v/>
      </c>
      <c r="Q224" s="207">
        <f>CONCATENATE(N224,P224,O224,)</f>
        <v/>
      </c>
      <c r="R224" s="240" t="n"/>
      <c r="T224" s="241" t="n"/>
      <c r="U224" s="240" t="n"/>
      <c r="V224" s="241" t="n"/>
      <c r="Z224" s="240" t="n"/>
      <c r="AB224" s="241" t="n"/>
      <c r="AC224" s="240" t="n"/>
      <c r="AD224" s="241" t="n"/>
    </row>
    <row r="225">
      <c r="B225" s="42" t="n">
        <v>46</v>
      </c>
      <c r="C225" s="118">
        <f>INDIRECT("'Закуп'!A" &amp; B225)</f>
        <v/>
      </c>
      <c r="D225" s="119">
        <f>C225*1.2</f>
        <v/>
      </c>
      <c r="G225" s="172">
        <f>IF(INDIRECT("'Закуп'!L" &amp; B225)="Sale","Sale","")</f>
        <v/>
      </c>
      <c r="H225" s="158">
        <f>IF(INDIRECT("'Закуп'!F" &amp; B225)=0,"",INDIRECT("'Закуп'!F" &amp; B225))</f>
        <v/>
      </c>
      <c r="I225" s="120" t="n">
        <v>500</v>
      </c>
      <c r="J225" s="121">
        <f>K225/1.2</f>
        <v/>
      </c>
      <c r="K225" s="70" t="n">
        <v>1.48</v>
      </c>
      <c r="L225" s="122">
        <f>J225-C225-(J225-C225)*0.2</f>
        <v/>
      </c>
      <c r="M225" s="123">
        <f>L225*I225</f>
        <v/>
      </c>
      <c r="N225" s="124" t="inlineStr">
        <is>
          <t xml:space="preserve">500-990 шт - </t>
        </is>
      </c>
      <c r="O225" s="47" t="inlineStr">
        <is>
          <t xml:space="preserve"> руб / шт с НДС</t>
        </is>
      </c>
      <c r="P225" s="125">
        <f>ROUND(K225,2)</f>
        <v/>
      </c>
      <c r="Q225" s="207">
        <f>CONCATENATE(N225,P225,O225,)</f>
        <v/>
      </c>
      <c r="R225" s="240" t="n"/>
      <c r="T225" s="241" t="n"/>
      <c r="U225" s="240" t="n"/>
      <c r="V225" s="241" t="n"/>
      <c r="Z225" s="240" t="n"/>
      <c r="AB225" s="241" t="n"/>
      <c r="AC225" s="240" t="n"/>
      <c r="AD225" s="241" t="n"/>
    </row>
    <row r="226">
      <c r="B226" s="42" t="n">
        <v>46</v>
      </c>
      <c r="C226" s="118">
        <f>INDIRECT("'Закуп'!A" &amp; B226)</f>
        <v/>
      </c>
      <c r="D226" s="119">
        <f>C226*1.2</f>
        <v/>
      </c>
      <c r="G226" s="172">
        <f>IF(INDIRECT("'Закуп'!L" &amp; B226)="Sale","Sale","")</f>
        <v/>
      </c>
      <c r="H226" s="158">
        <f>IF(INDIRECT("'Закуп'!F" &amp; B226)=0,"",INDIRECT("'Закуп'!F" &amp; B226))</f>
        <v/>
      </c>
      <c r="I226" s="120" t="n">
        <v>1000</v>
      </c>
      <c r="J226" s="121">
        <f>K226/1.2</f>
        <v/>
      </c>
      <c r="K226" s="70" t="n">
        <v>1.38</v>
      </c>
      <c r="L226" s="122">
        <f>J226-C226-(J226-C226)*0.2</f>
        <v/>
      </c>
      <c r="M226" s="123">
        <f>L226*I226</f>
        <v/>
      </c>
      <c r="N226" s="124" t="inlineStr">
        <is>
          <t xml:space="preserve">1000 + шт - </t>
        </is>
      </c>
      <c r="O226" s="47" t="inlineStr">
        <is>
          <t xml:space="preserve"> руб / шт с НДС</t>
        </is>
      </c>
      <c r="P226" s="125">
        <f>ROUND(K226,2)</f>
        <v/>
      </c>
      <c r="Q226" s="207">
        <f>CONCATENATE(N226,P226,O226,)</f>
        <v/>
      </c>
      <c r="R226" s="240" t="n"/>
      <c r="T226" s="241" t="n"/>
      <c r="U226" s="240" t="n"/>
      <c r="V226" s="241" t="n"/>
      <c r="Z226" s="240" t="n"/>
      <c r="AB226" s="241" t="n"/>
      <c r="AC226" s="240" t="n"/>
      <c r="AD226" s="241" t="n"/>
    </row>
    <row r="227">
      <c r="A227" s="232" t="n">
        <v>47</v>
      </c>
      <c r="B227" s="42" t="n">
        <v>47</v>
      </c>
      <c r="C227" s="118">
        <f>INDIRECT("'Закуп'!A" &amp; B227)</f>
        <v/>
      </c>
      <c r="D227" s="119">
        <f>C227*1.2</f>
        <v/>
      </c>
      <c r="E227" s="224">
        <f>INDIRECT("'Закуп'!D" &amp; A227)</f>
        <v/>
      </c>
      <c r="F227" s="231">
        <f>INDIRECT("'Закуп'!E" &amp; B227)</f>
        <v/>
      </c>
      <c r="G227" s="172">
        <f>IF(INDIRECT("'Закуп'!L" &amp; B227)="Sale","Sale","")</f>
        <v/>
      </c>
      <c r="H227" s="158">
        <f>IF(INDIRECT("'Закуп'!F" &amp; B227)=0,"",INDIRECT("'Закуп'!F" &amp; B227))</f>
        <v/>
      </c>
      <c r="I227" s="120" t="n">
        <v>50</v>
      </c>
      <c r="J227" s="121">
        <f>K227/1.2</f>
        <v/>
      </c>
      <c r="K227" s="70" t="n">
        <v>3.96</v>
      </c>
      <c r="L227" s="122">
        <f>J227-C227-(J227-C227)*0.2</f>
        <v/>
      </c>
      <c r="M227" s="123">
        <f>L227*I227</f>
        <v/>
      </c>
      <c r="N227" s="124" t="inlineStr">
        <is>
          <t xml:space="preserve">50-90 шт - </t>
        </is>
      </c>
      <c r="O227" s="47" t="inlineStr">
        <is>
          <t xml:space="preserve"> руб / шт с НДС</t>
        </is>
      </c>
      <c r="P227" s="125">
        <f>ROUND(K227,2)</f>
        <v/>
      </c>
      <c r="Q227" s="207">
        <f>CONCATENATE(N227,P227,O227,)</f>
        <v/>
      </c>
      <c r="R227" s="235">
        <f>INDIRECT("'Закуп'!k" &amp; A227)</f>
        <v/>
      </c>
      <c r="S227" s="239">
        <f>INDIRECT("'Закуп'!o" &amp; A227)</f>
        <v/>
      </c>
      <c r="T227" s="226">
        <f>INDIRECT("'Закуп'!p" &amp; A227)</f>
        <v/>
      </c>
      <c r="U227" s="235">
        <f>INDIRECT("'Закуп'!v" &amp; A227)</f>
        <v/>
      </c>
      <c r="V227" s="222">
        <f>INDIRECT("'Закуп'!w" &amp; A227)</f>
        <v/>
      </c>
      <c r="W227" s="229">
        <f>INDIRECT("'Закуп'!H" &amp; A227)</f>
        <v/>
      </c>
      <c r="X227" s="237">
        <f>INDIRECT("'Закуп'!g" &amp; A227)</f>
        <v/>
      </c>
      <c r="Y227" s="229">
        <f>INDIRECT("'Закуп'!i" &amp; A227)</f>
        <v/>
      </c>
      <c r="Z227" s="236">
        <f>INDIRECT("'Закуп'!x" &amp; A227)</f>
        <v/>
      </c>
      <c r="AA227" s="237">
        <f>INDIRECT("'Закуп'!y" &amp; A227)</f>
        <v/>
      </c>
      <c r="AB227" s="238">
        <f>INDIRECT("'Закуп'!z" &amp; A227)</f>
        <v/>
      </c>
      <c r="AC227" s="223">
        <f>SUBSTITUTE(INDEX(F:F, ROUNDUP((ROW(A226))/5,0)*5 - 3), "х", "x")</f>
        <v/>
      </c>
      <c r="AD227" s="222">
        <f>SUBSTITUTE(INDEX(F:F, ROUNDUP((ROW(A226))/5,0)*5 - 3), "х", "x") &amp; " - " &amp; SUBSTITUTE(SUBSTITUTE(INDEX(F:F, ROUNDUP((ROW(A226))/5,0)*5 - 3), "х", "*"), "x", "*") &amp; " мм"</f>
        <v/>
      </c>
    </row>
    <row r="228">
      <c r="B228" s="42" t="n">
        <v>47</v>
      </c>
      <c r="C228" s="118">
        <f>INDIRECT("'Закуп'!A" &amp; B228)</f>
        <v/>
      </c>
      <c r="D228" s="119">
        <f>C228*1.2</f>
        <v/>
      </c>
      <c r="G228" s="172">
        <f>IF(INDIRECT("'Закуп'!L" &amp; B228)="Sale","Sale","")</f>
        <v/>
      </c>
      <c r="H228" s="158">
        <f>IF(INDIRECT("'Закуп'!F" &amp; B228)=0,"",INDIRECT("'Закуп'!F" &amp; B228))</f>
        <v/>
      </c>
      <c r="I228" s="120" t="n">
        <v>100</v>
      </c>
      <c r="J228" s="121">
        <f>K228/1.2</f>
        <v/>
      </c>
      <c r="K228" s="70" t="n">
        <v>3.75</v>
      </c>
      <c r="L228" s="122">
        <f>J228-C228-(J228-C228)*0.2</f>
        <v/>
      </c>
      <c r="M228" s="123">
        <f>L228*I228</f>
        <v/>
      </c>
      <c r="N228" s="124" t="inlineStr">
        <is>
          <t xml:space="preserve">100-290 шт - </t>
        </is>
      </c>
      <c r="O228" s="47" t="inlineStr">
        <is>
          <t xml:space="preserve"> руб / шт с НДС</t>
        </is>
      </c>
      <c r="P228" s="125">
        <f>ROUND(K228,2)</f>
        <v/>
      </c>
      <c r="Q228" s="207">
        <f>CONCATENATE(N228,P228,O228,)</f>
        <v/>
      </c>
      <c r="R228" s="240" t="n"/>
      <c r="T228" s="241" t="n"/>
      <c r="U228" s="240" t="n"/>
      <c r="V228" s="241" t="n"/>
      <c r="Z228" s="240" t="n"/>
      <c r="AB228" s="241" t="n"/>
      <c r="AC228" s="240" t="n"/>
      <c r="AD228" s="241" t="n"/>
    </row>
    <row r="229">
      <c r="B229" s="42" t="n">
        <v>47</v>
      </c>
      <c r="C229" s="118">
        <f>INDIRECT("'Закуп'!A" &amp; B229)</f>
        <v/>
      </c>
      <c r="D229" s="119">
        <f>C229*1.2</f>
        <v/>
      </c>
      <c r="G229" s="172">
        <f>IF(INDIRECT("'Закуп'!L" &amp; B229)="Sale","Sale","")</f>
        <v/>
      </c>
      <c r="H229" s="158">
        <f>IF(INDIRECT("'Закуп'!F" &amp; B229)=0,"",INDIRECT("'Закуп'!F" &amp; B229))</f>
        <v/>
      </c>
      <c r="I229" s="120" t="n">
        <v>300</v>
      </c>
      <c r="J229" s="121">
        <f>K229/1.2</f>
        <v/>
      </c>
      <c r="K229" s="70" t="n">
        <v>3.31</v>
      </c>
      <c r="L229" s="122">
        <f>J229-C229-(J229-C229)*0.2</f>
        <v/>
      </c>
      <c r="M229" s="123">
        <f>L229*I229</f>
        <v/>
      </c>
      <c r="N229" s="124" t="inlineStr">
        <is>
          <t xml:space="preserve">300-490 шт - </t>
        </is>
      </c>
      <c r="O229" s="47" t="inlineStr">
        <is>
          <t xml:space="preserve"> руб / шт с НДС</t>
        </is>
      </c>
      <c r="P229" s="125">
        <f>ROUND(K229,2)</f>
        <v/>
      </c>
      <c r="Q229" s="207">
        <f>CONCATENATE(N229,P229,O229,)</f>
        <v/>
      </c>
      <c r="R229" s="240" t="n"/>
      <c r="T229" s="241" t="n"/>
      <c r="U229" s="240" t="n"/>
      <c r="V229" s="241" t="n"/>
      <c r="Z229" s="240" t="n"/>
      <c r="AB229" s="241" t="n"/>
      <c r="AC229" s="240" t="n"/>
      <c r="AD229" s="241" t="n"/>
    </row>
    <row r="230">
      <c r="B230" s="42" t="n">
        <v>47</v>
      </c>
      <c r="C230" s="118">
        <f>INDIRECT("'Закуп'!A" &amp; B230)</f>
        <v/>
      </c>
      <c r="D230" s="119">
        <f>C230*1.2</f>
        <v/>
      </c>
      <c r="G230" s="172">
        <f>IF(INDIRECT("'Закуп'!L" &amp; B230)="Sale","Sale","")</f>
        <v/>
      </c>
      <c r="H230" s="158">
        <f>IF(INDIRECT("'Закуп'!F" &amp; B230)=0,"",INDIRECT("'Закуп'!F" &amp; B230))</f>
        <v/>
      </c>
      <c r="I230" s="120" t="n">
        <v>500</v>
      </c>
      <c r="J230" s="121">
        <f>K230/1.2</f>
        <v/>
      </c>
      <c r="K230" s="70" t="n">
        <v>2.82</v>
      </c>
      <c r="L230" s="122">
        <f>J230-C230-(J230-C230)*0.2</f>
        <v/>
      </c>
      <c r="M230" s="123">
        <f>L230*I230</f>
        <v/>
      </c>
      <c r="N230" s="124" t="inlineStr">
        <is>
          <t xml:space="preserve">500-990 шт - </t>
        </is>
      </c>
      <c r="O230" s="47" t="inlineStr">
        <is>
          <t xml:space="preserve"> руб / шт с НДС</t>
        </is>
      </c>
      <c r="P230" s="125">
        <f>ROUND(K230,2)</f>
        <v/>
      </c>
      <c r="Q230" s="207">
        <f>CONCATENATE(N230,P230,O230,)</f>
        <v/>
      </c>
      <c r="R230" s="240" t="n"/>
      <c r="T230" s="241" t="n"/>
      <c r="U230" s="240" t="n"/>
      <c r="V230" s="241" t="n"/>
      <c r="Z230" s="240" t="n"/>
      <c r="AB230" s="241" t="n"/>
      <c r="AC230" s="240" t="n"/>
      <c r="AD230" s="241" t="n"/>
    </row>
    <row r="231">
      <c r="B231" s="42" t="n">
        <v>47</v>
      </c>
      <c r="C231" s="118">
        <f>INDIRECT("'Закуп'!A" &amp; B231)</f>
        <v/>
      </c>
      <c r="D231" s="119">
        <f>C231*1.2</f>
        <v/>
      </c>
      <c r="G231" s="172">
        <f>IF(INDIRECT("'Закуп'!L" &amp; B231)="Sale","Sale","")</f>
        <v/>
      </c>
      <c r="H231" s="158">
        <f>IF(INDIRECT("'Закуп'!F" &amp; B231)=0,"",INDIRECT("'Закуп'!F" &amp; B231))</f>
        <v/>
      </c>
      <c r="I231" s="120" t="n">
        <v>1000</v>
      </c>
      <c r="J231" s="121">
        <f>K231/1.2</f>
        <v/>
      </c>
      <c r="K231" s="70" t="n">
        <v>2.4</v>
      </c>
      <c r="L231" s="122">
        <f>J231-C231-(J231-C231)*0.2</f>
        <v/>
      </c>
      <c r="M231" s="123">
        <f>L231*I231</f>
        <v/>
      </c>
      <c r="N231" s="124" t="inlineStr">
        <is>
          <t xml:space="preserve">1000 + шт - </t>
        </is>
      </c>
      <c r="O231" s="47" t="inlineStr">
        <is>
          <t xml:space="preserve"> руб / шт с НДС</t>
        </is>
      </c>
      <c r="P231" s="125">
        <f>ROUND(K231,2)</f>
        <v/>
      </c>
      <c r="Q231" s="207">
        <f>CONCATENATE(N231,P231,O231,)</f>
        <v/>
      </c>
      <c r="R231" s="240" t="n"/>
      <c r="T231" s="241" t="n"/>
      <c r="U231" s="240" t="n"/>
      <c r="V231" s="241" t="n"/>
      <c r="Z231" s="240" t="n"/>
      <c r="AB231" s="241" t="n"/>
      <c r="AC231" s="240" t="n"/>
      <c r="AD231" s="241" t="n"/>
    </row>
    <row r="232">
      <c r="A232" s="232" t="n">
        <v>48</v>
      </c>
      <c r="B232" s="42" t="n">
        <v>48</v>
      </c>
      <c r="C232" s="118">
        <f>INDIRECT("'Закуп'!A" &amp; B232)</f>
        <v/>
      </c>
      <c r="D232" s="119">
        <f>C232*1.2</f>
        <v/>
      </c>
      <c r="E232" s="224">
        <f>INDIRECT("'Закуп'!D" &amp; A232)</f>
        <v/>
      </c>
      <c r="F232" s="231">
        <f>INDIRECT("'Закуп'!E" &amp; B232)</f>
        <v/>
      </c>
      <c r="G232" s="172">
        <f>IF(INDIRECT("'Закуп'!L" &amp; B232)="Sale","Sale","")</f>
        <v/>
      </c>
      <c r="H232" s="158">
        <f>IF(INDIRECT("'Закуп'!F" &amp; B232)=0,"",INDIRECT("'Закуп'!F" &amp; B232))</f>
        <v/>
      </c>
      <c r="I232" s="120" t="n">
        <v>50</v>
      </c>
      <c r="J232" s="121">
        <f>K232/1.2</f>
        <v/>
      </c>
      <c r="K232" s="242" t="n">
        <v>2.74</v>
      </c>
      <c r="L232" s="122">
        <f>J232-C232-(J232-C232)*0.2</f>
        <v/>
      </c>
      <c r="M232" s="123">
        <f>L232*I232</f>
        <v/>
      </c>
      <c r="N232" s="124" t="inlineStr">
        <is>
          <t xml:space="preserve">50-90 шт - </t>
        </is>
      </c>
      <c r="O232" s="47" t="inlineStr">
        <is>
          <t xml:space="preserve"> руб / шт с НДС</t>
        </is>
      </c>
      <c r="P232" s="125">
        <f>ROUND(K232,2)</f>
        <v/>
      </c>
      <c r="Q232" s="207">
        <f>CONCATENATE(N232,P232,O232,)</f>
        <v/>
      </c>
      <c r="R232" s="235">
        <f>INDIRECT("'Закуп'!k" &amp; A232)</f>
        <v/>
      </c>
      <c r="S232" s="239">
        <f>INDIRECT("'Закуп'!o" &amp; A232)</f>
        <v/>
      </c>
      <c r="T232" s="226">
        <f>INDIRECT("'Закуп'!p" &amp; A232)</f>
        <v/>
      </c>
      <c r="U232" s="235">
        <f>INDIRECT("'Закуп'!v" &amp; A232)</f>
        <v/>
      </c>
      <c r="V232" s="222">
        <f>INDIRECT("'Закуп'!w" &amp; A232)</f>
        <v/>
      </c>
      <c r="W232" s="229">
        <f>INDIRECT("'Закуп'!H" &amp; A232)</f>
        <v/>
      </c>
      <c r="X232" s="237">
        <f>INDIRECT("'Закуп'!g" &amp; A232)</f>
        <v/>
      </c>
      <c r="Y232" s="229">
        <f>INDIRECT("'Закуп'!i" &amp; A232)</f>
        <v/>
      </c>
      <c r="Z232" s="236">
        <f>INDIRECT("'Закуп'!x" &amp; A232)</f>
        <v/>
      </c>
      <c r="AA232" s="237">
        <f>INDIRECT("'Закуп'!y" &amp; A232)</f>
        <v/>
      </c>
      <c r="AB232" s="238">
        <f>INDIRECT("'Закуп'!z" &amp; A232)</f>
        <v/>
      </c>
      <c r="AC232" s="223">
        <f>SUBSTITUTE(INDEX(F:F, ROUNDUP((ROW(A231))/5,0)*5 - 3), "х", "x")</f>
        <v/>
      </c>
      <c r="AD232" s="222">
        <f>SUBSTITUTE(INDEX(F:F, ROUNDUP((ROW(A231))/5,0)*5 - 3), "х", "x") &amp; " - " &amp; SUBSTITUTE(SUBSTITUTE(INDEX(F:F, ROUNDUP((ROW(A231))/5,0)*5 - 3), "х", "*"), "x", "*") &amp; " мм"</f>
        <v/>
      </c>
      <c r="AE232" t="n">
        <v>4.13</v>
      </c>
    </row>
    <row r="233">
      <c r="B233" s="42" t="n">
        <v>48</v>
      </c>
      <c r="C233" s="118">
        <f>INDIRECT("'Закуп'!A" &amp; B233)</f>
        <v/>
      </c>
      <c r="D233" s="119">
        <f>C233*1.2</f>
        <v/>
      </c>
      <c r="G233" s="172">
        <f>IF(INDIRECT("'Закуп'!L" &amp; B233)="Sale","Sale","")</f>
        <v/>
      </c>
      <c r="H233" s="158">
        <f>IF(INDIRECT("'Закуп'!F" &amp; B233)=0,"",INDIRECT("'Закуп'!F" &amp; B233))</f>
        <v/>
      </c>
      <c r="I233" s="120" t="n">
        <v>100</v>
      </c>
      <c r="J233" s="121">
        <f>K233/1.2</f>
        <v/>
      </c>
      <c r="K233" s="242" t="n">
        <v>2.39</v>
      </c>
      <c r="L233" s="122">
        <f>J233-C233-(J233-C233)*0.2</f>
        <v/>
      </c>
      <c r="M233" s="123">
        <f>L233*I233</f>
        <v/>
      </c>
      <c r="N233" s="124" t="inlineStr">
        <is>
          <t xml:space="preserve">100-290 шт - </t>
        </is>
      </c>
      <c r="O233" s="47" t="inlineStr">
        <is>
          <t xml:space="preserve"> руб / шт с НДС</t>
        </is>
      </c>
      <c r="P233" s="125">
        <f>ROUND(K233,2)</f>
        <v/>
      </c>
      <c r="Q233" s="207">
        <f>CONCATENATE(N233,P233,O233,)</f>
        <v/>
      </c>
      <c r="R233" s="240" t="n"/>
      <c r="T233" s="241" t="n"/>
      <c r="U233" s="240" t="n"/>
      <c r="V233" s="241" t="n"/>
      <c r="Z233" s="240" t="n"/>
      <c r="AB233" s="241" t="n"/>
      <c r="AC233" s="240" t="n"/>
      <c r="AD233" s="241" t="n"/>
      <c r="AE233" t="n">
        <v>3.26</v>
      </c>
    </row>
    <row r="234">
      <c r="B234" s="42" t="n">
        <v>48</v>
      </c>
      <c r="C234" s="118">
        <f>INDIRECT("'Закуп'!A" &amp; B234)</f>
        <v/>
      </c>
      <c r="D234" s="119">
        <f>C234*1.2</f>
        <v/>
      </c>
      <c r="G234" s="172">
        <f>IF(INDIRECT("'Закуп'!L" &amp; B234)="Sale","Sale","")</f>
        <v/>
      </c>
      <c r="H234" s="158">
        <f>IF(INDIRECT("'Закуп'!F" &amp; B234)=0,"",INDIRECT("'Закуп'!F" &amp; B234))</f>
        <v/>
      </c>
      <c r="I234" s="120" t="n">
        <v>300</v>
      </c>
      <c r="J234" s="121">
        <f>K234/1.2</f>
        <v/>
      </c>
      <c r="K234" s="242" t="n">
        <v>2.27</v>
      </c>
      <c r="L234" s="122">
        <f>J234-C234-(J234-C234)*0.2</f>
        <v/>
      </c>
      <c r="M234" s="123">
        <f>L234*I234</f>
        <v/>
      </c>
      <c r="N234" s="124" t="inlineStr">
        <is>
          <t xml:space="preserve">300-490 шт - </t>
        </is>
      </c>
      <c r="O234" s="47" t="inlineStr">
        <is>
          <t xml:space="preserve"> руб / шт с НДС</t>
        </is>
      </c>
      <c r="P234" s="125">
        <f>ROUND(K234,2)</f>
        <v/>
      </c>
      <c r="Q234" s="207">
        <f>CONCATENATE(N234,P234,O234,)</f>
        <v/>
      </c>
      <c r="R234" s="240" t="n"/>
      <c r="T234" s="241" t="n"/>
      <c r="U234" s="240" t="n"/>
      <c r="V234" s="241" t="n"/>
      <c r="Z234" s="240" t="n"/>
      <c r="AB234" s="241" t="n"/>
      <c r="AC234" s="240" t="n"/>
      <c r="AD234" s="241" t="n"/>
      <c r="AE234" t="n">
        <v>2.75</v>
      </c>
    </row>
    <row r="235">
      <c r="B235" s="42" t="n">
        <v>48</v>
      </c>
      <c r="C235" s="118">
        <f>INDIRECT("'Закуп'!A" &amp; B235)</f>
        <v/>
      </c>
      <c r="D235" s="119">
        <f>C235*1.2</f>
        <v/>
      </c>
      <c r="G235" s="172">
        <f>IF(INDIRECT("'Закуп'!L" &amp; B235)="Sale","Sale","")</f>
        <v/>
      </c>
      <c r="H235" s="158">
        <f>IF(INDIRECT("'Закуп'!F" &amp; B235)=0,"",INDIRECT("'Закуп'!F" &amp; B235))</f>
        <v/>
      </c>
      <c r="I235" s="120" t="n">
        <v>500</v>
      </c>
      <c r="J235" s="121">
        <f>K235/1.2</f>
        <v/>
      </c>
      <c r="K235" s="242" t="n">
        <v>1.76</v>
      </c>
      <c r="L235" s="122">
        <f>J235-C235-(J235-C235)*0.2</f>
        <v/>
      </c>
      <c r="M235" s="123">
        <f>L235*I235</f>
        <v/>
      </c>
      <c r="N235" s="124" t="inlineStr">
        <is>
          <t xml:space="preserve">500-990 шт - </t>
        </is>
      </c>
      <c r="O235" s="47" t="inlineStr">
        <is>
          <t xml:space="preserve"> руб / шт с НДС</t>
        </is>
      </c>
      <c r="P235" s="125">
        <f>ROUND(K235,2)</f>
        <v/>
      </c>
      <c r="Q235" s="207">
        <f>CONCATENATE(N235,P235,O235,)</f>
        <v/>
      </c>
      <c r="R235" s="240" t="n"/>
      <c r="T235" s="241" t="n"/>
      <c r="U235" s="240" t="n"/>
      <c r="V235" s="241" t="n"/>
      <c r="Z235" s="240" t="n"/>
      <c r="AB235" s="241" t="n"/>
      <c r="AC235" s="240" t="n"/>
      <c r="AD235" s="241" t="n"/>
      <c r="AE235" t="n">
        <v>2.6</v>
      </c>
    </row>
    <row r="236">
      <c r="B236" s="42" t="n">
        <v>48</v>
      </c>
      <c r="C236" s="118">
        <f>INDIRECT("'Закуп'!A" &amp; B236)</f>
        <v/>
      </c>
      <c r="D236" s="119">
        <f>C236*1.2</f>
        <v/>
      </c>
      <c r="G236" s="172">
        <f>IF(INDIRECT("'Закуп'!L" &amp; B236)="Sale","Sale","")</f>
        <v/>
      </c>
      <c r="H236" s="158">
        <f>IF(INDIRECT("'Закуп'!F" &amp; B236)=0,"",INDIRECT("'Закуп'!F" &amp; B236))</f>
        <v/>
      </c>
      <c r="I236" s="120" t="n">
        <v>1000</v>
      </c>
      <c r="J236" s="121">
        <f>K236/1.2</f>
        <v/>
      </c>
      <c r="K236" s="242" t="n">
        <v>1.7</v>
      </c>
      <c r="L236" s="122">
        <f>J236-C236-(J236-C236)*0.2</f>
        <v/>
      </c>
      <c r="M236" s="123">
        <f>L236*I236</f>
        <v/>
      </c>
      <c r="N236" s="124" t="inlineStr">
        <is>
          <t xml:space="preserve">1000 + шт - </t>
        </is>
      </c>
      <c r="O236" s="47" t="inlineStr">
        <is>
          <t xml:space="preserve"> руб / шт с НДС</t>
        </is>
      </c>
      <c r="P236" s="125">
        <f>ROUND(K236,2)</f>
        <v/>
      </c>
      <c r="Q236" s="207">
        <f>CONCATENATE(N236,P236,O236,)</f>
        <v/>
      </c>
      <c r="R236" s="240" t="n"/>
      <c r="T236" s="241" t="n"/>
      <c r="U236" s="240" t="n"/>
      <c r="V236" s="241" t="n"/>
      <c r="Z236" s="240" t="n"/>
      <c r="AB236" s="241" t="n"/>
      <c r="AC236" s="240" t="n"/>
      <c r="AD236" s="241" t="n"/>
      <c r="AE236" t="n">
        <v>2.53</v>
      </c>
    </row>
    <row r="237">
      <c r="A237" s="232" t="n">
        <v>49</v>
      </c>
      <c r="B237" s="42" t="n">
        <v>49</v>
      </c>
      <c r="C237" s="118">
        <f>INDIRECT("'Закуп'!A" &amp; B237)</f>
        <v/>
      </c>
      <c r="D237" s="119">
        <f>C237*1.2</f>
        <v/>
      </c>
      <c r="E237" s="224">
        <f>INDIRECT("'Закуп'!D" &amp; A237)</f>
        <v/>
      </c>
      <c r="F237" s="231">
        <f>INDIRECT("'Закуп'!E" &amp; B237)</f>
        <v/>
      </c>
      <c r="G237" s="172">
        <f>IF(INDIRECT("'Закуп'!L" &amp; B237)="Sale","Sale","")</f>
        <v/>
      </c>
      <c r="H237" s="158">
        <f>IF(INDIRECT("'Закуп'!F" &amp; B237)=0,"",INDIRECT("'Закуп'!F" &amp; B237))</f>
        <v/>
      </c>
      <c r="I237" s="120" t="n">
        <v>50</v>
      </c>
      <c r="J237" s="121">
        <f>K237/1.2</f>
        <v/>
      </c>
      <c r="K237" s="70" t="n">
        <v>2.43</v>
      </c>
      <c r="L237" s="122">
        <f>J237-C237-(J237-C237)*0.2</f>
        <v/>
      </c>
      <c r="M237" s="123">
        <f>L237*I237</f>
        <v/>
      </c>
      <c r="N237" s="124" t="inlineStr">
        <is>
          <t xml:space="preserve">50-90 шт - </t>
        </is>
      </c>
      <c r="O237" s="47" t="inlineStr">
        <is>
          <t xml:space="preserve"> руб / шт с НДС</t>
        </is>
      </c>
      <c r="P237" s="125">
        <f>ROUND(K237,2)</f>
        <v/>
      </c>
      <c r="Q237" s="207">
        <f>CONCATENATE(N237,P237,O237,)</f>
        <v/>
      </c>
      <c r="R237" s="235">
        <f>INDIRECT("'Закуп'!k" &amp; A237)</f>
        <v/>
      </c>
      <c r="S237" s="239">
        <f>INDIRECT("'Закуп'!o" &amp; A237)</f>
        <v/>
      </c>
      <c r="T237" s="226">
        <f>INDIRECT("'Закуп'!p" &amp; A237)</f>
        <v/>
      </c>
      <c r="U237" s="235">
        <f>INDIRECT("'Закуп'!v" &amp; A237)</f>
        <v/>
      </c>
      <c r="V237" s="222">
        <f>INDIRECT("'Закуп'!w" &amp; A237)</f>
        <v/>
      </c>
      <c r="W237" s="229">
        <f>INDIRECT("'Закуп'!H" &amp; A237)</f>
        <v/>
      </c>
      <c r="X237" s="237">
        <f>INDIRECT("'Закуп'!g" &amp; A237)</f>
        <v/>
      </c>
      <c r="Y237" s="229">
        <f>INDIRECT("'Закуп'!i" &amp; A237)</f>
        <v/>
      </c>
      <c r="Z237" s="236">
        <f>INDIRECT("'Закуп'!x" &amp; A237)</f>
        <v/>
      </c>
      <c r="AA237" s="237">
        <f>INDIRECT("'Закуп'!y" &amp; A237)</f>
        <v/>
      </c>
      <c r="AB237" s="238">
        <f>INDIRECT("'Закуп'!z" &amp; A237)</f>
        <v/>
      </c>
      <c r="AC237" s="223">
        <f>SUBSTITUTE(INDEX(F:F, ROUNDUP((ROW(A236))/5,0)*5 - 3), "х", "x")</f>
        <v/>
      </c>
      <c r="AD237" s="222">
        <f>SUBSTITUTE(INDEX(F:F, ROUNDUP((ROW(A236))/5,0)*5 - 3), "х", "x") &amp; " - " &amp; SUBSTITUTE(SUBSTITUTE(INDEX(F:F, ROUNDUP((ROW(A236))/5,0)*5 - 3), "х", "*"), "x", "*") &amp; " мм"</f>
        <v/>
      </c>
    </row>
    <row r="238">
      <c r="B238" s="42" t="n">
        <v>49</v>
      </c>
      <c r="C238" s="118">
        <f>INDIRECT("'Закуп'!A" &amp; B238)</f>
        <v/>
      </c>
      <c r="D238" s="119">
        <f>C238*1.2</f>
        <v/>
      </c>
      <c r="G238" s="172">
        <f>IF(INDIRECT("'Закуп'!L" &amp; B238)="Sale","Sale","")</f>
        <v/>
      </c>
      <c r="H238" s="158">
        <f>IF(INDIRECT("'Закуп'!F" &amp; B238)=0,"",INDIRECT("'Закуп'!F" &amp; B238))</f>
        <v/>
      </c>
      <c r="I238" s="120" t="n">
        <v>100</v>
      </c>
      <c r="J238" s="121">
        <f>K238/1.2</f>
        <v/>
      </c>
      <c r="K238" s="70" t="n">
        <v>2.2</v>
      </c>
      <c r="L238" s="122">
        <f>J238-C238-(J238-C238)*0.2</f>
        <v/>
      </c>
      <c r="M238" s="123">
        <f>L238*I238</f>
        <v/>
      </c>
      <c r="N238" s="124" t="inlineStr">
        <is>
          <t xml:space="preserve">100-290 шт - </t>
        </is>
      </c>
      <c r="O238" s="47" t="inlineStr">
        <is>
          <t xml:space="preserve"> руб / шт с НДС</t>
        </is>
      </c>
      <c r="P238" s="125">
        <f>ROUND(K238,2)</f>
        <v/>
      </c>
      <c r="Q238" s="207">
        <f>CONCATENATE(N238,P238,O238,)</f>
        <v/>
      </c>
      <c r="R238" s="240" t="n"/>
      <c r="T238" s="241" t="n"/>
      <c r="U238" s="240" t="n"/>
      <c r="V238" s="241" t="n"/>
      <c r="Z238" s="240" t="n"/>
      <c r="AB238" s="241" t="n"/>
      <c r="AC238" s="240" t="n"/>
      <c r="AD238" s="241" t="n"/>
    </row>
    <row r="239">
      <c r="B239" s="42" t="n">
        <v>49</v>
      </c>
      <c r="C239" s="118">
        <f>INDIRECT("'Закуп'!A" &amp; B239)</f>
        <v/>
      </c>
      <c r="D239" s="119">
        <f>C239*1.2</f>
        <v/>
      </c>
      <c r="G239" s="172">
        <f>IF(INDIRECT("'Закуп'!L" &amp; B239)="Sale","Sale","")</f>
        <v/>
      </c>
      <c r="H239" s="158">
        <f>IF(INDIRECT("'Закуп'!F" &amp; B239)=0,"",INDIRECT("'Закуп'!F" &amp; B239))</f>
        <v/>
      </c>
      <c r="I239" s="120" t="n">
        <v>300</v>
      </c>
      <c r="J239" s="121">
        <f>K239/1.2</f>
        <v/>
      </c>
      <c r="K239" s="70" t="n">
        <v>1.72</v>
      </c>
      <c r="L239" s="122">
        <f>J239-C239-(J239-C239)*0.2</f>
        <v/>
      </c>
      <c r="M239" s="123">
        <f>L239*I239</f>
        <v/>
      </c>
      <c r="N239" s="124" t="inlineStr">
        <is>
          <t xml:space="preserve">300-490 шт - </t>
        </is>
      </c>
      <c r="O239" s="47" t="inlineStr">
        <is>
          <t xml:space="preserve"> руб / шт с НДС</t>
        </is>
      </c>
      <c r="P239" s="125">
        <f>ROUND(K239,2)</f>
        <v/>
      </c>
      <c r="Q239" s="207">
        <f>CONCATENATE(N239,P239,O239,)</f>
        <v/>
      </c>
      <c r="R239" s="240" t="n"/>
      <c r="T239" s="241" t="n"/>
      <c r="U239" s="240" t="n"/>
      <c r="V239" s="241" t="n"/>
      <c r="Z239" s="240" t="n"/>
      <c r="AB239" s="241" t="n"/>
      <c r="AC239" s="240" t="n"/>
      <c r="AD239" s="241" t="n"/>
    </row>
    <row r="240">
      <c r="B240" s="42" t="n">
        <v>49</v>
      </c>
      <c r="C240" s="118">
        <f>INDIRECT("'Закуп'!A" &amp; B240)</f>
        <v/>
      </c>
      <c r="D240" s="119">
        <f>C240*1.2</f>
        <v/>
      </c>
      <c r="G240" s="172">
        <f>IF(INDIRECT("'Закуп'!L" &amp; B240)="Sale","Sale","")</f>
        <v/>
      </c>
      <c r="H240" s="158">
        <f>IF(INDIRECT("'Закуп'!F" &amp; B240)=0,"",INDIRECT("'Закуп'!F" &amp; B240))</f>
        <v/>
      </c>
      <c r="I240" s="120" t="n">
        <v>500</v>
      </c>
      <c r="J240" s="121">
        <f>K240/1.2</f>
        <v/>
      </c>
      <c r="K240" s="70" t="n">
        <v>1.49</v>
      </c>
      <c r="L240" s="122">
        <f>J240-C240-(J240-C240)*0.2</f>
        <v/>
      </c>
      <c r="M240" s="123">
        <f>L240*I240</f>
        <v/>
      </c>
      <c r="N240" s="124" t="inlineStr">
        <is>
          <t xml:space="preserve">500-990 шт - </t>
        </is>
      </c>
      <c r="O240" s="47" t="inlineStr">
        <is>
          <t xml:space="preserve"> руб / шт с НДС</t>
        </is>
      </c>
      <c r="P240" s="125">
        <f>ROUND(K240,2)</f>
        <v/>
      </c>
      <c r="Q240" s="207">
        <f>CONCATENATE(N240,P240,O240,)</f>
        <v/>
      </c>
      <c r="R240" s="240" t="n"/>
      <c r="T240" s="241" t="n"/>
      <c r="U240" s="240" t="n"/>
      <c r="V240" s="241" t="n"/>
      <c r="Z240" s="240" t="n"/>
      <c r="AB240" s="241" t="n"/>
      <c r="AC240" s="240" t="n"/>
      <c r="AD240" s="241" t="n"/>
    </row>
    <row r="241">
      <c r="B241" s="42" t="n">
        <v>49</v>
      </c>
      <c r="C241" s="118">
        <f>INDIRECT("'Закуп'!A" &amp; B241)</f>
        <v/>
      </c>
      <c r="D241" s="119">
        <f>C241*1.2</f>
        <v/>
      </c>
      <c r="G241" s="172">
        <f>IF(INDIRECT("'Закуп'!L" &amp; B241)="Sale","Sale","")</f>
        <v/>
      </c>
      <c r="H241" s="158">
        <f>IF(INDIRECT("'Закуп'!F" &amp; B241)=0,"",INDIRECT("'Закуп'!F" &amp; B241))</f>
        <v/>
      </c>
      <c r="I241" s="120" t="n">
        <v>1000</v>
      </c>
      <c r="J241" s="121">
        <f>K241/1.2</f>
        <v/>
      </c>
      <c r="K241" s="70" t="n">
        <v>1.39</v>
      </c>
      <c r="L241" s="122">
        <f>J241-C241-(J241-C241)*0.2</f>
        <v/>
      </c>
      <c r="M241" s="123">
        <f>L241*I241</f>
        <v/>
      </c>
      <c r="N241" s="124" t="inlineStr">
        <is>
          <t xml:space="preserve">1000 + шт - </t>
        </is>
      </c>
      <c r="O241" s="47" t="inlineStr">
        <is>
          <t xml:space="preserve"> руб / шт с НДС</t>
        </is>
      </c>
      <c r="P241" s="125">
        <f>ROUND(K241,2)</f>
        <v/>
      </c>
      <c r="Q241" s="207">
        <f>CONCATENATE(N241,P241,O241,)</f>
        <v/>
      </c>
      <c r="R241" s="240" t="n"/>
      <c r="T241" s="241" t="n"/>
      <c r="U241" s="240" t="n"/>
      <c r="V241" s="241" t="n"/>
      <c r="Z241" s="240" t="n"/>
      <c r="AB241" s="241" t="n"/>
      <c r="AC241" s="240" t="n"/>
      <c r="AD241" s="241" t="n"/>
    </row>
    <row r="242">
      <c r="A242" s="232" t="n">
        <v>50</v>
      </c>
      <c r="B242" s="42" t="n">
        <v>50</v>
      </c>
      <c r="C242" s="118">
        <f>INDIRECT("'Закуп'!A" &amp; B242)</f>
        <v/>
      </c>
      <c r="D242" s="119">
        <f>C242*1.2</f>
        <v/>
      </c>
      <c r="E242" s="224">
        <f>INDIRECT("'Закуп'!D" &amp; A242)</f>
        <v/>
      </c>
      <c r="F242" s="231">
        <f>INDIRECT("'Закуп'!E" &amp; B242)</f>
        <v/>
      </c>
      <c r="G242" s="172">
        <f>IF(INDIRECT("'Закуп'!L" &amp; B242)="Sale","Sale","")</f>
        <v/>
      </c>
      <c r="H242" s="158">
        <f>IF(INDIRECT("'Закуп'!F" &amp; B242)=0,"",INDIRECT("'Закуп'!F" &amp; B242))</f>
        <v/>
      </c>
      <c r="I242" s="120" t="n">
        <v>50</v>
      </c>
      <c r="J242" s="121">
        <f>K242/1.2</f>
        <v/>
      </c>
      <c r="K242" s="70" t="n">
        <v>2.43</v>
      </c>
      <c r="L242" s="122">
        <f>J242-C242-(J242-C242)*0.2</f>
        <v/>
      </c>
      <c r="M242" s="123">
        <f>L242*I242</f>
        <v/>
      </c>
      <c r="N242" s="124" t="inlineStr">
        <is>
          <t xml:space="preserve">50-90 шт - </t>
        </is>
      </c>
      <c r="O242" s="47" t="inlineStr">
        <is>
          <t xml:space="preserve"> руб / шт с НДС</t>
        </is>
      </c>
      <c r="P242" s="125">
        <f>ROUND(K242,2)</f>
        <v/>
      </c>
      <c r="Q242" s="207">
        <f>CONCATENATE(N242,P242,O242,)</f>
        <v/>
      </c>
      <c r="R242" s="235">
        <f>INDIRECT("'Закуп'!k" &amp; A242)</f>
        <v/>
      </c>
      <c r="S242" s="239">
        <f>INDIRECT("'Закуп'!o" &amp; A242)</f>
        <v/>
      </c>
      <c r="T242" s="226">
        <f>INDIRECT("'Закуп'!p" &amp; A242)</f>
        <v/>
      </c>
      <c r="U242" s="235">
        <f>INDIRECT("'Закуп'!v" &amp; A242)</f>
        <v/>
      </c>
      <c r="V242" s="222">
        <f>INDIRECT("'Закуп'!w" &amp; A242)</f>
        <v/>
      </c>
      <c r="W242" s="229">
        <f>INDIRECT("'Закуп'!H" &amp; A242)</f>
        <v/>
      </c>
      <c r="X242" s="237">
        <f>INDIRECT("'Закуп'!g" &amp; A242)</f>
        <v/>
      </c>
      <c r="Y242" s="229">
        <f>INDIRECT("'Закуп'!i" &amp; A242)</f>
        <v/>
      </c>
      <c r="Z242" s="236">
        <f>INDIRECT("'Закуп'!x" &amp; A242)</f>
        <v/>
      </c>
      <c r="AA242" s="237">
        <f>INDIRECT("'Закуп'!y" &amp; A242)</f>
        <v/>
      </c>
      <c r="AB242" s="238">
        <f>INDIRECT("'Закуп'!z" &amp; A242)</f>
        <v/>
      </c>
      <c r="AC242" s="223">
        <f>SUBSTITUTE(INDEX(F:F, ROUNDUP((ROW(A241))/5,0)*5 - 3), "х", "x")</f>
        <v/>
      </c>
      <c r="AD242" s="222">
        <f>SUBSTITUTE(INDEX(F:F, ROUNDUP((ROW(A241))/5,0)*5 - 3), "х", "x") &amp; " - " &amp; SUBSTITUTE(SUBSTITUTE(INDEX(F:F, ROUNDUP((ROW(A241))/5,0)*5 - 3), "х", "*"), "x", "*") &amp; " мм"</f>
        <v/>
      </c>
    </row>
    <row r="243">
      <c r="B243" s="42" t="n">
        <v>50</v>
      </c>
      <c r="C243" s="118">
        <f>INDIRECT("'Закуп'!A" &amp; B243)</f>
        <v/>
      </c>
      <c r="D243" s="119">
        <f>C243*1.2</f>
        <v/>
      </c>
      <c r="G243" s="172">
        <f>IF(INDIRECT("'Закуп'!L" &amp; B243)="Sale","Sale","")</f>
        <v/>
      </c>
      <c r="H243" s="158">
        <f>IF(INDIRECT("'Закуп'!F" &amp; B243)=0,"",INDIRECT("'Закуп'!F" &amp; B243))</f>
        <v/>
      </c>
      <c r="I243" s="120" t="n">
        <v>100</v>
      </c>
      <c r="J243" s="121">
        <f>K243/1.2</f>
        <v/>
      </c>
      <c r="K243" s="70" t="n">
        <v>2.2</v>
      </c>
      <c r="L243" s="122">
        <f>J243-C243-(J243-C243)*0.2</f>
        <v/>
      </c>
      <c r="M243" s="123">
        <f>L243*I243</f>
        <v/>
      </c>
      <c r="N243" s="124" t="inlineStr">
        <is>
          <t xml:space="preserve">100-290 шт - </t>
        </is>
      </c>
      <c r="O243" s="47" t="inlineStr">
        <is>
          <t xml:space="preserve"> руб / шт с НДС</t>
        </is>
      </c>
      <c r="P243" s="125">
        <f>ROUND(K243,2)</f>
        <v/>
      </c>
      <c r="Q243" s="207">
        <f>CONCATENATE(N243,P243,O243,)</f>
        <v/>
      </c>
      <c r="R243" s="240" t="n"/>
      <c r="T243" s="241" t="n"/>
      <c r="U243" s="240" t="n"/>
      <c r="V243" s="241" t="n"/>
      <c r="Z243" s="240" t="n"/>
      <c r="AB243" s="241" t="n"/>
      <c r="AC243" s="240" t="n"/>
      <c r="AD243" s="241" t="n"/>
    </row>
    <row r="244">
      <c r="B244" s="42" t="n">
        <v>50</v>
      </c>
      <c r="C244" s="118">
        <f>INDIRECT("'Закуп'!A" &amp; B244)</f>
        <v/>
      </c>
      <c r="D244" s="119">
        <f>C244*1.2</f>
        <v/>
      </c>
      <c r="G244" s="172">
        <f>IF(INDIRECT("'Закуп'!L" &amp; B244)="Sale","Sale","")</f>
        <v/>
      </c>
      <c r="H244" s="158">
        <f>IF(INDIRECT("'Закуп'!F" &amp; B244)=0,"",INDIRECT("'Закуп'!F" &amp; B244))</f>
        <v/>
      </c>
      <c r="I244" s="120" t="n">
        <v>300</v>
      </c>
      <c r="J244" s="121">
        <f>K244/1.2</f>
        <v/>
      </c>
      <c r="K244" s="70" t="n">
        <v>1.72</v>
      </c>
      <c r="L244" s="122">
        <f>J244-C244-(J244-C244)*0.2</f>
        <v/>
      </c>
      <c r="M244" s="123">
        <f>L244*I244</f>
        <v/>
      </c>
      <c r="N244" s="124" t="inlineStr">
        <is>
          <t xml:space="preserve">300-490 шт - </t>
        </is>
      </c>
      <c r="O244" s="47" t="inlineStr">
        <is>
          <t xml:space="preserve"> руб / шт с НДС</t>
        </is>
      </c>
      <c r="P244" s="125">
        <f>ROUND(K244,2)</f>
        <v/>
      </c>
      <c r="Q244" s="207">
        <f>CONCATENATE(N244,P244,O244,)</f>
        <v/>
      </c>
      <c r="R244" s="240" t="n"/>
      <c r="T244" s="241" t="n"/>
      <c r="U244" s="240" t="n"/>
      <c r="V244" s="241" t="n"/>
      <c r="Z244" s="240" t="n"/>
      <c r="AB244" s="241" t="n"/>
      <c r="AC244" s="240" t="n"/>
      <c r="AD244" s="241" t="n"/>
    </row>
    <row r="245">
      <c r="B245" s="42" t="n">
        <v>50</v>
      </c>
      <c r="C245" s="118">
        <f>INDIRECT("'Закуп'!A" &amp; B245)</f>
        <v/>
      </c>
      <c r="D245" s="119">
        <f>C245*1.2</f>
        <v/>
      </c>
      <c r="G245" s="172">
        <f>IF(INDIRECT("'Закуп'!L" &amp; B245)="Sale","Sale","")</f>
        <v/>
      </c>
      <c r="H245" s="158">
        <f>IF(INDIRECT("'Закуп'!F" &amp; B245)=0,"",INDIRECT("'Закуп'!F" &amp; B245))</f>
        <v/>
      </c>
      <c r="I245" s="120" t="n">
        <v>500</v>
      </c>
      <c r="J245" s="121">
        <f>K245/1.2</f>
        <v/>
      </c>
      <c r="K245" s="70" t="n">
        <v>1.49</v>
      </c>
      <c r="L245" s="122">
        <f>J245-C245-(J245-C245)*0.2</f>
        <v/>
      </c>
      <c r="M245" s="123">
        <f>L245*I245</f>
        <v/>
      </c>
      <c r="N245" s="124" t="inlineStr">
        <is>
          <t xml:space="preserve">500-990 шт - </t>
        </is>
      </c>
      <c r="O245" s="47" t="inlineStr">
        <is>
          <t xml:space="preserve"> руб / шт с НДС</t>
        </is>
      </c>
      <c r="P245" s="125">
        <f>ROUND(K245,2)</f>
        <v/>
      </c>
      <c r="Q245" s="207">
        <f>CONCATENATE(N245,P245,O245,)</f>
        <v/>
      </c>
      <c r="R245" s="240" t="n"/>
      <c r="T245" s="241" t="n"/>
      <c r="U245" s="240" t="n"/>
      <c r="V245" s="241" t="n"/>
      <c r="Z245" s="240" t="n"/>
      <c r="AB245" s="241" t="n"/>
      <c r="AC245" s="240" t="n"/>
      <c r="AD245" s="241" t="n"/>
    </row>
    <row r="246">
      <c r="B246" s="42" t="n">
        <v>50</v>
      </c>
      <c r="C246" s="118">
        <f>INDIRECT("'Закуп'!A" &amp; B246)</f>
        <v/>
      </c>
      <c r="D246" s="119">
        <f>C246*1.2</f>
        <v/>
      </c>
      <c r="G246" s="172">
        <f>IF(INDIRECT("'Закуп'!L" &amp; B246)="Sale","Sale","")</f>
        <v/>
      </c>
      <c r="H246" s="158">
        <f>IF(INDIRECT("'Закуп'!F" &amp; B246)=0,"",INDIRECT("'Закуп'!F" &amp; B246))</f>
        <v/>
      </c>
      <c r="I246" s="120" t="n">
        <v>1000</v>
      </c>
      <c r="J246" s="121">
        <f>K246/1.2</f>
        <v/>
      </c>
      <c r="K246" s="70" t="n">
        <v>1.39</v>
      </c>
      <c r="L246" s="122">
        <f>J246-C246-(J246-C246)*0.2</f>
        <v/>
      </c>
      <c r="M246" s="123">
        <f>L246*I246</f>
        <v/>
      </c>
      <c r="N246" s="124" t="inlineStr">
        <is>
          <t xml:space="preserve">1000 + шт - </t>
        </is>
      </c>
      <c r="O246" s="47" t="inlineStr">
        <is>
          <t xml:space="preserve"> руб / шт с НДС</t>
        </is>
      </c>
      <c r="P246" s="125">
        <f>ROUND(K246,2)</f>
        <v/>
      </c>
      <c r="Q246" s="207">
        <f>CONCATENATE(N246,P246,O246,)</f>
        <v/>
      </c>
      <c r="R246" s="240" t="n"/>
      <c r="T246" s="241" t="n"/>
      <c r="U246" s="240" t="n"/>
      <c r="V246" s="241" t="n"/>
      <c r="Z246" s="240" t="n"/>
      <c r="AB246" s="241" t="n"/>
      <c r="AC246" s="240" t="n"/>
      <c r="AD246" s="241" t="n"/>
    </row>
    <row r="247">
      <c r="A247" s="232" t="n">
        <v>51</v>
      </c>
      <c r="B247" s="42" t="n">
        <v>51</v>
      </c>
      <c r="C247" s="118">
        <f>INDIRECT("'Закуп'!A" &amp; B247)</f>
        <v/>
      </c>
      <c r="D247" s="119">
        <f>C247*1.2</f>
        <v/>
      </c>
      <c r="E247" s="224">
        <f>INDIRECT("'Закуп'!D" &amp; A247)</f>
        <v/>
      </c>
      <c r="F247" s="231">
        <f>INDIRECT("'Закуп'!E" &amp; B247)</f>
        <v/>
      </c>
      <c r="G247" s="172">
        <f>IF(INDIRECT("'Закуп'!L" &amp; B247)="Sale","Sale","")</f>
        <v/>
      </c>
      <c r="H247" s="158">
        <f>IF(INDIRECT("'Закуп'!F" &amp; B247)=0,"",INDIRECT("'Закуп'!F" &amp; B247))</f>
        <v/>
      </c>
      <c r="I247" s="120" t="n">
        <v>50</v>
      </c>
      <c r="J247" s="121">
        <f>K247/1.2</f>
        <v/>
      </c>
      <c r="K247" s="70" t="n">
        <v>1.07</v>
      </c>
      <c r="L247" s="122">
        <f>J247-C247-(J247-C247)*0.2</f>
        <v/>
      </c>
      <c r="M247" s="123">
        <f>L247*I247</f>
        <v/>
      </c>
      <c r="N247" s="124" t="inlineStr">
        <is>
          <t xml:space="preserve">50-90 шт - </t>
        </is>
      </c>
      <c r="O247" s="47" t="inlineStr">
        <is>
          <t xml:space="preserve"> руб / шт с НДС</t>
        </is>
      </c>
      <c r="P247" s="125">
        <f>ROUND(K247,2)</f>
        <v/>
      </c>
      <c r="Q247" s="207">
        <f>CONCATENATE(N247,P247,O247,)</f>
        <v/>
      </c>
      <c r="R247" s="235">
        <f>INDIRECT("'Закуп'!k" &amp; A247)</f>
        <v/>
      </c>
      <c r="S247" s="239">
        <f>INDIRECT("'Закуп'!o" &amp; A247)</f>
        <v/>
      </c>
      <c r="T247" s="226">
        <f>INDIRECT("'Закуп'!p" &amp; A247)</f>
        <v/>
      </c>
      <c r="U247" s="235">
        <f>INDIRECT("'Закуп'!v" &amp; A247)</f>
        <v/>
      </c>
      <c r="V247" s="222">
        <f>INDIRECT("'Закуп'!w" &amp; A247)</f>
        <v/>
      </c>
      <c r="W247" s="229">
        <f>INDIRECT("'Закуп'!H" &amp; A247)</f>
        <v/>
      </c>
      <c r="X247" s="237">
        <f>INDIRECT("'Закуп'!g" &amp; A247)</f>
        <v/>
      </c>
      <c r="Y247" s="229">
        <f>INDIRECT("'Закуп'!i" &amp; A247)</f>
        <v/>
      </c>
      <c r="Z247" s="236">
        <f>INDIRECT("'Закуп'!x" &amp; A247)</f>
        <v/>
      </c>
      <c r="AA247" s="237">
        <f>INDIRECT("'Закуп'!y" &amp; A247)</f>
        <v/>
      </c>
      <c r="AB247" s="238">
        <f>INDIRECT("'Закуп'!z" &amp; A247)</f>
        <v/>
      </c>
      <c r="AC247" s="223">
        <f>SUBSTITUTE(INDEX(F:F, ROUNDUP((ROW(A246))/5,0)*5 - 3), "х", "x")</f>
        <v/>
      </c>
      <c r="AD247" s="222">
        <f>SUBSTITUTE(INDEX(F:F, ROUNDUP((ROW(A246))/5,0)*5 - 3), "х", "x") &amp; " - " &amp; SUBSTITUTE(SUBSTITUTE(INDEX(F:F, ROUNDUP((ROW(A246))/5,0)*5 - 3), "х", "*"), "x", "*") &amp; " мм"</f>
        <v/>
      </c>
    </row>
    <row r="248">
      <c r="B248" s="42" t="n">
        <v>51</v>
      </c>
      <c r="C248" s="118">
        <f>INDIRECT("'Закуп'!A" &amp; B248)</f>
        <v/>
      </c>
      <c r="D248" s="119">
        <f>C248*1.2</f>
        <v/>
      </c>
      <c r="G248" s="172">
        <f>IF(INDIRECT("'Закуп'!L" &amp; B248)="Sale","Sale","")</f>
        <v/>
      </c>
      <c r="H248" s="158">
        <f>IF(INDIRECT("'Закуп'!F" &amp; B248)=0,"",INDIRECT("'Закуп'!F" &amp; B248))</f>
        <v/>
      </c>
      <c r="I248" s="120" t="n">
        <v>100</v>
      </c>
      <c r="J248" s="121">
        <f>K248/1.2</f>
        <v/>
      </c>
      <c r="K248" s="70" t="n">
        <v>0.91</v>
      </c>
      <c r="L248" s="122">
        <f>J248-C248-(J248-C248)*0.2</f>
        <v/>
      </c>
      <c r="M248" s="123">
        <f>L248*I248</f>
        <v/>
      </c>
      <c r="N248" s="124" t="inlineStr">
        <is>
          <t xml:space="preserve">100-290 шт - </t>
        </is>
      </c>
      <c r="O248" s="47" t="inlineStr">
        <is>
          <t xml:space="preserve"> руб / шт с НДС</t>
        </is>
      </c>
      <c r="P248" s="125">
        <f>ROUND(K248,2)</f>
        <v/>
      </c>
      <c r="Q248" s="207">
        <f>CONCATENATE(N248,P248,O248,)</f>
        <v/>
      </c>
      <c r="R248" s="240" t="n"/>
      <c r="T248" s="241" t="n"/>
      <c r="U248" s="240" t="n"/>
      <c r="V248" s="241" t="n"/>
      <c r="Z248" s="240" t="n"/>
      <c r="AB248" s="241" t="n"/>
      <c r="AC248" s="240" t="n"/>
      <c r="AD248" s="241" t="n"/>
    </row>
    <row r="249">
      <c r="B249" s="42" t="n">
        <v>51</v>
      </c>
      <c r="C249" s="118">
        <f>INDIRECT("'Закуп'!A" &amp; B249)</f>
        <v/>
      </c>
      <c r="D249" s="119">
        <f>C249*1.2</f>
        <v/>
      </c>
      <c r="G249" s="172">
        <f>IF(INDIRECT("'Закуп'!L" &amp; B249)="Sale","Sale","")</f>
        <v/>
      </c>
      <c r="H249" s="158">
        <f>IF(INDIRECT("'Закуп'!F" &amp; B249)=0,"",INDIRECT("'Закуп'!F" &amp; B249))</f>
        <v/>
      </c>
      <c r="I249" s="120" t="n">
        <v>300</v>
      </c>
      <c r="J249" s="121">
        <f>K249/1.2</f>
        <v/>
      </c>
      <c r="K249" s="70" t="n">
        <v>0.75</v>
      </c>
      <c r="L249" s="122">
        <f>J249-C249-(J249-C249)*0.2</f>
        <v/>
      </c>
      <c r="M249" s="123">
        <f>L249*I249</f>
        <v/>
      </c>
      <c r="N249" s="124" t="inlineStr">
        <is>
          <t xml:space="preserve">300-490 шт - </t>
        </is>
      </c>
      <c r="O249" s="47" t="inlineStr">
        <is>
          <t xml:space="preserve"> руб / шт с НДС</t>
        </is>
      </c>
      <c r="P249" s="125">
        <f>ROUND(K249,2)</f>
        <v/>
      </c>
      <c r="Q249" s="207">
        <f>CONCATENATE(N249,P249,O249,)</f>
        <v/>
      </c>
      <c r="R249" s="240" t="n"/>
      <c r="T249" s="241" t="n"/>
      <c r="U249" s="240" t="n"/>
      <c r="V249" s="241" t="n"/>
      <c r="Z249" s="240" t="n"/>
      <c r="AB249" s="241" t="n"/>
      <c r="AC249" s="240" t="n"/>
      <c r="AD249" s="241" t="n"/>
    </row>
    <row r="250">
      <c r="B250" s="42" t="n">
        <v>51</v>
      </c>
      <c r="C250" s="118">
        <f>INDIRECT("'Закуп'!A" &amp; B250)</f>
        <v/>
      </c>
      <c r="D250" s="119">
        <f>C250*1.2</f>
        <v/>
      </c>
      <c r="G250" s="172">
        <f>IF(INDIRECT("'Закуп'!L" &amp; B250)="Sale","Sale","")</f>
        <v/>
      </c>
      <c r="H250" s="158">
        <f>IF(INDIRECT("'Закуп'!F" &amp; B250)=0,"",INDIRECT("'Закуп'!F" &amp; B250))</f>
        <v/>
      </c>
      <c r="I250" s="120" t="n">
        <v>500</v>
      </c>
      <c r="J250" s="121">
        <f>K250/1.2</f>
        <v/>
      </c>
      <c r="K250" s="70" t="n">
        <v>0.64</v>
      </c>
      <c r="L250" s="122">
        <f>J250-C250-(J250-C250)*0.2</f>
        <v/>
      </c>
      <c r="M250" s="123">
        <f>L250*I250</f>
        <v/>
      </c>
      <c r="N250" s="124" t="inlineStr">
        <is>
          <t xml:space="preserve">500-990 шт - </t>
        </is>
      </c>
      <c r="O250" s="47" t="inlineStr">
        <is>
          <t xml:space="preserve"> руб / шт с НДС</t>
        </is>
      </c>
      <c r="P250" s="125">
        <f>ROUND(K250,2)</f>
        <v/>
      </c>
      <c r="Q250" s="207">
        <f>CONCATENATE(N250,P250,O250,)</f>
        <v/>
      </c>
      <c r="R250" s="240" t="n"/>
      <c r="T250" s="241" t="n"/>
      <c r="U250" s="240" t="n"/>
      <c r="V250" s="241" t="n"/>
      <c r="Z250" s="240" t="n"/>
      <c r="AB250" s="241" t="n"/>
      <c r="AC250" s="240" t="n"/>
      <c r="AD250" s="241" t="n"/>
    </row>
    <row r="251">
      <c r="B251" s="42" t="n">
        <v>51</v>
      </c>
      <c r="C251" s="118">
        <f>INDIRECT("'Закуп'!A" &amp; B251)</f>
        <v/>
      </c>
      <c r="D251" s="119">
        <f>C251*1.2</f>
        <v/>
      </c>
      <c r="G251" s="172">
        <f>IF(INDIRECT("'Закуп'!L" &amp; B251)="Sale","Sale","")</f>
        <v/>
      </c>
      <c r="H251" s="158">
        <f>IF(INDIRECT("'Закуп'!F" &amp; B251)=0,"",INDIRECT("'Закуп'!F" &amp; B251))</f>
        <v/>
      </c>
      <c r="I251" s="120" t="n">
        <v>1000</v>
      </c>
      <c r="J251" s="121">
        <f>K251/1.2</f>
        <v/>
      </c>
      <c r="K251" s="70" t="n">
        <v>0.54</v>
      </c>
      <c r="L251" s="122">
        <f>J251-C251-(J251-C251)*0.2</f>
        <v/>
      </c>
      <c r="M251" s="123">
        <f>L251*I251</f>
        <v/>
      </c>
      <c r="N251" s="124" t="inlineStr">
        <is>
          <t xml:space="preserve">1000 + шт - </t>
        </is>
      </c>
      <c r="O251" s="47" t="inlineStr">
        <is>
          <t xml:space="preserve"> руб / шт с НДС</t>
        </is>
      </c>
      <c r="P251" s="125">
        <f>ROUND(K251,2)</f>
        <v/>
      </c>
      <c r="Q251" s="207">
        <f>CONCATENATE(N251,P251,O251,)</f>
        <v/>
      </c>
      <c r="R251" s="240" t="n"/>
      <c r="T251" s="241" t="n"/>
      <c r="U251" s="240" t="n"/>
      <c r="V251" s="241" t="n"/>
      <c r="Z251" s="240" t="n"/>
      <c r="AB251" s="241" t="n"/>
      <c r="AC251" s="240" t="n"/>
      <c r="AD251" s="241" t="n"/>
    </row>
    <row r="252">
      <c r="A252" s="232" t="n">
        <v>52</v>
      </c>
      <c r="B252" s="42" t="n">
        <v>52</v>
      </c>
      <c r="C252" s="118">
        <f>INDIRECT("'Закуп'!A" &amp; B252)</f>
        <v/>
      </c>
      <c r="D252" s="119">
        <f>C252*1.2</f>
        <v/>
      </c>
      <c r="E252" s="224">
        <f>INDIRECT("'Закуп'!D" &amp; A252)</f>
        <v/>
      </c>
      <c r="F252" s="231">
        <f>INDIRECT("'Закуп'!E" &amp; B252)</f>
        <v/>
      </c>
      <c r="G252" s="172">
        <f>IF(INDIRECT("'Закуп'!L" &amp; B252)="Sale","Sale","")</f>
        <v/>
      </c>
      <c r="H252" s="158">
        <f>IF(INDIRECT("'Закуп'!F" &amp; B252)=0,"",INDIRECT("'Закуп'!F" &amp; B252))</f>
        <v/>
      </c>
      <c r="I252" s="120" t="n">
        <v>50</v>
      </c>
      <c r="J252" s="121">
        <f>K252/1.2</f>
        <v/>
      </c>
      <c r="K252" s="70" t="n">
        <v>1.07</v>
      </c>
      <c r="L252" s="122">
        <f>J252-C252-(J252-C252)*0.2</f>
        <v/>
      </c>
      <c r="M252" s="123">
        <f>L252*I252</f>
        <v/>
      </c>
      <c r="N252" s="124" t="inlineStr">
        <is>
          <t xml:space="preserve">50-90 шт - </t>
        </is>
      </c>
      <c r="O252" s="47" t="inlineStr">
        <is>
          <t xml:space="preserve"> руб / шт с НДС</t>
        </is>
      </c>
      <c r="P252" s="125">
        <f>ROUND(K252,2)</f>
        <v/>
      </c>
      <c r="Q252" s="207">
        <f>CONCATENATE(N252,P252,O252,)</f>
        <v/>
      </c>
      <c r="R252" s="235">
        <f>INDIRECT("'Закуп'!k" &amp; A252)</f>
        <v/>
      </c>
      <c r="S252" s="239">
        <f>INDIRECT("'Закуп'!o" &amp; A252)</f>
        <v/>
      </c>
      <c r="T252" s="226">
        <f>INDIRECT("'Закуп'!p" &amp; A252)</f>
        <v/>
      </c>
      <c r="U252" s="235">
        <f>INDIRECT("'Закуп'!v" &amp; A252)</f>
        <v/>
      </c>
      <c r="V252" s="222">
        <f>INDIRECT("'Закуп'!w" &amp; A252)</f>
        <v/>
      </c>
      <c r="W252" s="229">
        <f>INDIRECT("'Закуп'!H" &amp; A252)</f>
        <v/>
      </c>
      <c r="X252" s="237">
        <f>INDIRECT("'Закуп'!g" &amp; A252)</f>
        <v/>
      </c>
      <c r="Y252" s="229">
        <f>INDIRECT("'Закуп'!i" &amp; A252)</f>
        <v/>
      </c>
      <c r="Z252" s="236">
        <f>INDIRECT("'Закуп'!x" &amp; A252)</f>
        <v/>
      </c>
      <c r="AA252" s="237">
        <f>INDIRECT("'Закуп'!y" &amp; A252)</f>
        <v/>
      </c>
      <c r="AB252" s="238">
        <f>INDIRECT("'Закуп'!z" &amp; A252)</f>
        <v/>
      </c>
      <c r="AC252" s="223">
        <f>SUBSTITUTE(INDEX(F:F, ROUNDUP((ROW(A251))/5,0)*5 - 3), "х", "x")</f>
        <v/>
      </c>
      <c r="AD252" s="222">
        <f>SUBSTITUTE(INDEX(F:F, ROUNDUP((ROW(A251))/5,0)*5 - 3), "х", "x") &amp; " - " &amp; SUBSTITUTE(SUBSTITUTE(INDEX(F:F, ROUNDUP((ROW(A251))/5,0)*5 - 3), "х", "*"), "x", "*") &amp; " мм"</f>
        <v/>
      </c>
    </row>
    <row r="253">
      <c r="B253" s="42" t="n">
        <v>52</v>
      </c>
      <c r="C253" s="118">
        <f>INDIRECT("'Закуп'!A" &amp; B253)</f>
        <v/>
      </c>
      <c r="D253" s="119">
        <f>C253*1.2</f>
        <v/>
      </c>
      <c r="G253" s="172">
        <f>IF(INDIRECT("'Закуп'!L" &amp; B253)="Sale","Sale","")</f>
        <v/>
      </c>
      <c r="H253" s="158">
        <f>IF(INDIRECT("'Закуп'!F" &amp; B253)=0,"",INDIRECT("'Закуп'!F" &amp; B253))</f>
        <v/>
      </c>
      <c r="I253" s="120" t="n">
        <v>100</v>
      </c>
      <c r="J253" s="121">
        <f>K253/1.2</f>
        <v/>
      </c>
      <c r="K253" s="70" t="n">
        <v>0.96</v>
      </c>
      <c r="L253" s="122">
        <f>J253-C253-(J253-C253)*0.2</f>
        <v/>
      </c>
      <c r="M253" s="123">
        <f>L253*I253</f>
        <v/>
      </c>
      <c r="N253" s="124" t="inlineStr">
        <is>
          <t xml:space="preserve">100-290 шт - </t>
        </is>
      </c>
      <c r="O253" s="47" t="inlineStr">
        <is>
          <t xml:space="preserve"> руб / шт с НДС</t>
        </is>
      </c>
      <c r="P253" s="125">
        <f>ROUND(K253,2)</f>
        <v/>
      </c>
      <c r="Q253" s="207">
        <f>CONCATENATE(N253,P253,O253,)</f>
        <v/>
      </c>
      <c r="R253" s="240" t="n"/>
      <c r="T253" s="241" t="n"/>
      <c r="U253" s="240" t="n"/>
      <c r="V253" s="241" t="n"/>
      <c r="Z253" s="240" t="n"/>
      <c r="AB253" s="241" t="n"/>
      <c r="AC253" s="240" t="n"/>
      <c r="AD253" s="241" t="n"/>
    </row>
    <row r="254">
      <c r="B254" s="42" t="n">
        <v>52</v>
      </c>
      <c r="C254" s="118">
        <f>INDIRECT("'Закуп'!A" &amp; B254)</f>
        <v/>
      </c>
      <c r="D254" s="119">
        <f>C254*1.2</f>
        <v/>
      </c>
      <c r="G254" s="172">
        <f>IF(INDIRECT("'Закуп'!L" &amp; B254)="Sale","Sale","")</f>
        <v/>
      </c>
      <c r="H254" s="158">
        <f>IF(INDIRECT("'Закуп'!F" &amp; B254)=0,"",INDIRECT("'Закуп'!F" &amp; B254))</f>
        <v/>
      </c>
      <c r="I254" s="120" t="n">
        <v>300</v>
      </c>
      <c r="J254" s="121">
        <f>K254/1.2</f>
        <v/>
      </c>
      <c r="K254" s="70" t="n">
        <v>0.86</v>
      </c>
      <c r="L254" s="122">
        <f>J254-C254-(J254-C254)*0.2</f>
        <v/>
      </c>
      <c r="M254" s="123">
        <f>L254*I254</f>
        <v/>
      </c>
      <c r="N254" s="124" t="inlineStr">
        <is>
          <t xml:space="preserve">300-490 шт - </t>
        </is>
      </c>
      <c r="O254" s="47" t="inlineStr">
        <is>
          <t xml:space="preserve"> руб / шт с НДС</t>
        </is>
      </c>
      <c r="P254" s="125">
        <f>ROUND(K254,2)</f>
        <v/>
      </c>
      <c r="Q254" s="207">
        <f>CONCATENATE(N254,P254,O254,)</f>
        <v/>
      </c>
      <c r="R254" s="240" t="n"/>
      <c r="T254" s="241" t="n"/>
      <c r="U254" s="240" t="n"/>
      <c r="V254" s="241" t="n"/>
      <c r="Z254" s="240" t="n"/>
      <c r="AB254" s="241" t="n"/>
      <c r="AC254" s="240" t="n"/>
      <c r="AD254" s="241" t="n"/>
    </row>
    <row r="255">
      <c r="B255" s="42" t="n">
        <v>52</v>
      </c>
      <c r="C255" s="118">
        <f>INDIRECT("'Закуп'!A" &amp; B255)</f>
        <v/>
      </c>
      <c r="D255" s="119">
        <f>C255*1.2</f>
        <v/>
      </c>
      <c r="G255" s="172">
        <f>IF(INDIRECT("'Закуп'!L" &amp; B255)="Sale","Sale","")</f>
        <v/>
      </c>
      <c r="H255" s="158">
        <f>IF(INDIRECT("'Закуп'!F" &amp; B255)=0,"",INDIRECT("'Закуп'!F" &amp; B255))</f>
        <v/>
      </c>
      <c r="I255" s="120" t="n">
        <v>500</v>
      </c>
      <c r="J255" s="121">
        <f>K255/1.2</f>
        <v/>
      </c>
      <c r="K255" s="70" t="n">
        <v>0.75</v>
      </c>
      <c r="L255" s="122">
        <f>J255-C255-(J255-C255)*0.2</f>
        <v/>
      </c>
      <c r="M255" s="123">
        <f>L255*I255</f>
        <v/>
      </c>
      <c r="N255" s="124" t="inlineStr">
        <is>
          <t xml:space="preserve">500-990 шт - </t>
        </is>
      </c>
      <c r="O255" s="47" t="inlineStr">
        <is>
          <t xml:space="preserve"> руб / шт с НДС</t>
        </is>
      </c>
      <c r="P255" s="125">
        <f>ROUND(K255,2)</f>
        <v/>
      </c>
      <c r="Q255" s="207">
        <f>CONCATENATE(N255,P255,O255,)</f>
        <v/>
      </c>
      <c r="R255" s="240" t="n"/>
      <c r="T255" s="241" t="n"/>
      <c r="U255" s="240" t="n"/>
      <c r="V255" s="241" t="n"/>
      <c r="Z255" s="240" t="n"/>
      <c r="AB255" s="241" t="n"/>
      <c r="AC255" s="240" t="n"/>
      <c r="AD255" s="241" t="n"/>
    </row>
    <row r="256">
      <c r="B256" s="42" t="n">
        <v>52</v>
      </c>
      <c r="C256" s="118">
        <f>INDIRECT("'Закуп'!A" &amp; B256)</f>
        <v/>
      </c>
      <c r="D256" s="119">
        <f>C256*1.2</f>
        <v/>
      </c>
      <c r="G256" s="172">
        <f>IF(INDIRECT("'Закуп'!L" &amp; B256)="Sale","Sale","")</f>
        <v/>
      </c>
      <c r="H256" s="158">
        <f>IF(INDIRECT("'Закуп'!F" &amp; B256)=0,"",INDIRECT("'Закуп'!F" &amp; B256))</f>
        <v/>
      </c>
      <c r="I256" s="120" t="n">
        <v>1000</v>
      </c>
      <c r="J256" s="121">
        <f>K256/1.2</f>
        <v/>
      </c>
      <c r="K256" s="70" t="n">
        <v>0.64</v>
      </c>
      <c r="L256" s="122">
        <f>J256-C256-(J256-C256)*0.2</f>
        <v/>
      </c>
      <c r="M256" s="123">
        <f>L256*I256</f>
        <v/>
      </c>
      <c r="N256" s="124" t="inlineStr">
        <is>
          <t xml:space="preserve">1000 + шт - </t>
        </is>
      </c>
      <c r="O256" s="47" t="inlineStr">
        <is>
          <t xml:space="preserve"> руб / шт с НДС</t>
        </is>
      </c>
      <c r="P256" s="125">
        <f>ROUND(K256,2)</f>
        <v/>
      </c>
      <c r="Q256" s="207">
        <f>CONCATENATE(N256,P256,O256,)</f>
        <v/>
      </c>
      <c r="R256" s="240" t="n"/>
      <c r="T256" s="241" t="n"/>
      <c r="U256" s="240" t="n"/>
      <c r="V256" s="241" t="n"/>
      <c r="Z256" s="240" t="n"/>
      <c r="AB256" s="241" t="n"/>
      <c r="AC256" s="240" t="n"/>
      <c r="AD256" s="241" t="n"/>
    </row>
    <row r="257">
      <c r="A257" s="232" t="n">
        <v>53</v>
      </c>
      <c r="B257" s="42" t="n">
        <v>53</v>
      </c>
      <c r="C257" s="118">
        <f>INDIRECT("'Закуп'!A" &amp; B257)</f>
        <v/>
      </c>
      <c r="D257" s="119">
        <f>C257*1.2</f>
        <v/>
      </c>
      <c r="E257" s="224">
        <f>INDIRECT("'Закуп'!D" &amp; A257)</f>
        <v/>
      </c>
      <c r="F257" s="231">
        <f>INDIRECT("'Закуп'!E" &amp; B257)</f>
        <v/>
      </c>
      <c r="G257" s="172">
        <f>IF(INDIRECT("'Закуп'!L" &amp; B257)="Sale","Sale","")</f>
        <v/>
      </c>
      <c r="H257" s="158">
        <f>IF(INDIRECT("'Закуп'!F" &amp; B257)=0,"",INDIRECT("'Закуп'!F" &amp; B257))</f>
        <v/>
      </c>
      <c r="I257" s="120" t="n">
        <v>50</v>
      </c>
      <c r="J257" s="121">
        <f>K257/1.2</f>
        <v/>
      </c>
      <c r="K257" s="70" t="n">
        <v>1.03</v>
      </c>
      <c r="L257" s="122">
        <f>J257-C257-(J257-C257)*0.2</f>
        <v/>
      </c>
      <c r="M257" s="123">
        <f>L257*I257</f>
        <v/>
      </c>
      <c r="N257" s="124" t="inlineStr">
        <is>
          <t xml:space="preserve">50-90 шт - </t>
        </is>
      </c>
      <c r="O257" s="47" t="inlineStr">
        <is>
          <t xml:space="preserve"> руб / шт с НДС</t>
        </is>
      </c>
      <c r="P257" s="125">
        <f>ROUND(K257,2)</f>
        <v/>
      </c>
      <c r="Q257" s="207">
        <f>CONCATENATE(N257,P257,O257,)</f>
        <v/>
      </c>
      <c r="R257" s="235">
        <f>INDIRECT("'Закуп'!k" &amp; A257)</f>
        <v/>
      </c>
      <c r="S257" s="239">
        <f>INDIRECT("'Закуп'!o" &amp; A257)</f>
        <v/>
      </c>
      <c r="T257" s="226">
        <f>INDIRECT("'Закуп'!p" &amp; A257)</f>
        <v/>
      </c>
      <c r="U257" s="235">
        <f>INDIRECT("'Закуп'!v" &amp; A257)</f>
        <v/>
      </c>
      <c r="V257" s="222">
        <f>INDIRECT("'Закуп'!w" &amp; A257)</f>
        <v/>
      </c>
      <c r="W257" s="229">
        <f>INDIRECT("'Закуп'!H" &amp; A257)</f>
        <v/>
      </c>
      <c r="X257" s="237">
        <f>INDIRECT("'Закуп'!g" &amp; A257)</f>
        <v/>
      </c>
      <c r="Y257" s="229">
        <f>INDIRECT("'Закуп'!i" &amp; A257)</f>
        <v/>
      </c>
      <c r="Z257" s="236">
        <f>INDIRECT("'Закуп'!x" &amp; A257)</f>
        <v/>
      </c>
      <c r="AA257" s="237">
        <f>INDIRECT("'Закуп'!y" &amp; A257)</f>
        <v/>
      </c>
      <c r="AB257" s="238">
        <f>INDIRECT("'Закуп'!z" &amp; A257)</f>
        <v/>
      </c>
      <c r="AC257" s="223">
        <f>SUBSTITUTE(INDEX(F:F, ROUNDUP((ROW(A256))/5,0)*5 - 3), "х", "x")</f>
        <v/>
      </c>
      <c r="AD257" s="222">
        <f>SUBSTITUTE(INDEX(F:F, ROUNDUP((ROW(A256))/5,0)*5 - 3), "х", "x") &amp; " - " &amp; SUBSTITUTE(SUBSTITUTE(INDEX(F:F, ROUNDUP((ROW(A256))/5,0)*5 - 3), "х", "*"), "x", "*") &amp; " мм"</f>
        <v/>
      </c>
    </row>
    <row r="258">
      <c r="B258" s="42" t="n">
        <v>53</v>
      </c>
      <c r="C258" s="118">
        <f>INDIRECT("'Закуп'!A" &amp; B258)</f>
        <v/>
      </c>
      <c r="D258" s="119">
        <f>C258*1.2</f>
        <v/>
      </c>
      <c r="G258" s="172">
        <f>IF(INDIRECT("'Закуп'!L" &amp; B258)="Sale","Sale","")</f>
        <v/>
      </c>
      <c r="H258" s="158">
        <f>IF(INDIRECT("'Закуп'!F" &amp; B258)=0,"",INDIRECT("'Закуп'!F" &amp; B258))</f>
        <v/>
      </c>
      <c r="I258" s="120" t="n">
        <v>100</v>
      </c>
      <c r="J258" s="121">
        <f>K258/1.2</f>
        <v/>
      </c>
      <c r="K258" s="70" t="n">
        <v>0.89</v>
      </c>
      <c r="L258" s="122">
        <f>J258-C258-(J258-C258)*0.2</f>
        <v/>
      </c>
      <c r="M258" s="123">
        <f>L258*I258</f>
        <v/>
      </c>
      <c r="N258" s="124" t="inlineStr">
        <is>
          <t xml:space="preserve">100-290 шт - </t>
        </is>
      </c>
      <c r="O258" s="47" t="inlineStr">
        <is>
          <t xml:space="preserve"> руб / шт с НДС</t>
        </is>
      </c>
      <c r="P258" s="125">
        <f>ROUND(K258,2)</f>
        <v/>
      </c>
      <c r="Q258" s="207">
        <f>CONCATENATE(N258,P258,O258,)</f>
        <v/>
      </c>
      <c r="R258" s="240" t="n"/>
      <c r="T258" s="241" t="n"/>
      <c r="U258" s="240" t="n"/>
      <c r="V258" s="241" t="n"/>
      <c r="Z258" s="240" t="n"/>
      <c r="AB258" s="241" t="n"/>
      <c r="AC258" s="240" t="n"/>
      <c r="AD258" s="241" t="n"/>
    </row>
    <row r="259">
      <c r="B259" s="42" t="n">
        <v>53</v>
      </c>
      <c r="C259" s="118">
        <f>INDIRECT("'Закуп'!A" &amp; B259)</f>
        <v/>
      </c>
      <c r="D259" s="119">
        <f>C259*1.2</f>
        <v/>
      </c>
      <c r="G259" s="172">
        <f>IF(INDIRECT("'Закуп'!L" &amp; B259)="Sale","Sale","")</f>
        <v/>
      </c>
      <c r="H259" s="158">
        <f>IF(INDIRECT("'Закуп'!F" &amp; B259)=0,"",INDIRECT("'Закуп'!F" &amp; B259))</f>
        <v/>
      </c>
      <c r="I259" s="120" t="n">
        <v>300</v>
      </c>
      <c r="J259" s="121">
        <f>K259/1.2</f>
        <v/>
      </c>
      <c r="K259" s="70" t="n">
        <v>0.71</v>
      </c>
      <c r="L259" s="122">
        <f>J259-C259-(J259-C259)*0.2</f>
        <v/>
      </c>
      <c r="M259" s="123">
        <f>L259*I259</f>
        <v/>
      </c>
      <c r="N259" s="124" t="inlineStr">
        <is>
          <t xml:space="preserve">300-490 шт - </t>
        </is>
      </c>
      <c r="O259" s="47" t="inlineStr">
        <is>
          <t xml:space="preserve"> руб / шт с НДС</t>
        </is>
      </c>
      <c r="P259" s="125">
        <f>ROUND(K259,2)</f>
        <v/>
      </c>
      <c r="Q259" s="207">
        <f>CONCATENATE(N259,P259,O259,)</f>
        <v/>
      </c>
      <c r="R259" s="240" t="n"/>
      <c r="T259" s="241" t="n"/>
      <c r="U259" s="240" t="n"/>
      <c r="V259" s="241" t="n"/>
      <c r="Z259" s="240" t="n"/>
      <c r="AB259" s="241" t="n"/>
      <c r="AC259" s="240" t="n"/>
      <c r="AD259" s="241" t="n"/>
    </row>
    <row r="260">
      <c r="B260" s="42" t="n">
        <v>53</v>
      </c>
      <c r="C260" s="118">
        <f>INDIRECT("'Закуп'!A" &amp; B260)</f>
        <v/>
      </c>
      <c r="D260" s="119">
        <f>C260*1.2</f>
        <v/>
      </c>
      <c r="G260" s="172">
        <f>IF(INDIRECT("'Закуп'!L" &amp; B260)="Sale","Sale","")</f>
        <v/>
      </c>
      <c r="H260" s="158">
        <f>IF(INDIRECT("'Закуп'!F" &amp; B260)=0,"",INDIRECT("'Закуп'!F" &amp; B260))</f>
        <v/>
      </c>
      <c r="I260" s="120" t="n">
        <v>500</v>
      </c>
      <c r="J260" s="121">
        <f>K260/1.2</f>
        <v/>
      </c>
      <c r="K260" s="70" t="n">
        <v>0.65</v>
      </c>
      <c r="L260" s="122">
        <f>J260-C260-(J260-C260)*0.2</f>
        <v/>
      </c>
      <c r="M260" s="123">
        <f>L260*I260</f>
        <v/>
      </c>
      <c r="N260" s="124" t="inlineStr">
        <is>
          <t xml:space="preserve">500-990 шт - </t>
        </is>
      </c>
      <c r="O260" s="47" t="inlineStr">
        <is>
          <t xml:space="preserve"> руб / шт с НДС</t>
        </is>
      </c>
      <c r="P260" s="125">
        <f>ROUND(K260,2)</f>
        <v/>
      </c>
      <c r="Q260" s="207">
        <f>CONCATENATE(N260,P260,O260,)</f>
        <v/>
      </c>
      <c r="R260" s="240" t="n"/>
      <c r="T260" s="241" t="n"/>
      <c r="U260" s="240" t="n"/>
      <c r="V260" s="241" t="n"/>
      <c r="Z260" s="240" t="n"/>
      <c r="AB260" s="241" t="n"/>
      <c r="AC260" s="240" t="n"/>
      <c r="AD260" s="241" t="n"/>
    </row>
    <row r="261">
      <c r="B261" s="42" t="n">
        <v>53</v>
      </c>
      <c r="C261" s="118">
        <f>INDIRECT("'Закуп'!A" &amp; B261)</f>
        <v/>
      </c>
      <c r="D261" s="119">
        <f>C261*1.2</f>
        <v/>
      </c>
      <c r="G261" s="172">
        <f>IF(INDIRECT("'Закуп'!L" &amp; B261)="Sale","Sale","")</f>
        <v/>
      </c>
      <c r="H261" s="158">
        <f>IF(INDIRECT("'Закуп'!F" &amp; B261)=0,"",INDIRECT("'Закуп'!F" &amp; B261))</f>
        <v/>
      </c>
      <c r="I261" s="120" t="n">
        <v>1000</v>
      </c>
      <c r="J261" s="121">
        <f>K261/1.2</f>
        <v/>
      </c>
      <c r="K261" s="70" t="n">
        <v>0.5600000000000001</v>
      </c>
      <c r="L261" s="122">
        <f>J261-C261-(J261-C261)*0.2</f>
        <v/>
      </c>
      <c r="M261" s="123">
        <f>L261*I261</f>
        <v/>
      </c>
      <c r="N261" s="124" t="inlineStr">
        <is>
          <t xml:space="preserve">1000 + шт - </t>
        </is>
      </c>
      <c r="O261" s="47" t="inlineStr">
        <is>
          <t xml:space="preserve"> руб / шт с НДС</t>
        </is>
      </c>
      <c r="P261" s="125">
        <f>ROUND(K261,2)</f>
        <v/>
      </c>
      <c r="Q261" s="207">
        <f>CONCATENATE(N261,P261,O261,)</f>
        <v/>
      </c>
      <c r="R261" s="240" t="n"/>
      <c r="T261" s="241" t="n"/>
      <c r="U261" s="240" t="n"/>
      <c r="V261" s="241" t="n"/>
      <c r="Z261" s="240" t="n"/>
      <c r="AB261" s="241" t="n"/>
      <c r="AC261" s="240" t="n"/>
      <c r="AD261" s="241" t="n"/>
    </row>
    <row r="262">
      <c r="A262" s="232" t="n">
        <v>54</v>
      </c>
      <c r="B262" s="42" t="n">
        <v>54</v>
      </c>
      <c r="C262" s="118">
        <f>INDIRECT("'Закуп'!A" &amp; B262)</f>
        <v/>
      </c>
      <c r="D262" s="119">
        <f>C262*1.2</f>
        <v/>
      </c>
      <c r="E262" s="224">
        <f>INDIRECT("'Закуп'!D" &amp; A262)</f>
        <v/>
      </c>
      <c r="F262" s="231">
        <f>INDIRECT("'Закуп'!E" &amp; B262)</f>
        <v/>
      </c>
      <c r="G262" s="172">
        <f>IF(INDIRECT("'Закуп'!L" &amp; B262)="Sale","Sale","")</f>
        <v/>
      </c>
      <c r="H262" s="158">
        <f>IF(INDIRECT("'Закуп'!F" &amp; B262)=0,"",INDIRECT("'Закуп'!F" &amp; B262))</f>
        <v/>
      </c>
      <c r="I262" s="120" t="n">
        <v>50</v>
      </c>
      <c r="J262" s="121">
        <f>K262/1.2</f>
        <v/>
      </c>
      <c r="K262" s="70" t="n">
        <v>1.24</v>
      </c>
      <c r="L262" s="122">
        <f>J262-C262-(J262-C262)*0.2</f>
        <v/>
      </c>
      <c r="M262" s="123">
        <f>L262*I262</f>
        <v/>
      </c>
      <c r="N262" s="124" t="inlineStr">
        <is>
          <t xml:space="preserve">50-90 шт - </t>
        </is>
      </c>
      <c r="O262" s="47" t="inlineStr">
        <is>
          <t xml:space="preserve"> руб / шт с НДС</t>
        </is>
      </c>
      <c r="P262" s="125">
        <f>ROUND(K262,2)</f>
        <v/>
      </c>
      <c r="Q262" s="207">
        <f>CONCATENATE(N262,P262,O262,)</f>
        <v/>
      </c>
      <c r="R262" s="235">
        <f>INDIRECT("'Закуп'!k" &amp; A262)</f>
        <v/>
      </c>
      <c r="S262" s="239">
        <f>INDIRECT("'Закуп'!o" &amp; A262)</f>
        <v/>
      </c>
      <c r="T262" s="226">
        <f>INDIRECT("'Закуп'!p" &amp; A262)</f>
        <v/>
      </c>
      <c r="U262" s="235">
        <f>INDIRECT("'Закуп'!v" &amp; A262)</f>
        <v/>
      </c>
      <c r="V262" s="222">
        <f>INDIRECT("'Закуп'!w" &amp; A262)</f>
        <v/>
      </c>
      <c r="W262" s="229">
        <f>INDIRECT("'Закуп'!H" &amp; A262)</f>
        <v/>
      </c>
      <c r="X262" s="237">
        <f>INDIRECT("'Закуп'!g" &amp; A262)</f>
        <v/>
      </c>
      <c r="Y262" s="229">
        <f>INDIRECT("'Закуп'!i" &amp; A262)</f>
        <v/>
      </c>
      <c r="Z262" s="236">
        <f>INDIRECT("'Закуп'!x" &amp; A262)</f>
        <v/>
      </c>
      <c r="AA262" s="237">
        <f>INDIRECT("'Закуп'!y" &amp; A262)</f>
        <v/>
      </c>
      <c r="AB262" s="238">
        <f>INDIRECT("'Закуп'!z" &amp; A262)</f>
        <v/>
      </c>
      <c r="AC262" s="223">
        <f>SUBSTITUTE(INDEX(F:F, ROUNDUP((ROW(A261))/5,0)*5 - 3), "х", "x")</f>
        <v/>
      </c>
      <c r="AD262" s="222">
        <f>SUBSTITUTE(INDEX(F:F, ROUNDUP((ROW(A261))/5,0)*5 - 3), "х", "x") &amp; " - " &amp; SUBSTITUTE(SUBSTITUTE(INDEX(F:F, ROUNDUP((ROW(A261))/5,0)*5 - 3), "х", "*"), "x", "*") &amp; " мм"</f>
        <v/>
      </c>
    </row>
    <row r="263">
      <c r="B263" s="42" t="n">
        <v>54</v>
      </c>
      <c r="C263" s="118">
        <f>INDIRECT("'Закуп'!A" &amp; B263)</f>
        <v/>
      </c>
      <c r="D263" s="119">
        <f>C263*1.2</f>
        <v/>
      </c>
      <c r="G263" s="172">
        <f>IF(INDIRECT("'Закуп'!L" &amp; B263)="Sale","Sale","")</f>
        <v/>
      </c>
      <c r="H263" s="158">
        <f>IF(INDIRECT("'Закуп'!F" &amp; B263)=0,"",INDIRECT("'Закуп'!F" &amp; B263))</f>
        <v/>
      </c>
      <c r="I263" s="120" t="n">
        <v>100</v>
      </c>
      <c r="J263" s="121">
        <f>K263/1.2</f>
        <v/>
      </c>
      <c r="K263" s="70" t="n">
        <v>1.08</v>
      </c>
      <c r="L263" s="122">
        <f>J263-C263-(J263-C263)*0.2</f>
        <v/>
      </c>
      <c r="M263" s="123">
        <f>L263*I263</f>
        <v/>
      </c>
      <c r="N263" s="124" t="inlineStr">
        <is>
          <t xml:space="preserve">100-290 шт - </t>
        </is>
      </c>
      <c r="O263" s="47" t="inlineStr">
        <is>
          <t xml:space="preserve"> руб / шт с НДС</t>
        </is>
      </c>
      <c r="P263" s="125">
        <f>ROUND(K263,2)</f>
        <v/>
      </c>
      <c r="Q263" s="207">
        <f>CONCATENATE(N263,P263,O263,)</f>
        <v/>
      </c>
      <c r="R263" s="240" t="n"/>
      <c r="T263" s="241" t="n"/>
      <c r="U263" s="240" t="n"/>
      <c r="V263" s="241" t="n"/>
      <c r="Z263" s="240" t="n"/>
      <c r="AB263" s="241" t="n"/>
      <c r="AC263" s="240" t="n"/>
      <c r="AD263" s="241" t="n"/>
    </row>
    <row r="264">
      <c r="B264" s="42" t="n">
        <v>54</v>
      </c>
      <c r="C264" s="118">
        <f>INDIRECT("'Закуп'!A" &amp; B264)</f>
        <v/>
      </c>
      <c r="D264" s="119">
        <f>C264*1.2</f>
        <v/>
      </c>
      <c r="G264" s="172">
        <f>IF(INDIRECT("'Закуп'!L" &amp; B264)="Sale","Sale","")</f>
        <v/>
      </c>
      <c r="H264" s="158">
        <f>IF(INDIRECT("'Закуп'!F" &amp; B264)=0,"",INDIRECT("'Закуп'!F" &amp; B264))</f>
        <v/>
      </c>
      <c r="I264" s="120" t="n">
        <v>300</v>
      </c>
      <c r="J264" s="121">
        <f>K264/1.2</f>
        <v/>
      </c>
      <c r="K264" s="70" t="n">
        <v>0.92</v>
      </c>
      <c r="L264" s="122">
        <f>J264-C264-(J264-C264)*0.2</f>
        <v/>
      </c>
      <c r="M264" s="123">
        <f>L264*I264</f>
        <v/>
      </c>
      <c r="N264" s="124" t="inlineStr">
        <is>
          <t xml:space="preserve">300-490 шт - </t>
        </is>
      </c>
      <c r="O264" s="47" t="inlineStr">
        <is>
          <t xml:space="preserve"> руб / шт с НДС</t>
        </is>
      </c>
      <c r="P264" s="125">
        <f>ROUND(K264,2)</f>
        <v/>
      </c>
      <c r="Q264" s="207">
        <f>CONCATENATE(N264,P264,O264,)</f>
        <v/>
      </c>
      <c r="R264" s="240" t="n"/>
      <c r="T264" s="241" t="n"/>
      <c r="U264" s="240" t="n"/>
      <c r="V264" s="241" t="n"/>
      <c r="Z264" s="240" t="n"/>
      <c r="AB264" s="241" t="n"/>
      <c r="AC264" s="240" t="n"/>
      <c r="AD264" s="241" t="n"/>
    </row>
    <row r="265">
      <c r="B265" s="42" t="n">
        <v>54</v>
      </c>
      <c r="C265" s="118">
        <f>INDIRECT("'Закуп'!A" &amp; B265)</f>
        <v/>
      </c>
      <c r="D265" s="119">
        <f>C265*1.2</f>
        <v/>
      </c>
      <c r="G265" s="172">
        <f>IF(INDIRECT("'Закуп'!L" &amp; B265)="Sale","Sale","")</f>
        <v/>
      </c>
      <c r="H265" s="158">
        <f>IF(INDIRECT("'Закуп'!F" &amp; B265)=0,"",INDIRECT("'Закуп'!F" &amp; B265))</f>
        <v/>
      </c>
      <c r="I265" s="120" t="n">
        <v>500</v>
      </c>
      <c r="J265" s="121">
        <f>K265/1.2</f>
        <v/>
      </c>
      <c r="K265" s="70" t="n">
        <v>0.87</v>
      </c>
      <c r="L265" s="122">
        <f>J265-C265-(J265-C265)*0.2</f>
        <v/>
      </c>
      <c r="M265" s="123">
        <f>L265*I265</f>
        <v/>
      </c>
      <c r="N265" s="124" t="inlineStr">
        <is>
          <t xml:space="preserve">500-990 шт - </t>
        </is>
      </c>
      <c r="O265" s="47" t="inlineStr">
        <is>
          <t xml:space="preserve"> руб / шт с НДС</t>
        </is>
      </c>
      <c r="P265" s="125">
        <f>ROUND(K265,2)</f>
        <v/>
      </c>
      <c r="Q265" s="207">
        <f>CONCATENATE(N265,P265,O265,)</f>
        <v/>
      </c>
      <c r="R265" s="240" t="n"/>
      <c r="T265" s="241" t="n"/>
      <c r="U265" s="240" t="n"/>
      <c r="V265" s="241" t="n"/>
      <c r="Z265" s="240" t="n"/>
      <c r="AB265" s="241" t="n"/>
      <c r="AC265" s="240" t="n"/>
      <c r="AD265" s="241" t="n"/>
    </row>
    <row r="266">
      <c r="B266" s="42" t="n">
        <v>54</v>
      </c>
      <c r="C266" s="118">
        <f>INDIRECT("'Закуп'!A" &amp; B266)</f>
        <v/>
      </c>
      <c r="D266" s="119">
        <f>C266*1.2</f>
        <v/>
      </c>
      <c r="G266" s="172">
        <f>IF(INDIRECT("'Закуп'!L" &amp; B266)="Sale","Sale","")</f>
        <v/>
      </c>
      <c r="H266" s="158">
        <f>IF(INDIRECT("'Закуп'!F" &amp; B266)=0,"",INDIRECT("'Закуп'!F" &amp; B266))</f>
        <v/>
      </c>
      <c r="I266" s="120" t="n">
        <v>1000</v>
      </c>
      <c r="J266" s="121">
        <f>K266/1.2</f>
        <v/>
      </c>
      <c r="K266" s="70" t="n">
        <v>0.8</v>
      </c>
      <c r="L266" s="122">
        <f>J266-C266-(J266-C266)*0.2</f>
        <v/>
      </c>
      <c r="M266" s="123">
        <f>L266*I266</f>
        <v/>
      </c>
      <c r="N266" s="124" t="inlineStr">
        <is>
          <t xml:space="preserve">1000 + шт - </t>
        </is>
      </c>
      <c r="O266" s="47" t="inlineStr">
        <is>
          <t xml:space="preserve"> руб / шт с НДС</t>
        </is>
      </c>
      <c r="P266" s="125">
        <f>ROUND(K266,2)</f>
        <v/>
      </c>
      <c r="Q266" s="207">
        <f>CONCATENATE(N266,P266,O266,)</f>
        <v/>
      </c>
      <c r="R266" s="240" t="n"/>
      <c r="T266" s="241" t="n"/>
      <c r="U266" s="240" t="n"/>
      <c r="V266" s="241" t="n"/>
      <c r="Z266" s="240" t="n"/>
      <c r="AB266" s="241" t="n"/>
      <c r="AC266" s="240" t="n"/>
      <c r="AD266" s="241" t="n"/>
    </row>
    <row r="267">
      <c r="A267" s="232" t="n">
        <v>55</v>
      </c>
      <c r="B267" s="42" t="n">
        <v>55</v>
      </c>
      <c r="C267" s="118">
        <f>INDIRECT("'Закуп'!A" &amp; B267)</f>
        <v/>
      </c>
      <c r="D267" s="119">
        <f>C267*1.2</f>
        <v/>
      </c>
      <c r="E267" s="224">
        <f>INDIRECT("'Закуп'!D" &amp; A267)</f>
        <v/>
      </c>
      <c r="F267" s="231">
        <f>INDIRECT("'Закуп'!E" &amp; B267)</f>
        <v/>
      </c>
      <c r="G267" s="172">
        <f>IF(INDIRECT("'Закуп'!L" &amp; B267)="Sale","Sale","")</f>
        <v/>
      </c>
      <c r="H267" s="158">
        <f>IF(INDIRECT("'Закуп'!F" &amp; B267)=0,"",INDIRECT("'Закуп'!F" &amp; B267))</f>
        <v/>
      </c>
      <c r="I267" s="120" t="n">
        <v>50</v>
      </c>
      <c r="J267" s="121">
        <f>K267/1.2</f>
        <v/>
      </c>
      <c r="K267" s="242" t="n">
        <v>1.58</v>
      </c>
      <c r="L267" s="122">
        <f>J267-C267-(J267-C267)*0.2</f>
        <v/>
      </c>
      <c r="M267" s="123">
        <f>L267*I267</f>
        <v/>
      </c>
      <c r="N267" s="124" t="inlineStr">
        <is>
          <t xml:space="preserve">50-90 шт - </t>
        </is>
      </c>
      <c r="O267" s="47" t="inlineStr">
        <is>
          <t xml:space="preserve"> руб / шт с НДС</t>
        </is>
      </c>
      <c r="P267" s="125">
        <f>ROUND(K267,2)</f>
        <v/>
      </c>
      <c r="Q267" s="207">
        <f>CONCATENATE(N267,P267,O267,)</f>
        <v/>
      </c>
      <c r="R267" s="235">
        <f>INDIRECT("'Закуп'!k" &amp; A267)</f>
        <v/>
      </c>
      <c r="S267" s="239">
        <f>INDIRECT("'Закуп'!o" &amp; A267)</f>
        <v/>
      </c>
      <c r="T267" s="226">
        <f>INDIRECT("'Закуп'!p" &amp; A267)</f>
        <v/>
      </c>
      <c r="U267" s="235">
        <f>INDIRECT("'Закуп'!v" &amp; A267)</f>
        <v/>
      </c>
      <c r="V267" s="222">
        <f>INDIRECT("'Закуп'!w" &amp; A267)</f>
        <v/>
      </c>
      <c r="W267" s="229">
        <f>INDIRECT("'Закуп'!H" &amp; A267)</f>
        <v/>
      </c>
      <c r="X267" s="237">
        <f>INDIRECT("'Закуп'!g" &amp; A267)</f>
        <v/>
      </c>
      <c r="Y267" s="229">
        <f>INDIRECT("'Закуп'!i" &amp; A267)</f>
        <v/>
      </c>
      <c r="Z267" s="236">
        <f>INDIRECT("'Закуп'!x" &amp; A267)</f>
        <v/>
      </c>
      <c r="AA267" s="237">
        <f>INDIRECT("'Закуп'!y" &amp; A267)</f>
        <v/>
      </c>
      <c r="AB267" s="238">
        <f>INDIRECT("'Закуп'!z" &amp; A267)</f>
        <v/>
      </c>
      <c r="AC267" s="223">
        <f>SUBSTITUTE(INDEX(F:F, ROUNDUP((ROW(A266))/5,0)*5 - 3), "х", "x")</f>
        <v/>
      </c>
      <c r="AD267" s="222">
        <f>SUBSTITUTE(INDEX(F:F, ROUNDUP((ROW(A266))/5,0)*5 - 3), "х", "x") &amp; " - " &amp; SUBSTITUTE(SUBSTITUTE(INDEX(F:F, ROUNDUP((ROW(A266))/5,0)*5 - 3), "х", "*"), "x", "*") &amp; " мм"</f>
        <v/>
      </c>
      <c r="AE267" t="n">
        <v>1.39</v>
      </c>
    </row>
    <row r="268">
      <c r="B268" s="42" t="n">
        <v>55</v>
      </c>
      <c r="C268" s="118">
        <f>INDIRECT("'Закуп'!A" &amp; B268)</f>
        <v/>
      </c>
      <c r="D268" s="119">
        <f>C268*1.2</f>
        <v/>
      </c>
      <c r="G268" s="172">
        <f>IF(INDIRECT("'Закуп'!L" &amp; B268)="Sale","Sale","")</f>
        <v/>
      </c>
      <c r="H268" s="158">
        <f>IF(INDIRECT("'Закуп'!F" &amp; B268)=0,"",INDIRECT("'Закуп'!F" &amp; B268))</f>
        <v/>
      </c>
      <c r="I268" s="120" t="n">
        <v>100</v>
      </c>
      <c r="J268" s="121">
        <f>K268/1.2</f>
        <v/>
      </c>
      <c r="K268" s="242" t="n">
        <v>1.39</v>
      </c>
      <c r="L268" s="122">
        <f>J268-C268-(J268-C268)*0.2</f>
        <v/>
      </c>
      <c r="M268" s="123">
        <f>L268*I268</f>
        <v/>
      </c>
      <c r="N268" s="124" t="inlineStr">
        <is>
          <t xml:space="preserve">100-290 шт - </t>
        </is>
      </c>
      <c r="O268" s="47" t="inlineStr">
        <is>
          <t xml:space="preserve"> руб / шт с НДС</t>
        </is>
      </c>
      <c r="P268" s="125">
        <f>ROUND(K268,2)</f>
        <v/>
      </c>
      <c r="Q268" s="207">
        <f>CONCATENATE(N268,P268,O268,)</f>
        <v/>
      </c>
      <c r="R268" s="240" t="n"/>
      <c r="T268" s="241" t="n"/>
      <c r="U268" s="240" t="n"/>
      <c r="V268" s="241" t="n"/>
      <c r="Z268" s="240" t="n"/>
      <c r="AB268" s="241" t="n"/>
      <c r="AC268" s="240" t="n"/>
      <c r="AD268" s="241" t="n"/>
      <c r="AE268" t="n">
        <v>1.21</v>
      </c>
    </row>
    <row r="269">
      <c r="B269" s="42" t="n">
        <v>55</v>
      </c>
      <c r="C269" s="118">
        <f>INDIRECT("'Закуп'!A" &amp; B269)</f>
        <v/>
      </c>
      <c r="D269" s="119">
        <f>C269*1.2</f>
        <v/>
      </c>
      <c r="G269" s="172">
        <f>IF(INDIRECT("'Закуп'!L" &amp; B269)="Sale","Sale","")</f>
        <v/>
      </c>
      <c r="H269" s="158">
        <f>IF(INDIRECT("'Закуп'!F" &amp; B269)=0,"",INDIRECT("'Закуп'!F" &amp; B269))</f>
        <v/>
      </c>
      <c r="I269" s="120" t="n">
        <v>300</v>
      </c>
      <c r="J269" s="121">
        <f>K269/1.2</f>
        <v/>
      </c>
      <c r="K269" s="242" t="n">
        <v>1.21</v>
      </c>
      <c r="L269" s="122">
        <f>J269-C269-(J269-C269)*0.2</f>
        <v/>
      </c>
      <c r="M269" s="123">
        <f>L269*I269</f>
        <v/>
      </c>
      <c r="N269" s="124" t="inlineStr">
        <is>
          <t xml:space="preserve">300-490 шт - </t>
        </is>
      </c>
      <c r="O269" s="47" t="inlineStr">
        <is>
          <t xml:space="preserve"> руб / шт с НДС</t>
        </is>
      </c>
      <c r="P269" s="125">
        <f>ROUND(K269,2)</f>
        <v/>
      </c>
      <c r="Q269" s="207">
        <f>CONCATENATE(N269,P269,O269,)</f>
        <v/>
      </c>
      <c r="R269" s="240" t="n"/>
      <c r="T269" s="241" t="n"/>
      <c r="U269" s="240" t="n"/>
      <c r="V269" s="241" t="n"/>
      <c r="Z269" s="240" t="n"/>
      <c r="AB269" s="241" t="n"/>
      <c r="AC269" s="240" t="n"/>
      <c r="AD269" s="241" t="n"/>
      <c r="AE269" t="n">
        <v>1.03</v>
      </c>
    </row>
    <row r="270">
      <c r="B270" s="42" t="n">
        <v>55</v>
      </c>
      <c r="C270" s="118">
        <f>INDIRECT("'Закуп'!A" &amp; B270)</f>
        <v/>
      </c>
      <c r="D270" s="119">
        <f>C270*1.2</f>
        <v/>
      </c>
      <c r="G270" s="172">
        <f>IF(INDIRECT("'Закуп'!L" &amp; B270)="Sale","Sale","")</f>
        <v/>
      </c>
      <c r="H270" s="158">
        <f>IF(INDIRECT("'Закуп'!F" &amp; B270)=0,"",INDIRECT("'Закуп'!F" &amp; B270))</f>
        <v/>
      </c>
      <c r="I270" s="120" t="n">
        <v>500</v>
      </c>
      <c r="J270" s="121">
        <f>K270/1.2</f>
        <v/>
      </c>
      <c r="K270" s="242" t="n">
        <v>1.11</v>
      </c>
      <c r="L270" s="122">
        <f>J270-C270-(J270-C270)*0.2</f>
        <v/>
      </c>
      <c r="M270" s="123">
        <f>L270*I270</f>
        <v/>
      </c>
      <c r="N270" s="124" t="inlineStr">
        <is>
          <t xml:space="preserve">500-990 шт - </t>
        </is>
      </c>
      <c r="O270" s="47" t="inlineStr">
        <is>
          <t xml:space="preserve"> руб / шт с НДС</t>
        </is>
      </c>
      <c r="P270" s="125">
        <f>ROUND(K270,2)</f>
        <v/>
      </c>
      <c r="Q270" s="207">
        <f>CONCATENATE(N270,P270,O270,)</f>
        <v/>
      </c>
      <c r="R270" s="240" t="n"/>
      <c r="T270" s="241" t="n"/>
      <c r="U270" s="240" t="n"/>
      <c r="V270" s="241" t="n"/>
      <c r="Z270" s="240" t="n"/>
      <c r="AB270" s="241" t="n"/>
      <c r="AC270" s="240" t="n"/>
      <c r="AD270" s="241" t="n"/>
      <c r="AE270" t="n">
        <v>0.96</v>
      </c>
    </row>
    <row r="271">
      <c r="B271" s="42" t="n">
        <v>55</v>
      </c>
      <c r="C271" s="118">
        <f>INDIRECT("'Закуп'!A" &amp; B271)</f>
        <v/>
      </c>
      <c r="D271" s="119">
        <f>C271*1.2</f>
        <v/>
      </c>
      <c r="G271" s="172">
        <f>IF(INDIRECT("'Закуп'!L" &amp; B271)="Sale","Sale","")</f>
        <v/>
      </c>
      <c r="H271" s="158">
        <f>IF(INDIRECT("'Закуп'!F" &amp; B271)=0,"",INDIRECT("'Закуп'!F" &amp; B271))</f>
        <v/>
      </c>
      <c r="I271" s="120" t="n">
        <v>1000</v>
      </c>
      <c r="J271" s="121">
        <f>K271/1.2</f>
        <v/>
      </c>
      <c r="K271" s="242" t="n">
        <v>0.93</v>
      </c>
      <c r="L271" s="122">
        <f>J271-C271-(J271-C271)*0.2</f>
        <v/>
      </c>
      <c r="M271" s="123">
        <f>L271*I271</f>
        <v/>
      </c>
      <c r="N271" s="124" t="inlineStr">
        <is>
          <t xml:space="preserve">1000 + шт - </t>
        </is>
      </c>
      <c r="O271" s="47" t="inlineStr">
        <is>
          <t xml:space="preserve"> руб / шт с НДС</t>
        </is>
      </c>
      <c r="P271" s="125">
        <f>ROUND(K271,2)</f>
        <v/>
      </c>
      <c r="Q271" s="207">
        <f>CONCATENATE(N271,P271,O271,)</f>
        <v/>
      </c>
      <c r="R271" s="240" t="n"/>
      <c r="T271" s="241" t="n"/>
      <c r="U271" s="240" t="n"/>
      <c r="V271" s="241" t="n"/>
      <c r="Z271" s="240" t="n"/>
      <c r="AB271" s="241" t="n"/>
      <c r="AC271" s="240" t="n"/>
      <c r="AD271" s="241" t="n"/>
      <c r="AE271" t="n">
        <v>0.9</v>
      </c>
    </row>
    <row r="272">
      <c r="A272" s="232" t="n">
        <v>56</v>
      </c>
      <c r="B272" s="42" t="n">
        <v>56</v>
      </c>
      <c r="C272" s="118">
        <f>INDIRECT("'Закуп'!A" &amp; B272)</f>
        <v/>
      </c>
      <c r="D272" s="119">
        <f>C272*1.2</f>
        <v/>
      </c>
      <c r="E272" s="224">
        <f>INDIRECT("'Закуп'!D" &amp; A272)</f>
        <v/>
      </c>
      <c r="F272" s="231">
        <f>INDIRECT("'Закуп'!E" &amp; B272)</f>
        <v/>
      </c>
      <c r="G272" s="172">
        <f>IF(INDIRECT("'Закуп'!L" &amp; B272)="Sale","Sale","")</f>
        <v/>
      </c>
      <c r="H272" s="158">
        <f>IF(INDIRECT("'Закуп'!F" &amp; B272)=0,"",INDIRECT("'Закуп'!F" &amp; B272))</f>
        <v/>
      </c>
      <c r="I272" s="120" t="n">
        <v>50</v>
      </c>
      <c r="J272" s="121">
        <f>K272/1.2</f>
        <v/>
      </c>
      <c r="K272" s="70" t="n">
        <v>2.62</v>
      </c>
      <c r="L272" s="122">
        <f>J272-C272-(J272-C272)*0.2</f>
        <v/>
      </c>
      <c r="M272" s="123">
        <f>L272*I272</f>
        <v/>
      </c>
      <c r="N272" s="124" t="inlineStr">
        <is>
          <t xml:space="preserve">50-90 шт - </t>
        </is>
      </c>
      <c r="O272" s="47" t="inlineStr">
        <is>
          <t xml:space="preserve"> руб / шт с НДС</t>
        </is>
      </c>
      <c r="P272" s="125">
        <f>ROUND(K272,2)</f>
        <v/>
      </c>
      <c r="Q272" s="207">
        <f>CONCATENATE(N272,P272,O272,)</f>
        <v/>
      </c>
      <c r="R272" s="235">
        <f>INDIRECT("'Закуп'!k" &amp; A272)</f>
        <v/>
      </c>
      <c r="S272" s="239">
        <f>INDIRECT("'Закуп'!o" &amp; A272)</f>
        <v/>
      </c>
      <c r="T272" s="226">
        <f>INDIRECT("'Закуп'!p" &amp; A272)</f>
        <v/>
      </c>
      <c r="U272" s="235">
        <f>INDIRECT("'Закуп'!v" &amp; A272)</f>
        <v/>
      </c>
      <c r="V272" s="222">
        <f>INDIRECT("'Закуп'!w" &amp; A272)</f>
        <v/>
      </c>
      <c r="W272" s="229">
        <f>INDIRECT("'Закуп'!H" &amp; A272)</f>
        <v/>
      </c>
      <c r="X272" s="237">
        <f>INDIRECT("'Закуп'!g" &amp; A272)</f>
        <v/>
      </c>
      <c r="Y272" s="229">
        <f>INDIRECT("'Закуп'!i" &amp; A272)</f>
        <v/>
      </c>
      <c r="Z272" s="236">
        <f>INDIRECT("'Закуп'!x" &amp; A272)</f>
        <v/>
      </c>
      <c r="AA272" s="237">
        <f>INDIRECT("'Закуп'!y" &amp; A272)</f>
        <v/>
      </c>
      <c r="AB272" s="238">
        <f>INDIRECT("'Закуп'!z" &amp; A272)</f>
        <v/>
      </c>
      <c r="AC272" s="223">
        <f>SUBSTITUTE(INDEX(F:F, ROUNDUP((ROW(A271))/5,0)*5 - 3), "х", "x")</f>
        <v/>
      </c>
      <c r="AD272" s="222">
        <f>SUBSTITUTE(INDEX(F:F, ROUNDUP((ROW(A271))/5,0)*5 - 3), "х", "x") &amp; " - " &amp; SUBSTITUTE(SUBSTITUTE(INDEX(F:F, ROUNDUP((ROW(A271))/5,0)*5 - 3), "х", "*"), "x", "*") &amp; " мм"</f>
        <v/>
      </c>
    </row>
    <row r="273">
      <c r="B273" s="42" t="n">
        <v>56</v>
      </c>
      <c r="C273" s="118">
        <f>INDIRECT("'Закуп'!A" &amp; B273)</f>
        <v/>
      </c>
      <c r="D273" s="119">
        <f>C273*1.2</f>
        <v/>
      </c>
      <c r="G273" s="172">
        <f>IF(INDIRECT("'Закуп'!L" &amp; B273)="Sale","Sale","")</f>
        <v/>
      </c>
      <c r="H273" s="158">
        <f>IF(INDIRECT("'Закуп'!F" &amp; B273)=0,"",INDIRECT("'Закуп'!F" &amp; B273))</f>
        <v/>
      </c>
      <c r="I273" s="120" t="n">
        <v>100</v>
      </c>
      <c r="J273" s="121">
        <f>K273/1.2</f>
        <v/>
      </c>
      <c r="K273" s="70" t="n">
        <v>2.1</v>
      </c>
      <c r="L273" s="122">
        <f>J273-C273-(J273-C273)*0.2</f>
        <v/>
      </c>
      <c r="M273" s="123">
        <f>L273*I273</f>
        <v/>
      </c>
      <c r="N273" s="124" t="inlineStr">
        <is>
          <t xml:space="preserve">100-290 шт - </t>
        </is>
      </c>
      <c r="O273" s="47" t="inlineStr">
        <is>
          <t xml:space="preserve"> руб / шт с НДС</t>
        </is>
      </c>
      <c r="P273" s="125">
        <f>ROUND(K273,2)</f>
        <v/>
      </c>
      <c r="Q273" s="207">
        <f>CONCATENATE(N273,P273,O273,)</f>
        <v/>
      </c>
      <c r="R273" s="240" t="n"/>
      <c r="T273" s="241" t="n"/>
      <c r="U273" s="240" t="n"/>
      <c r="V273" s="241" t="n"/>
      <c r="Z273" s="240" t="n"/>
      <c r="AB273" s="241" t="n"/>
      <c r="AC273" s="240" t="n"/>
      <c r="AD273" s="241" t="n"/>
    </row>
    <row r="274">
      <c r="B274" s="42" t="n">
        <v>56</v>
      </c>
      <c r="C274" s="118">
        <f>INDIRECT("'Закуп'!A" &amp; B274)</f>
        <v/>
      </c>
      <c r="D274" s="119">
        <f>C274*1.2</f>
        <v/>
      </c>
      <c r="G274" s="172">
        <f>IF(INDIRECT("'Закуп'!L" &amp; B274)="Sale","Sale","")</f>
        <v/>
      </c>
      <c r="H274" s="158">
        <f>IF(INDIRECT("'Закуп'!F" &amp; B274)=0,"",INDIRECT("'Закуп'!F" &amp; B274))</f>
        <v/>
      </c>
      <c r="I274" s="120" t="n">
        <v>300</v>
      </c>
      <c r="J274" s="121">
        <f>K274/1.2</f>
        <v/>
      </c>
      <c r="K274" s="70" t="n">
        <v>1.92</v>
      </c>
      <c r="L274" s="122">
        <f>J274-C274-(J274-C274)*0.2</f>
        <v/>
      </c>
      <c r="M274" s="123">
        <f>L274*I274</f>
        <v/>
      </c>
      <c r="N274" s="124" t="inlineStr">
        <is>
          <t xml:space="preserve">300-490 шт - </t>
        </is>
      </c>
      <c r="O274" s="47" t="inlineStr">
        <is>
          <t xml:space="preserve"> руб / шт с НДС</t>
        </is>
      </c>
      <c r="P274" s="125">
        <f>ROUND(K274,2)</f>
        <v/>
      </c>
      <c r="Q274" s="207">
        <f>CONCATENATE(N274,P274,O274,)</f>
        <v/>
      </c>
      <c r="R274" s="240" t="n"/>
      <c r="T274" s="241" t="n"/>
      <c r="U274" s="240" t="n"/>
      <c r="V274" s="241" t="n"/>
      <c r="Z274" s="240" t="n"/>
      <c r="AB274" s="241" t="n"/>
      <c r="AC274" s="240" t="n"/>
      <c r="AD274" s="241" t="n"/>
    </row>
    <row r="275">
      <c r="B275" s="42" t="n">
        <v>56</v>
      </c>
      <c r="C275" s="118">
        <f>INDIRECT("'Закуп'!A" &amp; B275)</f>
        <v/>
      </c>
      <c r="D275" s="119">
        <f>C275*1.2</f>
        <v/>
      </c>
      <c r="G275" s="172">
        <f>IF(INDIRECT("'Закуп'!L" &amp; B275)="Sale","Sale","")</f>
        <v/>
      </c>
      <c r="H275" s="158">
        <f>IF(INDIRECT("'Закуп'!F" &amp; B275)=0,"",INDIRECT("'Закуп'!F" &amp; B275))</f>
        <v/>
      </c>
      <c r="I275" s="120" t="n">
        <v>500</v>
      </c>
      <c r="J275" s="121">
        <f>K275/1.2</f>
        <v/>
      </c>
      <c r="K275" s="70" t="n">
        <v>1.7</v>
      </c>
      <c r="L275" s="122">
        <f>J275-C275-(J275-C275)*0.2</f>
        <v/>
      </c>
      <c r="M275" s="123">
        <f>L275*I275</f>
        <v/>
      </c>
      <c r="N275" s="124" t="inlineStr">
        <is>
          <t xml:space="preserve">500-990 шт - </t>
        </is>
      </c>
      <c r="O275" s="47" t="inlineStr">
        <is>
          <t xml:space="preserve"> руб / шт с НДС</t>
        </is>
      </c>
      <c r="P275" s="125">
        <f>ROUND(K275,2)</f>
        <v/>
      </c>
      <c r="Q275" s="207">
        <f>CONCATENATE(N275,P275,O275,)</f>
        <v/>
      </c>
      <c r="R275" s="240" t="n"/>
      <c r="T275" s="241" t="n"/>
      <c r="U275" s="240" t="n"/>
      <c r="V275" s="241" t="n"/>
      <c r="Z275" s="240" t="n"/>
      <c r="AB275" s="241" t="n"/>
      <c r="AC275" s="240" t="n"/>
      <c r="AD275" s="241" t="n"/>
    </row>
    <row r="276">
      <c r="B276" s="42" t="n">
        <v>56</v>
      </c>
      <c r="C276" s="118">
        <f>INDIRECT("'Закуп'!A" &amp; B276)</f>
        <v/>
      </c>
      <c r="D276" s="119">
        <f>C276*1.2</f>
        <v/>
      </c>
      <c r="G276" s="172">
        <f>IF(INDIRECT("'Закуп'!L" &amp; B276)="Sale","Sale","")</f>
        <v/>
      </c>
      <c r="H276" s="158">
        <f>IF(INDIRECT("'Закуп'!F" &amp; B276)=0,"",INDIRECT("'Закуп'!F" &amp; B276))</f>
        <v/>
      </c>
      <c r="I276" s="120" t="n">
        <v>1000</v>
      </c>
      <c r="J276" s="121">
        <f>K276/1.2</f>
        <v/>
      </c>
      <c r="K276" s="70" t="n">
        <v>1.65</v>
      </c>
      <c r="L276" s="122">
        <f>J276-C276-(J276-C276)*0.2</f>
        <v/>
      </c>
      <c r="M276" s="123">
        <f>L276*I276</f>
        <v/>
      </c>
      <c r="N276" s="124" t="inlineStr">
        <is>
          <t xml:space="preserve">1000 + шт - </t>
        </is>
      </c>
      <c r="O276" s="47" t="inlineStr">
        <is>
          <t xml:space="preserve"> руб / шт с НДС</t>
        </is>
      </c>
      <c r="P276" s="125">
        <f>ROUND(K276,2)</f>
        <v/>
      </c>
      <c r="Q276" s="207">
        <f>CONCATENATE(N276,P276,O276,)</f>
        <v/>
      </c>
      <c r="R276" s="240" t="n"/>
      <c r="T276" s="241" t="n"/>
      <c r="U276" s="240" t="n"/>
      <c r="V276" s="241" t="n"/>
      <c r="Z276" s="240" t="n"/>
      <c r="AB276" s="241" t="n"/>
      <c r="AC276" s="240" t="n"/>
      <c r="AD276" s="241" t="n"/>
    </row>
    <row r="277">
      <c r="A277" s="232" t="n">
        <v>57</v>
      </c>
      <c r="B277" s="42" t="n">
        <v>57</v>
      </c>
      <c r="C277" s="118">
        <f>INDIRECT("'Закуп'!A" &amp; B277)</f>
        <v/>
      </c>
      <c r="D277" s="119">
        <f>C277*1.2</f>
        <v/>
      </c>
      <c r="E277" s="224">
        <f>INDIRECT("'Закуп'!D" &amp; A277)</f>
        <v/>
      </c>
      <c r="F277" s="231">
        <f>INDIRECT("'Закуп'!E" &amp; B277)</f>
        <v/>
      </c>
      <c r="G277" s="172">
        <f>IF(INDIRECT("'Закуп'!L" &amp; B277)="Sale","Sale","")</f>
        <v/>
      </c>
      <c r="H277" s="158">
        <f>IF(INDIRECT("'Закуп'!F" &amp; B277)=0,"",INDIRECT("'Закуп'!F" &amp; B277))</f>
        <v/>
      </c>
      <c r="I277" s="120" t="n">
        <v>50</v>
      </c>
      <c r="J277" s="121">
        <f>K277/1.2</f>
        <v/>
      </c>
      <c r="K277" s="242" t="n">
        <v>3.5</v>
      </c>
      <c r="L277" s="122">
        <f>J277-C277-(J277-C277)*0.2</f>
        <v/>
      </c>
      <c r="M277" s="123">
        <f>L277*I277</f>
        <v/>
      </c>
      <c r="N277" s="124" t="inlineStr">
        <is>
          <t xml:space="preserve">50-90 шт - </t>
        </is>
      </c>
      <c r="O277" s="47" t="inlineStr">
        <is>
          <t xml:space="preserve"> руб / шт с НДС</t>
        </is>
      </c>
      <c r="P277" s="125">
        <f>ROUND(K277,2)</f>
        <v/>
      </c>
      <c r="Q277" s="207">
        <f>CONCATENATE(N277,P277,O277,)</f>
        <v/>
      </c>
      <c r="R277" s="235">
        <f>INDIRECT("'Закуп'!k" &amp; A277)</f>
        <v/>
      </c>
      <c r="S277" s="239">
        <f>INDIRECT("'Закуп'!o" &amp; A277)</f>
        <v/>
      </c>
      <c r="T277" s="226">
        <f>INDIRECT("'Закуп'!p" &amp; A277)</f>
        <v/>
      </c>
      <c r="U277" s="235">
        <f>INDIRECT("'Закуп'!v" &amp; A277)</f>
        <v/>
      </c>
      <c r="V277" s="222">
        <f>INDIRECT("'Закуп'!w" &amp; A277)</f>
        <v/>
      </c>
      <c r="W277" s="229">
        <f>INDIRECT("'Закуп'!H" &amp; A277)</f>
        <v/>
      </c>
      <c r="X277" s="237">
        <f>INDIRECT("'Закуп'!g" &amp; A277)</f>
        <v/>
      </c>
      <c r="Y277" s="229">
        <f>INDIRECT("'Закуп'!i" &amp; A277)</f>
        <v/>
      </c>
      <c r="Z277" s="236">
        <f>INDIRECT("'Закуп'!x" &amp; A277)</f>
        <v/>
      </c>
      <c r="AA277" s="237">
        <f>INDIRECT("'Закуп'!y" &amp; A277)</f>
        <v/>
      </c>
      <c r="AB277" s="238">
        <f>INDIRECT("'Закуп'!z" &amp; A277)</f>
        <v/>
      </c>
      <c r="AC277" s="223">
        <f>SUBSTITUTE(INDEX(F:F, ROUNDUP((ROW(A276))/5,0)*5 - 3), "х", "x")</f>
        <v/>
      </c>
      <c r="AD277" s="222">
        <f>SUBSTITUTE(INDEX(F:F, ROUNDUP((ROW(A276))/5,0)*5 - 3), "х", "x") &amp; " - " &amp; SUBSTITUTE(SUBSTITUTE(INDEX(F:F, ROUNDUP((ROW(A276))/5,0)*5 - 3), "х", "*"), "x", "*") &amp; " мм"</f>
        <v/>
      </c>
      <c r="AE277" t="n">
        <v>4.13</v>
      </c>
    </row>
    <row r="278">
      <c r="B278" s="42" t="n">
        <v>57</v>
      </c>
      <c r="C278" s="118">
        <f>INDIRECT("'Закуп'!A" &amp; B278)</f>
        <v/>
      </c>
      <c r="D278" s="119">
        <f>C278*1.2</f>
        <v/>
      </c>
      <c r="G278" s="172">
        <f>IF(INDIRECT("'Закуп'!L" &amp; B278)="Sale","Sale","")</f>
        <v/>
      </c>
      <c r="H278" s="158">
        <f>IF(INDIRECT("'Закуп'!F" &amp; B278)=0,"",INDIRECT("'Закуп'!F" &amp; B278))</f>
        <v/>
      </c>
      <c r="I278" s="120" t="n">
        <v>100</v>
      </c>
      <c r="J278" s="121">
        <f>K278/1.2</f>
        <v/>
      </c>
      <c r="K278" s="242" t="n">
        <v>3.04</v>
      </c>
      <c r="L278" s="122">
        <f>J278-C278-(J278-C278)*0.2</f>
        <v/>
      </c>
      <c r="M278" s="123">
        <f>L278*I278</f>
        <v/>
      </c>
      <c r="N278" s="124" t="inlineStr">
        <is>
          <t xml:space="preserve">100-290 шт - </t>
        </is>
      </c>
      <c r="O278" s="47" t="inlineStr">
        <is>
          <t xml:space="preserve"> руб / шт с НДС</t>
        </is>
      </c>
      <c r="P278" s="125">
        <f>ROUND(K278,2)</f>
        <v/>
      </c>
      <c r="Q278" s="207">
        <f>CONCATENATE(N278,P278,O278,)</f>
        <v/>
      </c>
      <c r="R278" s="240" t="n"/>
      <c r="T278" s="241" t="n"/>
      <c r="U278" s="240" t="n"/>
      <c r="V278" s="241" t="n"/>
      <c r="Z278" s="240" t="n"/>
      <c r="AB278" s="241" t="n"/>
      <c r="AC278" s="240" t="n"/>
      <c r="AD278" s="241" t="n"/>
      <c r="AE278" t="n">
        <v>4.02</v>
      </c>
    </row>
    <row r="279">
      <c r="B279" s="42" t="n">
        <v>57</v>
      </c>
      <c r="C279" s="118">
        <f>INDIRECT("'Закуп'!A" &amp; B279)</f>
        <v/>
      </c>
      <c r="D279" s="119">
        <f>C279*1.2</f>
        <v/>
      </c>
      <c r="G279" s="172">
        <f>IF(INDIRECT("'Закуп'!L" &amp; B279)="Sale","Sale","")</f>
        <v/>
      </c>
      <c r="H279" s="158">
        <f>IF(INDIRECT("'Закуп'!F" &amp; B279)=0,"",INDIRECT("'Закуп'!F" &amp; B279))</f>
        <v/>
      </c>
      <c r="I279" s="120" t="n">
        <v>300</v>
      </c>
      <c r="J279" s="121">
        <f>K279/1.2</f>
        <v/>
      </c>
      <c r="K279" s="242" t="n">
        <v>2.46</v>
      </c>
      <c r="L279" s="122">
        <f>J279-C279-(J279-C279)*0.2</f>
        <v/>
      </c>
      <c r="M279" s="123">
        <f>L279*I279</f>
        <v/>
      </c>
      <c r="N279" s="124" t="inlineStr">
        <is>
          <t xml:space="preserve">300-490 шт - </t>
        </is>
      </c>
      <c r="O279" s="47" t="inlineStr">
        <is>
          <t xml:space="preserve"> руб / шт с НДС</t>
        </is>
      </c>
      <c r="P279" s="125">
        <f>ROUND(K279,2)</f>
        <v/>
      </c>
      <c r="Q279" s="207">
        <f>CONCATENATE(N279,P279,O279,)</f>
        <v/>
      </c>
      <c r="R279" s="240" t="n"/>
      <c r="T279" s="241" t="n"/>
      <c r="U279" s="240" t="n"/>
      <c r="V279" s="241" t="n"/>
      <c r="Z279" s="240" t="n"/>
      <c r="AB279" s="241" t="n"/>
      <c r="AC279" s="240" t="n"/>
      <c r="AD279" s="241" t="n"/>
      <c r="AE279" t="n">
        <v>3.36</v>
      </c>
    </row>
    <row r="280">
      <c r="B280" s="42" t="n">
        <v>57</v>
      </c>
      <c r="C280" s="118">
        <f>INDIRECT("'Закуп'!A" &amp; B280)</f>
        <v/>
      </c>
      <c r="D280" s="119">
        <f>C280*1.2</f>
        <v/>
      </c>
      <c r="G280" s="172">
        <f>IF(INDIRECT("'Закуп'!L" &amp; B280)="Sale","Sale","")</f>
        <v/>
      </c>
      <c r="H280" s="158">
        <f>IF(INDIRECT("'Закуп'!F" &amp; B280)=0,"",INDIRECT("'Закуп'!F" &amp; B280))</f>
        <v/>
      </c>
      <c r="I280" s="120" t="n">
        <v>500</v>
      </c>
      <c r="J280" s="121">
        <f>K280/1.2</f>
        <v/>
      </c>
      <c r="K280" s="242" t="n">
        <v>2.33</v>
      </c>
      <c r="L280" s="122">
        <f>J280-C280-(J280-C280)*0.2</f>
        <v/>
      </c>
      <c r="M280" s="123">
        <f>L280*I280</f>
        <v/>
      </c>
      <c r="N280" s="124" t="inlineStr">
        <is>
          <t xml:space="preserve">500-990 шт - </t>
        </is>
      </c>
      <c r="O280" s="47" t="inlineStr">
        <is>
          <t xml:space="preserve"> руб / шт с НДС</t>
        </is>
      </c>
      <c r="P280" s="125">
        <f>ROUND(K280,2)</f>
        <v/>
      </c>
      <c r="Q280" s="207">
        <f>CONCATENATE(N280,P280,O280,)</f>
        <v/>
      </c>
      <c r="R280" s="240" t="n"/>
      <c r="T280" s="241" t="n"/>
      <c r="U280" s="240" t="n"/>
      <c r="V280" s="241" t="n"/>
      <c r="Z280" s="240" t="n"/>
      <c r="AB280" s="241" t="n"/>
      <c r="AC280" s="240" t="n"/>
      <c r="AD280" s="241" t="n"/>
      <c r="AE280" t="n">
        <v>3.25</v>
      </c>
    </row>
    <row r="281">
      <c r="B281" s="42" t="n">
        <v>57</v>
      </c>
      <c r="C281" s="118">
        <f>INDIRECT("'Закуп'!A" &amp; B281)</f>
        <v/>
      </c>
      <c r="D281" s="119">
        <f>C281*1.2</f>
        <v/>
      </c>
      <c r="G281" s="172">
        <f>IF(INDIRECT("'Закуп'!L" &amp; B281)="Sale","Sale","")</f>
        <v/>
      </c>
      <c r="H281" s="158">
        <f>IF(INDIRECT("'Закуп'!F" &amp; B281)=0,"",INDIRECT("'Закуп'!F" &amp; B281))</f>
        <v/>
      </c>
      <c r="I281" s="120" t="n">
        <v>1000</v>
      </c>
      <c r="J281" s="121">
        <f>K281/1.2</f>
        <v/>
      </c>
      <c r="K281" s="242" t="n">
        <v>2.25</v>
      </c>
      <c r="L281" s="122">
        <f>J281-C281-(J281-C281)*0.2</f>
        <v/>
      </c>
      <c r="M281" s="123">
        <f>L281*I281</f>
        <v/>
      </c>
      <c r="N281" s="124" t="inlineStr">
        <is>
          <t xml:space="preserve">1000 + шт - </t>
        </is>
      </c>
      <c r="O281" s="47" t="inlineStr">
        <is>
          <t xml:space="preserve"> руб / шт с НДС</t>
        </is>
      </c>
      <c r="P281" s="125">
        <f>ROUND(K281,2)</f>
        <v/>
      </c>
      <c r="Q281" s="207">
        <f>CONCATENATE(N281,P281,O281,)</f>
        <v/>
      </c>
      <c r="R281" s="240" t="n"/>
      <c r="T281" s="241" t="n"/>
      <c r="U281" s="240" t="n"/>
      <c r="V281" s="241" t="n"/>
      <c r="Z281" s="240" t="n"/>
      <c r="AB281" s="241" t="n"/>
      <c r="AC281" s="240" t="n"/>
      <c r="AD281" s="241" t="n"/>
      <c r="AE281" t="n">
        <v>3.15</v>
      </c>
    </row>
    <row r="282">
      <c r="A282" s="232" t="n">
        <v>58</v>
      </c>
      <c r="B282" s="42" t="n">
        <v>58</v>
      </c>
      <c r="C282" s="118">
        <f>INDIRECT("'Закуп'!A" &amp; B282)</f>
        <v/>
      </c>
      <c r="D282" s="119">
        <f>C282*1.2</f>
        <v/>
      </c>
      <c r="E282" s="224">
        <f>INDIRECT("'Закуп'!D" &amp; A282)</f>
        <v/>
      </c>
      <c r="F282" s="231">
        <f>INDIRECT("'Закуп'!E" &amp; B282)</f>
        <v/>
      </c>
      <c r="G282" s="172">
        <f>IF(INDIRECT("'Закуп'!L" &amp; B282)="Sale","Sale","")</f>
        <v/>
      </c>
      <c r="H282" s="158">
        <f>IF(INDIRECT("'Закуп'!F" &amp; B282)=0,"",INDIRECT("'Закуп'!F" &amp; B282))</f>
        <v/>
      </c>
      <c r="I282" s="120" t="n">
        <v>50</v>
      </c>
      <c r="J282" s="121">
        <f>K282/1.2</f>
        <v/>
      </c>
      <c r="K282" s="242" t="n">
        <v>7.95</v>
      </c>
      <c r="L282" s="122">
        <f>J282-C282-(J282-C282)*0.2</f>
        <v/>
      </c>
      <c r="M282" s="123">
        <f>L282*I282</f>
        <v/>
      </c>
      <c r="N282" s="124" t="inlineStr">
        <is>
          <t xml:space="preserve">50-90 шт - </t>
        </is>
      </c>
      <c r="O282" s="47" t="inlineStr">
        <is>
          <t xml:space="preserve"> руб / шт с НДС</t>
        </is>
      </c>
      <c r="P282" s="125">
        <f>ROUND(K282,2)</f>
        <v/>
      </c>
      <c r="Q282" s="207">
        <f>CONCATENATE(N282,P282,O282,)</f>
        <v/>
      </c>
      <c r="R282" s="235">
        <f>INDIRECT("'Закуп'!k" &amp; A282)</f>
        <v/>
      </c>
      <c r="S282" s="239">
        <f>INDIRECT("'Закуп'!o" &amp; A282)</f>
        <v/>
      </c>
      <c r="T282" s="226">
        <f>INDIRECT("'Закуп'!p" &amp; A282)</f>
        <v/>
      </c>
      <c r="U282" s="235">
        <f>INDIRECT("'Закуп'!v" &amp; A282)</f>
        <v/>
      </c>
      <c r="V282" s="222">
        <f>INDIRECT("'Закуп'!w" &amp; A282)</f>
        <v/>
      </c>
      <c r="W282" s="229">
        <f>INDIRECT("'Закуп'!H" &amp; A282)</f>
        <v/>
      </c>
      <c r="X282" s="237">
        <f>INDIRECT("'Закуп'!g" &amp; A282)</f>
        <v/>
      </c>
      <c r="Y282" s="229">
        <f>INDIRECT("'Закуп'!i" &amp; A282)</f>
        <v/>
      </c>
      <c r="Z282" s="236">
        <f>INDIRECT("'Закуп'!x" &amp; A282)</f>
        <v/>
      </c>
      <c r="AA282" s="237">
        <f>INDIRECT("'Закуп'!y" &amp; A282)</f>
        <v/>
      </c>
      <c r="AB282" s="238">
        <f>INDIRECT("'Закуп'!z" &amp; A282)</f>
        <v/>
      </c>
      <c r="AC282" s="223">
        <f>SUBSTITUTE(INDEX(F:F, ROUNDUP((ROW(A281))/5,0)*5 - 3), "х", "x")</f>
        <v/>
      </c>
      <c r="AD282" s="222">
        <f>SUBSTITUTE(INDEX(F:F, ROUNDUP((ROW(A281))/5,0)*5 - 3), "х", "x") &amp; " - " &amp; SUBSTITUTE(SUBSTITUTE(INDEX(F:F, ROUNDUP((ROW(A281))/5,0)*5 - 3), "х", "*"), "x", "*") &amp; " мм"</f>
        <v/>
      </c>
      <c r="AE282" t="n">
        <v>11.1</v>
      </c>
    </row>
    <row r="283">
      <c r="B283" s="42" t="n">
        <v>58</v>
      </c>
      <c r="C283" s="118">
        <f>INDIRECT("'Закуп'!A" &amp; B283)</f>
        <v/>
      </c>
      <c r="D283" s="119">
        <f>C283*1.2</f>
        <v/>
      </c>
      <c r="G283" s="172">
        <f>IF(INDIRECT("'Закуп'!L" &amp; B283)="Sale","Sale","")</f>
        <v/>
      </c>
      <c r="H283" s="158">
        <f>IF(INDIRECT("'Закуп'!F" &amp; B283)=0,"",INDIRECT("'Закуп'!F" &amp; B283))</f>
        <v/>
      </c>
      <c r="I283" s="120" t="n">
        <v>100</v>
      </c>
      <c r="J283" s="121">
        <f>K283/1.2</f>
        <v/>
      </c>
      <c r="K283" s="242" t="n">
        <v>6.76</v>
      </c>
      <c r="L283" s="122">
        <f>J283-C283-(J283-C283)*0.2</f>
        <v/>
      </c>
      <c r="M283" s="123">
        <f>L283*I283</f>
        <v/>
      </c>
      <c r="N283" s="124" t="inlineStr">
        <is>
          <t xml:space="preserve">100-290 шт - </t>
        </is>
      </c>
      <c r="O283" s="47" t="inlineStr">
        <is>
          <t xml:space="preserve"> руб / шт с НДС</t>
        </is>
      </c>
      <c r="P283" s="125">
        <f>ROUND(K283,2)</f>
        <v/>
      </c>
      <c r="Q283" s="207">
        <f>CONCATENATE(N283,P283,O283,)</f>
        <v/>
      </c>
      <c r="R283" s="240" t="n"/>
      <c r="T283" s="241" t="n"/>
      <c r="U283" s="240" t="n"/>
      <c r="V283" s="241" t="n"/>
      <c r="Z283" s="240" t="n"/>
      <c r="AB283" s="241" t="n"/>
      <c r="AC283" s="240" t="n"/>
      <c r="AD283" s="241" t="n"/>
      <c r="AE283" t="n">
        <v>10.71</v>
      </c>
    </row>
    <row r="284">
      <c r="B284" s="42" t="n">
        <v>58</v>
      </c>
      <c r="C284" s="118">
        <f>INDIRECT("'Закуп'!A" &amp; B284)</f>
        <v/>
      </c>
      <c r="D284" s="119">
        <f>C284*1.2</f>
        <v/>
      </c>
      <c r="G284" s="172">
        <f>IF(INDIRECT("'Закуп'!L" &amp; B284)="Sale","Sale","")</f>
        <v/>
      </c>
      <c r="H284" s="158">
        <f>IF(INDIRECT("'Закуп'!F" &amp; B284)=0,"",INDIRECT("'Закуп'!F" &amp; B284))</f>
        <v/>
      </c>
      <c r="I284" s="120" t="n">
        <v>300</v>
      </c>
      <c r="J284" s="121">
        <f>K284/1.2</f>
        <v/>
      </c>
      <c r="K284" s="242" t="n">
        <v>6.37</v>
      </c>
      <c r="L284" s="122">
        <f>J284-C284-(J284-C284)*0.2</f>
        <v/>
      </c>
      <c r="M284" s="123">
        <f>L284*I284</f>
        <v/>
      </c>
      <c r="N284" s="124" t="inlineStr">
        <is>
          <t xml:space="preserve">300-490 шт - </t>
        </is>
      </c>
      <c r="O284" s="47" t="inlineStr">
        <is>
          <t xml:space="preserve"> руб / шт с НДС</t>
        </is>
      </c>
      <c r="P284" s="125">
        <f>ROUND(K284,2)</f>
        <v/>
      </c>
      <c r="Q284" s="207">
        <f>CONCATENATE(N284,P284,O284,)</f>
        <v/>
      </c>
      <c r="R284" s="240" t="n"/>
      <c r="T284" s="241" t="n"/>
      <c r="U284" s="240" t="n"/>
      <c r="V284" s="241" t="n"/>
      <c r="Z284" s="240" t="n"/>
      <c r="AB284" s="241" t="n"/>
      <c r="AC284" s="240" t="n"/>
      <c r="AD284" s="241" t="n"/>
      <c r="AE284" t="n">
        <v>10.34</v>
      </c>
    </row>
    <row r="285">
      <c r="B285" s="42" t="n">
        <v>58</v>
      </c>
      <c r="C285" s="118">
        <f>INDIRECT("'Закуп'!A" &amp; B285)</f>
        <v/>
      </c>
      <c r="D285" s="119">
        <f>C285*1.2</f>
        <v/>
      </c>
      <c r="G285" s="172">
        <f>IF(INDIRECT("'Закуп'!L" &amp; B285)="Sale","Sale","")</f>
        <v/>
      </c>
      <c r="H285" s="158">
        <f>IF(INDIRECT("'Закуп'!F" &amp; B285)=0,"",INDIRECT("'Закуп'!F" &amp; B285))</f>
        <v/>
      </c>
      <c r="I285" s="120" t="n">
        <v>500</v>
      </c>
      <c r="J285" s="121">
        <f>K285/1.2</f>
        <v/>
      </c>
      <c r="K285" s="242" t="n">
        <v>6.03</v>
      </c>
      <c r="L285" s="122">
        <f>J285-C285-(J285-C285)*0.2</f>
        <v/>
      </c>
      <c r="M285" s="123">
        <f>L285*I285</f>
        <v/>
      </c>
      <c r="N285" s="124" t="inlineStr">
        <is>
          <t xml:space="preserve">500-990 шт - </t>
        </is>
      </c>
      <c r="O285" s="47" t="inlineStr">
        <is>
          <t xml:space="preserve"> руб / шт с НДС</t>
        </is>
      </c>
      <c r="P285" s="125">
        <f>ROUND(K285,2)</f>
        <v/>
      </c>
      <c r="Q285" s="207">
        <f>CONCATENATE(N285,P285,O285,)</f>
        <v/>
      </c>
      <c r="R285" s="240" t="n"/>
      <c r="T285" s="241" t="n"/>
      <c r="U285" s="240" t="n"/>
      <c r="V285" s="241" t="n"/>
      <c r="Z285" s="240" t="n"/>
      <c r="AB285" s="241" t="n"/>
      <c r="AC285" s="240" t="n"/>
      <c r="AD285" s="241" t="n"/>
      <c r="AE285" t="n">
        <v>9.949999999999999</v>
      </c>
    </row>
    <row r="286">
      <c r="B286" s="42" t="n">
        <v>58</v>
      </c>
      <c r="C286" s="118">
        <f>INDIRECT("'Закуп'!A" &amp; B286)</f>
        <v/>
      </c>
      <c r="D286" s="119">
        <f>C286*1.2</f>
        <v/>
      </c>
      <c r="G286" s="172">
        <f>IF(INDIRECT("'Закуп'!L" &amp; B286)="Sale","Sale","")</f>
        <v/>
      </c>
      <c r="H286" s="158">
        <f>IF(INDIRECT("'Закуп'!F" &amp; B286)=0,"",INDIRECT("'Закуп'!F" &amp; B286))</f>
        <v/>
      </c>
      <c r="I286" s="120" t="n">
        <v>1000</v>
      </c>
      <c r="J286" s="121">
        <f>K286/1.2</f>
        <v/>
      </c>
      <c r="K286" s="242" t="n">
        <v>5.83</v>
      </c>
      <c r="L286" s="122">
        <f>J286-C286-(J286-C286)*0.2</f>
        <v/>
      </c>
      <c r="M286" s="123">
        <f>L286*I286</f>
        <v/>
      </c>
      <c r="N286" s="124" t="inlineStr">
        <is>
          <t xml:space="preserve">1000 + шт - </t>
        </is>
      </c>
      <c r="O286" s="47" t="inlineStr">
        <is>
          <t xml:space="preserve"> руб / шт с НДС</t>
        </is>
      </c>
      <c r="P286" s="125">
        <f>ROUND(K286,2)</f>
        <v/>
      </c>
      <c r="Q286" s="207">
        <f>CONCATENATE(N286,P286,O286,)</f>
        <v/>
      </c>
      <c r="R286" s="240" t="n"/>
      <c r="T286" s="241" t="n"/>
      <c r="U286" s="240" t="n"/>
      <c r="V286" s="241" t="n"/>
      <c r="Z286" s="240" t="n"/>
      <c r="AB286" s="241" t="n"/>
      <c r="AC286" s="240" t="n"/>
      <c r="AD286" s="241" t="n"/>
      <c r="AE286" t="n">
        <v>9.57</v>
      </c>
    </row>
    <row r="287">
      <c r="A287" s="232" t="n">
        <v>59</v>
      </c>
      <c r="B287" s="42" t="n">
        <v>59</v>
      </c>
      <c r="C287" s="118">
        <f>INDIRECT("'Закуп'!A" &amp; B287)</f>
        <v/>
      </c>
      <c r="D287" s="119">
        <f>C287*1.2</f>
        <v/>
      </c>
      <c r="E287" s="224">
        <f>INDIRECT("'Закуп'!D" &amp; A287)</f>
        <v/>
      </c>
      <c r="F287" s="231">
        <f>INDIRECT("'Закуп'!E" &amp; B287)</f>
        <v/>
      </c>
      <c r="G287" s="172">
        <f>IF(INDIRECT("'Закуп'!L" &amp; B287)="Sale","Sale","")</f>
        <v/>
      </c>
      <c r="H287" s="158">
        <f>IF(INDIRECT("'Закуп'!F" &amp; B287)=0,"",INDIRECT("'Закуп'!F" &amp; B287))</f>
        <v/>
      </c>
      <c r="I287" s="120" t="n">
        <v>50</v>
      </c>
      <c r="J287" s="121">
        <f>K287/1.2</f>
        <v/>
      </c>
      <c r="K287" s="70" t="n">
        <v>13.04</v>
      </c>
      <c r="L287" s="122">
        <f>J287-C287-(J287-C287)*0.2</f>
        <v/>
      </c>
      <c r="M287" s="123">
        <f>L287*I287</f>
        <v/>
      </c>
      <c r="N287" s="124" t="inlineStr">
        <is>
          <t xml:space="preserve">50-90 шт - </t>
        </is>
      </c>
      <c r="O287" s="47" t="inlineStr">
        <is>
          <t xml:space="preserve"> руб / шт с НДС</t>
        </is>
      </c>
      <c r="P287" s="125">
        <f>ROUND(K287,2)</f>
        <v/>
      </c>
      <c r="Q287" s="207">
        <f>CONCATENATE(N287,P287,O287,)</f>
        <v/>
      </c>
      <c r="R287" s="235">
        <f>INDIRECT("'Закуп'!k" &amp; A287)</f>
        <v/>
      </c>
      <c r="S287" s="239">
        <f>INDIRECT("'Закуп'!o" &amp; A287)</f>
        <v/>
      </c>
      <c r="T287" s="226">
        <f>INDIRECT("'Закуп'!p" &amp; A287)</f>
        <v/>
      </c>
      <c r="U287" s="235">
        <f>INDIRECT("'Закуп'!v" &amp; A287)</f>
        <v/>
      </c>
      <c r="V287" s="222">
        <f>INDIRECT("'Закуп'!w" &amp; A287)</f>
        <v/>
      </c>
      <c r="W287" s="229">
        <f>INDIRECT("'Закуп'!H" &amp; A287)</f>
        <v/>
      </c>
      <c r="X287" s="237">
        <f>INDIRECT("'Закуп'!g" &amp; A287)</f>
        <v/>
      </c>
      <c r="Y287" s="229">
        <f>INDIRECT("'Закуп'!i" &amp; A287)</f>
        <v/>
      </c>
      <c r="Z287" s="236">
        <f>INDIRECT("'Закуп'!x" &amp; A287)</f>
        <v/>
      </c>
      <c r="AA287" s="237">
        <f>INDIRECT("'Закуп'!y" &amp; A287)</f>
        <v/>
      </c>
      <c r="AB287" s="238">
        <f>INDIRECT("'Закуп'!z" &amp; A287)</f>
        <v/>
      </c>
      <c r="AC287" s="223">
        <f>SUBSTITUTE(INDEX(F:F, ROUNDUP((ROW(A286))/5,0)*5 - 3), "х", "x")</f>
        <v/>
      </c>
      <c r="AD287" s="222">
        <f>SUBSTITUTE(INDEX(F:F, ROUNDUP((ROW(A286))/5,0)*5 - 3), "х", "x") &amp; " - " &amp; SUBSTITUTE(SUBSTITUTE(INDEX(F:F, ROUNDUP((ROW(A286))/5,0)*5 - 3), "х", "*"), "x", "*") &amp; " мм"</f>
        <v/>
      </c>
    </row>
    <row r="288">
      <c r="B288" s="42" t="n">
        <v>59</v>
      </c>
      <c r="C288" s="118">
        <f>INDIRECT("'Закуп'!A" &amp; B288)</f>
        <v/>
      </c>
      <c r="D288" s="119">
        <f>C288*1.2</f>
        <v/>
      </c>
      <c r="G288" s="172">
        <f>IF(INDIRECT("'Закуп'!L" &amp; B288)="Sale","Sale","")</f>
        <v/>
      </c>
      <c r="H288" s="158">
        <f>IF(INDIRECT("'Закуп'!F" &amp; B288)=0,"",INDIRECT("'Закуп'!F" &amp; B288))</f>
        <v/>
      </c>
      <c r="I288" s="120" t="n">
        <v>100</v>
      </c>
      <c r="J288" s="121">
        <f>K288/1.2</f>
        <v/>
      </c>
      <c r="K288" s="70" t="n">
        <v>12.59</v>
      </c>
      <c r="L288" s="122">
        <f>J288-C288-(J288-C288)*0.2</f>
        <v/>
      </c>
      <c r="M288" s="123">
        <f>L288*I288</f>
        <v/>
      </c>
      <c r="N288" s="124" t="inlineStr">
        <is>
          <t xml:space="preserve">100-290 шт - </t>
        </is>
      </c>
      <c r="O288" s="47" t="inlineStr">
        <is>
          <t xml:space="preserve"> руб / шт с НДС</t>
        </is>
      </c>
      <c r="P288" s="125">
        <f>ROUND(K288,2)</f>
        <v/>
      </c>
      <c r="Q288" s="207">
        <f>CONCATENATE(N288,P288,O288,)</f>
        <v/>
      </c>
      <c r="R288" s="240" t="n"/>
      <c r="T288" s="241" t="n"/>
      <c r="U288" s="240" t="n"/>
      <c r="V288" s="241" t="n"/>
      <c r="Z288" s="240" t="n"/>
      <c r="AB288" s="241" t="n"/>
      <c r="AC288" s="240" t="n"/>
      <c r="AD288" s="241" t="n"/>
    </row>
    <row r="289">
      <c r="B289" s="42" t="n">
        <v>59</v>
      </c>
      <c r="C289" s="118">
        <f>INDIRECT("'Закуп'!A" &amp; B289)</f>
        <v/>
      </c>
      <c r="D289" s="119">
        <f>C289*1.2</f>
        <v/>
      </c>
      <c r="G289" s="172">
        <f>IF(INDIRECT("'Закуп'!L" &amp; B289)="Sale","Sale","")</f>
        <v/>
      </c>
      <c r="H289" s="158">
        <f>IF(INDIRECT("'Закуп'!F" &amp; B289)=0,"",INDIRECT("'Закуп'!F" &amp; B289))</f>
        <v/>
      </c>
      <c r="I289" s="120" t="n">
        <v>300</v>
      </c>
      <c r="J289" s="121">
        <f>K289/1.2</f>
        <v/>
      </c>
      <c r="K289" s="70" t="n">
        <v>12.13</v>
      </c>
      <c r="L289" s="122">
        <f>J289-C289-(J289-C289)*0.2</f>
        <v/>
      </c>
      <c r="M289" s="123">
        <f>L289*I289</f>
        <v/>
      </c>
      <c r="N289" s="124" t="inlineStr">
        <is>
          <t xml:space="preserve">300-490 шт - </t>
        </is>
      </c>
      <c r="O289" s="47" t="inlineStr">
        <is>
          <t xml:space="preserve"> руб / шт с НДС</t>
        </is>
      </c>
      <c r="P289" s="125">
        <f>ROUND(K289,2)</f>
        <v/>
      </c>
      <c r="Q289" s="207">
        <f>CONCATENATE(N289,P289,O289,)</f>
        <v/>
      </c>
      <c r="R289" s="240" t="n"/>
      <c r="T289" s="241" t="n"/>
      <c r="U289" s="240" t="n"/>
      <c r="V289" s="241" t="n"/>
      <c r="Z289" s="240" t="n"/>
      <c r="AB289" s="241" t="n"/>
      <c r="AC289" s="240" t="n"/>
      <c r="AD289" s="241" t="n"/>
    </row>
    <row r="290">
      <c r="B290" s="42" t="n">
        <v>59</v>
      </c>
      <c r="C290" s="118">
        <f>INDIRECT("'Закуп'!A" &amp; B290)</f>
        <v/>
      </c>
      <c r="D290" s="119">
        <f>C290*1.2</f>
        <v/>
      </c>
      <c r="G290" s="172">
        <f>IF(INDIRECT("'Закуп'!L" &amp; B290)="Sale","Sale","")</f>
        <v/>
      </c>
      <c r="H290" s="158">
        <f>IF(INDIRECT("'Закуп'!F" &amp; B290)=0,"",INDIRECT("'Закуп'!F" &amp; B290))</f>
        <v/>
      </c>
      <c r="I290" s="120" t="n">
        <v>500</v>
      </c>
      <c r="J290" s="121">
        <f>K290/1.2</f>
        <v/>
      </c>
      <c r="K290" s="70" t="n">
        <v>11.68</v>
      </c>
      <c r="L290" s="122">
        <f>J290-C290-(J290-C290)*0.2</f>
        <v/>
      </c>
      <c r="M290" s="123">
        <f>L290*I290</f>
        <v/>
      </c>
      <c r="N290" s="124" t="inlineStr">
        <is>
          <t xml:space="preserve">500-990 шт - </t>
        </is>
      </c>
      <c r="O290" s="47" t="inlineStr">
        <is>
          <t xml:space="preserve"> руб / шт с НДС</t>
        </is>
      </c>
      <c r="P290" s="125">
        <f>ROUND(K290,2)</f>
        <v/>
      </c>
      <c r="Q290" s="207">
        <f>CONCATENATE(N290,P290,O290,)</f>
        <v/>
      </c>
      <c r="R290" s="240" t="n"/>
      <c r="T290" s="241" t="n"/>
      <c r="U290" s="240" t="n"/>
      <c r="V290" s="241" t="n"/>
      <c r="Z290" s="240" t="n"/>
      <c r="AB290" s="241" t="n"/>
      <c r="AC290" s="240" t="n"/>
      <c r="AD290" s="241" t="n"/>
    </row>
    <row r="291">
      <c r="B291" s="42" t="n">
        <v>59</v>
      </c>
      <c r="C291" s="118">
        <f>INDIRECT("'Закуп'!A" &amp; B291)</f>
        <v/>
      </c>
      <c r="D291" s="119">
        <f>C291*1.2</f>
        <v/>
      </c>
      <c r="G291" s="172">
        <f>IF(INDIRECT("'Закуп'!L" &amp; B291)="Sale","Sale","")</f>
        <v/>
      </c>
      <c r="H291" s="158">
        <f>IF(INDIRECT("'Закуп'!F" &amp; B291)=0,"",INDIRECT("'Закуп'!F" &amp; B291))</f>
        <v/>
      </c>
      <c r="I291" s="120" t="n">
        <v>1000</v>
      </c>
      <c r="J291" s="121">
        <f>K291/1.2</f>
        <v/>
      </c>
      <c r="K291" s="70" t="n">
        <v>11.25</v>
      </c>
      <c r="L291" s="122">
        <f>J291-C291-(J291-C291)*0.2</f>
        <v/>
      </c>
      <c r="M291" s="123">
        <f>L291*I291</f>
        <v/>
      </c>
      <c r="N291" s="124" t="inlineStr">
        <is>
          <t xml:space="preserve">1000 + шт - </t>
        </is>
      </c>
      <c r="O291" s="47" t="inlineStr">
        <is>
          <t xml:space="preserve"> руб / шт с НДС</t>
        </is>
      </c>
      <c r="P291" s="125">
        <f>ROUND(K291,2)</f>
        <v/>
      </c>
      <c r="Q291" s="207">
        <f>CONCATENATE(N291,P291,O291,)</f>
        <v/>
      </c>
      <c r="R291" s="240" t="n"/>
      <c r="T291" s="241" t="n"/>
      <c r="U291" s="240" t="n"/>
      <c r="V291" s="241" t="n"/>
      <c r="Z291" s="240" t="n"/>
      <c r="AB291" s="241" t="n"/>
      <c r="AC291" s="240" t="n"/>
      <c r="AD291" s="241" t="n"/>
    </row>
    <row r="292">
      <c r="A292" s="232" t="n">
        <v>60</v>
      </c>
      <c r="B292" s="42" t="n">
        <v>60</v>
      </c>
      <c r="C292" s="118">
        <f>INDIRECT("'Закуп'!A" &amp; B292)</f>
        <v/>
      </c>
      <c r="D292" s="119">
        <f>C292*1.2</f>
        <v/>
      </c>
      <c r="E292" s="224">
        <f>INDIRECT("'Закуп'!D" &amp; A292)</f>
        <v/>
      </c>
      <c r="F292" s="231">
        <f>INDIRECT("'Закуп'!E" &amp; B292)</f>
        <v/>
      </c>
      <c r="G292" s="172">
        <f>IF(INDIRECT("'Закуп'!L" &amp; B292)="Sale","Sale","")</f>
        <v/>
      </c>
      <c r="H292" s="158">
        <f>IF(INDIRECT("'Закуп'!F" &amp; B292)=0,"",INDIRECT("'Закуп'!F" &amp; B292))</f>
        <v/>
      </c>
      <c r="I292" s="120" t="n">
        <v>50</v>
      </c>
      <c r="J292" s="121">
        <f>K292/1.2</f>
        <v/>
      </c>
      <c r="K292" s="70" t="n">
        <v>9.210000000000001</v>
      </c>
      <c r="L292" s="122">
        <f>J292-C292-(J292-C292)*0.2</f>
        <v/>
      </c>
      <c r="M292" s="123">
        <f>L292*I292</f>
        <v/>
      </c>
      <c r="N292" s="124" t="inlineStr">
        <is>
          <t xml:space="preserve">50-90 шт - </t>
        </is>
      </c>
      <c r="O292" s="47" t="inlineStr">
        <is>
          <t xml:space="preserve"> руб / шт с НДС</t>
        </is>
      </c>
      <c r="P292" s="125">
        <f>ROUND(K292,2)</f>
        <v/>
      </c>
      <c r="Q292" s="207">
        <f>CONCATENATE(N292,P292,O292,)</f>
        <v/>
      </c>
      <c r="R292" s="235">
        <f>INDIRECT("'Закуп'!k" &amp; A292)</f>
        <v/>
      </c>
      <c r="S292" s="239">
        <f>INDIRECT("'Закуп'!o" &amp; A292)</f>
        <v/>
      </c>
      <c r="T292" s="226">
        <f>INDIRECT("'Закуп'!p" &amp; A292)</f>
        <v/>
      </c>
      <c r="U292" s="235">
        <f>INDIRECT("'Закуп'!v" &amp; A292)</f>
        <v/>
      </c>
      <c r="V292" s="222">
        <f>INDIRECT("'Закуп'!w" &amp; A292)</f>
        <v/>
      </c>
      <c r="W292" s="229">
        <f>INDIRECT("'Закуп'!H" &amp; A292)</f>
        <v/>
      </c>
      <c r="X292" s="237">
        <f>INDIRECT("'Закуп'!g" &amp; A292)</f>
        <v/>
      </c>
      <c r="Y292" s="229">
        <f>INDIRECT("'Закуп'!i" &amp; A292)</f>
        <v/>
      </c>
      <c r="Z292" s="236">
        <f>INDIRECT("'Закуп'!x" &amp; A292)</f>
        <v/>
      </c>
      <c r="AA292" s="237">
        <f>INDIRECT("'Закуп'!y" &amp; A292)</f>
        <v/>
      </c>
      <c r="AB292" s="238">
        <f>INDIRECT("'Закуп'!z" &amp; A292)</f>
        <v/>
      </c>
      <c r="AC292" s="223">
        <f>SUBSTITUTE(INDEX(F:F, ROUNDUP((ROW(A291))/5,0)*5 - 3), "х", "x")</f>
        <v/>
      </c>
      <c r="AD292" s="222">
        <f>SUBSTITUTE(INDEX(F:F, ROUNDUP((ROW(A291))/5,0)*5 - 3), "х", "x") &amp; " - " &amp; SUBSTITUTE(SUBSTITUTE(INDEX(F:F, ROUNDUP((ROW(A291))/5,0)*5 - 3), "х", "*"), "x", "*") &amp; " мм"</f>
        <v/>
      </c>
    </row>
    <row r="293">
      <c r="B293" s="42" t="n">
        <v>60</v>
      </c>
      <c r="C293" s="118">
        <f>INDIRECT("'Закуп'!A" &amp; B293)</f>
        <v/>
      </c>
      <c r="D293" s="119">
        <f>C293*1.2</f>
        <v/>
      </c>
      <c r="G293" s="172">
        <f>IF(INDIRECT("'Закуп'!L" &amp; B293)="Sale","Sale","")</f>
        <v/>
      </c>
      <c r="H293" s="158">
        <f>IF(INDIRECT("'Закуп'!F" &amp; B293)=0,"",INDIRECT("'Закуп'!F" &amp; B293))</f>
        <v/>
      </c>
      <c r="I293" s="120" t="n">
        <v>100</v>
      </c>
      <c r="J293" s="121">
        <f>K293/1.2</f>
        <v/>
      </c>
      <c r="K293" s="70" t="n">
        <v>8.9</v>
      </c>
      <c r="L293" s="122">
        <f>J293-C293-(J293-C293)*0.2</f>
        <v/>
      </c>
      <c r="M293" s="123">
        <f>L293*I293</f>
        <v/>
      </c>
      <c r="N293" s="124" t="inlineStr">
        <is>
          <t xml:space="preserve">100-290 шт - </t>
        </is>
      </c>
      <c r="O293" s="47" t="inlineStr">
        <is>
          <t xml:space="preserve"> руб / шт с НДС</t>
        </is>
      </c>
      <c r="P293" s="125">
        <f>ROUND(K293,2)</f>
        <v/>
      </c>
      <c r="Q293" s="207">
        <f>CONCATENATE(N293,P293,O293,)</f>
        <v/>
      </c>
      <c r="R293" s="240" t="n"/>
      <c r="T293" s="241" t="n"/>
      <c r="U293" s="240" t="n"/>
      <c r="V293" s="241" t="n"/>
      <c r="Z293" s="240" t="n"/>
      <c r="AB293" s="241" t="n"/>
      <c r="AC293" s="240" t="n"/>
      <c r="AD293" s="241" t="n"/>
    </row>
    <row r="294">
      <c r="B294" s="42" t="n">
        <v>60</v>
      </c>
      <c r="C294" s="118">
        <f>INDIRECT("'Закуп'!A" &amp; B294)</f>
        <v/>
      </c>
      <c r="D294" s="119">
        <f>C294*1.2</f>
        <v/>
      </c>
      <c r="G294" s="172">
        <f>IF(INDIRECT("'Закуп'!L" &amp; B294)="Sale","Sale","")</f>
        <v/>
      </c>
      <c r="H294" s="158">
        <f>IF(INDIRECT("'Закуп'!F" &amp; B294)=0,"",INDIRECT("'Закуп'!F" &amp; B294))</f>
        <v/>
      </c>
      <c r="I294" s="120" t="n">
        <v>300</v>
      </c>
      <c r="J294" s="121">
        <f>K294/1.2</f>
        <v/>
      </c>
      <c r="K294" s="70" t="n">
        <v>8.58</v>
      </c>
      <c r="L294" s="122">
        <f>J294-C294-(J294-C294)*0.2</f>
        <v/>
      </c>
      <c r="M294" s="123">
        <f>L294*I294</f>
        <v/>
      </c>
      <c r="N294" s="124" t="inlineStr">
        <is>
          <t xml:space="preserve">300-490 шт - </t>
        </is>
      </c>
      <c r="O294" s="47" t="inlineStr">
        <is>
          <t xml:space="preserve"> руб / шт с НДС</t>
        </is>
      </c>
      <c r="P294" s="125">
        <f>ROUND(K294,2)</f>
        <v/>
      </c>
      <c r="Q294" s="207">
        <f>CONCATENATE(N294,P294,O294,)</f>
        <v/>
      </c>
      <c r="R294" s="240" t="n"/>
      <c r="T294" s="241" t="n"/>
      <c r="U294" s="240" t="n"/>
      <c r="V294" s="241" t="n"/>
      <c r="Z294" s="240" t="n"/>
      <c r="AB294" s="241" t="n"/>
      <c r="AC294" s="240" t="n"/>
      <c r="AD294" s="241" t="n"/>
    </row>
    <row r="295">
      <c r="B295" s="42" t="n">
        <v>60</v>
      </c>
      <c r="C295" s="118">
        <f>INDIRECT("'Закуп'!A" &amp; B295)</f>
        <v/>
      </c>
      <c r="D295" s="119">
        <f>C295*1.2</f>
        <v/>
      </c>
      <c r="G295" s="172">
        <f>IF(INDIRECT("'Закуп'!L" &amp; B295)="Sale","Sale","")</f>
        <v/>
      </c>
      <c r="H295" s="158">
        <f>IF(INDIRECT("'Закуп'!F" &amp; B295)=0,"",INDIRECT("'Закуп'!F" &amp; B295))</f>
        <v/>
      </c>
      <c r="I295" s="120" t="n">
        <v>500</v>
      </c>
      <c r="J295" s="121">
        <f>K295/1.2</f>
        <v/>
      </c>
      <c r="K295" s="70" t="n">
        <v>8.26</v>
      </c>
      <c r="L295" s="122">
        <f>J295-C295-(J295-C295)*0.2</f>
        <v/>
      </c>
      <c r="M295" s="123">
        <f>L295*I295</f>
        <v/>
      </c>
      <c r="N295" s="124" t="inlineStr">
        <is>
          <t xml:space="preserve">500-990 шт - </t>
        </is>
      </c>
      <c r="O295" s="47" t="inlineStr">
        <is>
          <t xml:space="preserve"> руб / шт с НДС</t>
        </is>
      </c>
      <c r="P295" s="125">
        <f>ROUND(K295,2)</f>
        <v/>
      </c>
      <c r="Q295" s="207">
        <f>CONCATENATE(N295,P295,O295,)</f>
        <v/>
      </c>
      <c r="R295" s="240" t="n"/>
      <c r="T295" s="241" t="n"/>
      <c r="U295" s="240" t="n"/>
      <c r="V295" s="241" t="n"/>
      <c r="Z295" s="240" t="n"/>
      <c r="AB295" s="241" t="n"/>
      <c r="AC295" s="240" t="n"/>
      <c r="AD295" s="241" t="n"/>
    </row>
    <row r="296">
      <c r="B296" s="42" t="n">
        <v>60</v>
      </c>
      <c r="C296" s="118">
        <f>INDIRECT("'Закуп'!A" &amp; B296)</f>
        <v/>
      </c>
      <c r="D296" s="119">
        <f>C296*1.2</f>
        <v/>
      </c>
      <c r="G296" s="172">
        <f>IF(INDIRECT("'Закуп'!L" &amp; B296)="Sale","Sale","")</f>
        <v/>
      </c>
      <c r="H296" s="158">
        <f>IF(INDIRECT("'Закуп'!F" &amp; B296)=0,"",INDIRECT("'Закуп'!F" &amp; B296))</f>
        <v/>
      </c>
      <c r="I296" s="120" t="n">
        <v>1000</v>
      </c>
      <c r="J296" s="121">
        <f>K296/1.2</f>
        <v/>
      </c>
      <c r="K296" s="70" t="n">
        <v>7.95</v>
      </c>
      <c r="L296" s="122">
        <f>J296-C296-(J296-C296)*0.2</f>
        <v/>
      </c>
      <c r="M296" s="123">
        <f>L296*I296</f>
        <v/>
      </c>
      <c r="N296" s="124" t="inlineStr">
        <is>
          <t xml:space="preserve">1000 + шт - </t>
        </is>
      </c>
      <c r="O296" s="47" t="inlineStr">
        <is>
          <t xml:space="preserve"> руб / шт с НДС</t>
        </is>
      </c>
      <c r="P296" s="125">
        <f>ROUND(K296,2)</f>
        <v/>
      </c>
      <c r="Q296" s="207">
        <f>CONCATENATE(N296,P296,O296,)</f>
        <v/>
      </c>
      <c r="R296" s="240" t="n"/>
      <c r="T296" s="241" t="n"/>
      <c r="U296" s="240" t="n"/>
      <c r="V296" s="241" t="n"/>
      <c r="Z296" s="240" t="n"/>
      <c r="AB296" s="241" t="n"/>
      <c r="AC296" s="240" t="n"/>
      <c r="AD296" s="241" t="n"/>
    </row>
    <row r="297">
      <c r="A297" s="232" t="n">
        <v>61</v>
      </c>
      <c r="B297" s="42" t="n">
        <v>61</v>
      </c>
      <c r="C297" s="118">
        <f>INDIRECT("'Закуп'!A" &amp; B297)</f>
        <v/>
      </c>
      <c r="D297" s="119">
        <f>C297*1.2</f>
        <v/>
      </c>
      <c r="E297" s="224">
        <f>INDIRECT("'Закуп'!D" &amp; A297)</f>
        <v/>
      </c>
      <c r="F297" s="231">
        <f>INDIRECT("'Закуп'!E" &amp; B297)</f>
        <v/>
      </c>
      <c r="G297" s="172">
        <f>IF(INDIRECT("'Закуп'!L" &amp; B297)="Sale","Sale","")</f>
        <v/>
      </c>
      <c r="H297" s="158">
        <f>IF(INDIRECT("'Закуп'!F" &amp; B297)=0,"",INDIRECT("'Закуп'!F" &amp; B297))</f>
        <v/>
      </c>
      <c r="I297" s="120" t="n">
        <v>50</v>
      </c>
      <c r="J297" s="121">
        <f>K297/1.2</f>
        <v/>
      </c>
      <c r="K297" s="70" t="n">
        <v>10.85</v>
      </c>
      <c r="L297" s="122">
        <f>J297-C297-(J297-C297)*0.2</f>
        <v/>
      </c>
      <c r="M297" s="123">
        <f>L297*I297</f>
        <v/>
      </c>
      <c r="N297" s="124" t="inlineStr">
        <is>
          <t xml:space="preserve">50-90 шт - </t>
        </is>
      </c>
      <c r="O297" s="47" t="inlineStr">
        <is>
          <t xml:space="preserve"> руб / шт с НДС</t>
        </is>
      </c>
      <c r="P297" s="125">
        <f>ROUND(K297,2)</f>
        <v/>
      </c>
      <c r="Q297" s="207">
        <f>CONCATENATE(N297,P297,O297,)</f>
        <v/>
      </c>
      <c r="R297" s="235">
        <f>INDIRECT("'Закуп'!k" &amp; A297)</f>
        <v/>
      </c>
      <c r="S297" s="239">
        <f>INDIRECT("'Закуп'!o" &amp; A297)</f>
        <v/>
      </c>
      <c r="T297" s="226">
        <f>INDIRECT("'Закуп'!p" &amp; A297)</f>
        <v/>
      </c>
      <c r="U297" s="235">
        <f>INDIRECT("'Закуп'!v" &amp; A297)</f>
        <v/>
      </c>
      <c r="V297" s="222">
        <f>INDIRECT("'Закуп'!w" &amp; A297)</f>
        <v/>
      </c>
      <c r="W297" s="229">
        <f>INDIRECT("'Закуп'!H" &amp; A297)</f>
        <v/>
      </c>
      <c r="X297" s="237">
        <f>INDIRECT("'Закуп'!g" &amp; A297)</f>
        <v/>
      </c>
      <c r="Y297" s="229">
        <f>INDIRECT("'Закуп'!i" &amp; A297)</f>
        <v/>
      </c>
      <c r="Z297" s="236">
        <f>INDIRECT("'Закуп'!x" &amp; A297)</f>
        <v/>
      </c>
      <c r="AA297" s="237">
        <f>INDIRECT("'Закуп'!y" &amp; A297)</f>
        <v/>
      </c>
      <c r="AB297" s="238">
        <f>INDIRECT("'Закуп'!z" &amp; A297)</f>
        <v/>
      </c>
      <c r="AC297" s="223">
        <f>SUBSTITUTE(INDEX(F:F, ROUNDUP((ROW(A296))/5,0)*5 - 3), "х", "x")</f>
        <v/>
      </c>
      <c r="AD297" s="222">
        <f>SUBSTITUTE(INDEX(F:F, ROUNDUP((ROW(A296))/5,0)*5 - 3), "х", "x") &amp; " - " &amp; SUBSTITUTE(SUBSTITUTE(INDEX(F:F, ROUNDUP((ROW(A296))/5,0)*5 - 3), "х", "*"), "x", "*") &amp; " мм"</f>
        <v/>
      </c>
    </row>
    <row r="298">
      <c r="B298" s="42" t="n">
        <v>61</v>
      </c>
      <c r="C298" s="118">
        <f>INDIRECT("'Закуп'!A" &amp; B298)</f>
        <v/>
      </c>
      <c r="D298" s="119">
        <f>C298*1.2</f>
        <v/>
      </c>
      <c r="G298" s="172">
        <f>IF(INDIRECT("'Закуп'!L" &amp; B298)="Sale","Sale","")</f>
        <v/>
      </c>
      <c r="H298" s="158">
        <f>IF(INDIRECT("'Закуп'!F" &amp; B298)=0,"",INDIRECT("'Закуп'!F" &amp; B298))</f>
        <v/>
      </c>
      <c r="I298" s="120" t="n">
        <v>100</v>
      </c>
      <c r="J298" s="121">
        <f>K298/1.2</f>
        <v/>
      </c>
      <c r="K298" s="70" t="n">
        <v>10.48</v>
      </c>
      <c r="L298" s="122">
        <f>J298-C298-(J298-C298)*0.2</f>
        <v/>
      </c>
      <c r="M298" s="123">
        <f>L298*I298</f>
        <v/>
      </c>
      <c r="N298" s="124" t="inlineStr">
        <is>
          <t xml:space="preserve">100-290 шт - </t>
        </is>
      </c>
      <c r="O298" s="47" t="inlineStr">
        <is>
          <t xml:space="preserve"> руб / шт с НДС</t>
        </is>
      </c>
      <c r="P298" s="125">
        <f>ROUND(K298,2)</f>
        <v/>
      </c>
      <c r="Q298" s="207">
        <f>CONCATENATE(N298,P298,O298,)</f>
        <v/>
      </c>
      <c r="R298" s="240" t="n"/>
      <c r="T298" s="241" t="n"/>
      <c r="U298" s="240" t="n"/>
      <c r="V298" s="241" t="n"/>
      <c r="Z298" s="240" t="n"/>
      <c r="AB298" s="241" t="n"/>
      <c r="AC298" s="240" t="n"/>
      <c r="AD298" s="241" t="n"/>
    </row>
    <row r="299">
      <c r="B299" s="42" t="n">
        <v>61</v>
      </c>
      <c r="C299" s="118">
        <f>INDIRECT("'Закуп'!A" &amp; B299)</f>
        <v/>
      </c>
      <c r="D299" s="119">
        <f>C299*1.2</f>
        <v/>
      </c>
      <c r="G299" s="172">
        <f>IF(INDIRECT("'Закуп'!L" &amp; B299)="Sale","Sale","")</f>
        <v/>
      </c>
      <c r="H299" s="158">
        <f>IF(INDIRECT("'Закуп'!F" &amp; B299)=0,"",INDIRECT("'Закуп'!F" &amp; B299))</f>
        <v/>
      </c>
      <c r="I299" s="120" t="n">
        <v>300</v>
      </c>
      <c r="J299" s="121">
        <f>K299/1.2</f>
        <v/>
      </c>
      <c r="K299" s="70" t="n">
        <v>10.11</v>
      </c>
      <c r="L299" s="122">
        <f>J299-C299-(J299-C299)*0.2</f>
        <v/>
      </c>
      <c r="M299" s="123">
        <f>L299*I299</f>
        <v/>
      </c>
      <c r="N299" s="124" t="inlineStr">
        <is>
          <t xml:space="preserve">300-490 шт - </t>
        </is>
      </c>
      <c r="O299" s="47" t="inlineStr">
        <is>
          <t xml:space="preserve"> руб / шт с НДС</t>
        </is>
      </c>
      <c r="P299" s="125">
        <f>ROUND(K299,2)</f>
        <v/>
      </c>
      <c r="Q299" s="207">
        <f>CONCATENATE(N299,P299,O299,)</f>
        <v/>
      </c>
      <c r="R299" s="240" t="n"/>
      <c r="T299" s="241" t="n"/>
      <c r="U299" s="240" t="n"/>
      <c r="V299" s="241" t="n"/>
      <c r="Z299" s="240" t="n"/>
      <c r="AB299" s="241" t="n"/>
      <c r="AC299" s="240" t="n"/>
      <c r="AD299" s="241" t="n"/>
    </row>
    <row r="300">
      <c r="B300" s="42" t="n">
        <v>61</v>
      </c>
      <c r="C300" s="118">
        <f>INDIRECT("'Закуп'!A" &amp; B300)</f>
        <v/>
      </c>
      <c r="D300" s="119">
        <f>C300*1.2</f>
        <v/>
      </c>
      <c r="G300" s="172">
        <f>IF(INDIRECT("'Закуп'!L" &amp; B300)="Sale","Sale","")</f>
        <v/>
      </c>
      <c r="H300" s="158">
        <f>IF(INDIRECT("'Закуп'!F" &amp; B300)=0,"",INDIRECT("'Закуп'!F" &amp; B300))</f>
        <v/>
      </c>
      <c r="I300" s="120" t="n">
        <v>500</v>
      </c>
      <c r="J300" s="121">
        <f>K300/1.2</f>
        <v/>
      </c>
      <c r="K300" s="70" t="n">
        <v>9.74</v>
      </c>
      <c r="L300" s="122">
        <f>J300-C300-(J300-C300)*0.2</f>
        <v/>
      </c>
      <c r="M300" s="123">
        <f>L300*I300</f>
        <v/>
      </c>
      <c r="N300" s="124" t="inlineStr">
        <is>
          <t xml:space="preserve">500-990 шт - </t>
        </is>
      </c>
      <c r="O300" s="47" t="inlineStr">
        <is>
          <t xml:space="preserve"> руб / шт с НДС</t>
        </is>
      </c>
      <c r="P300" s="125">
        <f>ROUND(K300,2)</f>
        <v/>
      </c>
      <c r="Q300" s="207">
        <f>CONCATENATE(N300,P300,O300,)</f>
        <v/>
      </c>
      <c r="R300" s="240" t="n"/>
      <c r="T300" s="241" t="n"/>
      <c r="U300" s="240" t="n"/>
      <c r="V300" s="241" t="n"/>
      <c r="Z300" s="240" t="n"/>
      <c r="AB300" s="241" t="n"/>
      <c r="AC300" s="240" t="n"/>
      <c r="AD300" s="241" t="n"/>
    </row>
    <row r="301">
      <c r="B301" s="42" t="n">
        <v>61</v>
      </c>
      <c r="C301" s="118">
        <f>INDIRECT("'Закуп'!A" &amp; B301)</f>
        <v/>
      </c>
      <c r="D301" s="119">
        <f>C301*1.2</f>
        <v/>
      </c>
      <c r="G301" s="172">
        <f>IF(INDIRECT("'Закуп'!L" &amp; B301)="Sale","Sale","")</f>
        <v/>
      </c>
      <c r="H301" s="158">
        <f>IF(INDIRECT("'Закуп'!F" &amp; B301)=0,"",INDIRECT("'Закуп'!F" &amp; B301))</f>
        <v/>
      </c>
      <c r="I301" s="120" t="n">
        <v>1000</v>
      </c>
      <c r="J301" s="121">
        <f>K301/1.2</f>
        <v/>
      </c>
      <c r="K301" s="70" t="n">
        <v>9.359999999999999</v>
      </c>
      <c r="L301" s="122">
        <f>J301-C301-(J301-C301)*0.2</f>
        <v/>
      </c>
      <c r="M301" s="123">
        <f>L301*I301</f>
        <v/>
      </c>
      <c r="N301" s="124" t="inlineStr">
        <is>
          <t xml:space="preserve">1000 + шт - </t>
        </is>
      </c>
      <c r="O301" s="47" t="inlineStr">
        <is>
          <t xml:space="preserve"> руб / шт с НДС</t>
        </is>
      </c>
      <c r="P301" s="125">
        <f>ROUND(K301,2)</f>
        <v/>
      </c>
      <c r="Q301" s="207">
        <f>CONCATENATE(N301,P301,O301,)</f>
        <v/>
      </c>
      <c r="R301" s="240" t="n"/>
      <c r="T301" s="241" t="n"/>
      <c r="U301" s="240" t="n"/>
      <c r="V301" s="241" t="n"/>
      <c r="Z301" s="240" t="n"/>
      <c r="AB301" s="241" t="n"/>
      <c r="AC301" s="240" t="n"/>
      <c r="AD301" s="241" t="n"/>
    </row>
    <row r="302">
      <c r="A302" s="232" t="n">
        <v>62</v>
      </c>
      <c r="B302" s="42" t="n">
        <v>62</v>
      </c>
      <c r="C302" s="118">
        <f>INDIRECT("'Закуп'!A" &amp; B302)</f>
        <v/>
      </c>
      <c r="D302" s="119">
        <f>C302*1.2</f>
        <v/>
      </c>
      <c r="E302" s="224">
        <f>INDIRECT("'Закуп'!D" &amp; A302)</f>
        <v/>
      </c>
      <c r="F302" s="231">
        <f>INDIRECT("'Закуп'!E" &amp; B302)</f>
        <v/>
      </c>
      <c r="G302" s="172">
        <f>IF(INDIRECT("'Закуп'!L" &amp; B302)="Sale","Sale","")</f>
        <v/>
      </c>
      <c r="H302" s="158">
        <f>IF(INDIRECT("'Закуп'!F" &amp; B302)=0,"",INDIRECT("'Закуп'!F" &amp; B302))</f>
        <v/>
      </c>
      <c r="I302" s="120" t="n">
        <v>50</v>
      </c>
      <c r="J302" s="121">
        <f>K302/1.2</f>
        <v/>
      </c>
      <c r="K302" s="70" t="n">
        <v>14.45</v>
      </c>
      <c r="L302" s="122">
        <f>J302-C302-(J302-C302)*0.2</f>
        <v/>
      </c>
      <c r="M302" s="123">
        <f>L302*I302</f>
        <v/>
      </c>
      <c r="N302" s="124" t="inlineStr">
        <is>
          <t xml:space="preserve">50-90 шт - </t>
        </is>
      </c>
      <c r="O302" s="47" t="inlineStr">
        <is>
          <t xml:space="preserve"> руб / шт с НДС</t>
        </is>
      </c>
      <c r="P302" s="125">
        <f>ROUND(K302,2)</f>
        <v/>
      </c>
      <c r="Q302" s="207">
        <f>CONCATENATE(N302,P302,O302,)</f>
        <v/>
      </c>
      <c r="R302" s="235">
        <f>INDIRECT("'Закуп'!k" &amp; A302)</f>
        <v/>
      </c>
      <c r="S302" s="239">
        <f>INDIRECT("'Закуп'!o" &amp; A302)</f>
        <v/>
      </c>
      <c r="T302" s="226">
        <f>INDIRECT("'Закуп'!p" &amp; A302)</f>
        <v/>
      </c>
      <c r="U302" s="235">
        <f>INDIRECT("'Закуп'!v" &amp; A302)</f>
        <v/>
      </c>
      <c r="V302" s="222">
        <f>INDIRECT("'Закуп'!w" &amp; A302)</f>
        <v/>
      </c>
      <c r="W302" s="229">
        <f>INDIRECT("'Закуп'!H" &amp; A302)</f>
        <v/>
      </c>
      <c r="X302" s="237">
        <f>INDIRECT("'Закуп'!g" &amp; A302)</f>
        <v/>
      </c>
      <c r="Y302" s="229">
        <f>INDIRECT("'Закуп'!i" &amp; A302)</f>
        <v/>
      </c>
      <c r="Z302" s="236">
        <f>INDIRECT("'Закуп'!x" &amp; A302)</f>
        <v/>
      </c>
      <c r="AA302" s="237">
        <f>INDIRECT("'Закуп'!y" &amp; A302)</f>
        <v/>
      </c>
      <c r="AB302" s="238">
        <f>INDIRECT("'Закуп'!z" &amp; A302)</f>
        <v/>
      </c>
      <c r="AC302" s="223">
        <f>SUBSTITUTE(INDEX(F:F, ROUNDUP((ROW(A301))/5,0)*5 - 3), "х", "x")</f>
        <v/>
      </c>
      <c r="AD302" s="222">
        <f>SUBSTITUTE(INDEX(F:F, ROUNDUP((ROW(A301))/5,0)*5 - 3), "х", "x") &amp; " - " &amp; SUBSTITUTE(SUBSTITUTE(INDEX(F:F, ROUNDUP((ROW(A301))/5,0)*5 - 3), "х", "*"), "x", "*") &amp; " мм"</f>
        <v/>
      </c>
    </row>
    <row r="303">
      <c r="B303" s="42" t="n">
        <v>62</v>
      </c>
      <c r="C303" s="118">
        <f>INDIRECT("'Закуп'!A" &amp; B303)</f>
        <v/>
      </c>
      <c r="D303" s="119">
        <f>C303*1.2</f>
        <v/>
      </c>
      <c r="G303" s="172">
        <f>IF(INDIRECT("'Закуп'!L" &amp; B303)="Sale","Sale","")</f>
        <v/>
      </c>
      <c r="H303" s="158">
        <f>IF(INDIRECT("'Закуп'!F" &amp; B303)=0,"",INDIRECT("'Закуп'!F" &amp; B303))</f>
        <v/>
      </c>
      <c r="I303" s="120" t="n">
        <v>100</v>
      </c>
      <c r="J303" s="121">
        <f>K303/1.2</f>
        <v/>
      </c>
      <c r="K303" s="70" t="n">
        <v>13.91</v>
      </c>
      <c r="L303" s="122">
        <f>J303-C303-(J303-C303)*0.2</f>
        <v/>
      </c>
      <c r="M303" s="123">
        <f>L303*I303</f>
        <v/>
      </c>
      <c r="N303" s="124" t="inlineStr">
        <is>
          <t xml:space="preserve">100-290 шт - </t>
        </is>
      </c>
      <c r="O303" s="47" t="inlineStr">
        <is>
          <t xml:space="preserve"> руб / шт с НДС</t>
        </is>
      </c>
      <c r="P303" s="125">
        <f>ROUND(K303,2)</f>
        <v/>
      </c>
      <c r="Q303" s="207">
        <f>CONCATENATE(N303,P303,O303,)</f>
        <v/>
      </c>
      <c r="R303" s="240" t="n"/>
      <c r="T303" s="241" t="n"/>
      <c r="U303" s="240" t="n"/>
      <c r="V303" s="241" t="n"/>
      <c r="Z303" s="240" t="n"/>
      <c r="AB303" s="241" t="n"/>
      <c r="AC303" s="240" t="n"/>
      <c r="AD303" s="241" t="n"/>
    </row>
    <row r="304">
      <c r="B304" s="42" t="n">
        <v>62</v>
      </c>
      <c r="C304" s="118">
        <f>INDIRECT("'Закуп'!A" &amp; B304)</f>
        <v/>
      </c>
      <c r="D304" s="119">
        <f>C304*1.2</f>
        <v/>
      </c>
      <c r="G304" s="172">
        <f>IF(INDIRECT("'Закуп'!L" &amp; B304)="Sale","Sale","")</f>
        <v/>
      </c>
      <c r="H304" s="158">
        <f>IF(INDIRECT("'Закуп'!F" &amp; B304)=0,"",INDIRECT("'Закуп'!F" &amp; B304))</f>
        <v/>
      </c>
      <c r="I304" s="120" t="n">
        <v>300</v>
      </c>
      <c r="J304" s="121">
        <f>K304/1.2</f>
        <v/>
      </c>
      <c r="K304" s="70" t="n">
        <v>13.59</v>
      </c>
      <c r="L304" s="122">
        <f>J304-C304-(J304-C304)*0.2</f>
        <v/>
      </c>
      <c r="M304" s="123">
        <f>L304*I304</f>
        <v/>
      </c>
      <c r="N304" s="124" t="inlineStr">
        <is>
          <t xml:space="preserve">300-490 шт - </t>
        </is>
      </c>
      <c r="O304" s="47" t="inlineStr">
        <is>
          <t xml:space="preserve"> руб / шт с НДС</t>
        </is>
      </c>
      <c r="P304" s="125">
        <f>ROUND(K304,2)</f>
        <v/>
      </c>
      <c r="Q304" s="207">
        <f>CONCATENATE(N304,P304,O304,)</f>
        <v/>
      </c>
      <c r="R304" s="240" t="n"/>
      <c r="T304" s="241" t="n"/>
      <c r="U304" s="240" t="n"/>
      <c r="V304" s="241" t="n"/>
      <c r="Z304" s="240" t="n"/>
      <c r="AB304" s="241" t="n"/>
      <c r="AC304" s="240" t="n"/>
      <c r="AD304" s="241" t="n"/>
    </row>
    <row r="305">
      <c r="B305" s="42" t="n">
        <v>62</v>
      </c>
      <c r="C305" s="118">
        <f>INDIRECT("'Закуп'!A" &amp; B305)</f>
        <v/>
      </c>
      <c r="D305" s="119">
        <f>C305*1.2</f>
        <v/>
      </c>
      <c r="G305" s="172">
        <f>IF(INDIRECT("'Закуп'!L" &amp; B305)="Sale","Sale","")</f>
        <v/>
      </c>
      <c r="H305" s="158">
        <f>IF(INDIRECT("'Закуп'!F" &amp; B305)=0,"",INDIRECT("'Закуп'!F" &amp; B305))</f>
        <v/>
      </c>
      <c r="I305" s="120" t="n">
        <v>500</v>
      </c>
      <c r="J305" s="121">
        <f>K305/1.2</f>
        <v/>
      </c>
      <c r="K305" s="70" t="n">
        <v>13.27</v>
      </c>
      <c r="L305" s="122">
        <f>J305-C305-(J305-C305)*0.2</f>
        <v/>
      </c>
      <c r="M305" s="123">
        <f>L305*I305</f>
        <v/>
      </c>
      <c r="N305" s="124" t="inlineStr">
        <is>
          <t xml:space="preserve">500-990 шт - </t>
        </is>
      </c>
      <c r="O305" s="47" t="inlineStr">
        <is>
          <t xml:space="preserve"> руб / шт с НДС</t>
        </is>
      </c>
      <c r="P305" s="125">
        <f>ROUND(K305,2)</f>
        <v/>
      </c>
      <c r="Q305" s="207">
        <f>CONCATENATE(N305,P305,O305,)</f>
        <v/>
      </c>
      <c r="R305" s="240" t="n"/>
      <c r="T305" s="241" t="n"/>
      <c r="U305" s="240" t="n"/>
      <c r="V305" s="241" t="n"/>
      <c r="Z305" s="240" t="n"/>
      <c r="AB305" s="241" t="n"/>
      <c r="AC305" s="240" t="n"/>
      <c r="AD305" s="241" t="n"/>
    </row>
    <row r="306">
      <c r="B306" s="42" t="n">
        <v>62</v>
      </c>
      <c r="C306" s="118">
        <f>INDIRECT("'Закуп'!A" &amp; B306)</f>
        <v/>
      </c>
      <c r="D306" s="119">
        <f>C306*1.2</f>
        <v/>
      </c>
      <c r="G306" s="172">
        <f>IF(INDIRECT("'Закуп'!L" &amp; B306)="Sale","Sale","")</f>
        <v/>
      </c>
      <c r="H306" s="158">
        <f>IF(INDIRECT("'Закуп'!F" &amp; B306)=0,"",INDIRECT("'Закуп'!F" &amp; B306))</f>
        <v/>
      </c>
      <c r="I306" s="120" t="n">
        <v>1000</v>
      </c>
      <c r="J306" s="121">
        <f>K306/1.2</f>
        <v/>
      </c>
      <c r="K306" s="70" t="n">
        <v>12.84</v>
      </c>
      <c r="L306" s="122">
        <f>J306-C306-(J306-C306)*0.2</f>
        <v/>
      </c>
      <c r="M306" s="123">
        <f>L306*I306</f>
        <v/>
      </c>
      <c r="N306" s="124" t="inlineStr">
        <is>
          <t xml:space="preserve">1000 + шт - </t>
        </is>
      </c>
      <c r="O306" s="47" t="inlineStr">
        <is>
          <t xml:space="preserve"> руб / шт с НДС</t>
        </is>
      </c>
      <c r="P306" s="125">
        <f>ROUND(K306,2)</f>
        <v/>
      </c>
      <c r="Q306" s="207">
        <f>CONCATENATE(N306,P306,O306,)</f>
        <v/>
      </c>
      <c r="R306" s="240" t="n"/>
      <c r="T306" s="241" t="n"/>
      <c r="U306" s="240" t="n"/>
      <c r="V306" s="241" t="n"/>
      <c r="Z306" s="240" t="n"/>
      <c r="AB306" s="241" t="n"/>
      <c r="AC306" s="240" t="n"/>
      <c r="AD306" s="241" t="n"/>
    </row>
    <row r="307">
      <c r="A307" s="232" t="n">
        <v>63</v>
      </c>
      <c r="B307" s="42" t="n">
        <v>63</v>
      </c>
      <c r="C307" s="118">
        <f>INDIRECT("'Закуп'!A" &amp; B307)</f>
        <v/>
      </c>
      <c r="D307" s="119">
        <f>C307*1.2</f>
        <v/>
      </c>
      <c r="E307" s="224">
        <f>INDIRECT("'Закуп'!D" &amp; A307)</f>
        <v/>
      </c>
      <c r="F307" s="231">
        <f>INDIRECT("'Закуп'!E" &amp; B307)</f>
        <v/>
      </c>
      <c r="G307" s="172">
        <f>IF(INDIRECT("'Закуп'!L" &amp; B307)="Sale","Sale","")</f>
        <v/>
      </c>
      <c r="H307" s="158">
        <f>IF(INDIRECT("'Закуп'!F" &amp; B307)=0,"",INDIRECT("'Закуп'!F" &amp; B307))</f>
        <v/>
      </c>
      <c r="I307" s="120" t="n">
        <v>50</v>
      </c>
      <c r="J307" s="121">
        <f>K307/1.2</f>
        <v/>
      </c>
      <c r="K307" s="70" t="n">
        <v>22.47</v>
      </c>
      <c r="L307" s="122">
        <f>J307-C307-(J307-C307)*0.2</f>
        <v/>
      </c>
      <c r="M307" s="123">
        <f>L307*I307</f>
        <v/>
      </c>
      <c r="N307" s="124" t="inlineStr">
        <is>
          <t xml:space="preserve">50-90 шт - </t>
        </is>
      </c>
      <c r="O307" s="47" t="inlineStr">
        <is>
          <t xml:space="preserve"> руб / шт с НДС</t>
        </is>
      </c>
      <c r="P307" s="125">
        <f>ROUND(K307,2)</f>
        <v/>
      </c>
      <c r="Q307" s="207">
        <f>CONCATENATE(N307,P307,O307,)</f>
        <v/>
      </c>
      <c r="R307" s="235">
        <f>INDIRECT("'Закуп'!k" &amp; A307)</f>
        <v/>
      </c>
      <c r="S307" s="239">
        <f>INDIRECT("'Закуп'!o" &amp; A307)</f>
        <v/>
      </c>
      <c r="T307" s="226">
        <f>INDIRECT("'Закуп'!p" &amp; A307)</f>
        <v/>
      </c>
      <c r="U307" s="235">
        <f>INDIRECT("'Закуп'!v" &amp; A307)</f>
        <v/>
      </c>
      <c r="V307" s="222">
        <f>INDIRECT("'Закуп'!w" &amp; A307)</f>
        <v/>
      </c>
      <c r="W307" s="229">
        <f>INDIRECT("'Закуп'!H" &amp; A307)</f>
        <v/>
      </c>
      <c r="X307" s="237">
        <f>INDIRECT("'Закуп'!g" &amp; A307)</f>
        <v/>
      </c>
      <c r="Y307" s="229">
        <f>INDIRECT("'Закуп'!i" &amp; A307)</f>
        <v/>
      </c>
      <c r="Z307" s="236">
        <f>INDIRECT("'Закуп'!x" &amp; A307)</f>
        <v/>
      </c>
      <c r="AA307" s="237">
        <f>INDIRECT("'Закуп'!y" &amp; A307)</f>
        <v/>
      </c>
      <c r="AB307" s="238">
        <f>INDIRECT("'Закуп'!z" &amp; A307)</f>
        <v/>
      </c>
      <c r="AC307" s="223">
        <f>SUBSTITUTE(INDEX(F:F, ROUNDUP((ROW(A306))/5,0)*5 - 3), "х", "x")</f>
        <v/>
      </c>
      <c r="AD307" s="222">
        <f>SUBSTITUTE(INDEX(F:F, ROUNDUP((ROW(A306))/5,0)*5 - 3), "х", "x") &amp; " - " &amp; SUBSTITUTE(SUBSTITUTE(INDEX(F:F, ROUNDUP((ROW(A306))/5,0)*5 - 3), "х", "*"), "x", "*") &amp; " мм"</f>
        <v/>
      </c>
    </row>
    <row r="308">
      <c r="B308" s="42" t="n">
        <v>63</v>
      </c>
      <c r="C308" s="118">
        <f>INDIRECT("'Закуп'!A" &amp; B308)</f>
        <v/>
      </c>
      <c r="D308" s="119">
        <f>C308*1.2</f>
        <v/>
      </c>
      <c r="G308" s="172">
        <f>IF(INDIRECT("'Закуп'!L" &amp; B308)="Sale","Sale","")</f>
        <v/>
      </c>
      <c r="H308" s="158">
        <f>IF(INDIRECT("'Закуп'!F" &amp; B308)=0,"",INDIRECT("'Закуп'!F" &amp; B308))</f>
        <v/>
      </c>
      <c r="I308" s="120" t="n">
        <v>100</v>
      </c>
      <c r="J308" s="121">
        <f>K308/1.2</f>
        <v/>
      </c>
      <c r="K308" s="70" t="n">
        <v>21.94</v>
      </c>
      <c r="L308" s="122">
        <f>J308-C308-(J308-C308)*0.2</f>
        <v/>
      </c>
      <c r="M308" s="123">
        <f>L308*I308</f>
        <v/>
      </c>
      <c r="N308" s="124" t="inlineStr">
        <is>
          <t xml:space="preserve">100-290 шт - </t>
        </is>
      </c>
      <c r="O308" s="47" t="inlineStr">
        <is>
          <t xml:space="preserve"> руб / шт с НДС</t>
        </is>
      </c>
      <c r="P308" s="125">
        <f>ROUND(K308,2)</f>
        <v/>
      </c>
      <c r="Q308" s="207">
        <f>CONCATENATE(N308,P308,O308,)</f>
        <v/>
      </c>
      <c r="R308" s="240" t="n"/>
      <c r="T308" s="241" t="n"/>
      <c r="U308" s="240" t="n"/>
      <c r="V308" s="241" t="n"/>
      <c r="Z308" s="240" t="n"/>
      <c r="AB308" s="241" t="n"/>
      <c r="AC308" s="240" t="n"/>
      <c r="AD308" s="241" t="n"/>
    </row>
    <row r="309">
      <c r="B309" s="42" t="n">
        <v>63</v>
      </c>
      <c r="C309" s="118">
        <f>INDIRECT("'Закуп'!A" &amp; B309)</f>
        <v/>
      </c>
      <c r="D309" s="119">
        <f>C309*1.2</f>
        <v/>
      </c>
      <c r="G309" s="172">
        <f>IF(INDIRECT("'Закуп'!L" &amp; B309)="Sale","Sale","")</f>
        <v/>
      </c>
      <c r="H309" s="158">
        <f>IF(INDIRECT("'Закуп'!F" &amp; B309)=0,"",INDIRECT("'Закуп'!F" &amp; B309))</f>
        <v/>
      </c>
      <c r="I309" s="120" t="n">
        <v>300</v>
      </c>
      <c r="J309" s="121">
        <f>K309/1.2</f>
        <v/>
      </c>
      <c r="K309" s="70" t="n">
        <v>21.4</v>
      </c>
      <c r="L309" s="122">
        <f>J309-C309-(J309-C309)*0.2</f>
        <v/>
      </c>
      <c r="M309" s="123">
        <f>L309*I309</f>
        <v/>
      </c>
      <c r="N309" s="124" t="inlineStr">
        <is>
          <t xml:space="preserve">300-490 шт - </t>
        </is>
      </c>
      <c r="O309" s="47" t="inlineStr">
        <is>
          <t xml:space="preserve"> руб / шт с НДС</t>
        </is>
      </c>
      <c r="P309" s="125">
        <f>ROUND(K309,2)</f>
        <v/>
      </c>
      <c r="Q309" s="207">
        <f>CONCATENATE(N309,P309,O309,)</f>
        <v/>
      </c>
      <c r="R309" s="240" t="n"/>
      <c r="T309" s="241" t="n"/>
      <c r="U309" s="240" t="n"/>
      <c r="V309" s="241" t="n"/>
      <c r="Z309" s="240" t="n"/>
      <c r="AB309" s="241" t="n"/>
      <c r="AC309" s="240" t="n"/>
      <c r="AD309" s="241" t="n"/>
    </row>
    <row r="310">
      <c r="B310" s="42" t="n">
        <v>63</v>
      </c>
      <c r="C310" s="118">
        <f>INDIRECT("'Закуп'!A" &amp; B310)</f>
        <v/>
      </c>
      <c r="D310" s="119">
        <f>C310*1.2</f>
        <v/>
      </c>
      <c r="G310" s="172">
        <f>IF(INDIRECT("'Закуп'!L" &amp; B310)="Sale","Sale","")</f>
        <v/>
      </c>
      <c r="H310" s="158">
        <f>IF(INDIRECT("'Закуп'!F" &amp; B310)=0,"",INDIRECT("'Закуп'!F" &amp; B310))</f>
        <v/>
      </c>
      <c r="I310" s="120" t="n">
        <v>500</v>
      </c>
      <c r="J310" s="121">
        <f>K310/1.2</f>
        <v/>
      </c>
      <c r="K310" s="70" t="n">
        <v>21.19</v>
      </c>
      <c r="L310" s="122">
        <f>J310-C310-(J310-C310)*0.2</f>
        <v/>
      </c>
      <c r="M310" s="123">
        <f>L310*I310</f>
        <v/>
      </c>
      <c r="N310" s="124" t="inlineStr">
        <is>
          <t xml:space="preserve">500-990 шт - </t>
        </is>
      </c>
      <c r="O310" s="47" t="inlineStr">
        <is>
          <t xml:space="preserve"> руб / шт с НДС</t>
        </is>
      </c>
      <c r="P310" s="125">
        <f>ROUND(K310,2)</f>
        <v/>
      </c>
      <c r="Q310" s="207">
        <f>CONCATENATE(N310,P310,O310,)</f>
        <v/>
      </c>
      <c r="R310" s="240" t="n"/>
      <c r="T310" s="241" t="n"/>
      <c r="U310" s="240" t="n"/>
      <c r="V310" s="241" t="n"/>
      <c r="Z310" s="240" t="n"/>
      <c r="AB310" s="241" t="n"/>
      <c r="AC310" s="240" t="n"/>
      <c r="AD310" s="241" t="n"/>
    </row>
    <row r="311">
      <c r="B311" s="42" t="n">
        <v>63</v>
      </c>
      <c r="C311" s="118">
        <f>INDIRECT("'Закуп'!A" &amp; B311)</f>
        <v/>
      </c>
      <c r="D311" s="119">
        <f>C311*1.2</f>
        <v/>
      </c>
      <c r="G311" s="172">
        <f>IF(INDIRECT("'Закуп'!L" &amp; B311)="Sale","Sale","")</f>
        <v/>
      </c>
      <c r="H311" s="158">
        <f>IF(INDIRECT("'Закуп'!F" &amp; B311)=0,"",INDIRECT("'Закуп'!F" &amp; B311))</f>
        <v/>
      </c>
      <c r="I311" s="120" t="n">
        <v>1000</v>
      </c>
      <c r="J311" s="121">
        <f>K311/1.2</f>
        <v/>
      </c>
      <c r="K311" s="70" t="n">
        <v>20.97</v>
      </c>
      <c r="L311" s="122">
        <f>J311-C311-(J311-C311)*0.2</f>
        <v/>
      </c>
      <c r="M311" s="123">
        <f>L311*I311</f>
        <v/>
      </c>
      <c r="N311" s="124" t="inlineStr">
        <is>
          <t xml:space="preserve">1000 + шт - </t>
        </is>
      </c>
      <c r="O311" s="47" t="inlineStr">
        <is>
          <t xml:space="preserve"> руб / шт с НДС</t>
        </is>
      </c>
      <c r="P311" s="125">
        <f>ROUND(K311,2)</f>
        <v/>
      </c>
      <c r="Q311" s="207">
        <f>CONCATENATE(N311,P311,O311,)</f>
        <v/>
      </c>
      <c r="R311" s="240" t="n"/>
      <c r="T311" s="241" t="n"/>
      <c r="U311" s="240" t="n"/>
      <c r="V311" s="241" t="n"/>
      <c r="Z311" s="240" t="n"/>
      <c r="AB311" s="241" t="n"/>
      <c r="AC311" s="240" t="n"/>
      <c r="AD311" s="241" t="n"/>
    </row>
    <row r="312">
      <c r="A312" s="232" t="n">
        <v>64</v>
      </c>
      <c r="B312" s="42" t="n">
        <v>64</v>
      </c>
      <c r="C312" s="118">
        <f>INDIRECT("'Закуп'!A" &amp; B312)</f>
        <v/>
      </c>
      <c r="D312" s="119">
        <f>C312*1.2</f>
        <v/>
      </c>
      <c r="E312" s="224">
        <f>INDIRECT("'Закуп'!D" &amp; A312)</f>
        <v/>
      </c>
      <c r="F312" s="231">
        <f>INDIRECT("'Закуп'!E" &amp; B312)</f>
        <v/>
      </c>
      <c r="G312" s="172">
        <f>IF(INDIRECT("'Закуп'!L" &amp; B312)="Sale","Sale","")</f>
        <v/>
      </c>
      <c r="H312" s="158">
        <f>IF(INDIRECT("'Закуп'!F" &amp; B312)=0,"",INDIRECT("'Закуп'!F" &amp; B312))</f>
        <v/>
      </c>
      <c r="I312" s="120" t="n">
        <v>50</v>
      </c>
      <c r="J312" s="121">
        <f>K312/1.2</f>
        <v/>
      </c>
      <c r="K312" s="70" t="n">
        <v>16.05</v>
      </c>
      <c r="L312" s="122">
        <f>J312-C312-(J312-C312)*0.2</f>
        <v/>
      </c>
      <c r="M312" s="123">
        <f>L312*I312</f>
        <v/>
      </c>
      <c r="N312" s="124" t="inlineStr">
        <is>
          <t xml:space="preserve">50-90 шт - </t>
        </is>
      </c>
      <c r="O312" s="47" t="inlineStr">
        <is>
          <t xml:space="preserve"> руб / шт с НДС</t>
        </is>
      </c>
      <c r="P312" s="125">
        <f>ROUND(K312,2)</f>
        <v/>
      </c>
      <c r="Q312" s="207">
        <f>CONCATENATE(N312,P312,O312,)</f>
        <v/>
      </c>
      <c r="R312" s="235">
        <f>INDIRECT("'Закуп'!k" &amp; A312)</f>
        <v/>
      </c>
      <c r="S312" s="239">
        <f>INDIRECT("'Закуп'!o" &amp; A312)</f>
        <v/>
      </c>
      <c r="T312" s="226">
        <f>INDIRECT("'Закуп'!p" &amp; A312)</f>
        <v/>
      </c>
      <c r="U312" s="235">
        <f>INDIRECT("'Закуп'!v" &amp; A312)</f>
        <v/>
      </c>
      <c r="V312" s="222">
        <f>INDIRECT("'Закуп'!w" &amp; A312)</f>
        <v/>
      </c>
      <c r="W312" s="229">
        <f>INDIRECT("'Закуп'!H" &amp; A312)</f>
        <v/>
      </c>
      <c r="X312" s="237">
        <f>INDIRECT("'Закуп'!g" &amp; A312)</f>
        <v/>
      </c>
      <c r="Y312" s="229">
        <f>INDIRECT("'Закуп'!i" &amp; A312)</f>
        <v/>
      </c>
      <c r="Z312" s="236">
        <f>INDIRECT("'Закуп'!x" &amp; A312)</f>
        <v/>
      </c>
      <c r="AA312" s="237">
        <f>INDIRECT("'Закуп'!y" &amp; A312)</f>
        <v/>
      </c>
      <c r="AB312" s="238">
        <f>INDIRECT("'Закуп'!z" &amp; A312)</f>
        <v/>
      </c>
      <c r="AC312" s="223">
        <f>SUBSTITUTE(INDEX(F:F, ROUNDUP((ROW(A311))/5,0)*5 - 3), "х", "x")</f>
        <v/>
      </c>
      <c r="AD312" s="222">
        <f>SUBSTITUTE(INDEX(F:F, ROUNDUP((ROW(A311))/5,0)*5 - 3), "х", "x") &amp; " - " &amp; SUBSTITUTE(SUBSTITUTE(INDEX(F:F, ROUNDUP((ROW(A311))/5,0)*5 - 3), "х", "*"), "x", "*") &amp; " мм"</f>
        <v/>
      </c>
    </row>
    <row r="313">
      <c r="B313" s="42" t="n">
        <v>64</v>
      </c>
      <c r="C313" s="118">
        <f>INDIRECT("'Закуп'!A" &amp; B313)</f>
        <v/>
      </c>
      <c r="D313" s="119">
        <f>C313*1.2</f>
        <v/>
      </c>
      <c r="G313" s="172">
        <f>IF(INDIRECT("'Закуп'!L" &amp; B313)="Sale","Sale","")</f>
        <v/>
      </c>
      <c r="H313" s="158">
        <f>IF(INDIRECT("'Закуп'!F" &amp; B313)=0,"",INDIRECT("'Закуп'!F" &amp; B313))</f>
        <v/>
      </c>
      <c r="I313" s="120" t="n">
        <v>100</v>
      </c>
      <c r="J313" s="121">
        <f>K313/1.2</f>
        <v/>
      </c>
      <c r="K313" s="70" t="n">
        <v>15.84</v>
      </c>
      <c r="L313" s="122">
        <f>J313-C313-(J313-C313)*0.2</f>
        <v/>
      </c>
      <c r="M313" s="123">
        <f>L313*I313</f>
        <v/>
      </c>
      <c r="N313" s="124" t="inlineStr">
        <is>
          <t xml:space="preserve">100-290 шт - </t>
        </is>
      </c>
      <c r="O313" s="47" t="inlineStr">
        <is>
          <t xml:space="preserve"> руб / шт с НДС</t>
        </is>
      </c>
      <c r="P313" s="125">
        <f>ROUND(K313,2)</f>
        <v/>
      </c>
      <c r="Q313" s="207">
        <f>CONCATENATE(N313,P313,O313,)</f>
        <v/>
      </c>
      <c r="R313" s="240" t="n"/>
      <c r="T313" s="241" t="n"/>
      <c r="U313" s="240" t="n"/>
      <c r="V313" s="241" t="n"/>
      <c r="Z313" s="240" t="n"/>
      <c r="AB313" s="241" t="n"/>
      <c r="AC313" s="240" t="n"/>
      <c r="AD313" s="241" t="n"/>
    </row>
    <row r="314">
      <c r="B314" s="42" t="n">
        <v>64</v>
      </c>
      <c r="C314" s="118">
        <f>INDIRECT("'Закуп'!A" &amp; B314)</f>
        <v/>
      </c>
      <c r="D314" s="119">
        <f>C314*1.2</f>
        <v/>
      </c>
      <c r="G314" s="172">
        <f>IF(INDIRECT("'Закуп'!L" &amp; B314)="Sale","Sale","")</f>
        <v/>
      </c>
      <c r="H314" s="158">
        <f>IF(INDIRECT("'Закуп'!F" &amp; B314)=0,"",INDIRECT("'Закуп'!F" &amp; B314))</f>
        <v/>
      </c>
      <c r="I314" s="120" t="n">
        <v>300</v>
      </c>
      <c r="J314" s="121">
        <f>K314/1.2</f>
        <v/>
      </c>
      <c r="K314" s="70" t="n">
        <v>15.41</v>
      </c>
      <c r="L314" s="122">
        <f>J314-C314-(J314-C314)*0.2</f>
        <v/>
      </c>
      <c r="M314" s="123">
        <f>L314*I314</f>
        <v/>
      </c>
      <c r="N314" s="124" t="inlineStr">
        <is>
          <t xml:space="preserve">300-490 шт - </t>
        </is>
      </c>
      <c r="O314" s="47" t="inlineStr">
        <is>
          <t xml:space="preserve"> руб / шт с НДС</t>
        </is>
      </c>
      <c r="P314" s="125">
        <f>ROUND(K314,2)</f>
        <v/>
      </c>
      <c r="Q314" s="207">
        <f>CONCATENATE(N314,P314,O314,)</f>
        <v/>
      </c>
      <c r="R314" s="240" t="n"/>
      <c r="T314" s="241" t="n"/>
      <c r="U314" s="240" t="n"/>
      <c r="V314" s="241" t="n"/>
      <c r="Z314" s="240" t="n"/>
      <c r="AB314" s="241" t="n"/>
      <c r="AC314" s="240" t="n"/>
      <c r="AD314" s="241" t="n"/>
    </row>
    <row r="315">
      <c r="B315" s="42" t="n">
        <v>64</v>
      </c>
      <c r="C315" s="118">
        <f>INDIRECT("'Закуп'!A" &amp; B315)</f>
        <v/>
      </c>
      <c r="D315" s="119">
        <f>C315*1.2</f>
        <v/>
      </c>
      <c r="G315" s="172">
        <f>IF(INDIRECT("'Закуп'!L" &amp; B315)="Sale","Sale","")</f>
        <v/>
      </c>
      <c r="H315" s="158">
        <f>IF(INDIRECT("'Закуп'!F" &amp; B315)=0,"",INDIRECT("'Закуп'!F" &amp; B315))</f>
        <v/>
      </c>
      <c r="I315" s="120" t="n">
        <v>500</v>
      </c>
      <c r="J315" s="121">
        <f>K315/1.2</f>
        <v/>
      </c>
      <c r="K315" s="70" t="n">
        <v>14.98</v>
      </c>
      <c r="L315" s="122">
        <f>J315-C315-(J315-C315)*0.2</f>
        <v/>
      </c>
      <c r="M315" s="123">
        <f>L315*I315</f>
        <v/>
      </c>
      <c r="N315" s="124" t="inlineStr">
        <is>
          <t xml:space="preserve">500-990 шт - </t>
        </is>
      </c>
      <c r="O315" s="47" t="inlineStr">
        <is>
          <t xml:space="preserve"> руб / шт с НДС</t>
        </is>
      </c>
      <c r="P315" s="125">
        <f>ROUND(K315,2)</f>
        <v/>
      </c>
      <c r="Q315" s="207">
        <f>CONCATENATE(N315,P315,O315,)</f>
        <v/>
      </c>
      <c r="R315" s="240" t="n"/>
      <c r="T315" s="241" t="n"/>
      <c r="U315" s="240" t="n"/>
      <c r="V315" s="241" t="n"/>
      <c r="Z315" s="240" t="n"/>
      <c r="AB315" s="241" t="n"/>
      <c r="AC315" s="240" t="n"/>
      <c r="AD315" s="241" t="n"/>
    </row>
    <row r="316">
      <c r="B316" s="42" t="n">
        <v>64</v>
      </c>
      <c r="C316" s="118">
        <f>INDIRECT("'Закуп'!A" &amp; B316)</f>
        <v/>
      </c>
      <c r="D316" s="119">
        <f>C316*1.2</f>
        <v/>
      </c>
      <c r="G316" s="172">
        <f>IF(INDIRECT("'Закуп'!L" &amp; B316)="Sale","Sale","")</f>
        <v/>
      </c>
      <c r="H316" s="158">
        <f>IF(INDIRECT("'Закуп'!F" &amp; B316)=0,"",INDIRECT("'Закуп'!F" &amp; B316))</f>
        <v/>
      </c>
      <c r="I316" s="120" t="n">
        <v>1000</v>
      </c>
      <c r="J316" s="121">
        <f>K316/1.2</f>
        <v/>
      </c>
      <c r="K316" s="70" t="n">
        <v>14.77</v>
      </c>
      <c r="L316" s="122">
        <f>J316-C316-(J316-C316)*0.2</f>
        <v/>
      </c>
      <c r="M316" s="123">
        <f>L316*I316</f>
        <v/>
      </c>
      <c r="N316" s="124" t="inlineStr">
        <is>
          <t xml:space="preserve">1000 + шт - </t>
        </is>
      </c>
      <c r="O316" s="47" t="inlineStr">
        <is>
          <t xml:space="preserve"> руб / шт с НДС</t>
        </is>
      </c>
      <c r="P316" s="125">
        <f>ROUND(K316,2)</f>
        <v/>
      </c>
      <c r="Q316" s="207">
        <f>CONCATENATE(N316,P316,O316,)</f>
        <v/>
      </c>
      <c r="R316" s="240" t="n"/>
      <c r="T316" s="241" t="n"/>
      <c r="U316" s="240" t="n"/>
      <c r="V316" s="241" t="n"/>
      <c r="Z316" s="240" t="n"/>
      <c r="AB316" s="241" t="n"/>
      <c r="AC316" s="240" t="n"/>
      <c r="AD316" s="241" t="n"/>
    </row>
    <row r="317">
      <c r="A317" s="232" t="n">
        <v>65</v>
      </c>
      <c r="B317" s="42" t="n">
        <v>65</v>
      </c>
      <c r="C317" s="118">
        <f>INDIRECT("'Закуп'!A" &amp; B317)</f>
        <v/>
      </c>
      <c r="D317" s="119">
        <f>C317*1.2</f>
        <v/>
      </c>
      <c r="E317" s="224">
        <f>INDIRECT("'Закуп'!D" &amp; A317)</f>
        <v/>
      </c>
      <c r="F317" s="231">
        <f>INDIRECT("'Закуп'!E" &amp; B317)</f>
        <v/>
      </c>
      <c r="G317" s="172">
        <f>IF(INDIRECT("'Закуп'!L" &amp; B317)="Sale","Sale","")</f>
        <v/>
      </c>
      <c r="H317" s="158">
        <f>IF(INDIRECT("'Закуп'!F" &amp; B317)=0,"",INDIRECT("'Закуп'!F" &amp; B317))</f>
        <v/>
      </c>
      <c r="I317" s="120" t="n">
        <v>50</v>
      </c>
      <c r="J317" s="121">
        <f>K317/1.2</f>
        <v/>
      </c>
      <c r="K317" s="70" t="n">
        <v>25.04</v>
      </c>
      <c r="L317" s="122">
        <f>J317-C317-(J317-C317)*0.2</f>
        <v/>
      </c>
      <c r="M317" s="123">
        <f>L317*I317</f>
        <v/>
      </c>
      <c r="N317" s="124" t="inlineStr">
        <is>
          <t xml:space="preserve">50-90 шт - </t>
        </is>
      </c>
      <c r="O317" s="47" t="inlineStr">
        <is>
          <t xml:space="preserve"> руб / шт с НДС</t>
        </is>
      </c>
      <c r="P317" s="125">
        <f>ROUND(K317,2)</f>
        <v/>
      </c>
      <c r="Q317" s="207">
        <f>CONCATENATE(N317,P317,O317,)</f>
        <v/>
      </c>
      <c r="R317" s="235">
        <f>INDIRECT("'Закуп'!k" &amp; A317)</f>
        <v/>
      </c>
      <c r="S317" s="239">
        <f>INDIRECT("'Закуп'!o" &amp; A317)</f>
        <v/>
      </c>
      <c r="T317" s="226">
        <f>INDIRECT("'Закуп'!p" &amp; A317)</f>
        <v/>
      </c>
      <c r="U317" s="235">
        <f>INDIRECT("'Закуп'!v" &amp; A317)</f>
        <v/>
      </c>
      <c r="V317" s="222">
        <f>INDIRECT("'Закуп'!w" &amp; A317)</f>
        <v/>
      </c>
      <c r="W317" s="229">
        <f>INDIRECT("'Закуп'!H" &amp; A317)</f>
        <v/>
      </c>
      <c r="X317" s="237">
        <f>INDIRECT("'Закуп'!g" &amp; A317)</f>
        <v/>
      </c>
      <c r="Y317" s="229">
        <f>INDIRECT("'Закуп'!i" &amp; A317)</f>
        <v/>
      </c>
      <c r="Z317" s="236">
        <f>INDIRECT("'Закуп'!x" &amp; A317)</f>
        <v/>
      </c>
      <c r="AA317" s="237">
        <f>INDIRECT("'Закуп'!y" &amp; A317)</f>
        <v/>
      </c>
      <c r="AB317" s="238">
        <f>INDIRECT("'Закуп'!z" &amp; A317)</f>
        <v/>
      </c>
      <c r="AC317" s="223">
        <f>SUBSTITUTE(INDEX(F:F, ROUNDUP((ROW(A316))/5,0)*5 - 3), "х", "x")</f>
        <v/>
      </c>
      <c r="AD317" s="222">
        <f>SUBSTITUTE(INDEX(F:F, ROUNDUP((ROW(A316))/5,0)*5 - 3), "х", "x") &amp; " - " &amp; SUBSTITUTE(SUBSTITUTE(INDEX(F:F, ROUNDUP((ROW(A316))/5,0)*5 - 3), "х", "*"), "x", "*") &amp; " мм"</f>
        <v/>
      </c>
    </row>
    <row r="318">
      <c r="B318" s="42" t="n">
        <v>65</v>
      </c>
      <c r="C318" s="118">
        <f>INDIRECT("'Закуп'!A" &amp; B318)</f>
        <v/>
      </c>
      <c r="D318" s="119">
        <f>C318*1.2</f>
        <v/>
      </c>
      <c r="G318" s="172">
        <f>IF(INDIRECT("'Закуп'!L" &amp; B318)="Sale","Sale","")</f>
        <v/>
      </c>
      <c r="H318" s="158">
        <f>IF(INDIRECT("'Закуп'!F" &amp; B318)=0,"",INDIRECT("'Закуп'!F" &amp; B318))</f>
        <v/>
      </c>
      <c r="I318" s="120" t="n">
        <v>100</v>
      </c>
      <c r="J318" s="121">
        <f>K318/1.2</f>
        <v/>
      </c>
      <c r="K318" s="70" t="n">
        <v>24.61</v>
      </c>
      <c r="L318" s="122">
        <f>J318-C318-(J318-C318)*0.2</f>
        <v/>
      </c>
      <c r="M318" s="123">
        <f>L318*I318</f>
        <v/>
      </c>
      <c r="N318" s="124" t="inlineStr">
        <is>
          <t xml:space="preserve">100-290 шт - </t>
        </is>
      </c>
      <c r="O318" s="47" t="inlineStr">
        <is>
          <t xml:space="preserve"> руб / шт с НДС</t>
        </is>
      </c>
      <c r="P318" s="125">
        <f>ROUND(K318,2)</f>
        <v/>
      </c>
      <c r="Q318" s="207">
        <f>CONCATENATE(N318,P318,O318,)</f>
        <v/>
      </c>
      <c r="R318" s="240" t="n"/>
      <c r="T318" s="241" t="n"/>
      <c r="U318" s="240" t="n"/>
      <c r="V318" s="241" t="n"/>
      <c r="Z318" s="240" t="n"/>
      <c r="AB318" s="241" t="n"/>
      <c r="AC318" s="240" t="n"/>
      <c r="AD318" s="241" t="n"/>
    </row>
    <row r="319">
      <c r="B319" s="42" t="n">
        <v>65</v>
      </c>
      <c r="C319" s="118">
        <f>INDIRECT("'Закуп'!A" &amp; B319)</f>
        <v/>
      </c>
      <c r="D319" s="119">
        <f>C319*1.2</f>
        <v/>
      </c>
      <c r="G319" s="172">
        <f>IF(INDIRECT("'Закуп'!L" &amp; B319)="Sale","Sale","")</f>
        <v/>
      </c>
      <c r="H319" s="158">
        <f>IF(INDIRECT("'Закуп'!F" &amp; B319)=0,"",INDIRECT("'Закуп'!F" &amp; B319))</f>
        <v/>
      </c>
      <c r="I319" s="120" t="n">
        <v>300</v>
      </c>
      <c r="J319" s="121">
        <f>K319/1.2</f>
        <v/>
      </c>
      <c r="K319" s="70" t="n">
        <v>24.18</v>
      </c>
      <c r="L319" s="122">
        <f>J319-C319-(J319-C319)*0.2</f>
        <v/>
      </c>
      <c r="M319" s="123">
        <f>L319*I319</f>
        <v/>
      </c>
      <c r="N319" s="124" t="inlineStr">
        <is>
          <t xml:space="preserve">300-490 шт - </t>
        </is>
      </c>
      <c r="O319" s="47" t="inlineStr">
        <is>
          <t xml:space="preserve"> руб / шт с НДС</t>
        </is>
      </c>
      <c r="P319" s="125">
        <f>ROUND(K319,2)</f>
        <v/>
      </c>
      <c r="Q319" s="207">
        <f>CONCATENATE(N319,P319,O319,)</f>
        <v/>
      </c>
      <c r="R319" s="240" t="n"/>
      <c r="T319" s="241" t="n"/>
      <c r="U319" s="240" t="n"/>
      <c r="V319" s="241" t="n"/>
      <c r="Z319" s="240" t="n"/>
      <c r="AB319" s="241" t="n"/>
      <c r="AC319" s="240" t="n"/>
      <c r="AD319" s="241" t="n"/>
    </row>
    <row r="320">
      <c r="B320" s="42" t="n">
        <v>65</v>
      </c>
      <c r="C320" s="118">
        <f>INDIRECT("'Закуп'!A" &amp; B320)</f>
        <v/>
      </c>
      <c r="D320" s="119">
        <f>C320*1.2</f>
        <v/>
      </c>
      <c r="G320" s="172">
        <f>IF(INDIRECT("'Закуп'!L" &amp; B320)="Sale","Sale","")</f>
        <v/>
      </c>
      <c r="H320" s="158">
        <f>IF(INDIRECT("'Закуп'!F" &amp; B320)=0,"",INDIRECT("'Закуп'!F" &amp; B320))</f>
        <v/>
      </c>
      <c r="I320" s="120" t="n">
        <v>500</v>
      </c>
      <c r="J320" s="121">
        <f>K320/1.2</f>
        <v/>
      </c>
      <c r="K320" s="70" t="n">
        <v>23.86</v>
      </c>
      <c r="L320" s="122">
        <f>J320-C320-(J320-C320)*0.2</f>
        <v/>
      </c>
      <c r="M320" s="123">
        <f>L320*I320</f>
        <v/>
      </c>
      <c r="N320" s="124" t="inlineStr">
        <is>
          <t xml:space="preserve">500-990 шт - </t>
        </is>
      </c>
      <c r="O320" s="47" t="inlineStr">
        <is>
          <t xml:space="preserve"> руб / шт с НДС</t>
        </is>
      </c>
      <c r="P320" s="125">
        <f>ROUND(K320,2)</f>
        <v/>
      </c>
      <c r="Q320" s="207">
        <f>CONCATENATE(N320,P320,O320,)</f>
        <v/>
      </c>
      <c r="R320" s="240" t="n"/>
      <c r="T320" s="241" t="n"/>
      <c r="U320" s="240" t="n"/>
      <c r="V320" s="241" t="n"/>
      <c r="Z320" s="240" t="n"/>
      <c r="AB320" s="241" t="n"/>
      <c r="AC320" s="240" t="n"/>
      <c r="AD320" s="241" t="n"/>
    </row>
    <row r="321">
      <c r="B321" s="42" t="n">
        <v>65</v>
      </c>
      <c r="C321" s="118">
        <f>INDIRECT("'Закуп'!A" &amp; B321)</f>
        <v/>
      </c>
      <c r="D321" s="119">
        <f>C321*1.2</f>
        <v/>
      </c>
      <c r="G321" s="172">
        <f>IF(INDIRECT("'Закуп'!L" &amp; B321)="Sale","Sale","")</f>
        <v/>
      </c>
      <c r="H321" s="158">
        <f>IF(INDIRECT("'Закуп'!F" &amp; B321)=0,"",INDIRECT("'Закуп'!F" &amp; B321))</f>
        <v/>
      </c>
      <c r="I321" s="120" t="n">
        <v>1000</v>
      </c>
      <c r="J321" s="121">
        <f>K321/1.2</f>
        <v/>
      </c>
      <c r="K321" s="70" t="n">
        <v>23.54</v>
      </c>
      <c r="L321" s="122">
        <f>J321-C321-(J321-C321)*0.2</f>
        <v/>
      </c>
      <c r="M321" s="123">
        <f>L321*I321</f>
        <v/>
      </c>
      <c r="N321" s="124" t="inlineStr">
        <is>
          <t xml:space="preserve">1000 + шт - </t>
        </is>
      </c>
      <c r="O321" s="47" t="inlineStr">
        <is>
          <t xml:space="preserve"> руб / шт с НДС</t>
        </is>
      </c>
      <c r="P321" s="125">
        <f>ROUND(K321,2)</f>
        <v/>
      </c>
      <c r="Q321" s="207">
        <f>CONCATENATE(N321,P321,O321,)</f>
        <v/>
      </c>
      <c r="R321" s="240" t="n"/>
      <c r="T321" s="241" t="n"/>
      <c r="U321" s="240" t="n"/>
      <c r="V321" s="241" t="n"/>
      <c r="Z321" s="240" t="n"/>
      <c r="AB321" s="241" t="n"/>
      <c r="AC321" s="240" t="n"/>
      <c r="AD321" s="241" t="n"/>
    </row>
    <row r="322">
      <c r="A322" s="232" t="n">
        <v>66</v>
      </c>
      <c r="B322" s="42" t="n">
        <v>66</v>
      </c>
      <c r="C322" s="118">
        <f>INDIRECT("'Закуп'!A" &amp; B322)</f>
        <v/>
      </c>
      <c r="D322" s="119">
        <f>C322*1.2</f>
        <v/>
      </c>
      <c r="E322" s="224">
        <f>INDIRECT("'Закуп'!D" &amp; A322)</f>
        <v/>
      </c>
      <c r="F322" s="231">
        <f>INDIRECT("'Закуп'!E" &amp; B322)</f>
        <v/>
      </c>
      <c r="G322" s="172">
        <f>IF(INDIRECT("'Закуп'!L" &amp; B322)="Sale","Sale","")</f>
        <v/>
      </c>
      <c r="H322" s="158">
        <f>IF(INDIRECT("'Закуп'!F" &amp; B322)=0,"",INDIRECT("'Закуп'!F" &amp; B322))</f>
        <v/>
      </c>
      <c r="I322" s="120" t="n">
        <v>50</v>
      </c>
      <c r="J322" s="121">
        <f>K322/1.2</f>
        <v/>
      </c>
      <c r="K322" s="70" t="n">
        <v>2.4</v>
      </c>
      <c r="L322" s="122">
        <f>J322-C322-(J322-C322)*0.2</f>
        <v/>
      </c>
      <c r="M322" s="123">
        <f>L322*I322</f>
        <v/>
      </c>
      <c r="N322" s="124" t="inlineStr">
        <is>
          <t xml:space="preserve">50-90 шт - </t>
        </is>
      </c>
      <c r="O322" s="47" t="inlineStr">
        <is>
          <t xml:space="preserve"> руб / шт с НДС</t>
        </is>
      </c>
      <c r="P322" s="125">
        <f>ROUND(K322,2)</f>
        <v/>
      </c>
      <c r="Q322" s="207">
        <f>CONCATENATE(N322,P322,O322,)</f>
        <v/>
      </c>
      <c r="R322" s="235">
        <f>INDIRECT("'Закуп'!k" &amp; A322)</f>
        <v/>
      </c>
      <c r="S322" s="239">
        <f>INDIRECT("'Закуп'!o" &amp; A322)</f>
        <v/>
      </c>
      <c r="T322" s="226">
        <f>INDIRECT("'Закуп'!p" &amp; A322)</f>
        <v/>
      </c>
      <c r="U322" s="235">
        <f>INDIRECT("'Закуп'!v" &amp; A322)</f>
        <v/>
      </c>
      <c r="V322" s="222">
        <f>INDIRECT("'Закуп'!w" &amp; A322)</f>
        <v/>
      </c>
      <c r="W322" s="229">
        <f>INDIRECT("'Закуп'!H" &amp; A322)</f>
        <v/>
      </c>
      <c r="X322" s="237">
        <f>INDIRECT("'Закуп'!g" &amp; A322)</f>
        <v/>
      </c>
      <c r="Y322" s="229">
        <f>INDIRECT("'Закуп'!i" &amp; A322)</f>
        <v/>
      </c>
      <c r="Z322" s="236">
        <f>INDIRECT("'Закуп'!x" &amp; A322)</f>
        <v/>
      </c>
      <c r="AA322" s="237">
        <f>INDIRECT("'Закуп'!y" &amp; A322)</f>
        <v/>
      </c>
      <c r="AB322" s="238">
        <f>INDIRECT("'Закуп'!z" &amp; A322)</f>
        <v/>
      </c>
      <c r="AC322" s="223">
        <f>SUBSTITUTE(INDEX(F:F, ROUNDUP((ROW(A321))/5,0)*5 - 3), "х", "x")</f>
        <v/>
      </c>
      <c r="AD322" s="222">
        <f>SUBSTITUTE(INDEX(F:F, ROUNDUP((ROW(A321))/5,0)*5 - 3), "х", "x") &amp; " - " &amp; SUBSTITUTE(SUBSTITUTE(INDEX(F:F, ROUNDUP((ROW(A321))/5,0)*5 - 3), "х", "*"), "x", "*") &amp; " мм"</f>
        <v/>
      </c>
    </row>
    <row r="323">
      <c r="B323" s="42" t="n">
        <v>66</v>
      </c>
      <c r="C323" s="118">
        <f>INDIRECT("'Закуп'!A" &amp; B323)</f>
        <v/>
      </c>
      <c r="D323" s="119">
        <f>C323*1.2</f>
        <v/>
      </c>
      <c r="G323" s="172">
        <f>IF(INDIRECT("'Закуп'!L" &amp; B323)="Sale","Sale","")</f>
        <v/>
      </c>
      <c r="H323" s="158">
        <f>IF(INDIRECT("'Закуп'!F" &amp; B323)=0,"",INDIRECT("'Закуп'!F" &amp; B323))</f>
        <v/>
      </c>
      <c r="I323" s="120" t="n">
        <v>100</v>
      </c>
      <c r="J323" s="121">
        <f>K323/1.2</f>
        <v/>
      </c>
      <c r="K323" s="70" t="n">
        <v>2.18</v>
      </c>
      <c r="L323" s="122">
        <f>J323-C323-(J323-C323)*0.2</f>
        <v/>
      </c>
      <c r="M323" s="123">
        <f>L323*I323</f>
        <v/>
      </c>
      <c r="N323" s="124" t="inlineStr">
        <is>
          <t xml:space="preserve">100-290 шт - </t>
        </is>
      </c>
      <c r="O323" s="47" t="inlineStr">
        <is>
          <t xml:space="preserve"> руб / шт с НДС</t>
        </is>
      </c>
      <c r="P323" s="125">
        <f>ROUND(K323,2)</f>
        <v/>
      </c>
      <c r="Q323" s="207">
        <f>CONCATENATE(N323,P323,O323,)</f>
        <v/>
      </c>
      <c r="R323" s="240" t="n"/>
      <c r="T323" s="241" t="n"/>
      <c r="U323" s="240" t="n"/>
      <c r="V323" s="241" t="n"/>
      <c r="Z323" s="240" t="n"/>
      <c r="AB323" s="241" t="n"/>
      <c r="AC323" s="240" t="n"/>
      <c r="AD323" s="241" t="n"/>
    </row>
    <row r="324">
      <c r="B324" s="42" t="n">
        <v>66</v>
      </c>
      <c r="C324" s="118">
        <f>INDIRECT("'Закуп'!A" &amp; B324)</f>
        <v/>
      </c>
      <c r="D324" s="119">
        <f>C324*1.2</f>
        <v/>
      </c>
      <c r="G324" s="172">
        <f>IF(INDIRECT("'Закуп'!L" &amp; B324)="Sale","Sale","")</f>
        <v/>
      </c>
      <c r="H324" s="158">
        <f>IF(INDIRECT("'Закуп'!F" &amp; B324)=0,"",INDIRECT("'Закуп'!F" &amp; B324))</f>
        <v/>
      </c>
      <c r="I324" s="120" t="n">
        <v>300</v>
      </c>
      <c r="J324" s="121">
        <f>K324/1.2</f>
        <v/>
      </c>
      <c r="K324" s="70" t="n">
        <v>1.7</v>
      </c>
      <c r="L324" s="122">
        <f>J324-C324-(J324-C324)*0.2</f>
        <v/>
      </c>
      <c r="M324" s="123">
        <f>L324*I324</f>
        <v/>
      </c>
      <c r="N324" s="124" t="inlineStr">
        <is>
          <t xml:space="preserve">300-490 шт - </t>
        </is>
      </c>
      <c r="O324" s="47" t="inlineStr">
        <is>
          <t xml:space="preserve"> руб / шт с НДС</t>
        </is>
      </c>
      <c r="P324" s="125">
        <f>ROUND(K324,2)</f>
        <v/>
      </c>
      <c r="Q324" s="207">
        <f>CONCATENATE(N324,P324,O324,)</f>
        <v/>
      </c>
      <c r="R324" s="240" t="n"/>
      <c r="T324" s="241" t="n"/>
      <c r="U324" s="240" t="n"/>
      <c r="V324" s="241" t="n"/>
      <c r="Z324" s="240" t="n"/>
      <c r="AB324" s="241" t="n"/>
      <c r="AC324" s="240" t="n"/>
      <c r="AD324" s="241" t="n"/>
    </row>
    <row r="325">
      <c r="B325" s="42" t="n">
        <v>66</v>
      </c>
      <c r="C325" s="118">
        <f>INDIRECT("'Закуп'!A" &amp; B325)</f>
        <v/>
      </c>
      <c r="D325" s="119">
        <f>C325*1.2</f>
        <v/>
      </c>
      <c r="G325" s="172">
        <f>IF(INDIRECT("'Закуп'!L" &amp; B325)="Sale","Sale","")</f>
        <v/>
      </c>
      <c r="H325" s="158">
        <f>IF(INDIRECT("'Закуп'!F" &amp; B325)=0,"",INDIRECT("'Закуп'!F" &amp; B325))</f>
        <v/>
      </c>
      <c r="I325" s="120" t="n">
        <v>500</v>
      </c>
      <c r="J325" s="121">
        <f>K325/1.2</f>
        <v/>
      </c>
      <c r="K325" s="70" t="n">
        <v>1.48</v>
      </c>
      <c r="L325" s="122">
        <f>J325-C325-(J325-C325)*0.2</f>
        <v/>
      </c>
      <c r="M325" s="123">
        <f>L325*I325</f>
        <v/>
      </c>
      <c r="N325" s="124" t="inlineStr">
        <is>
          <t xml:space="preserve">500-990 шт - </t>
        </is>
      </c>
      <c r="O325" s="47" t="inlineStr">
        <is>
          <t xml:space="preserve"> руб / шт с НДС</t>
        </is>
      </c>
      <c r="P325" s="125">
        <f>ROUND(K325,2)</f>
        <v/>
      </c>
      <c r="Q325" s="207">
        <f>CONCATENATE(N325,P325,O325,)</f>
        <v/>
      </c>
      <c r="R325" s="240" t="n"/>
      <c r="T325" s="241" t="n"/>
      <c r="U325" s="240" t="n"/>
      <c r="V325" s="241" t="n"/>
      <c r="Z325" s="240" t="n"/>
      <c r="AB325" s="241" t="n"/>
      <c r="AC325" s="240" t="n"/>
      <c r="AD325" s="241" t="n"/>
    </row>
    <row r="326">
      <c r="B326" s="42" t="n">
        <v>66</v>
      </c>
      <c r="C326" s="118">
        <f>INDIRECT("'Закуп'!A" &amp; B326)</f>
        <v/>
      </c>
      <c r="D326" s="119">
        <f>C326*1.2</f>
        <v/>
      </c>
      <c r="G326" s="172">
        <f>IF(INDIRECT("'Закуп'!L" &amp; B326)="Sale","Sale","")</f>
        <v/>
      </c>
      <c r="H326" s="158">
        <f>IF(INDIRECT("'Закуп'!F" &amp; B326)=0,"",INDIRECT("'Закуп'!F" &amp; B326))</f>
        <v/>
      </c>
      <c r="I326" s="120" t="n">
        <v>1000</v>
      </c>
      <c r="J326" s="121">
        <f>K326/1.2</f>
        <v/>
      </c>
      <c r="K326" s="70" t="n">
        <v>1.38</v>
      </c>
      <c r="L326" s="122">
        <f>J326-C326-(J326-C326)*0.2</f>
        <v/>
      </c>
      <c r="M326" s="123">
        <f>L326*I326</f>
        <v/>
      </c>
      <c r="N326" s="124" t="inlineStr">
        <is>
          <t xml:space="preserve">1000 + шт - </t>
        </is>
      </c>
      <c r="O326" s="47" t="inlineStr">
        <is>
          <t xml:space="preserve"> руб / шт с НДС</t>
        </is>
      </c>
      <c r="P326" s="125">
        <f>ROUND(K326,2)</f>
        <v/>
      </c>
      <c r="Q326" s="207">
        <f>CONCATENATE(N326,P326,O326,)</f>
        <v/>
      </c>
      <c r="R326" s="240" t="n"/>
      <c r="T326" s="241" t="n"/>
      <c r="U326" s="240" t="n"/>
      <c r="V326" s="241" t="n"/>
      <c r="Z326" s="240" t="n"/>
      <c r="AB326" s="241" t="n"/>
      <c r="AC326" s="240" t="n"/>
      <c r="AD326" s="241" t="n"/>
    </row>
    <row r="327">
      <c r="A327" s="232" t="n">
        <v>67</v>
      </c>
      <c r="B327" s="42" t="n">
        <v>67</v>
      </c>
      <c r="C327" s="118">
        <f>INDIRECT("'Закуп'!A" &amp; B327)</f>
        <v/>
      </c>
      <c r="D327" s="119">
        <f>C327*1.2</f>
        <v/>
      </c>
      <c r="E327" s="224">
        <f>INDIRECT("'Закуп'!D" &amp; A327)</f>
        <v/>
      </c>
      <c r="F327" s="231">
        <f>INDIRECT("'Закуп'!E" &amp; B327)</f>
        <v/>
      </c>
      <c r="G327" s="172">
        <f>IF(INDIRECT("'Закуп'!L" &amp; B327)="Sale","Sale","")</f>
        <v/>
      </c>
      <c r="H327" s="158">
        <f>IF(INDIRECT("'Закуп'!F" &amp; B327)=0,"",INDIRECT("'Закуп'!F" &amp; B327))</f>
        <v/>
      </c>
      <c r="I327" s="120" t="n">
        <v>50</v>
      </c>
      <c r="J327" s="121">
        <f>K327/1.2</f>
        <v/>
      </c>
      <c r="K327" s="70" t="n">
        <v>3.28</v>
      </c>
      <c r="L327" s="122">
        <f>J327-C327-(J327-C327)*0.2</f>
        <v/>
      </c>
      <c r="M327" s="123">
        <f>L327*I327</f>
        <v/>
      </c>
      <c r="N327" s="124" t="inlineStr">
        <is>
          <t xml:space="preserve">50-90 шт - </t>
        </is>
      </c>
      <c r="O327" s="47" t="inlineStr">
        <is>
          <t xml:space="preserve"> руб / шт с НДС</t>
        </is>
      </c>
      <c r="P327" s="125">
        <f>ROUND(K327,2)</f>
        <v/>
      </c>
      <c r="Q327" s="207">
        <f>CONCATENATE(N327,P327,O327,)</f>
        <v/>
      </c>
      <c r="R327" s="235">
        <f>INDIRECT("'Закуп'!k" &amp; A327)</f>
        <v/>
      </c>
      <c r="S327" s="239">
        <f>INDIRECT("'Закуп'!o" &amp; A327)</f>
        <v/>
      </c>
      <c r="T327" s="226">
        <f>INDIRECT("'Закуп'!p" &amp; A327)</f>
        <v/>
      </c>
      <c r="U327" s="235">
        <f>INDIRECT("'Закуп'!v" &amp; A327)</f>
        <v/>
      </c>
      <c r="V327" s="222">
        <f>INDIRECT("'Закуп'!w" &amp; A327)</f>
        <v/>
      </c>
      <c r="W327" s="229">
        <f>INDIRECT("'Закуп'!H" &amp; A327)</f>
        <v/>
      </c>
      <c r="X327" s="237">
        <f>INDIRECT("'Закуп'!g" &amp; A327)</f>
        <v/>
      </c>
      <c r="Y327" s="229">
        <f>INDIRECT("'Закуп'!i" &amp; A327)</f>
        <v/>
      </c>
      <c r="Z327" s="236">
        <f>INDIRECT("'Закуп'!x" &amp; A327)</f>
        <v/>
      </c>
      <c r="AA327" s="237">
        <f>INDIRECT("'Закуп'!y" &amp; A327)</f>
        <v/>
      </c>
      <c r="AB327" s="238">
        <f>INDIRECT("'Закуп'!z" &amp; A327)</f>
        <v/>
      </c>
      <c r="AC327" s="223">
        <f>SUBSTITUTE(INDEX(F:F, ROUNDUP((ROW(A326))/5,0)*5 - 3), "х", "x")</f>
        <v/>
      </c>
      <c r="AD327" s="222">
        <f>SUBSTITUTE(INDEX(F:F, ROUNDUP((ROW(A326))/5,0)*5 - 3), "х", "x") &amp; " - " &amp; SUBSTITUTE(SUBSTITUTE(INDEX(F:F, ROUNDUP((ROW(A326))/5,0)*5 - 3), "х", "*"), "x", "*") &amp; " мм"</f>
        <v/>
      </c>
    </row>
    <row r="328">
      <c r="B328" s="42" t="n">
        <v>67</v>
      </c>
      <c r="C328" s="118">
        <f>INDIRECT("'Закуп'!A" &amp; B328)</f>
        <v/>
      </c>
      <c r="D328" s="119">
        <f>C328*1.2</f>
        <v/>
      </c>
      <c r="G328" s="172">
        <f>IF(INDIRECT("'Закуп'!L" &amp; B328)="Sale","Sale","")</f>
        <v/>
      </c>
      <c r="H328" s="158">
        <f>IF(INDIRECT("'Закуп'!F" &amp; B328)=0,"",INDIRECT("'Закуп'!F" &amp; B328))</f>
        <v/>
      </c>
      <c r="I328" s="120" t="n">
        <v>100</v>
      </c>
      <c r="J328" s="121">
        <f>K328/1.2</f>
        <v/>
      </c>
      <c r="K328" s="70" t="n">
        <v>2.63</v>
      </c>
      <c r="L328" s="122">
        <f>J328-C328-(J328-C328)*0.2</f>
        <v/>
      </c>
      <c r="M328" s="123">
        <f>L328*I328</f>
        <v/>
      </c>
      <c r="N328" s="124" t="inlineStr">
        <is>
          <t xml:space="preserve">100-290 шт - </t>
        </is>
      </c>
      <c r="O328" s="47" t="inlineStr">
        <is>
          <t xml:space="preserve"> руб / шт с НДС</t>
        </is>
      </c>
      <c r="P328" s="125">
        <f>ROUND(K328,2)</f>
        <v/>
      </c>
      <c r="Q328" s="207">
        <f>CONCATENATE(N328,P328,O328,)</f>
        <v/>
      </c>
      <c r="R328" s="240" t="n"/>
      <c r="T328" s="241" t="n"/>
      <c r="U328" s="240" t="n"/>
      <c r="V328" s="241" t="n"/>
      <c r="Z328" s="240" t="n"/>
      <c r="AB328" s="241" t="n"/>
      <c r="AC328" s="240" t="n"/>
      <c r="AD328" s="241" t="n"/>
    </row>
    <row r="329">
      <c r="B329" s="42" t="n">
        <v>67</v>
      </c>
      <c r="C329" s="118">
        <f>INDIRECT("'Закуп'!A" &amp; B329)</f>
        <v/>
      </c>
      <c r="D329" s="119">
        <f>C329*1.2</f>
        <v/>
      </c>
      <c r="G329" s="172">
        <f>IF(INDIRECT("'Закуп'!L" &amp; B329)="Sale","Sale","")</f>
        <v/>
      </c>
      <c r="H329" s="158">
        <f>IF(INDIRECT("'Закуп'!F" &amp; B329)=0,"",INDIRECT("'Закуп'!F" &amp; B329))</f>
        <v/>
      </c>
      <c r="I329" s="120" t="n">
        <v>300</v>
      </c>
      <c r="J329" s="121">
        <f>K329/1.2</f>
        <v/>
      </c>
      <c r="K329" s="70" t="n">
        <v>2.36</v>
      </c>
      <c r="L329" s="122">
        <f>J329-C329-(J329-C329)*0.2</f>
        <v/>
      </c>
      <c r="M329" s="123">
        <f>L329*I329</f>
        <v/>
      </c>
      <c r="N329" s="124" t="inlineStr">
        <is>
          <t xml:space="preserve">300-490 шт - </t>
        </is>
      </c>
      <c r="O329" s="47" t="inlineStr">
        <is>
          <t xml:space="preserve"> руб / шт с НДС</t>
        </is>
      </c>
      <c r="P329" s="125">
        <f>ROUND(K329,2)</f>
        <v/>
      </c>
      <c r="Q329" s="207">
        <f>CONCATENATE(N329,P329,O329,)</f>
        <v/>
      </c>
      <c r="R329" s="240" t="n"/>
      <c r="T329" s="241" t="n"/>
      <c r="U329" s="240" t="n"/>
      <c r="V329" s="241" t="n"/>
      <c r="Z329" s="240" t="n"/>
      <c r="AB329" s="241" t="n"/>
      <c r="AC329" s="240" t="n"/>
      <c r="AD329" s="241" t="n"/>
    </row>
    <row r="330">
      <c r="B330" s="42" t="n">
        <v>67</v>
      </c>
      <c r="C330" s="118">
        <f>INDIRECT("'Закуп'!A" &amp; B330)</f>
        <v/>
      </c>
      <c r="D330" s="119">
        <f>C330*1.2</f>
        <v/>
      </c>
      <c r="G330" s="172">
        <f>IF(INDIRECT("'Закуп'!L" &amp; B330)="Sale","Sale","")</f>
        <v/>
      </c>
      <c r="H330" s="158">
        <f>IF(INDIRECT("'Закуп'!F" &amp; B330)=0,"",INDIRECT("'Закуп'!F" &amp; B330))</f>
        <v/>
      </c>
      <c r="I330" s="120" t="n">
        <v>500</v>
      </c>
      <c r="J330" s="121">
        <f>K330/1.2</f>
        <v/>
      </c>
      <c r="K330" s="70" t="n">
        <v>2.14</v>
      </c>
      <c r="L330" s="122">
        <f>J330-C330-(J330-C330)*0.2</f>
        <v/>
      </c>
      <c r="M330" s="123">
        <f>L330*I330</f>
        <v/>
      </c>
      <c r="N330" s="124" t="inlineStr">
        <is>
          <t xml:space="preserve">500-990 шт - </t>
        </is>
      </c>
      <c r="O330" s="47" t="inlineStr">
        <is>
          <t xml:space="preserve"> руб / шт с НДС</t>
        </is>
      </c>
      <c r="P330" s="125">
        <f>ROUND(K330,2)</f>
        <v/>
      </c>
      <c r="Q330" s="207">
        <f>CONCATENATE(N330,P330,O330,)</f>
        <v/>
      </c>
      <c r="R330" s="240" t="n"/>
      <c r="T330" s="241" t="n"/>
      <c r="U330" s="240" t="n"/>
      <c r="V330" s="241" t="n"/>
      <c r="Z330" s="240" t="n"/>
      <c r="AB330" s="241" t="n"/>
      <c r="AC330" s="240" t="n"/>
      <c r="AD330" s="241" t="n"/>
    </row>
    <row r="331">
      <c r="B331" s="42" t="n">
        <v>67</v>
      </c>
      <c r="C331" s="118">
        <f>INDIRECT("'Закуп'!A" &amp; B331)</f>
        <v/>
      </c>
      <c r="D331" s="119">
        <f>C331*1.2</f>
        <v/>
      </c>
      <c r="G331" s="172">
        <f>IF(INDIRECT("'Закуп'!L" &amp; B331)="Sale","Sale","")</f>
        <v/>
      </c>
      <c r="H331" s="158">
        <f>IF(INDIRECT("'Закуп'!F" &amp; B331)=0,"",INDIRECT("'Закуп'!F" &amp; B331))</f>
        <v/>
      </c>
      <c r="I331" s="120" t="n">
        <v>1000</v>
      </c>
      <c r="J331" s="121">
        <f>K331/1.2</f>
        <v/>
      </c>
      <c r="K331" s="70" t="n">
        <v>2.03</v>
      </c>
      <c r="L331" s="122">
        <f>J331-C331-(J331-C331)*0.2</f>
        <v/>
      </c>
      <c r="M331" s="123">
        <f>L331*I331</f>
        <v/>
      </c>
      <c r="N331" s="124" t="inlineStr">
        <is>
          <t xml:space="preserve">1000 + шт - </t>
        </is>
      </c>
      <c r="O331" s="47" t="inlineStr">
        <is>
          <t xml:space="preserve"> руб / шт с НДС</t>
        </is>
      </c>
      <c r="P331" s="125">
        <f>ROUND(K331,2)</f>
        <v/>
      </c>
      <c r="Q331" s="207">
        <f>CONCATENATE(N331,P331,O331,)</f>
        <v/>
      </c>
      <c r="R331" s="240" t="n"/>
      <c r="T331" s="241" t="n"/>
      <c r="U331" s="240" t="n"/>
      <c r="V331" s="241" t="n"/>
      <c r="Z331" s="240" t="n"/>
      <c r="AB331" s="241" t="n"/>
      <c r="AC331" s="240" t="n"/>
      <c r="AD331" s="241" t="n"/>
    </row>
    <row r="332">
      <c r="A332" s="232" t="n">
        <v>68</v>
      </c>
      <c r="B332" s="42" t="n">
        <v>68</v>
      </c>
      <c r="C332" s="118">
        <f>INDIRECT("'Закуп'!A" &amp; B332)</f>
        <v/>
      </c>
      <c r="D332" s="119">
        <f>C332*1.2</f>
        <v/>
      </c>
      <c r="E332" s="224">
        <f>INDIRECT("'Закуп'!D" &amp; A332)</f>
        <v/>
      </c>
      <c r="F332" s="231">
        <f>INDIRECT("'Закуп'!E" &amp; B332)</f>
        <v/>
      </c>
      <c r="G332" s="172">
        <f>IF(INDIRECT("'Закуп'!L" &amp; B332)="Sale","Sale","")</f>
        <v/>
      </c>
      <c r="H332" s="158">
        <f>IF(INDIRECT("'Закуп'!F" &amp; B332)=0,"",INDIRECT("'Закуп'!F" &amp; B332))</f>
        <v/>
      </c>
      <c r="I332" s="120" t="n">
        <v>50</v>
      </c>
      <c r="J332" s="121">
        <f>K332/1.2</f>
        <v/>
      </c>
      <c r="K332" s="70" t="n">
        <v>2.46</v>
      </c>
      <c r="L332" s="122">
        <f>J332-C332-(J332-C332)*0.2</f>
        <v/>
      </c>
      <c r="M332" s="123">
        <f>L332*I332</f>
        <v/>
      </c>
      <c r="N332" s="124" t="inlineStr">
        <is>
          <t xml:space="preserve">50-90 шт - </t>
        </is>
      </c>
      <c r="O332" s="47" t="inlineStr">
        <is>
          <t xml:space="preserve"> руб / шт с НДС</t>
        </is>
      </c>
      <c r="P332" s="125">
        <f>ROUND(K332,2)</f>
        <v/>
      </c>
      <c r="Q332" s="207">
        <f>CONCATENATE(N332,P332,O332,)</f>
        <v/>
      </c>
      <c r="R332" s="235">
        <f>INDIRECT("'Закуп'!k" &amp; A332)</f>
        <v/>
      </c>
      <c r="S332" s="239">
        <f>INDIRECT("'Закуп'!o" &amp; A332)</f>
        <v/>
      </c>
      <c r="T332" s="226">
        <f>INDIRECT("'Закуп'!p" &amp; A332)</f>
        <v/>
      </c>
      <c r="U332" s="235">
        <f>INDIRECT("'Закуп'!v" &amp; A332)</f>
        <v/>
      </c>
      <c r="V332" s="222">
        <f>INDIRECT("'Закуп'!w" &amp; A332)</f>
        <v/>
      </c>
      <c r="W332" s="229">
        <f>INDIRECT("'Закуп'!H" &amp; A332)</f>
        <v/>
      </c>
      <c r="X332" s="237">
        <f>INDIRECT("'Закуп'!g" &amp; A332)</f>
        <v/>
      </c>
      <c r="Y332" s="229">
        <f>INDIRECT("'Закуп'!i" &amp; A332)</f>
        <v/>
      </c>
      <c r="Z332" s="236">
        <f>INDIRECT("'Закуп'!x" &amp; A332)</f>
        <v/>
      </c>
      <c r="AA332" s="237">
        <f>INDIRECT("'Закуп'!y" &amp; A332)</f>
        <v/>
      </c>
      <c r="AB332" s="238">
        <f>INDIRECT("'Закуп'!z" &amp; A332)</f>
        <v/>
      </c>
      <c r="AC332" s="223">
        <f>SUBSTITUTE(INDEX(F:F, ROUNDUP((ROW(A331))/5,0)*5 - 3), "х", "x")</f>
        <v/>
      </c>
      <c r="AD332" s="222">
        <f>SUBSTITUTE(INDEX(F:F, ROUNDUP((ROW(A331))/5,0)*5 - 3), "х", "x") &amp; " - " &amp; SUBSTITUTE(SUBSTITUTE(INDEX(F:F, ROUNDUP((ROW(A331))/5,0)*5 - 3), "х", "*"), "x", "*") &amp; " мм"</f>
        <v/>
      </c>
    </row>
    <row r="333">
      <c r="B333" s="42" t="n">
        <v>68</v>
      </c>
      <c r="C333" s="118">
        <f>INDIRECT("'Закуп'!A" &amp; B333)</f>
        <v/>
      </c>
      <c r="D333" s="119">
        <f>C333*1.2</f>
        <v/>
      </c>
      <c r="G333" s="172">
        <f>IF(INDIRECT("'Закуп'!L" &amp; B333)="Sale","Sale","")</f>
        <v/>
      </c>
      <c r="H333" s="158">
        <f>IF(INDIRECT("'Закуп'!F" &amp; B333)=0,"",INDIRECT("'Закуп'!F" &amp; B333))</f>
        <v/>
      </c>
      <c r="I333" s="120" t="n">
        <v>100</v>
      </c>
      <c r="J333" s="121">
        <f>K333/1.2</f>
        <v/>
      </c>
      <c r="K333" s="70" t="n">
        <v>2.24</v>
      </c>
      <c r="L333" s="122">
        <f>J333-C333-(J333-C333)*0.2</f>
        <v/>
      </c>
      <c r="M333" s="123">
        <f>L333*I333</f>
        <v/>
      </c>
      <c r="N333" s="124" t="inlineStr">
        <is>
          <t xml:space="preserve">100-290 шт - </t>
        </is>
      </c>
      <c r="O333" s="47" t="inlineStr">
        <is>
          <t xml:space="preserve"> руб / шт с НДС</t>
        </is>
      </c>
      <c r="P333" s="125">
        <f>ROUND(K333,2)</f>
        <v/>
      </c>
      <c r="Q333" s="207">
        <f>CONCATENATE(N333,P333,O333,)</f>
        <v/>
      </c>
      <c r="R333" s="240" t="n"/>
      <c r="T333" s="241" t="n"/>
      <c r="U333" s="240" t="n"/>
      <c r="V333" s="241" t="n"/>
      <c r="Z333" s="240" t="n"/>
      <c r="AB333" s="241" t="n"/>
      <c r="AC333" s="240" t="n"/>
      <c r="AD333" s="241" t="n"/>
    </row>
    <row r="334">
      <c r="B334" s="42" t="n">
        <v>68</v>
      </c>
      <c r="C334" s="118">
        <f>INDIRECT("'Закуп'!A" &amp; B334)</f>
        <v/>
      </c>
      <c r="D334" s="119">
        <f>C334*1.2</f>
        <v/>
      </c>
      <c r="G334" s="172">
        <f>IF(INDIRECT("'Закуп'!L" &amp; B334)="Sale","Sale","")</f>
        <v/>
      </c>
      <c r="H334" s="158">
        <f>IF(INDIRECT("'Закуп'!F" &amp; B334)=0,"",INDIRECT("'Закуп'!F" &amp; B334))</f>
        <v/>
      </c>
      <c r="I334" s="120" t="n">
        <v>300</v>
      </c>
      <c r="J334" s="121">
        <f>K334/1.2</f>
        <v/>
      </c>
      <c r="K334" s="70" t="n">
        <v>1.74</v>
      </c>
      <c r="L334" s="122">
        <f>J334-C334-(J334-C334)*0.2</f>
        <v/>
      </c>
      <c r="M334" s="123">
        <f>L334*I334</f>
        <v/>
      </c>
      <c r="N334" s="124" t="inlineStr">
        <is>
          <t xml:space="preserve">300-490 шт - </t>
        </is>
      </c>
      <c r="O334" s="47" t="inlineStr">
        <is>
          <t xml:space="preserve"> руб / шт с НДС</t>
        </is>
      </c>
      <c r="P334" s="125">
        <f>ROUND(K334,2)</f>
        <v/>
      </c>
      <c r="Q334" s="207">
        <f>CONCATENATE(N334,P334,O334,)</f>
        <v/>
      </c>
      <c r="R334" s="240" t="n"/>
      <c r="T334" s="241" t="n"/>
      <c r="U334" s="240" t="n"/>
      <c r="V334" s="241" t="n"/>
      <c r="Z334" s="240" t="n"/>
      <c r="AB334" s="241" t="n"/>
      <c r="AC334" s="240" t="n"/>
      <c r="AD334" s="241" t="n"/>
    </row>
    <row r="335">
      <c r="B335" s="42" t="n">
        <v>68</v>
      </c>
      <c r="C335" s="118">
        <f>INDIRECT("'Закуп'!A" &amp; B335)</f>
        <v/>
      </c>
      <c r="D335" s="119">
        <f>C335*1.2</f>
        <v/>
      </c>
      <c r="G335" s="172">
        <f>IF(INDIRECT("'Закуп'!L" &amp; B335)="Sale","Sale","")</f>
        <v/>
      </c>
      <c r="H335" s="158">
        <f>IF(INDIRECT("'Закуп'!F" &amp; B335)=0,"",INDIRECT("'Закуп'!F" &amp; B335))</f>
        <v/>
      </c>
      <c r="I335" s="120" t="n">
        <v>500</v>
      </c>
      <c r="J335" s="121">
        <f>K335/1.2</f>
        <v/>
      </c>
      <c r="K335" s="70" t="n">
        <v>1.51</v>
      </c>
      <c r="L335" s="122">
        <f>J335-C335-(J335-C335)*0.2</f>
        <v/>
      </c>
      <c r="M335" s="123">
        <f>L335*I335</f>
        <v/>
      </c>
      <c r="N335" s="124" t="inlineStr">
        <is>
          <t xml:space="preserve">500-990 шт - </t>
        </is>
      </c>
      <c r="O335" s="47" t="inlineStr">
        <is>
          <t xml:space="preserve"> руб / шт с НДС</t>
        </is>
      </c>
      <c r="P335" s="125">
        <f>ROUND(K335,2)</f>
        <v/>
      </c>
      <c r="Q335" s="207">
        <f>CONCATENATE(N335,P335,O335,)</f>
        <v/>
      </c>
      <c r="R335" s="240" t="n"/>
      <c r="T335" s="241" t="n"/>
      <c r="U335" s="240" t="n"/>
      <c r="V335" s="241" t="n"/>
      <c r="Z335" s="240" t="n"/>
      <c r="AB335" s="241" t="n"/>
      <c r="AC335" s="240" t="n"/>
      <c r="AD335" s="241" t="n"/>
    </row>
    <row r="336">
      <c r="B336" s="42" t="n">
        <v>68</v>
      </c>
      <c r="C336" s="118">
        <f>INDIRECT("'Закуп'!A" &amp; B336)</f>
        <v/>
      </c>
      <c r="D336" s="119">
        <f>C336*1.2</f>
        <v/>
      </c>
      <c r="G336" s="172">
        <f>IF(INDIRECT("'Закуп'!L" &amp; B336)="Sale","Sale","")</f>
        <v/>
      </c>
      <c r="H336" s="158">
        <f>IF(INDIRECT("'Закуп'!F" &amp; B336)=0,"",INDIRECT("'Закуп'!F" &amp; B336))</f>
        <v/>
      </c>
      <c r="I336" s="120" t="n">
        <v>1000</v>
      </c>
      <c r="J336" s="121">
        <f>K336/1.2</f>
        <v/>
      </c>
      <c r="K336" s="70" t="n">
        <v>1.41</v>
      </c>
      <c r="L336" s="122">
        <f>J336-C336-(J336-C336)*0.2</f>
        <v/>
      </c>
      <c r="M336" s="123">
        <f>L336*I336</f>
        <v/>
      </c>
      <c r="N336" s="124" t="inlineStr">
        <is>
          <t xml:space="preserve">1000 + шт - </t>
        </is>
      </c>
      <c r="O336" s="47" t="inlineStr">
        <is>
          <t xml:space="preserve"> руб / шт с НДС</t>
        </is>
      </c>
      <c r="P336" s="125">
        <f>ROUND(K336,2)</f>
        <v/>
      </c>
      <c r="Q336" s="207">
        <f>CONCATENATE(N336,P336,O336,)</f>
        <v/>
      </c>
      <c r="R336" s="240" t="n"/>
      <c r="T336" s="241" t="n"/>
      <c r="U336" s="240" t="n"/>
      <c r="V336" s="241" t="n"/>
      <c r="Z336" s="240" t="n"/>
      <c r="AB336" s="241" t="n"/>
      <c r="AC336" s="240" t="n"/>
      <c r="AD336" s="241" t="n"/>
    </row>
    <row r="337">
      <c r="A337" s="232" t="n">
        <v>69</v>
      </c>
      <c r="B337" s="42" t="n">
        <v>69</v>
      </c>
      <c r="C337" s="118">
        <f>INDIRECT("'Закуп'!A" &amp; B337)</f>
        <v/>
      </c>
      <c r="D337" s="119">
        <f>C337*1.2</f>
        <v/>
      </c>
      <c r="E337" s="224">
        <f>INDIRECT("'Закуп'!D" &amp; A337)</f>
        <v/>
      </c>
      <c r="F337" s="231">
        <f>INDIRECT("'Закуп'!E" &amp; B337)</f>
        <v/>
      </c>
      <c r="G337" s="172">
        <f>IF(INDIRECT("'Закуп'!L" &amp; B337)="Sale","Sale","")</f>
        <v/>
      </c>
      <c r="H337" s="158">
        <f>IF(INDIRECT("'Закуп'!F" &amp; B337)=0,"",INDIRECT("'Закуп'!F" &amp; B337))</f>
        <v/>
      </c>
      <c r="I337" s="120" t="n">
        <v>50</v>
      </c>
      <c r="J337" s="121">
        <f>K337/1.2</f>
        <v/>
      </c>
      <c r="K337" s="70" t="n">
        <v>3.65</v>
      </c>
      <c r="L337" s="122">
        <f>J337-C337-(J337-C337)*0.2</f>
        <v/>
      </c>
      <c r="M337" s="123">
        <f>L337*I337</f>
        <v/>
      </c>
      <c r="N337" s="124" t="inlineStr">
        <is>
          <t xml:space="preserve">50-90 шт - </t>
        </is>
      </c>
      <c r="O337" s="47" t="inlineStr">
        <is>
          <t xml:space="preserve"> руб / шт с НДС</t>
        </is>
      </c>
      <c r="P337" s="125">
        <f>ROUND(K337,2)</f>
        <v/>
      </c>
      <c r="Q337" s="207">
        <f>CONCATENATE(N337,P337,O337,)</f>
        <v/>
      </c>
      <c r="R337" s="235">
        <f>INDIRECT("'Закуп'!k" &amp; A337)</f>
        <v/>
      </c>
      <c r="S337" s="239">
        <f>INDIRECT("'Закуп'!o" &amp; A337)</f>
        <v/>
      </c>
      <c r="T337" s="226">
        <f>INDIRECT("'Закуп'!p" &amp; A337)</f>
        <v/>
      </c>
      <c r="U337" s="235">
        <f>INDIRECT("'Закуп'!v" &amp; A337)</f>
        <v/>
      </c>
      <c r="V337" s="222">
        <f>INDIRECT("'Закуп'!w" &amp; A337)</f>
        <v/>
      </c>
      <c r="W337" s="229">
        <f>INDIRECT("'Закуп'!H" &amp; A337)</f>
        <v/>
      </c>
      <c r="X337" s="237">
        <f>INDIRECT("'Закуп'!g" &amp; A337)</f>
        <v/>
      </c>
      <c r="Y337" s="229">
        <f>INDIRECT("'Закуп'!i" &amp; A337)</f>
        <v/>
      </c>
      <c r="Z337" s="236">
        <f>INDIRECT("'Закуп'!x" &amp; A337)</f>
        <v/>
      </c>
      <c r="AA337" s="237">
        <f>INDIRECT("'Закуп'!y" &amp; A337)</f>
        <v/>
      </c>
      <c r="AB337" s="238">
        <f>INDIRECT("'Закуп'!z" &amp; A337)</f>
        <v/>
      </c>
      <c r="AC337" s="223">
        <f>SUBSTITUTE(INDEX(F:F, ROUNDUP((ROW(A336))/5,0)*5 - 3), "х", "x")</f>
        <v/>
      </c>
      <c r="AD337" s="222">
        <f>SUBSTITUTE(INDEX(F:F, ROUNDUP((ROW(A336))/5,0)*5 - 3), "х", "x") &amp; " - " &amp; SUBSTITUTE(SUBSTITUTE(INDEX(F:F, ROUNDUP((ROW(A336))/5,0)*5 - 3), "х", "*"), "x", "*") &amp; " мм"</f>
        <v/>
      </c>
    </row>
    <row r="338">
      <c r="B338" s="42" t="n">
        <v>69</v>
      </c>
      <c r="C338" s="118">
        <f>INDIRECT("'Закуп'!A" &amp; B338)</f>
        <v/>
      </c>
      <c r="D338" s="119">
        <f>C338*1.2</f>
        <v/>
      </c>
      <c r="G338" s="172">
        <f>IF(INDIRECT("'Закуп'!L" &amp; B338)="Sale","Sale","")</f>
        <v/>
      </c>
      <c r="H338" s="158">
        <f>IF(INDIRECT("'Закуп'!F" &amp; B338)=0,"",INDIRECT("'Закуп'!F" &amp; B338))</f>
        <v/>
      </c>
      <c r="I338" s="120" t="n">
        <v>100</v>
      </c>
      <c r="J338" s="121">
        <f>K338/1.2</f>
        <v/>
      </c>
      <c r="K338" s="70" t="n">
        <v>2.92</v>
      </c>
      <c r="L338" s="122">
        <f>J338-C338-(J338-C338)*0.2</f>
        <v/>
      </c>
      <c r="M338" s="123">
        <f>L338*I338</f>
        <v/>
      </c>
      <c r="N338" s="124" t="inlineStr">
        <is>
          <t xml:space="preserve">100-290 шт - </t>
        </is>
      </c>
      <c r="O338" s="47" t="inlineStr">
        <is>
          <t xml:space="preserve"> руб / шт с НДС</t>
        </is>
      </c>
      <c r="P338" s="125">
        <f>ROUND(K338,2)</f>
        <v/>
      </c>
      <c r="Q338" s="207">
        <f>CONCATENATE(N338,P338,O338,)</f>
        <v/>
      </c>
      <c r="R338" s="240" t="n"/>
      <c r="T338" s="241" t="n"/>
      <c r="U338" s="240" t="n"/>
      <c r="V338" s="241" t="n"/>
      <c r="Z338" s="240" t="n"/>
      <c r="AB338" s="241" t="n"/>
      <c r="AC338" s="240" t="n"/>
      <c r="AD338" s="241" t="n"/>
    </row>
    <row r="339">
      <c r="B339" s="42" t="n">
        <v>69</v>
      </c>
      <c r="C339" s="118">
        <f>INDIRECT("'Закуп'!A" &amp; B339)</f>
        <v/>
      </c>
      <c r="D339" s="119">
        <f>C339*1.2</f>
        <v/>
      </c>
      <c r="G339" s="172">
        <f>IF(INDIRECT("'Закуп'!L" &amp; B339)="Sale","Sale","")</f>
        <v/>
      </c>
      <c r="H339" s="158">
        <f>IF(INDIRECT("'Закуп'!F" &amp; B339)=0,"",INDIRECT("'Закуп'!F" &amp; B339))</f>
        <v/>
      </c>
      <c r="I339" s="120" t="n">
        <v>300</v>
      </c>
      <c r="J339" s="121">
        <f>K339/1.2</f>
        <v/>
      </c>
      <c r="K339" s="70" t="n">
        <v>2.46</v>
      </c>
      <c r="L339" s="122">
        <f>J339-C339-(J339-C339)*0.2</f>
        <v/>
      </c>
      <c r="M339" s="123">
        <f>L339*I339</f>
        <v/>
      </c>
      <c r="N339" s="124" t="inlineStr">
        <is>
          <t xml:space="preserve">300-490 шт - </t>
        </is>
      </c>
      <c r="O339" s="47" t="inlineStr">
        <is>
          <t xml:space="preserve"> руб / шт с НДС</t>
        </is>
      </c>
      <c r="P339" s="125">
        <f>ROUND(K339,2)</f>
        <v/>
      </c>
      <c r="Q339" s="207">
        <f>CONCATENATE(N339,P339,O339,)</f>
        <v/>
      </c>
      <c r="R339" s="240" t="n"/>
      <c r="T339" s="241" t="n"/>
      <c r="U339" s="240" t="n"/>
      <c r="V339" s="241" t="n"/>
      <c r="Z339" s="240" t="n"/>
      <c r="AB339" s="241" t="n"/>
      <c r="AC339" s="240" t="n"/>
      <c r="AD339" s="241" t="n"/>
    </row>
    <row r="340">
      <c r="B340" s="42" t="n">
        <v>69</v>
      </c>
      <c r="C340" s="118">
        <f>INDIRECT("'Закуп'!A" &amp; B340)</f>
        <v/>
      </c>
      <c r="D340" s="119">
        <f>C340*1.2</f>
        <v/>
      </c>
      <c r="G340" s="172">
        <f>IF(INDIRECT("'Закуп'!L" &amp; B340)="Sale","Sale","")</f>
        <v/>
      </c>
      <c r="H340" s="158">
        <f>IF(INDIRECT("'Закуп'!F" &amp; B340)=0,"",INDIRECT("'Закуп'!F" &amp; B340))</f>
        <v/>
      </c>
      <c r="I340" s="120" t="n">
        <v>500</v>
      </c>
      <c r="J340" s="121">
        <f>K340/1.2</f>
        <v/>
      </c>
      <c r="K340" s="70" t="n">
        <v>2.33</v>
      </c>
      <c r="L340" s="122">
        <f>J340-C340-(J340-C340)*0.2</f>
        <v/>
      </c>
      <c r="M340" s="123">
        <f>L340*I340</f>
        <v/>
      </c>
      <c r="N340" s="124" t="inlineStr">
        <is>
          <t xml:space="preserve">500-990 шт - </t>
        </is>
      </c>
      <c r="O340" s="47" t="inlineStr">
        <is>
          <t xml:space="preserve"> руб / шт с НДС</t>
        </is>
      </c>
      <c r="P340" s="125">
        <f>ROUND(K340,2)</f>
        <v/>
      </c>
      <c r="Q340" s="207">
        <f>CONCATENATE(N340,P340,O340,)</f>
        <v/>
      </c>
      <c r="R340" s="240" t="n"/>
      <c r="T340" s="241" t="n"/>
      <c r="U340" s="240" t="n"/>
      <c r="V340" s="241" t="n"/>
      <c r="Z340" s="240" t="n"/>
      <c r="AB340" s="241" t="n"/>
      <c r="AC340" s="240" t="n"/>
      <c r="AD340" s="241" t="n"/>
    </row>
    <row r="341">
      <c r="B341" s="42" t="n">
        <v>69</v>
      </c>
      <c r="C341" s="118">
        <f>INDIRECT("'Закуп'!A" &amp; B341)</f>
        <v/>
      </c>
      <c r="D341" s="119">
        <f>C341*1.2</f>
        <v/>
      </c>
      <c r="G341" s="172">
        <f>IF(INDIRECT("'Закуп'!L" &amp; B341)="Sale","Sale","")</f>
        <v/>
      </c>
      <c r="H341" s="158">
        <f>IF(INDIRECT("'Закуп'!F" &amp; B341)=0,"",INDIRECT("'Закуп'!F" &amp; B341))</f>
        <v/>
      </c>
      <c r="I341" s="120" t="n">
        <v>1000</v>
      </c>
      <c r="J341" s="121">
        <f>K341/1.2</f>
        <v/>
      </c>
      <c r="K341" s="70" t="n">
        <v>2.23</v>
      </c>
      <c r="L341" s="122">
        <f>J341-C341-(J341-C341)*0.2</f>
        <v/>
      </c>
      <c r="M341" s="123">
        <f>L341*I341</f>
        <v/>
      </c>
      <c r="N341" s="124" t="inlineStr">
        <is>
          <t xml:space="preserve">1000 + шт - </t>
        </is>
      </c>
      <c r="O341" s="47" t="inlineStr">
        <is>
          <t xml:space="preserve"> руб / шт с НДС</t>
        </is>
      </c>
      <c r="P341" s="125">
        <f>ROUND(K341,2)</f>
        <v/>
      </c>
      <c r="Q341" s="207">
        <f>CONCATENATE(N341,P341,O341,)</f>
        <v/>
      </c>
      <c r="R341" s="240" t="n"/>
      <c r="T341" s="241" t="n"/>
      <c r="U341" s="240" t="n"/>
      <c r="V341" s="241" t="n"/>
      <c r="Z341" s="240" t="n"/>
      <c r="AB341" s="241" t="n"/>
      <c r="AC341" s="240" t="n"/>
      <c r="AD341" s="241" t="n"/>
    </row>
    <row r="342">
      <c r="A342" s="232" t="n">
        <v>70</v>
      </c>
      <c r="B342" s="42" t="n">
        <v>70</v>
      </c>
      <c r="C342" s="118">
        <f>INDIRECT("'Закуп'!A" &amp; B342)</f>
        <v/>
      </c>
      <c r="D342" s="119">
        <f>C342*1.2</f>
        <v/>
      </c>
      <c r="E342" s="224">
        <f>INDIRECT("'Закуп'!D" &amp; A342)</f>
        <v/>
      </c>
      <c r="F342" s="231">
        <f>INDIRECT("'Закуп'!E" &amp; B342)</f>
        <v/>
      </c>
      <c r="G342" s="172">
        <f>IF(INDIRECT("'Закуп'!L" &amp; B342)="Sale","Sale","")</f>
        <v/>
      </c>
      <c r="H342" s="158">
        <f>IF(INDIRECT("'Закуп'!F" &amp; B342)=0,"",INDIRECT("'Закуп'!F" &amp; B342))</f>
        <v/>
      </c>
      <c r="I342" s="120" t="n">
        <v>50</v>
      </c>
      <c r="J342" s="121">
        <f>K342/1.2</f>
        <v/>
      </c>
      <c r="K342" s="70" t="n">
        <v>1.02</v>
      </c>
      <c r="L342" s="122">
        <f>J342-C342-(J342-C342)*0.2</f>
        <v/>
      </c>
      <c r="M342" s="123">
        <f>L342*I342</f>
        <v/>
      </c>
      <c r="N342" s="124" t="inlineStr">
        <is>
          <t xml:space="preserve">50-90 шт - </t>
        </is>
      </c>
      <c r="O342" s="47" t="inlineStr">
        <is>
          <t xml:space="preserve"> руб / шт с НДС</t>
        </is>
      </c>
      <c r="P342" s="125">
        <f>ROUND(K342,2)</f>
        <v/>
      </c>
      <c r="Q342" s="207">
        <f>CONCATENATE(N342,P342,O342,)</f>
        <v/>
      </c>
      <c r="R342" s="235">
        <f>INDIRECT("'Закуп'!k" &amp; A342)</f>
        <v/>
      </c>
      <c r="S342" s="239">
        <f>INDIRECT("'Закуп'!o" &amp; A342)</f>
        <v/>
      </c>
      <c r="T342" s="226">
        <f>INDIRECT("'Закуп'!p" &amp; A342)</f>
        <v/>
      </c>
      <c r="U342" s="235">
        <f>INDIRECT("'Закуп'!v" &amp; A342)</f>
        <v/>
      </c>
      <c r="V342" s="222">
        <f>INDIRECT("'Закуп'!w" &amp; A342)</f>
        <v/>
      </c>
      <c r="W342" s="229">
        <f>INDIRECT("'Закуп'!H" &amp; A342)</f>
        <v/>
      </c>
      <c r="X342" s="237">
        <f>INDIRECT("'Закуп'!g" &amp; A342)</f>
        <v/>
      </c>
      <c r="Y342" s="229">
        <f>INDIRECT("'Закуп'!i" &amp; A342)</f>
        <v/>
      </c>
      <c r="Z342" s="236">
        <f>INDIRECT("'Закуп'!x" &amp; A342)</f>
        <v/>
      </c>
      <c r="AA342" s="237">
        <f>INDIRECT("'Закуп'!y" &amp; A342)</f>
        <v/>
      </c>
      <c r="AB342" s="238">
        <f>INDIRECT("'Закуп'!z" &amp; A342)</f>
        <v/>
      </c>
      <c r="AC342" s="223">
        <f>SUBSTITUTE(INDEX(F:F, ROUNDUP((ROW(A341))/5,0)*5 - 3), "х", "x")</f>
        <v/>
      </c>
      <c r="AD342" s="222">
        <f>SUBSTITUTE(INDEX(F:F, ROUNDUP((ROW(A341))/5,0)*5 - 3), "х", "x") &amp; " - " &amp; SUBSTITUTE(SUBSTITUTE(INDEX(F:F, ROUNDUP((ROW(A341))/5,0)*5 - 3), "х", "*"), "x", "*") &amp; " мм"</f>
        <v/>
      </c>
    </row>
    <row r="343">
      <c r="B343" s="42" t="n">
        <v>70</v>
      </c>
      <c r="C343" s="118">
        <f>INDIRECT("'Закуп'!A" &amp; B343)</f>
        <v/>
      </c>
      <c r="D343" s="119">
        <f>C343*1.2</f>
        <v/>
      </c>
      <c r="G343" s="172">
        <f>IF(INDIRECT("'Закуп'!L" &amp; B343)="Sale","Sale","")</f>
        <v/>
      </c>
      <c r="H343" s="158">
        <f>IF(INDIRECT("'Закуп'!F" &amp; B343)=0,"",INDIRECT("'Закуп'!F" &amp; B343))</f>
        <v/>
      </c>
      <c r="I343" s="120" t="n">
        <v>100</v>
      </c>
      <c r="J343" s="121">
        <f>K343/1.2</f>
        <v/>
      </c>
      <c r="K343" s="70" t="n">
        <v>0.91</v>
      </c>
      <c r="L343" s="122">
        <f>J343-C343-(J343-C343)*0.2</f>
        <v/>
      </c>
      <c r="M343" s="123">
        <f>L343*I343</f>
        <v/>
      </c>
      <c r="N343" s="124" t="inlineStr">
        <is>
          <t xml:space="preserve">100-290 шт - </t>
        </is>
      </c>
      <c r="O343" s="47" t="inlineStr">
        <is>
          <t xml:space="preserve"> руб / шт с НДС</t>
        </is>
      </c>
      <c r="P343" s="125">
        <f>ROUND(K343,2)</f>
        <v/>
      </c>
      <c r="Q343" s="207">
        <f>CONCATENATE(N343,P343,O343,)</f>
        <v/>
      </c>
      <c r="R343" s="240" t="n"/>
      <c r="T343" s="241" t="n"/>
      <c r="U343" s="240" t="n"/>
      <c r="V343" s="241" t="n"/>
      <c r="Z343" s="240" t="n"/>
      <c r="AB343" s="241" t="n"/>
      <c r="AC343" s="240" t="n"/>
      <c r="AD343" s="241" t="n"/>
    </row>
    <row r="344">
      <c r="B344" s="42" t="n">
        <v>70</v>
      </c>
      <c r="C344" s="118">
        <f>INDIRECT("'Закуп'!A" &amp; B344)</f>
        <v/>
      </c>
      <c r="D344" s="119">
        <f>C344*1.2</f>
        <v/>
      </c>
      <c r="G344" s="172">
        <f>IF(INDIRECT("'Закуп'!L" &amp; B344)="Sale","Sale","")</f>
        <v/>
      </c>
      <c r="H344" s="158">
        <f>IF(INDIRECT("'Закуп'!F" &amp; B344)=0,"",INDIRECT("'Закуп'!F" &amp; B344))</f>
        <v/>
      </c>
      <c r="I344" s="120" t="n">
        <v>300</v>
      </c>
      <c r="J344" s="121">
        <f>K344/1.2</f>
        <v/>
      </c>
      <c r="K344" s="70" t="n">
        <v>0.8</v>
      </c>
      <c r="L344" s="122">
        <f>J344-C344-(J344-C344)*0.2</f>
        <v/>
      </c>
      <c r="M344" s="123">
        <f>L344*I344</f>
        <v/>
      </c>
      <c r="N344" s="124" t="inlineStr">
        <is>
          <t xml:space="preserve">300-490 шт - </t>
        </is>
      </c>
      <c r="O344" s="47" t="inlineStr">
        <is>
          <t xml:space="preserve"> руб / шт с НДС</t>
        </is>
      </c>
      <c r="P344" s="125">
        <f>ROUND(K344,2)</f>
        <v/>
      </c>
      <c r="Q344" s="207">
        <f>CONCATENATE(N344,P344,O344,)</f>
        <v/>
      </c>
      <c r="R344" s="240" t="n"/>
      <c r="T344" s="241" t="n"/>
      <c r="U344" s="240" t="n"/>
      <c r="V344" s="241" t="n"/>
      <c r="Z344" s="240" t="n"/>
      <c r="AB344" s="241" t="n"/>
      <c r="AC344" s="240" t="n"/>
      <c r="AD344" s="241" t="n"/>
    </row>
    <row r="345">
      <c r="B345" s="42" t="n">
        <v>70</v>
      </c>
      <c r="C345" s="118">
        <f>INDIRECT("'Закуп'!A" &amp; B345)</f>
        <v/>
      </c>
      <c r="D345" s="119">
        <f>C345*1.2</f>
        <v/>
      </c>
      <c r="G345" s="172">
        <f>IF(INDIRECT("'Закуп'!L" &amp; B345)="Sale","Sale","")</f>
        <v/>
      </c>
      <c r="H345" s="158">
        <f>IF(INDIRECT("'Закуп'!F" &amp; B345)=0,"",INDIRECT("'Закуп'!F" &amp; B345))</f>
        <v/>
      </c>
      <c r="I345" s="120" t="n">
        <v>500</v>
      </c>
      <c r="J345" s="121">
        <f>K345/1.2</f>
        <v/>
      </c>
      <c r="K345" s="70" t="n">
        <v>0.7</v>
      </c>
      <c r="L345" s="122">
        <f>J345-C345-(J345-C345)*0.2</f>
        <v/>
      </c>
      <c r="M345" s="123">
        <f>L345*I345</f>
        <v/>
      </c>
      <c r="N345" s="124" t="inlineStr">
        <is>
          <t xml:space="preserve">500-990 шт - </t>
        </is>
      </c>
      <c r="O345" s="47" t="inlineStr">
        <is>
          <t xml:space="preserve"> руб / шт с НДС</t>
        </is>
      </c>
      <c r="P345" s="125">
        <f>ROUND(K345,2)</f>
        <v/>
      </c>
      <c r="Q345" s="207">
        <f>CONCATENATE(N345,P345,O345,)</f>
        <v/>
      </c>
      <c r="R345" s="240" t="n"/>
      <c r="T345" s="241" t="n"/>
      <c r="U345" s="240" t="n"/>
      <c r="V345" s="241" t="n"/>
      <c r="Z345" s="240" t="n"/>
      <c r="AB345" s="241" t="n"/>
      <c r="AC345" s="240" t="n"/>
      <c r="AD345" s="241" t="n"/>
    </row>
    <row r="346">
      <c r="B346" s="42" t="n">
        <v>70</v>
      </c>
      <c r="C346" s="118">
        <f>INDIRECT("'Закуп'!A" &amp; B346)</f>
        <v/>
      </c>
      <c r="D346" s="119">
        <f>C346*1.2</f>
        <v/>
      </c>
      <c r="G346" s="172">
        <f>IF(INDIRECT("'Закуп'!L" &amp; B346)="Sale","Sale","")</f>
        <v/>
      </c>
      <c r="H346" s="158">
        <f>IF(INDIRECT("'Закуп'!F" &amp; B346)=0,"",INDIRECT("'Закуп'!F" &amp; B346))</f>
        <v/>
      </c>
      <c r="I346" s="120" t="n">
        <v>1000</v>
      </c>
      <c r="J346" s="121">
        <f>K346/1.2</f>
        <v/>
      </c>
      <c r="K346" s="70" t="n">
        <v>0.59</v>
      </c>
      <c r="L346" s="122">
        <f>J346-C346-(J346-C346)*0.2</f>
        <v/>
      </c>
      <c r="M346" s="123">
        <f>L346*I346</f>
        <v/>
      </c>
      <c r="N346" s="124" t="inlineStr">
        <is>
          <t xml:space="preserve">1000 + шт - </t>
        </is>
      </c>
      <c r="O346" s="47" t="inlineStr">
        <is>
          <t xml:space="preserve"> руб / шт с НДС</t>
        </is>
      </c>
      <c r="P346" s="125">
        <f>ROUND(K346,2)</f>
        <v/>
      </c>
      <c r="Q346" s="207">
        <f>CONCATENATE(N346,P346,O346,)</f>
        <v/>
      </c>
      <c r="R346" s="240" t="n"/>
      <c r="T346" s="241" t="n"/>
      <c r="U346" s="240" t="n"/>
      <c r="V346" s="241" t="n"/>
      <c r="Z346" s="240" t="n"/>
      <c r="AB346" s="241" t="n"/>
      <c r="AC346" s="240" t="n"/>
      <c r="AD346" s="241" t="n"/>
    </row>
    <row r="347">
      <c r="A347" s="232" t="n">
        <v>71</v>
      </c>
      <c r="B347" s="42" t="n">
        <v>71</v>
      </c>
      <c r="C347" s="118">
        <f>INDIRECT("'Закуп'!A" &amp; B347)</f>
        <v/>
      </c>
      <c r="D347" s="119">
        <f>C347*1.2</f>
        <v/>
      </c>
      <c r="E347" s="224">
        <f>INDIRECT("'Закуп'!D" &amp; A347)</f>
        <v/>
      </c>
      <c r="F347" s="231">
        <f>INDIRECT("'Закуп'!E" &amp; B347)</f>
        <v/>
      </c>
      <c r="G347" s="172">
        <f>IF(INDIRECT("'Закуп'!L" &amp; B347)="Sale","Sale","")</f>
        <v/>
      </c>
      <c r="H347" s="158">
        <f>IF(INDIRECT("'Закуп'!F" &amp; B347)=0,"",INDIRECT("'Закуп'!F" &amp; B347))</f>
        <v/>
      </c>
      <c r="I347" s="120" t="n">
        <v>50</v>
      </c>
      <c r="J347" s="121">
        <f>K347/1.2</f>
        <v/>
      </c>
      <c r="K347" s="70" t="n">
        <v>1.86</v>
      </c>
      <c r="L347" s="122">
        <f>J347-C347-(J347-C347)*0.2</f>
        <v/>
      </c>
      <c r="M347" s="123">
        <f>L347*I347</f>
        <v/>
      </c>
      <c r="N347" s="124" t="inlineStr">
        <is>
          <t xml:space="preserve">50-90 шт - </t>
        </is>
      </c>
      <c r="O347" s="47" t="inlineStr">
        <is>
          <t xml:space="preserve"> руб / шт с НДС</t>
        </is>
      </c>
      <c r="P347" s="125">
        <f>ROUND(K347,2)</f>
        <v/>
      </c>
      <c r="Q347" s="207">
        <f>CONCATENATE(N347,P347,O347,)</f>
        <v/>
      </c>
      <c r="R347" s="235">
        <f>INDIRECT("'Закуп'!k" &amp; A347)</f>
        <v/>
      </c>
      <c r="S347" s="239">
        <f>INDIRECT("'Закуп'!o" &amp; A347)</f>
        <v/>
      </c>
      <c r="T347" s="226">
        <f>INDIRECT("'Закуп'!p" &amp; A347)</f>
        <v/>
      </c>
      <c r="U347" s="235">
        <f>INDIRECT("'Закуп'!v" &amp; A347)</f>
        <v/>
      </c>
      <c r="V347" s="222">
        <f>INDIRECT("'Закуп'!w" &amp; A347)</f>
        <v/>
      </c>
      <c r="W347" s="229">
        <f>INDIRECT("'Закуп'!H" &amp; A347)</f>
        <v/>
      </c>
      <c r="X347" s="237">
        <f>INDIRECT("'Закуп'!g" &amp; A347)</f>
        <v/>
      </c>
      <c r="Y347" s="229">
        <f>INDIRECT("'Закуп'!i" &amp; A347)</f>
        <v/>
      </c>
      <c r="Z347" s="236">
        <f>INDIRECT("'Закуп'!x" &amp; A347)</f>
        <v/>
      </c>
      <c r="AA347" s="237">
        <f>INDIRECT("'Закуп'!y" &amp; A347)</f>
        <v/>
      </c>
      <c r="AB347" s="238">
        <f>INDIRECT("'Закуп'!z" &amp; A347)</f>
        <v/>
      </c>
      <c r="AC347" s="223">
        <f>SUBSTITUTE(INDEX(F:F, ROUNDUP((ROW(A346))/5,0)*5 - 3), "х", "x")</f>
        <v/>
      </c>
      <c r="AD347" s="222">
        <f>SUBSTITUTE(INDEX(F:F, ROUNDUP((ROW(A346))/5,0)*5 - 3), "х", "x") &amp; " - " &amp; SUBSTITUTE(SUBSTITUTE(INDEX(F:F, ROUNDUP((ROW(A346))/5,0)*5 - 3), "х", "*"), "x", "*") &amp; " мм"</f>
        <v/>
      </c>
    </row>
    <row r="348">
      <c r="B348" s="42" t="n">
        <v>71</v>
      </c>
      <c r="C348" s="118">
        <f>INDIRECT("'Закуп'!A" &amp; B348)</f>
        <v/>
      </c>
      <c r="D348" s="119">
        <f>C348*1.2</f>
        <v/>
      </c>
      <c r="G348" s="172">
        <f>IF(INDIRECT("'Закуп'!L" &amp; B348)="Sale","Sale","")</f>
        <v/>
      </c>
      <c r="H348" s="158">
        <f>IF(INDIRECT("'Закуп'!F" &amp; B348)=0,"",INDIRECT("'Закуп'!F" &amp; B348))</f>
        <v/>
      </c>
      <c r="I348" s="120" t="n">
        <v>100</v>
      </c>
      <c r="J348" s="121">
        <f>K348/1.2</f>
        <v/>
      </c>
      <c r="K348" s="70" t="n">
        <v>1.69</v>
      </c>
      <c r="L348" s="122">
        <f>J348-C348-(J348-C348)*0.2</f>
        <v/>
      </c>
      <c r="M348" s="123">
        <f>L348*I348</f>
        <v/>
      </c>
      <c r="N348" s="124" t="inlineStr">
        <is>
          <t xml:space="preserve">100-290 шт - </t>
        </is>
      </c>
      <c r="O348" s="47" t="inlineStr">
        <is>
          <t xml:space="preserve"> руб / шт с НДС</t>
        </is>
      </c>
      <c r="P348" s="125">
        <f>ROUND(K348,2)</f>
        <v/>
      </c>
      <c r="Q348" s="207">
        <f>CONCATENATE(N348,P348,O348,)</f>
        <v/>
      </c>
      <c r="R348" s="240" t="n"/>
      <c r="T348" s="241" t="n"/>
      <c r="U348" s="240" t="n"/>
      <c r="V348" s="241" t="n"/>
      <c r="Z348" s="240" t="n"/>
      <c r="AB348" s="241" t="n"/>
      <c r="AC348" s="240" t="n"/>
      <c r="AD348" s="241" t="n"/>
    </row>
    <row r="349">
      <c r="B349" s="42" t="n">
        <v>71</v>
      </c>
      <c r="C349" s="118">
        <f>INDIRECT("'Закуп'!A" &amp; B349)</f>
        <v/>
      </c>
      <c r="D349" s="119">
        <f>C349*1.2</f>
        <v/>
      </c>
      <c r="G349" s="172">
        <f>IF(INDIRECT("'Закуп'!L" &amp; B349)="Sale","Sale","")</f>
        <v/>
      </c>
      <c r="H349" s="158">
        <f>IF(INDIRECT("'Закуп'!F" &amp; B349)=0,"",INDIRECT("'Закуп'!F" &amp; B349))</f>
        <v/>
      </c>
      <c r="I349" s="120" t="n">
        <v>300</v>
      </c>
      <c r="J349" s="121">
        <f>K349/1.2</f>
        <v/>
      </c>
      <c r="K349" s="70" t="n">
        <v>1.54</v>
      </c>
      <c r="L349" s="122">
        <f>J349-C349-(J349-C349)*0.2</f>
        <v/>
      </c>
      <c r="M349" s="123">
        <f>L349*I349</f>
        <v/>
      </c>
      <c r="N349" s="124" t="inlineStr">
        <is>
          <t xml:space="preserve">300-490 шт - </t>
        </is>
      </c>
      <c r="O349" s="47" t="inlineStr">
        <is>
          <t xml:space="preserve"> руб / шт с НДС</t>
        </is>
      </c>
      <c r="P349" s="125">
        <f>ROUND(K349,2)</f>
        <v/>
      </c>
      <c r="Q349" s="207">
        <f>CONCATENATE(N349,P349,O349,)</f>
        <v/>
      </c>
      <c r="R349" s="240" t="n"/>
      <c r="T349" s="241" t="n"/>
      <c r="U349" s="240" t="n"/>
      <c r="V349" s="241" t="n"/>
      <c r="Z349" s="240" t="n"/>
      <c r="AB349" s="241" t="n"/>
      <c r="AC349" s="240" t="n"/>
      <c r="AD349" s="241" t="n"/>
    </row>
    <row r="350">
      <c r="B350" s="42" t="n">
        <v>71</v>
      </c>
      <c r="C350" s="118">
        <f>INDIRECT("'Закуп'!A" &amp; B350)</f>
        <v/>
      </c>
      <c r="D350" s="119">
        <f>C350*1.2</f>
        <v/>
      </c>
      <c r="G350" s="172">
        <f>IF(INDIRECT("'Закуп'!L" &amp; B350)="Sale","Sale","")</f>
        <v/>
      </c>
      <c r="H350" s="158">
        <f>IF(INDIRECT("'Закуп'!F" &amp; B350)=0,"",INDIRECT("'Закуп'!F" &amp; B350))</f>
        <v/>
      </c>
      <c r="I350" s="120" t="n">
        <v>500</v>
      </c>
      <c r="J350" s="121">
        <f>K350/1.2</f>
        <v/>
      </c>
      <c r="K350" s="70" t="n">
        <v>1.42</v>
      </c>
      <c r="L350" s="122">
        <f>J350-C350-(J350-C350)*0.2</f>
        <v/>
      </c>
      <c r="M350" s="123">
        <f>L350*I350</f>
        <v/>
      </c>
      <c r="N350" s="124" t="inlineStr">
        <is>
          <t xml:space="preserve">500-990 шт - </t>
        </is>
      </c>
      <c r="O350" s="47" t="inlineStr">
        <is>
          <t xml:space="preserve"> руб / шт с НДС</t>
        </is>
      </c>
      <c r="P350" s="125">
        <f>ROUND(K350,2)</f>
        <v/>
      </c>
      <c r="Q350" s="207">
        <f>CONCATENATE(N350,P350,O350,)</f>
        <v/>
      </c>
      <c r="R350" s="240" t="n"/>
      <c r="T350" s="241" t="n"/>
      <c r="U350" s="240" t="n"/>
      <c r="V350" s="241" t="n"/>
      <c r="Z350" s="240" t="n"/>
      <c r="AB350" s="241" t="n"/>
      <c r="AC350" s="240" t="n"/>
      <c r="AD350" s="241" t="n"/>
    </row>
    <row r="351">
      <c r="B351" s="42" t="n">
        <v>71</v>
      </c>
      <c r="C351" s="118">
        <f>INDIRECT("'Закуп'!A" &amp; B351)</f>
        <v/>
      </c>
      <c r="D351" s="119">
        <f>C351*1.2</f>
        <v/>
      </c>
      <c r="G351" s="172">
        <f>IF(INDIRECT("'Закуп'!L" &amp; B351)="Sale","Sale","")</f>
        <v/>
      </c>
      <c r="H351" s="158">
        <f>IF(INDIRECT("'Закуп'!F" &amp; B351)=0,"",INDIRECT("'Закуп'!F" &amp; B351))</f>
        <v/>
      </c>
      <c r="I351" s="120" t="n">
        <v>1000</v>
      </c>
      <c r="J351" s="121">
        <f>K351/1.2</f>
        <v/>
      </c>
      <c r="K351" s="70" t="n">
        <v>1.26</v>
      </c>
      <c r="L351" s="122">
        <f>J351-C351-(J351-C351)*0.2</f>
        <v/>
      </c>
      <c r="M351" s="123">
        <f>L351*I351</f>
        <v/>
      </c>
      <c r="N351" s="124" t="inlineStr">
        <is>
          <t xml:space="preserve">1000 + шт - </t>
        </is>
      </c>
      <c r="O351" s="47" t="inlineStr">
        <is>
          <t xml:space="preserve"> руб / шт с НДС</t>
        </is>
      </c>
      <c r="P351" s="125">
        <f>ROUND(K351,2)</f>
        <v/>
      </c>
      <c r="Q351" s="207">
        <f>CONCATENATE(N351,P351,O351,)</f>
        <v/>
      </c>
      <c r="R351" s="240" t="n"/>
      <c r="T351" s="241" t="n"/>
      <c r="U351" s="240" t="n"/>
      <c r="V351" s="241" t="n"/>
      <c r="Z351" s="240" t="n"/>
      <c r="AB351" s="241" t="n"/>
      <c r="AC351" s="240" t="n"/>
      <c r="AD351" s="241" t="n"/>
    </row>
    <row r="352">
      <c r="A352" s="232" t="n">
        <v>72</v>
      </c>
      <c r="B352" s="42" t="n">
        <v>72</v>
      </c>
      <c r="C352" s="118">
        <f>INDIRECT("'Закуп'!A" &amp; B352)</f>
        <v/>
      </c>
      <c r="D352" s="119">
        <f>C352*1.2</f>
        <v/>
      </c>
      <c r="E352" s="224">
        <f>INDIRECT("'Закуп'!D" &amp; A352)</f>
        <v/>
      </c>
      <c r="F352" s="231">
        <f>INDIRECT("'Закуп'!E" &amp; B352)</f>
        <v/>
      </c>
      <c r="G352" s="172">
        <f>IF(INDIRECT("'Закуп'!L" &amp; B352)="Sale","Sale","")</f>
        <v/>
      </c>
      <c r="H352" s="158">
        <f>IF(INDIRECT("'Закуп'!F" &amp; B352)=0,"",INDIRECT("'Закуп'!F" &amp; B352))</f>
        <v/>
      </c>
      <c r="I352" s="120" t="n">
        <v>50</v>
      </c>
      <c r="J352" s="121">
        <f>K352/1.2</f>
        <v/>
      </c>
      <c r="K352" s="70" t="n">
        <v>1.29</v>
      </c>
      <c r="L352" s="122">
        <f>J352-C352-(J352-C352)*0.2</f>
        <v/>
      </c>
      <c r="M352" s="123">
        <f>L352*I352</f>
        <v/>
      </c>
      <c r="N352" s="124" t="inlineStr">
        <is>
          <t xml:space="preserve">50-90 шт - </t>
        </is>
      </c>
      <c r="O352" s="47" t="inlineStr">
        <is>
          <t xml:space="preserve"> руб / шт с НДС</t>
        </is>
      </c>
      <c r="P352" s="125">
        <f>ROUND(K352,2)</f>
        <v/>
      </c>
      <c r="Q352" s="207">
        <f>CONCATENATE(N352,P352,O352,)</f>
        <v/>
      </c>
      <c r="R352" s="235">
        <f>INDIRECT("'Закуп'!k" &amp; A352)</f>
        <v/>
      </c>
      <c r="S352" s="239">
        <f>INDIRECT("'Закуп'!o" &amp; A352)</f>
        <v/>
      </c>
      <c r="T352" s="226">
        <f>INDIRECT("'Закуп'!p" &amp; A352)</f>
        <v/>
      </c>
      <c r="U352" s="235">
        <f>INDIRECT("'Закуп'!v" &amp; A352)</f>
        <v/>
      </c>
      <c r="V352" s="222">
        <f>INDIRECT("'Закуп'!w" &amp; A352)</f>
        <v/>
      </c>
      <c r="W352" s="229">
        <f>INDIRECT("'Закуп'!H" &amp; A352)</f>
        <v/>
      </c>
      <c r="X352" s="237">
        <f>INDIRECT("'Закуп'!g" &amp; A352)</f>
        <v/>
      </c>
      <c r="Y352" s="229">
        <f>INDIRECT("'Закуп'!i" &amp; A352)</f>
        <v/>
      </c>
      <c r="Z352" s="236">
        <f>INDIRECT("'Закуп'!x" &amp; A352)</f>
        <v/>
      </c>
      <c r="AA352" s="237">
        <f>INDIRECT("'Закуп'!y" &amp; A352)</f>
        <v/>
      </c>
      <c r="AB352" s="238">
        <f>INDIRECT("'Закуп'!z" &amp; A352)</f>
        <v/>
      </c>
      <c r="AC352" s="223">
        <f>SUBSTITUTE(INDEX(F:F, ROUNDUP((ROW(A351))/5,0)*5 - 3), "х", "x")</f>
        <v/>
      </c>
      <c r="AD352" s="222">
        <f>SUBSTITUTE(INDEX(F:F, ROUNDUP((ROW(A351))/5,0)*5 - 3), "х", "x") &amp; " - " &amp; SUBSTITUTE(SUBSTITUTE(INDEX(F:F, ROUNDUP((ROW(A351))/5,0)*5 - 3), "х", "*"), "x", "*") &amp; " мм"</f>
        <v/>
      </c>
    </row>
    <row r="353">
      <c r="B353" s="42" t="n">
        <v>72</v>
      </c>
      <c r="C353" s="118">
        <f>INDIRECT("'Закуп'!A" &amp; B353)</f>
        <v/>
      </c>
      <c r="D353" s="119">
        <f>C353*1.2</f>
        <v/>
      </c>
      <c r="G353" s="172">
        <f>IF(INDIRECT("'Закуп'!L" &amp; B353)="Sale","Sale","")</f>
        <v/>
      </c>
      <c r="H353" s="158">
        <f>IF(INDIRECT("'Закуп'!F" &amp; B353)=0,"",INDIRECT("'Закуп'!F" &amp; B353))</f>
        <v/>
      </c>
      <c r="I353" s="120" t="n">
        <v>100</v>
      </c>
      <c r="J353" s="121">
        <f>K353/1.2</f>
        <v/>
      </c>
      <c r="K353" s="70" t="n">
        <v>1.13</v>
      </c>
      <c r="L353" s="122">
        <f>J353-C353-(J353-C353)*0.2</f>
        <v/>
      </c>
      <c r="M353" s="123">
        <f>L353*I353</f>
        <v/>
      </c>
      <c r="N353" s="124" t="inlineStr">
        <is>
          <t xml:space="preserve">100-290 шт - </t>
        </is>
      </c>
      <c r="O353" s="47" t="inlineStr">
        <is>
          <t xml:space="preserve"> руб / шт с НДС</t>
        </is>
      </c>
      <c r="P353" s="125">
        <f>ROUND(K353,2)</f>
        <v/>
      </c>
      <c r="Q353" s="207">
        <f>CONCATENATE(N353,P353,O353,)</f>
        <v/>
      </c>
      <c r="R353" s="240" t="n"/>
      <c r="T353" s="241" t="n"/>
      <c r="U353" s="240" t="n"/>
      <c r="V353" s="241" t="n"/>
      <c r="Z353" s="240" t="n"/>
      <c r="AB353" s="241" t="n"/>
      <c r="AC353" s="240" t="n"/>
      <c r="AD353" s="241" t="n"/>
    </row>
    <row r="354">
      <c r="B354" s="42" t="n">
        <v>72</v>
      </c>
      <c r="C354" s="118">
        <f>INDIRECT("'Закуп'!A" &amp; B354)</f>
        <v/>
      </c>
      <c r="D354" s="119">
        <f>C354*1.2</f>
        <v/>
      </c>
      <c r="G354" s="172">
        <f>IF(INDIRECT("'Закуп'!L" &amp; B354)="Sale","Sale","")</f>
        <v/>
      </c>
      <c r="H354" s="158">
        <f>IF(INDIRECT("'Закуп'!F" &amp; B354)=0,"",INDIRECT("'Закуп'!F" &amp; B354))</f>
        <v/>
      </c>
      <c r="I354" s="120" t="n">
        <v>300</v>
      </c>
      <c r="J354" s="121">
        <f>K354/1.2</f>
        <v/>
      </c>
      <c r="K354" s="70" t="n">
        <v>0.96</v>
      </c>
      <c r="L354" s="122">
        <f>J354-C354-(J354-C354)*0.2</f>
        <v/>
      </c>
      <c r="M354" s="123">
        <f>L354*I354</f>
        <v/>
      </c>
      <c r="N354" s="124" t="inlineStr">
        <is>
          <t xml:space="preserve">300-490 шт - </t>
        </is>
      </c>
      <c r="O354" s="47" t="inlineStr">
        <is>
          <t xml:space="preserve"> руб / шт с НДС</t>
        </is>
      </c>
      <c r="P354" s="125">
        <f>ROUND(K354,2)</f>
        <v/>
      </c>
      <c r="Q354" s="207">
        <f>CONCATENATE(N354,P354,O354,)</f>
        <v/>
      </c>
      <c r="R354" s="240" t="n"/>
      <c r="T354" s="241" t="n"/>
      <c r="U354" s="240" t="n"/>
      <c r="V354" s="241" t="n"/>
      <c r="Z354" s="240" t="n"/>
      <c r="AB354" s="241" t="n"/>
      <c r="AC354" s="240" t="n"/>
      <c r="AD354" s="241" t="n"/>
    </row>
    <row r="355">
      <c r="B355" s="42" t="n">
        <v>72</v>
      </c>
      <c r="C355" s="118">
        <f>INDIRECT("'Закуп'!A" &amp; B355)</f>
        <v/>
      </c>
      <c r="D355" s="119">
        <f>C355*1.2</f>
        <v/>
      </c>
      <c r="G355" s="172">
        <f>IF(INDIRECT("'Закуп'!L" &amp; B355)="Sale","Sale","")</f>
        <v/>
      </c>
      <c r="H355" s="158">
        <f>IF(INDIRECT("'Закуп'!F" &amp; B355)=0,"",INDIRECT("'Закуп'!F" &amp; B355))</f>
        <v/>
      </c>
      <c r="I355" s="120" t="n">
        <v>500</v>
      </c>
      <c r="J355" s="121">
        <f>K355/1.2</f>
        <v/>
      </c>
      <c r="K355" s="70" t="n">
        <v>0.9</v>
      </c>
      <c r="L355" s="122">
        <f>J355-C355-(J355-C355)*0.2</f>
        <v/>
      </c>
      <c r="M355" s="123">
        <f>L355*I355</f>
        <v/>
      </c>
      <c r="N355" s="124" t="inlineStr">
        <is>
          <t xml:space="preserve">500-990 шт - </t>
        </is>
      </c>
      <c r="O355" s="47" t="inlineStr">
        <is>
          <t xml:space="preserve"> руб / шт с НДС</t>
        </is>
      </c>
      <c r="P355" s="125">
        <f>ROUND(K355,2)</f>
        <v/>
      </c>
      <c r="Q355" s="207">
        <f>CONCATENATE(N355,P355,O355,)</f>
        <v/>
      </c>
      <c r="R355" s="240" t="n"/>
      <c r="T355" s="241" t="n"/>
      <c r="U355" s="240" t="n"/>
      <c r="V355" s="241" t="n"/>
      <c r="Z355" s="240" t="n"/>
      <c r="AB355" s="241" t="n"/>
      <c r="AC355" s="240" t="n"/>
      <c r="AD355" s="241" t="n"/>
    </row>
    <row r="356">
      <c r="B356" s="42" t="n">
        <v>72</v>
      </c>
      <c r="C356" s="118">
        <f>INDIRECT("'Закуп'!A" &amp; B356)</f>
        <v/>
      </c>
      <c r="D356" s="119">
        <f>C356*1.2</f>
        <v/>
      </c>
      <c r="G356" s="172">
        <f>IF(INDIRECT("'Закуп'!L" &amp; B356)="Sale","Sale","")</f>
        <v/>
      </c>
      <c r="H356" s="158">
        <f>IF(INDIRECT("'Закуп'!F" &amp; B356)=0,"",INDIRECT("'Закуп'!F" &amp; B356))</f>
        <v/>
      </c>
      <c r="I356" s="120" t="n">
        <v>1000</v>
      </c>
      <c r="J356" s="121">
        <f>K356/1.2</f>
        <v/>
      </c>
      <c r="K356" s="70" t="n">
        <v>0.85</v>
      </c>
      <c r="L356" s="122">
        <f>J356-C356-(J356-C356)*0.2</f>
        <v/>
      </c>
      <c r="M356" s="123">
        <f>L356*I356</f>
        <v/>
      </c>
      <c r="N356" s="124" t="inlineStr">
        <is>
          <t xml:space="preserve">1000 + шт - </t>
        </is>
      </c>
      <c r="O356" s="47" t="inlineStr">
        <is>
          <t xml:space="preserve"> руб / шт с НДС</t>
        </is>
      </c>
      <c r="P356" s="125">
        <f>ROUND(K356,2)</f>
        <v/>
      </c>
      <c r="Q356" s="207">
        <f>CONCATENATE(N356,P356,O356,)</f>
        <v/>
      </c>
      <c r="R356" s="240" t="n"/>
      <c r="T356" s="241" t="n"/>
      <c r="U356" s="240" t="n"/>
      <c r="V356" s="241" t="n"/>
      <c r="Z356" s="240" t="n"/>
      <c r="AB356" s="241" t="n"/>
      <c r="AC356" s="240" t="n"/>
      <c r="AD356" s="241" t="n"/>
    </row>
    <row r="357">
      <c r="A357" s="232" t="n">
        <v>73</v>
      </c>
      <c r="B357" s="42" t="n">
        <v>73</v>
      </c>
      <c r="C357" s="118">
        <f>INDIRECT("'Закуп'!A" &amp; B357)</f>
        <v/>
      </c>
      <c r="D357" s="119">
        <f>C357*1.2</f>
        <v/>
      </c>
      <c r="E357" s="224">
        <f>INDIRECT("'Закуп'!D" &amp; A357)</f>
        <v/>
      </c>
      <c r="F357" s="231">
        <f>INDIRECT("'Закуп'!E" &amp; B357)</f>
        <v/>
      </c>
      <c r="G357" s="172">
        <f>IF(INDIRECT("'Закуп'!L" &amp; B357)="Sale","Sale","")</f>
        <v/>
      </c>
      <c r="H357" s="158">
        <f>IF(INDIRECT("'Закуп'!F" &amp; B357)=0,"",INDIRECT("'Закуп'!F" &amp; B357))</f>
        <v/>
      </c>
      <c r="I357" s="120" t="n">
        <v>50</v>
      </c>
      <c r="J357" s="121">
        <f>K357/1.2</f>
        <v/>
      </c>
      <c r="K357" s="70" t="n">
        <v>4.24</v>
      </c>
      <c r="L357" s="122">
        <f>J357-C357-(J357-C357)*0.2</f>
        <v/>
      </c>
      <c r="M357" s="123">
        <f>L357*I357</f>
        <v/>
      </c>
      <c r="N357" s="124" t="inlineStr">
        <is>
          <t xml:space="preserve">50-90 шт - </t>
        </is>
      </c>
      <c r="O357" s="47" t="inlineStr">
        <is>
          <t xml:space="preserve"> руб / шт с НДС</t>
        </is>
      </c>
      <c r="P357" s="125">
        <f>ROUND(K357,2)</f>
        <v/>
      </c>
      <c r="Q357" s="207">
        <f>CONCATENATE(N357,P357,O357,)</f>
        <v/>
      </c>
      <c r="R357" s="235">
        <f>INDIRECT("'Закуп'!k" &amp; A357)</f>
        <v/>
      </c>
      <c r="S357" s="239">
        <f>INDIRECT("'Закуп'!o" &amp; A357)</f>
        <v/>
      </c>
      <c r="T357" s="226">
        <f>INDIRECT("'Закуп'!p" &amp; A357)</f>
        <v/>
      </c>
      <c r="U357" s="235">
        <f>INDIRECT("'Закуп'!v" &amp; A357)</f>
        <v/>
      </c>
      <c r="V357" s="222">
        <f>INDIRECT("'Закуп'!w" &amp; A357)</f>
        <v/>
      </c>
      <c r="W357" s="229">
        <f>INDIRECT("'Закуп'!H" &amp; A357)</f>
        <v/>
      </c>
      <c r="X357" s="237">
        <f>INDIRECT("'Закуп'!g" &amp; A357)</f>
        <v/>
      </c>
      <c r="Y357" s="229">
        <f>INDIRECT("'Закуп'!i" &amp; A357)</f>
        <v/>
      </c>
      <c r="Z357" s="236">
        <f>INDIRECT("'Закуп'!x" &amp; A357)</f>
        <v/>
      </c>
      <c r="AA357" s="237">
        <f>INDIRECT("'Закуп'!y" &amp; A357)</f>
        <v/>
      </c>
      <c r="AB357" s="238">
        <f>INDIRECT("'Закуп'!z" &amp; A357)</f>
        <v/>
      </c>
      <c r="AC357" s="223">
        <f>SUBSTITUTE(INDEX(F:F, ROUNDUP((ROW(A356))/5,0)*5 - 3), "х", "x")</f>
        <v/>
      </c>
      <c r="AD357" s="222">
        <f>SUBSTITUTE(INDEX(F:F, ROUNDUP((ROW(A356))/5,0)*5 - 3), "х", "x") &amp; " - " &amp; SUBSTITUTE(SUBSTITUTE(INDEX(F:F, ROUNDUP((ROW(A356))/5,0)*5 - 3), "х", "*"), "x", "*") &amp; " мм"</f>
        <v/>
      </c>
    </row>
    <row r="358">
      <c r="B358" s="42" t="n">
        <v>73</v>
      </c>
      <c r="C358" s="118">
        <f>INDIRECT("'Закуп'!A" &amp; B358)</f>
        <v/>
      </c>
      <c r="D358" s="119">
        <f>C358*1.2</f>
        <v/>
      </c>
      <c r="G358" s="172">
        <f>IF(INDIRECT("'Закуп'!L" &amp; B358)="Sale","Sale","")</f>
        <v/>
      </c>
      <c r="H358" s="158">
        <f>IF(INDIRECT("'Закуп'!F" &amp; B358)=0,"",INDIRECT("'Закуп'!F" &amp; B358))</f>
        <v/>
      </c>
      <c r="I358" s="120" t="n">
        <v>100</v>
      </c>
      <c r="J358" s="121">
        <f>K358/1.2</f>
        <v/>
      </c>
      <c r="K358" s="70" t="n">
        <v>3.35</v>
      </c>
      <c r="L358" s="122">
        <f>J358-C358-(J358-C358)*0.2</f>
        <v/>
      </c>
      <c r="M358" s="123">
        <f>L358*I358</f>
        <v/>
      </c>
      <c r="N358" s="124" t="inlineStr">
        <is>
          <t xml:space="preserve">100-290 шт - </t>
        </is>
      </c>
      <c r="O358" s="47" t="inlineStr">
        <is>
          <t xml:space="preserve"> руб / шт с НДС</t>
        </is>
      </c>
      <c r="P358" s="125">
        <f>ROUND(K358,2)</f>
        <v/>
      </c>
      <c r="Q358" s="207">
        <f>CONCATENATE(N358,P358,O358,)</f>
        <v/>
      </c>
      <c r="R358" s="240" t="n"/>
      <c r="T358" s="241" t="n"/>
      <c r="U358" s="240" t="n"/>
      <c r="V358" s="241" t="n"/>
      <c r="Z358" s="240" t="n"/>
      <c r="AB358" s="241" t="n"/>
      <c r="AC358" s="240" t="n"/>
      <c r="AD358" s="241" t="n"/>
    </row>
    <row r="359">
      <c r="B359" s="42" t="n">
        <v>73</v>
      </c>
      <c r="C359" s="118">
        <f>INDIRECT("'Закуп'!A" &amp; B359)</f>
        <v/>
      </c>
      <c r="D359" s="119">
        <f>C359*1.2</f>
        <v/>
      </c>
      <c r="G359" s="172">
        <f>IF(INDIRECT("'Закуп'!L" &amp; B359)="Sale","Sale","")</f>
        <v/>
      </c>
      <c r="H359" s="158">
        <f>IF(INDIRECT("'Закуп'!F" &amp; B359)=0,"",INDIRECT("'Закуп'!F" &amp; B359))</f>
        <v/>
      </c>
      <c r="I359" s="120" t="n">
        <v>300</v>
      </c>
      <c r="J359" s="121">
        <f>K359/1.2</f>
        <v/>
      </c>
      <c r="K359" s="70" t="n">
        <v>2.81</v>
      </c>
      <c r="L359" s="122">
        <f>J359-C359-(J359-C359)*0.2</f>
        <v/>
      </c>
      <c r="M359" s="123">
        <f>L359*I359</f>
        <v/>
      </c>
      <c r="N359" s="124" t="inlineStr">
        <is>
          <t xml:space="preserve">300-490 шт - </t>
        </is>
      </c>
      <c r="O359" s="47" t="inlineStr">
        <is>
          <t xml:space="preserve"> руб / шт с НДС</t>
        </is>
      </c>
      <c r="P359" s="125">
        <f>ROUND(K359,2)</f>
        <v/>
      </c>
      <c r="Q359" s="207">
        <f>CONCATENATE(N359,P359,O359,)</f>
        <v/>
      </c>
      <c r="R359" s="240" t="n"/>
      <c r="T359" s="241" t="n"/>
      <c r="U359" s="240" t="n"/>
      <c r="V359" s="241" t="n"/>
      <c r="Z359" s="240" t="n"/>
      <c r="AB359" s="241" t="n"/>
      <c r="AC359" s="240" t="n"/>
      <c r="AD359" s="241" t="n"/>
    </row>
    <row r="360">
      <c r="B360" s="42" t="n">
        <v>73</v>
      </c>
      <c r="C360" s="118">
        <f>INDIRECT("'Закуп'!A" &amp; B360)</f>
        <v/>
      </c>
      <c r="D360" s="119">
        <f>C360*1.2</f>
        <v/>
      </c>
      <c r="G360" s="172">
        <f>IF(INDIRECT("'Закуп'!L" &amp; B360)="Sale","Sale","")</f>
        <v/>
      </c>
      <c r="H360" s="158">
        <f>IF(INDIRECT("'Закуп'!F" &amp; B360)=0,"",INDIRECT("'Закуп'!F" &amp; B360))</f>
        <v/>
      </c>
      <c r="I360" s="120" t="n">
        <v>500</v>
      </c>
      <c r="J360" s="121">
        <f>K360/1.2</f>
        <v/>
      </c>
      <c r="K360" s="70" t="n">
        <v>2.66</v>
      </c>
      <c r="L360" s="122">
        <f>J360-C360-(J360-C360)*0.2</f>
        <v/>
      </c>
      <c r="M360" s="123">
        <f>L360*I360</f>
        <v/>
      </c>
      <c r="N360" s="124" t="inlineStr">
        <is>
          <t xml:space="preserve">500-990 шт - </t>
        </is>
      </c>
      <c r="O360" s="47" t="inlineStr">
        <is>
          <t xml:space="preserve"> руб / шт с НДС</t>
        </is>
      </c>
      <c r="P360" s="125">
        <f>ROUND(K360,2)</f>
        <v/>
      </c>
      <c r="Q360" s="207">
        <f>CONCATENATE(N360,P360,O360,)</f>
        <v/>
      </c>
      <c r="R360" s="240" t="n"/>
      <c r="T360" s="241" t="n"/>
      <c r="U360" s="240" t="n"/>
      <c r="V360" s="241" t="n"/>
      <c r="Z360" s="240" t="n"/>
      <c r="AB360" s="241" t="n"/>
      <c r="AC360" s="240" t="n"/>
      <c r="AD360" s="241" t="n"/>
    </row>
    <row r="361">
      <c r="B361" s="42" t="n">
        <v>73</v>
      </c>
      <c r="C361" s="118">
        <f>INDIRECT("'Закуп'!A" &amp; B361)</f>
        <v/>
      </c>
      <c r="D361" s="119">
        <f>C361*1.2</f>
        <v/>
      </c>
      <c r="G361" s="172">
        <f>IF(INDIRECT("'Закуп'!L" &amp; B361)="Sale","Sale","")</f>
        <v/>
      </c>
      <c r="H361" s="158">
        <f>IF(INDIRECT("'Закуп'!F" &amp; B361)=0,"",INDIRECT("'Закуп'!F" &amp; B361))</f>
        <v/>
      </c>
      <c r="I361" s="120" t="n">
        <v>1000</v>
      </c>
      <c r="J361" s="121">
        <f>K361/1.2</f>
        <v/>
      </c>
      <c r="K361" s="70" t="n">
        <v>2.59</v>
      </c>
      <c r="L361" s="122">
        <f>J361-C361-(J361-C361)*0.2</f>
        <v/>
      </c>
      <c r="M361" s="123">
        <f>L361*I361</f>
        <v/>
      </c>
      <c r="N361" s="124" t="inlineStr">
        <is>
          <t xml:space="preserve">1000 + шт - </t>
        </is>
      </c>
      <c r="O361" s="47" t="inlineStr">
        <is>
          <t xml:space="preserve"> руб / шт с НДС</t>
        </is>
      </c>
      <c r="P361" s="125">
        <f>ROUND(K361,2)</f>
        <v/>
      </c>
      <c r="Q361" s="207">
        <f>CONCATENATE(N361,P361,O361,)</f>
        <v/>
      </c>
      <c r="R361" s="240" t="n"/>
      <c r="T361" s="241" t="n"/>
      <c r="U361" s="240" t="n"/>
      <c r="V361" s="241" t="n"/>
      <c r="Z361" s="240" t="n"/>
      <c r="AB361" s="241" t="n"/>
      <c r="AC361" s="240" t="n"/>
      <c r="AD361" s="241" t="n"/>
    </row>
    <row r="362">
      <c r="A362" s="232" t="n">
        <v>74</v>
      </c>
      <c r="B362" s="42" t="n">
        <v>74</v>
      </c>
      <c r="C362" s="118">
        <f>INDIRECT("'Закуп'!A" &amp; B362)</f>
        <v/>
      </c>
      <c r="D362" s="119">
        <f>C362*1.2</f>
        <v/>
      </c>
      <c r="E362" s="224">
        <f>INDIRECT("'Закуп'!D" &amp; A362)</f>
        <v/>
      </c>
      <c r="F362" s="231">
        <f>INDIRECT("'Закуп'!E" &amp; B362)</f>
        <v/>
      </c>
      <c r="G362" s="172">
        <f>IF(INDIRECT("'Закуп'!L" &amp; B362)="Sale","Sale","")</f>
        <v/>
      </c>
      <c r="H362" s="158">
        <f>IF(INDIRECT("'Закуп'!F" &amp; B362)=0,"",INDIRECT("'Закуп'!F" &amp; B362))</f>
        <v/>
      </c>
      <c r="I362" s="120" t="n">
        <v>50</v>
      </c>
      <c r="J362" s="121">
        <f>K362/1.2</f>
        <v/>
      </c>
      <c r="K362" s="70" t="n">
        <v>2.85</v>
      </c>
      <c r="L362" s="122">
        <f>J362-C362-(J362-C362)*0.2</f>
        <v/>
      </c>
      <c r="M362" s="123">
        <f>L362*I362</f>
        <v/>
      </c>
      <c r="N362" s="124" t="inlineStr">
        <is>
          <t xml:space="preserve">50-90 шт - </t>
        </is>
      </c>
      <c r="O362" s="47" t="inlineStr">
        <is>
          <t xml:space="preserve"> руб / шт с НДС</t>
        </is>
      </c>
      <c r="P362" s="125">
        <f>ROUND(K362,2)</f>
        <v/>
      </c>
      <c r="Q362" s="207">
        <f>CONCATENATE(N362,P362,O362,)</f>
        <v/>
      </c>
      <c r="R362" s="235">
        <f>INDIRECT("'Закуп'!k" &amp; A362)</f>
        <v/>
      </c>
      <c r="S362" s="239">
        <f>INDIRECT("'Закуп'!o" &amp; A362)</f>
        <v/>
      </c>
      <c r="T362" s="226">
        <f>INDIRECT("'Закуп'!p" &amp; A362)</f>
        <v/>
      </c>
      <c r="U362" s="235">
        <f>INDIRECT("'Закуп'!v" &amp; A362)</f>
        <v/>
      </c>
      <c r="V362" s="222">
        <f>INDIRECT("'Закуп'!w" &amp; A362)</f>
        <v/>
      </c>
      <c r="W362" s="229">
        <f>INDIRECT("'Закуп'!H" &amp; A362)</f>
        <v/>
      </c>
      <c r="X362" s="237">
        <f>INDIRECT("'Закуп'!g" &amp; A362)</f>
        <v/>
      </c>
      <c r="Y362" s="229">
        <f>INDIRECT("'Закуп'!i" &amp; A362)</f>
        <v/>
      </c>
      <c r="Z362" s="236">
        <f>INDIRECT("'Закуп'!x" &amp; A362)</f>
        <v/>
      </c>
      <c r="AA362" s="237">
        <f>INDIRECT("'Закуп'!y" &amp; A362)</f>
        <v/>
      </c>
      <c r="AB362" s="238">
        <f>INDIRECT("'Закуп'!z" &amp; A362)</f>
        <v/>
      </c>
      <c r="AC362" s="223">
        <f>SUBSTITUTE(INDEX(F:F, ROUNDUP((ROW(A361))/5,0)*5 - 3), "х", "x")</f>
        <v/>
      </c>
      <c r="AD362" s="222">
        <f>SUBSTITUTE(INDEX(F:F, ROUNDUP((ROW(A361))/5,0)*5 - 3), "х", "x") &amp; " - " &amp; SUBSTITUTE(SUBSTITUTE(INDEX(F:F, ROUNDUP((ROW(A361))/5,0)*5 - 3), "х", "*"), "x", "*") &amp; " мм"</f>
        <v/>
      </c>
    </row>
    <row r="363">
      <c r="B363" s="42" t="n">
        <v>74</v>
      </c>
      <c r="C363" s="118">
        <f>INDIRECT("'Закуп'!A" &amp; B363)</f>
        <v/>
      </c>
      <c r="D363" s="119">
        <f>C363*1.2</f>
        <v/>
      </c>
      <c r="G363" s="172">
        <f>IF(INDIRECT("'Закуп'!L" &amp; B363)="Sale","Sale","")</f>
        <v/>
      </c>
      <c r="H363" s="158">
        <f>IF(INDIRECT("'Закуп'!F" &amp; B363)=0,"",INDIRECT("'Закуп'!F" &amp; B363))</f>
        <v/>
      </c>
      <c r="I363" s="120" t="n">
        <v>100</v>
      </c>
      <c r="J363" s="121">
        <f>K363/1.2</f>
        <v/>
      </c>
      <c r="K363" s="70" t="n">
        <v>2.28</v>
      </c>
      <c r="L363" s="122">
        <f>J363-C363-(J363-C363)*0.2</f>
        <v/>
      </c>
      <c r="M363" s="123">
        <f>L363*I363</f>
        <v/>
      </c>
      <c r="N363" s="124" t="inlineStr">
        <is>
          <t xml:space="preserve">100-290 шт - </t>
        </is>
      </c>
      <c r="O363" s="47" t="inlineStr">
        <is>
          <t xml:space="preserve"> руб / шт с НДС</t>
        </is>
      </c>
      <c r="P363" s="125">
        <f>ROUND(K363,2)</f>
        <v/>
      </c>
      <c r="Q363" s="207">
        <f>CONCATENATE(N363,P363,O363,)</f>
        <v/>
      </c>
      <c r="R363" s="240" t="n"/>
      <c r="T363" s="241" t="n"/>
      <c r="U363" s="240" t="n"/>
      <c r="V363" s="241" t="n"/>
      <c r="Z363" s="240" t="n"/>
      <c r="AB363" s="241" t="n"/>
      <c r="AC363" s="240" t="n"/>
      <c r="AD363" s="241" t="n"/>
    </row>
    <row r="364">
      <c r="B364" s="42" t="n">
        <v>74</v>
      </c>
      <c r="C364" s="118">
        <f>INDIRECT("'Закуп'!A" &amp; B364)</f>
        <v/>
      </c>
      <c r="D364" s="119">
        <f>C364*1.2</f>
        <v/>
      </c>
      <c r="G364" s="172">
        <f>IF(INDIRECT("'Закуп'!L" &amp; B364)="Sale","Sale","")</f>
        <v/>
      </c>
      <c r="H364" s="158">
        <f>IF(INDIRECT("'Закуп'!F" &amp; B364)=0,"",INDIRECT("'Закуп'!F" &amp; B364))</f>
        <v/>
      </c>
      <c r="I364" s="120" t="n">
        <v>300</v>
      </c>
      <c r="J364" s="121">
        <f>K364/1.2</f>
        <v/>
      </c>
      <c r="K364" s="70" t="n">
        <v>2.08</v>
      </c>
      <c r="L364" s="122">
        <f>J364-C364-(J364-C364)*0.2</f>
        <v/>
      </c>
      <c r="M364" s="123">
        <f>L364*I364</f>
        <v/>
      </c>
      <c r="N364" s="124" t="inlineStr">
        <is>
          <t xml:space="preserve">300-490 шт - </t>
        </is>
      </c>
      <c r="O364" s="47" t="inlineStr">
        <is>
          <t xml:space="preserve"> руб / шт с НДС</t>
        </is>
      </c>
      <c r="P364" s="125">
        <f>ROUND(K364,2)</f>
        <v/>
      </c>
      <c r="Q364" s="207">
        <f>CONCATENATE(N364,P364,O364,)</f>
        <v/>
      </c>
      <c r="R364" s="240" t="n"/>
      <c r="T364" s="241" t="n"/>
      <c r="U364" s="240" t="n"/>
      <c r="V364" s="241" t="n"/>
      <c r="Z364" s="240" t="n"/>
      <c r="AB364" s="241" t="n"/>
      <c r="AC364" s="240" t="n"/>
      <c r="AD364" s="241" t="n"/>
    </row>
    <row r="365">
      <c r="B365" s="42" t="n">
        <v>74</v>
      </c>
      <c r="C365" s="118">
        <f>INDIRECT("'Закуп'!A" &amp; B365)</f>
        <v/>
      </c>
      <c r="D365" s="119">
        <f>C365*1.2</f>
        <v/>
      </c>
      <c r="G365" s="172">
        <f>IF(INDIRECT("'Закуп'!L" &amp; B365)="Sale","Sale","")</f>
        <v/>
      </c>
      <c r="H365" s="158">
        <f>IF(INDIRECT("'Закуп'!F" &amp; B365)=0,"",INDIRECT("'Закуп'!F" &amp; B365))</f>
        <v/>
      </c>
      <c r="I365" s="120" t="n">
        <v>500</v>
      </c>
      <c r="J365" s="121">
        <f>K365/1.2</f>
        <v/>
      </c>
      <c r="K365" s="70" t="n">
        <v>1.85</v>
      </c>
      <c r="L365" s="122">
        <f>J365-C365-(J365-C365)*0.2</f>
        <v/>
      </c>
      <c r="M365" s="123">
        <f>L365*I365</f>
        <v/>
      </c>
      <c r="N365" s="124" t="inlineStr">
        <is>
          <t xml:space="preserve">500-990 шт - </t>
        </is>
      </c>
      <c r="O365" s="47" t="inlineStr">
        <is>
          <t xml:space="preserve"> руб / шт с НДС</t>
        </is>
      </c>
      <c r="P365" s="125">
        <f>ROUND(K365,2)</f>
        <v/>
      </c>
      <c r="Q365" s="207">
        <f>CONCATENATE(N365,P365,O365,)</f>
        <v/>
      </c>
      <c r="R365" s="240" t="n"/>
      <c r="T365" s="241" t="n"/>
      <c r="U365" s="240" t="n"/>
      <c r="V365" s="241" t="n"/>
      <c r="Z365" s="240" t="n"/>
      <c r="AB365" s="241" t="n"/>
      <c r="AC365" s="240" t="n"/>
      <c r="AD365" s="241" t="n"/>
    </row>
    <row r="366">
      <c r="B366" s="42" t="n">
        <v>74</v>
      </c>
      <c r="C366" s="118">
        <f>INDIRECT("'Закуп'!A" &amp; B366)</f>
        <v/>
      </c>
      <c r="D366" s="119">
        <f>C366*1.2</f>
        <v/>
      </c>
      <c r="G366" s="172">
        <f>IF(INDIRECT("'Закуп'!L" &amp; B366)="Sale","Sale","")</f>
        <v/>
      </c>
      <c r="H366" s="158">
        <f>IF(INDIRECT("'Закуп'!F" &amp; B366)=0,"",INDIRECT("'Закуп'!F" &amp; B366))</f>
        <v/>
      </c>
      <c r="I366" s="120" t="n">
        <v>1000</v>
      </c>
      <c r="J366" s="121">
        <f>K366/1.2</f>
        <v/>
      </c>
      <c r="K366" s="70" t="n">
        <v>1.77</v>
      </c>
      <c r="L366" s="122">
        <f>J366-C366-(J366-C366)*0.2</f>
        <v/>
      </c>
      <c r="M366" s="123">
        <f>L366*I366</f>
        <v/>
      </c>
      <c r="N366" s="124" t="inlineStr">
        <is>
          <t xml:space="preserve">1000 + шт - </t>
        </is>
      </c>
      <c r="O366" s="47" t="inlineStr">
        <is>
          <t xml:space="preserve"> руб / шт с НДС</t>
        </is>
      </c>
      <c r="P366" s="125">
        <f>ROUND(K366,2)</f>
        <v/>
      </c>
      <c r="Q366" s="207">
        <f>CONCATENATE(N366,P366,O366,)</f>
        <v/>
      </c>
      <c r="R366" s="240" t="n"/>
      <c r="T366" s="241" t="n"/>
      <c r="U366" s="240" t="n"/>
      <c r="V366" s="241" t="n"/>
      <c r="Z366" s="240" t="n"/>
      <c r="AB366" s="241" t="n"/>
      <c r="AC366" s="240" t="n"/>
      <c r="AD366" s="241" t="n"/>
    </row>
    <row r="367">
      <c r="A367" s="232" t="n">
        <v>75</v>
      </c>
      <c r="B367" s="42" t="n">
        <v>75</v>
      </c>
      <c r="C367" s="118">
        <f>INDIRECT("'Закуп'!A" &amp; B367)</f>
        <v/>
      </c>
      <c r="D367" s="119">
        <f>C367*1.2</f>
        <v/>
      </c>
      <c r="E367" s="224">
        <f>INDIRECT("'Закуп'!D" &amp; A367)</f>
        <v/>
      </c>
      <c r="F367" s="231">
        <f>INDIRECT("'Закуп'!E" &amp; B367)</f>
        <v/>
      </c>
      <c r="G367" s="172">
        <f>IF(INDIRECT("'Закуп'!L" &amp; B367)="Sale","Sale","")</f>
        <v/>
      </c>
      <c r="H367" s="158">
        <f>IF(INDIRECT("'Закуп'!F" &amp; B367)=0,"",INDIRECT("'Закуп'!F" &amp; B367))</f>
        <v/>
      </c>
      <c r="I367" s="120" t="n">
        <v>50</v>
      </c>
      <c r="J367" s="121">
        <f>K367/1.2</f>
        <v/>
      </c>
      <c r="K367" s="70" t="n">
        <v>2.57</v>
      </c>
      <c r="L367" s="122">
        <f>J367-C367-(J367-C367)*0.2</f>
        <v/>
      </c>
      <c r="M367" s="123">
        <f>L367*I367</f>
        <v/>
      </c>
      <c r="N367" s="124" t="inlineStr">
        <is>
          <t xml:space="preserve">50-90 шт - </t>
        </is>
      </c>
      <c r="O367" s="47" t="inlineStr">
        <is>
          <t xml:space="preserve"> руб / шт с НДС</t>
        </is>
      </c>
      <c r="P367" s="125">
        <f>ROUND(K367,2)</f>
        <v/>
      </c>
      <c r="Q367" s="207">
        <f>CONCATENATE(N367,P367,O367,)</f>
        <v/>
      </c>
      <c r="R367" s="235">
        <f>INDIRECT("'Закуп'!k" &amp; A367)</f>
        <v/>
      </c>
      <c r="S367" s="239">
        <f>INDIRECT("'Закуп'!o" &amp; A367)</f>
        <v/>
      </c>
      <c r="T367" s="226">
        <f>INDIRECT("'Закуп'!p" &amp; A367)</f>
        <v/>
      </c>
      <c r="U367" s="235">
        <f>INDIRECT("'Закуп'!v" &amp; A367)</f>
        <v/>
      </c>
      <c r="V367" s="222">
        <f>INDIRECT("'Закуп'!w" &amp; A367)</f>
        <v/>
      </c>
      <c r="W367" s="229">
        <f>INDIRECT("'Закуп'!H" &amp; A367)</f>
        <v/>
      </c>
      <c r="X367" s="237">
        <f>INDIRECT("'Закуп'!g" &amp; A367)</f>
        <v/>
      </c>
      <c r="Y367" s="229">
        <f>INDIRECT("'Закуп'!i" &amp; A367)</f>
        <v/>
      </c>
      <c r="Z367" s="236">
        <f>INDIRECT("'Закуп'!x" &amp; A367)</f>
        <v/>
      </c>
      <c r="AA367" s="237">
        <f>INDIRECT("'Закуп'!y" &amp; A367)</f>
        <v/>
      </c>
      <c r="AB367" s="238">
        <f>INDIRECT("'Закуп'!z" &amp; A367)</f>
        <v/>
      </c>
      <c r="AC367" s="223">
        <f>SUBSTITUTE(INDEX(F:F, ROUNDUP((ROW(A366))/5,0)*5 - 3), "х", "x")</f>
        <v/>
      </c>
      <c r="AD367" s="222">
        <f>SUBSTITUTE(INDEX(F:F, ROUNDUP((ROW(A366))/5,0)*5 - 3), "х", "x") &amp; " - " &amp; SUBSTITUTE(SUBSTITUTE(INDEX(F:F, ROUNDUP((ROW(A366))/5,0)*5 - 3), "х", "*"), "x", "*") &amp; " мм"</f>
        <v/>
      </c>
    </row>
    <row r="368">
      <c r="B368" s="42" t="n">
        <v>75</v>
      </c>
      <c r="C368" s="118">
        <f>INDIRECT("'Закуп'!A" &amp; B368)</f>
        <v/>
      </c>
      <c r="D368" s="119">
        <f>C368*1.2</f>
        <v/>
      </c>
      <c r="G368" s="172">
        <f>IF(INDIRECT("'Закуп'!L" &amp; B368)="Sale","Sale","")</f>
        <v/>
      </c>
      <c r="H368" s="158">
        <f>IF(INDIRECT("'Закуп'!F" &amp; B368)=0,"",INDIRECT("'Закуп'!F" &amp; B368))</f>
        <v/>
      </c>
      <c r="I368" s="120" t="n">
        <v>100</v>
      </c>
      <c r="J368" s="121">
        <f>K368/1.2</f>
        <v/>
      </c>
      <c r="K368" s="70" t="n">
        <v>2.05</v>
      </c>
      <c r="L368" s="122">
        <f>J368-C368-(J368-C368)*0.2</f>
        <v/>
      </c>
      <c r="M368" s="123">
        <f>L368*I368</f>
        <v/>
      </c>
      <c r="N368" s="124" t="inlineStr">
        <is>
          <t xml:space="preserve">100-290 шт - </t>
        </is>
      </c>
      <c r="O368" s="47" t="inlineStr">
        <is>
          <t xml:space="preserve"> руб / шт с НДС</t>
        </is>
      </c>
      <c r="P368" s="125">
        <f>ROUND(K368,2)</f>
        <v/>
      </c>
      <c r="Q368" s="207">
        <f>CONCATENATE(N368,P368,O368,)</f>
        <v/>
      </c>
      <c r="R368" s="240" t="n"/>
      <c r="T368" s="241" t="n"/>
      <c r="U368" s="240" t="n"/>
      <c r="V368" s="241" t="n"/>
      <c r="Z368" s="240" t="n"/>
      <c r="AB368" s="241" t="n"/>
      <c r="AC368" s="240" t="n"/>
      <c r="AD368" s="241" t="n"/>
    </row>
    <row r="369">
      <c r="B369" s="42" t="n">
        <v>75</v>
      </c>
      <c r="C369" s="118">
        <f>INDIRECT("'Закуп'!A" &amp; B369)</f>
        <v/>
      </c>
      <c r="D369" s="119">
        <f>C369*1.2</f>
        <v/>
      </c>
      <c r="G369" s="172">
        <f>IF(INDIRECT("'Закуп'!L" &amp; B369)="Sale","Sale","")</f>
        <v/>
      </c>
      <c r="H369" s="158">
        <f>IF(INDIRECT("'Закуп'!F" &amp; B369)=0,"",INDIRECT("'Закуп'!F" &amp; B369))</f>
        <v/>
      </c>
      <c r="I369" s="120" t="n">
        <v>300</v>
      </c>
      <c r="J369" s="121">
        <f>K369/1.2</f>
        <v/>
      </c>
      <c r="K369" s="70" t="n">
        <v>1.87</v>
      </c>
      <c r="L369" s="122">
        <f>J369-C369-(J369-C369)*0.2</f>
        <v/>
      </c>
      <c r="M369" s="123">
        <f>L369*I369</f>
        <v/>
      </c>
      <c r="N369" s="124" t="inlineStr">
        <is>
          <t xml:space="preserve">300-490 шт - </t>
        </is>
      </c>
      <c r="O369" s="47" t="inlineStr">
        <is>
          <t xml:space="preserve"> руб / шт с НДС</t>
        </is>
      </c>
      <c r="P369" s="125">
        <f>ROUND(K369,2)</f>
        <v/>
      </c>
      <c r="Q369" s="207">
        <f>CONCATENATE(N369,P369,O369,)</f>
        <v/>
      </c>
      <c r="R369" s="240" t="n"/>
      <c r="T369" s="241" t="n"/>
      <c r="U369" s="240" t="n"/>
      <c r="V369" s="241" t="n"/>
      <c r="Z369" s="240" t="n"/>
      <c r="AB369" s="241" t="n"/>
      <c r="AC369" s="240" t="n"/>
      <c r="AD369" s="241" t="n"/>
    </row>
    <row r="370">
      <c r="B370" s="42" t="n">
        <v>75</v>
      </c>
      <c r="C370" s="118">
        <f>INDIRECT("'Закуп'!A" &amp; B370)</f>
        <v/>
      </c>
      <c r="D370" s="119">
        <f>C370*1.2</f>
        <v/>
      </c>
      <c r="G370" s="172">
        <f>IF(INDIRECT("'Закуп'!L" &amp; B370)="Sale","Sale","")</f>
        <v/>
      </c>
      <c r="H370" s="158">
        <f>IF(INDIRECT("'Закуп'!F" &amp; B370)=0,"",INDIRECT("'Закуп'!F" &amp; B370))</f>
        <v/>
      </c>
      <c r="I370" s="120" t="n">
        <v>500</v>
      </c>
      <c r="J370" s="121">
        <f>K370/1.2</f>
        <v/>
      </c>
      <c r="K370" s="70" t="n">
        <v>1.67</v>
      </c>
      <c r="L370" s="122">
        <f>J370-C370-(J370-C370)*0.2</f>
        <v/>
      </c>
      <c r="M370" s="123">
        <f>L370*I370</f>
        <v/>
      </c>
      <c r="N370" s="124" t="inlineStr">
        <is>
          <t xml:space="preserve">500-990 шт - </t>
        </is>
      </c>
      <c r="O370" s="47" t="inlineStr">
        <is>
          <t xml:space="preserve"> руб / шт с НДС</t>
        </is>
      </c>
      <c r="P370" s="125">
        <f>ROUND(K370,2)</f>
        <v/>
      </c>
      <c r="Q370" s="207">
        <f>CONCATENATE(N370,P370,O370,)</f>
        <v/>
      </c>
      <c r="R370" s="240" t="n"/>
      <c r="T370" s="241" t="n"/>
      <c r="U370" s="240" t="n"/>
      <c r="V370" s="241" t="n"/>
      <c r="Z370" s="240" t="n"/>
      <c r="AB370" s="241" t="n"/>
      <c r="AC370" s="240" t="n"/>
      <c r="AD370" s="241" t="n"/>
    </row>
    <row r="371">
      <c r="B371" s="42" t="n">
        <v>75</v>
      </c>
      <c r="C371" s="118">
        <f>INDIRECT("'Закуп'!A" &amp; B371)</f>
        <v/>
      </c>
      <c r="D371" s="119">
        <f>C371*1.2</f>
        <v/>
      </c>
      <c r="G371" s="172">
        <f>IF(INDIRECT("'Закуп'!L" &amp; B371)="Sale","Sale","")</f>
        <v/>
      </c>
      <c r="H371" s="158">
        <f>IF(INDIRECT("'Закуп'!F" &amp; B371)=0,"",INDIRECT("'Закуп'!F" &amp; B371))</f>
        <v/>
      </c>
      <c r="I371" s="120" t="n">
        <v>1000</v>
      </c>
      <c r="J371" s="121">
        <f>K371/1.2</f>
        <v/>
      </c>
      <c r="K371" s="70" t="n">
        <v>1.62</v>
      </c>
      <c r="L371" s="122">
        <f>J371-C371-(J371-C371)*0.2</f>
        <v/>
      </c>
      <c r="M371" s="123">
        <f>L371*I371</f>
        <v/>
      </c>
      <c r="N371" s="124" t="inlineStr">
        <is>
          <t xml:space="preserve">1000 + шт - </t>
        </is>
      </c>
      <c r="O371" s="47" t="inlineStr">
        <is>
          <t xml:space="preserve"> руб / шт с НДС</t>
        </is>
      </c>
      <c r="P371" s="125">
        <f>ROUND(K371,2)</f>
        <v/>
      </c>
      <c r="Q371" s="207">
        <f>CONCATENATE(N371,P371,O371,)</f>
        <v/>
      </c>
      <c r="R371" s="240" t="n"/>
      <c r="T371" s="241" t="n"/>
      <c r="U371" s="240" t="n"/>
      <c r="V371" s="241" t="n"/>
      <c r="Z371" s="240" t="n"/>
      <c r="AB371" s="241" t="n"/>
      <c r="AC371" s="240" t="n"/>
      <c r="AD371" s="241" t="n"/>
    </row>
    <row r="372">
      <c r="A372" s="232" t="n">
        <v>76</v>
      </c>
      <c r="B372" s="42" t="n">
        <v>76</v>
      </c>
      <c r="C372" s="118">
        <f>INDIRECT("'Закуп'!A" &amp; B372)</f>
        <v/>
      </c>
      <c r="D372" s="119">
        <f>C372*1.2</f>
        <v/>
      </c>
      <c r="E372" s="224">
        <f>INDIRECT("'Закуп'!D" &amp; A372)</f>
        <v/>
      </c>
      <c r="F372" s="231">
        <f>INDIRECT("'Закуп'!E" &amp; B372)</f>
        <v/>
      </c>
      <c r="G372" s="172">
        <f>IF(INDIRECT("'Закуп'!L" &amp; B372)="Sale","Sale","")</f>
        <v/>
      </c>
      <c r="H372" s="158">
        <f>IF(INDIRECT("'Закуп'!F" &amp; B372)=0,"",INDIRECT("'Закуп'!F" &amp; B372))</f>
        <v/>
      </c>
      <c r="I372" s="120" t="n">
        <v>50</v>
      </c>
      <c r="J372" s="121">
        <f>K372/1.2</f>
        <v/>
      </c>
      <c r="K372" s="70" t="n">
        <v>1.93</v>
      </c>
      <c r="L372" s="122">
        <f>J372-C372-(J372-C372)*0.2</f>
        <v/>
      </c>
      <c r="M372" s="123">
        <f>L372*I372</f>
        <v/>
      </c>
      <c r="N372" s="124" t="inlineStr">
        <is>
          <t xml:space="preserve">50-90 шт - </t>
        </is>
      </c>
      <c r="O372" s="47" t="inlineStr">
        <is>
          <t xml:space="preserve"> руб / шт с НДС</t>
        </is>
      </c>
      <c r="P372" s="125">
        <f>ROUND(K372,2)</f>
        <v/>
      </c>
      <c r="Q372" s="207">
        <f>CONCATENATE(N372,P372,O372,)</f>
        <v/>
      </c>
      <c r="R372" s="235">
        <f>INDIRECT("'Закуп'!k" &amp; A372)</f>
        <v/>
      </c>
      <c r="S372" s="239">
        <f>INDIRECT("'Закуп'!o" &amp; A372)</f>
        <v/>
      </c>
      <c r="T372" s="226">
        <f>INDIRECT("'Закуп'!p" &amp; A372)</f>
        <v/>
      </c>
      <c r="U372" s="235">
        <f>INDIRECT("'Закуп'!v" &amp; A372)</f>
        <v/>
      </c>
      <c r="V372" s="222">
        <f>INDIRECT("'Закуп'!w" &amp; A372)</f>
        <v/>
      </c>
      <c r="W372" s="229">
        <f>INDIRECT("'Закуп'!H" &amp; A372)</f>
        <v/>
      </c>
      <c r="X372" s="237">
        <f>INDIRECT("'Закуп'!g" &amp; A372)</f>
        <v/>
      </c>
      <c r="Y372" s="229">
        <f>INDIRECT("'Закуп'!i" &amp; A372)</f>
        <v/>
      </c>
      <c r="Z372" s="236">
        <f>INDIRECT("'Закуп'!x" &amp; A372)</f>
        <v/>
      </c>
      <c r="AA372" s="237">
        <f>INDIRECT("'Закуп'!y" &amp; A372)</f>
        <v/>
      </c>
      <c r="AB372" s="238">
        <f>INDIRECT("'Закуп'!z" &amp; A372)</f>
        <v/>
      </c>
      <c r="AC372" s="223">
        <f>SUBSTITUTE(INDEX(F:F, ROUNDUP((ROW(A371))/5,0)*5 - 3), "х", "x")</f>
        <v/>
      </c>
      <c r="AD372" s="222">
        <f>SUBSTITUTE(INDEX(F:F, ROUNDUP((ROW(A371))/5,0)*5 - 3), "х", "x") &amp; " - " &amp; SUBSTITUTE(SUBSTITUTE(INDEX(F:F, ROUNDUP((ROW(A371))/5,0)*5 - 3), "х", "*"), "x", "*") &amp; " мм"</f>
        <v/>
      </c>
    </row>
    <row r="373">
      <c r="B373" s="42" t="n">
        <v>76</v>
      </c>
      <c r="C373" s="118">
        <f>INDIRECT("'Закуп'!A" &amp; B373)</f>
        <v/>
      </c>
      <c r="D373" s="119">
        <f>C373*1.2</f>
        <v/>
      </c>
      <c r="G373" s="172">
        <f>IF(INDIRECT("'Закуп'!L" &amp; B373)="Sale","Sale","")</f>
        <v/>
      </c>
      <c r="H373" s="158">
        <f>IF(INDIRECT("'Закуп'!F" &amp; B373)=0,"",INDIRECT("'Закуп'!F" &amp; B373))</f>
        <v/>
      </c>
      <c r="I373" s="120" t="n">
        <v>100</v>
      </c>
      <c r="J373" s="121">
        <f>K373/1.2</f>
        <v/>
      </c>
      <c r="K373" s="70" t="n">
        <v>1.74</v>
      </c>
      <c r="L373" s="122">
        <f>J373-C373-(J373-C373)*0.2</f>
        <v/>
      </c>
      <c r="M373" s="123">
        <f>L373*I373</f>
        <v/>
      </c>
      <c r="N373" s="124" t="inlineStr">
        <is>
          <t xml:space="preserve">100-290 шт - </t>
        </is>
      </c>
      <c r="O373" s="47" t="inlineStr">
        <is>
          <t xml:space="preserve"> руб / шт с НДС</t>
        </is>
      </c>
      <c r="P373" s="125">
        <f>ROUND(K373,2)</f>
        <v/>
      </c>
      <c r="Q373" s="207">
        <f>CONCATENATE(N373,P373,O373,)</f>
        <v/>
      </c>
      <c r="R373" s="240" t="n"/>
      <c r="T373" s="241" t="n"/>
      <c r="U373" s="240" t="n"/>
      <c r="V373" s="241" t="n"/>
      <c r="Z373" s="240" t="n"/>
      <c r="AB373" s="241" t="n"/>
      <c r="AC373" s="240" t="n"/>
      <c r="AD373" s="241" t="n"/>
    </row>
    <row r="374">
      <c r="B374" s="42" t="n">
        <v>76</v>
      </c>
      <c r="C374" s="118">
        <f>INDIRECT("'Закуп'!A" &amp; B374)</f>
        <v/>
      </c>
      <c r="D374" s="119">
        <f>C374*1.2</f>
        <v/>
      </c>
      <c r="G374" s="172">
        <f>IF(INDIRECT("'Закуп'!L" &amp; B374)="Sale","Sale","")</f>
        <v/>
      </c>
      <c r="H374" s="158">
        <f>IF(INDIRECT("'Закуп'!F" &amp; B374)=0,"",INDIRECT("'Закуп'!F" &amp; B374))</f>
        <v/>
      </c>
      <c r="I374" s="120" t="n">
        <v>300</v>
      </c>
      <c r="J374" s="121">
        <f>K374/1.2</f>
        <v/>
      </c>
      <c r="K374" s="70" t="n">
        <v>1.38</v>
      </c>
      <c r="L374" s="122">
        <f>J374-C374-(J374-C374)*0.2</f>
        <v/>
      </c>
      <c r="M374" s="123">
        <f>L374*I374</f>
        <v/>
      </c>
      <c r="N374" s="124" t="inlineStr">
        <is>
          <t xml:space="preserve">300-490 шт - </t>
        </is>
      </c>
      <c r="O374" s="47" t="inlineStr">
        <is>
          <t xml:space="preserve"> руб / шт с НДС</t>
        </is>
      </c>
      <c r="P374" s="125">
        <f>ROUND(K374,2)</f>
        <v/>
      </c>
      <c r="Q374" s="207">
        <f>CONCATENATE(N374,P374,O374,)</f>
        <v/>
      </c>
      <c r="R374" s="240" t="n"/>
      <c r="T374" s="241" t="n"/>
      <c r="U374" s="240" t="n"/>
      <c r="V374" s="241" t="n"/>
      <c r="Z374" s="240" t="n"/>
      <c r="AB374" s="241" t="n"/>
      <c r="AC374" s="240" t="n"/>
      <c r="AD374" s="241" t="n"/>
    </row>
    <row r="375">
      <c r="B375" s="42" t="n">
        <v>76</v>
      </c>
      <c r="C375" s="118">
        <f>INDIRECT("'Закуп'!A" &amp; B375)</f>
        <v/>
      </c>
      <c r="D375" s="119">
        <f>C375*1.2</f>
        <v/>
      </c>
      <c r="G375" s="172">
        <f>IF(INDIRECT("'Закуп'!L" &amp; B375)="Sale","Sale","")</f>
        <v/>
      </c>
      <c r="H375" s="158">
        <f>IF(INDIRECT("'Закуп'!F" &amp; B375)=0,"",INDIRECT("'Закуп'!F" &amp; B375))</f>
        <v/>
      </c>
      <c r="I375" s="120" t="n">
        <v>500</v>
      </c>
      <c r="J375" s="121">
        <f>K375/1.2</f>
        <v/>
      </c>
      <c r="K375" s="70" t="n">
        <v>1.29</v>
      </c>
      <c r="L375" s="122">
        <f>J375-C375-(J375-C375)*0.2</f>
        <v/>
      </c>
      <c r="M375" s="123">
        <f>L375*I375</f>
        <v/>
      </c>
      <c r="N375" s="124" t="inlineStr">
        <is>
          <t xml:space="preserve">500-990 шт - </t>
        </is>
      </c>
      <c r="O375" s="47" t="inlineStr">
        <is>
          <t xml:space="preserve"> руб / шт с НДС</t>
        </is>
      </c>
      <c r="P375" s="125">
        <f>ROUND(K375,2)</f>
        <v/>
      </c>
      <c r="Q375" s="207">
        <f>CONCATENATE(N375,P375,O375,)</f>
        <v/>
      </c>
      <c r="R375" s="240" t="n"/>
      <c r="T375" s="241" t="n"/>
      <c r="U375" s="240" t="n"/>
      <c r="V375" s="241" t="n"/>
      <c r="Z375" s="240" t="n"/>
      <c r="AB375" s="241" t="n"/>
      <c r="AC375" s="240" t="n"/>
      <c r="AD375" s="241" t="n"/>
    </row>
    <row r="376">
      <c r="B376" s="42" t="n">
        <v>76</v>
      </c>
      <c r="C376" s="118">
        <f>INDIRECT("'Закуп'!A" &amp; B376)</f>
        <v/>
      </c>
      <c r="D376" s="119">
        <f>C376*1.2</f>
        <v/>
      </c>
      <c r="G376" s="172">
        <f>IF(INDIRECT("'Закуп'!L" &amp; B376)="Sale","Sale","")</f>
        <v/>
      </c>
      <c r="H376" s="158">
        <f>IF(INDIRECT("'Закуп'!F" &amp; B376)=0,"",INDIRECT("'Закуп'!F" &amp; B376))</f>
        <v/>
      </c>
      <c r="I376" s="120" t="n">
        <v>1000</v>
      </c>
      <c r="J376" s="121">
        <f>K376/1.2</f>
        <v/>
      </c>
      <c r="K376" s="70" t="n">
        <v>1.13</v>
      </c>
      <c r="L376" s="122">
        <f>J376-C376-(J376-C376)*0.2</f>
        <v/>
      </c>
      <c r="M376" s="123">
        <f>L376*I376</f>
        <v/>
      </c>
      <c r="N376" s="124" t="inlineStr">
        <is>
          <t xml:space="preserve">1000 + шт - </t>
        </is>
      </c>
      <c r="O376" s="47" t="inlineStr">
        <is>
          <t xml:space="preserve"> руб / шт с НДС</t>
        </is>
      </c>
      <c r="P376" s="125">
        <f>ROUND(K376,2)</f>
        <v/>
      </c>
      <c r="Q376" s="207">
        <f>CONCATENATE(N376,P376,O376,)</f>
        <v/>
      </c>
      <c r="R376" s="240" t="n"/>
      <c r="T376" s="241" t="n"/>
      <c r="U376" s="240" t="n"/>
      <c r="V376" s="241" t="n"/>
      <c r="Z376" s="240" t="n"/>
      <c r="AB376" s="241" t="n"/>
      <c r="AC376" s="240" t="n"/>
      <c r="AD376" s="241" t="n"/>
    </row>
    <row r="377">
      <c r="A377" s="232" t="n">
        <v>77</v>
      </c>
      <c r="B377" s="42" t="n">
        <v>77</v>
      </c>
      <c r="C377" s="118">
        <f>INDIRECT("'Закуп'!A" &amp; B377)</f>
        <v/>
      </c>
      <c r="D377" s="119">
        <f>C377*1.2</f>
        <v/>
      </c>
      <c r="E377" s="224">
        <f>INDIRECT("'Закуп'!D" &amp; A377)</f>
        <v/>
      </c>
      <c r="F377" s="231">
        <f>INDIRECT("'Закуп'!E" &amp; B377)</f>
        <v/>
      </c>
      <c r="G377" s="172">
        <f>IF(INDIRECT("'Закуп'!L" &amp; B377)="Sale","Sale","")</f>
        <v/>
      </c>
      <c r="H377" s="158">
        <f>IF(INDIRECT("'Закуп'!F" &amp; B377)=0,"",INDIRECT("'Закуп'!F" &amp; B377))</f>
        <v/>
      </c>
      <c r="I377" s="120" t="n">
        <v>50</v>
      </c>
      <c r="J377" s="121">
        <f>K377/1.2</f>
        <v/>
      </c>
      <c r="K377" s="70" t="n">
        <v>2.59</v>
      </c>
      <c r="L377" s="122">
        <f>J377-C377-(J377-C377)*0.2</f>
        <v/>
      </c>
      <c r="M377" s="123">
        <f>L377*I377</f>
        <v/>
      </c>
      <c r="N377" s="124" t="inlineStr">
        <is>
          <t xml:space="preserve">50-90 шт - </t>
        </is>
      </c>
      <c r="O377" s="47" t="inlineStr">
        <is>
          <t xml:space="preserve"> руб / шт с НДС</t>
        </is>
      </c>
      <c r="P377" s="125">
        <f>ROUND(K377,2)</f>
        <v/>
      </c>
      <c r="Q377" s="207">
        <f>CONCATENATE(N377,P377,O377,)</f>
        <v/>
      </c>
      <c r="R377" s="235">
        <f>INDIRECT("'Закуп'!k" &amp; A377)</f>
        <v/>
      </c>
      <c r="S377" s="239">
        <f>INDIRECT("'Закуп'!o" &amp; A377)</f>
        <v/>
      </c>
      <c r="T377" s="226">
        <f>INDIRECT("'Закуп'!p" &amp; A377)</f>
        <v/>
      </c>
      <c r="U377" s="235">
        <f>INDIRECT("'Закуп'!v" &amp; A377)</f>
        <v/>
      </c>
      <c r="V377" s="222">
        <f>INDIRECT("'Закуп'!w" &amp; A377)</f>
        <v/>
      </c>
      <c r="W377" s="229">
        <f>INDIRECT("'Закуп'!H" &amp; A377)</f>
        <v/>
      </c>
      <c r="X377" s="237">
        <f>INDIRECT("'Закуп'!g" &amp; A377)</f>
        <v/>
      </c>
      <c r="Y377" s="229">
        <f>INDIRECT("'Закуп'!i" &amp; A377)</f>
        <v/>
      </c>
      <c r="Z377" s="236">
        <f>INDIRECT("'Закуп'!x" &amp; A377)</f>
        <v/>
      </c>
      <c r="AA377" s="237">
        <f>INDIRECT("'Закуп'!y" &amp; A377)</f>
        <v/>
      </c>
      <c r="AB377" s="238">
        <f>INDIRECT("'Закуп'!z" &amp; A377)</f>
        <v/>
      </c>
      <c r="AC377" s="223">
        <f>SUBSTITUTE(INDEX(F:F, ROUNDUP((ROW(A376))/5,0)*5 - 3), "х", "x")</f>
        <v/>
      </c>
      <c r="AD377" s="222">
        <f>SUBSTITUTE(INDEX(F:F, ROUNDUP((ROW(A376))/5,0)*5 - 3), "х", "x") &amp; " - " &amp; SUBSTITUTE(SUBSTITUTE(INDEX(F:F, ROUNDUP((ROW(A376))/5,0)*5 - 3), "х", "*"), "x", "*") &amp; " мм"</f>
        <v/>
      </c>
    </row>
    <row r="378">
      <c r="B378" s="42" t="n">
        <v>77</v>
      </c>
      <c r="C378" s="118">
        <f>INDIRECT("'Закуп'!A" &amp; B378)</f>
        <v/>
      </c>
      <c r="D378" s="119">
        <f>C378*1.2</f>
        <v/>
      </c>
      <c r="G378" s="172">
        <f>IF(INDIRECT("'Закуп'!L" &amp; B378)="Sale","Sale","")</f>
        <v/>
      </c>
      <c r="H378" s="158">
        <f>IF(INDIRECT("'Закуп'!F" &amp; B378)=0,"",INDIRECT("'Закуп'!F" &amp; B378))</f>
        <v/>
      </c>
      <c r="I378" s="120" t="n">
        <v>100</v>
      </c>
      <c r="J378" s="121">
        <f>K378/1.2</f>
        <v/>
      </c>
      <c r="K378" s="70" t="n">
        <v>2.08</v>
      </c>
      <c r="L378" s="122">
        <f>J378-C378-(J378-C378)*0.2</f>
        <v/>
      </c>
      <c r="M378" s="123">
        <f>L378*I378</f>
        <v/>
      </c>
      <c r="N378" s="124" t="inlineStr">
        <is>
          <t xml:space="preserve">100-290 шт - </t>
        </is>
      </c>
      <c r="O378" s="47" t="inlineStr">
        <is>
          <t xml:space="preserve"> руб / шт с НДС</t>
        </is>
      </c>
      <c r="P378" s="125">
        <f>ROUND(K378,2)</f>
        <v/>
      </c>
      <c r="Q378" s="207">
        <f>CONCATENATE(N378,P378,O378,)</f>
        <v/>
      </c>
      <c r="R378" s="240" t="n"/>
      <c r="T378" s="241" t="n"/>
      <c r="U378" s="240" t="n"/>
      <c r="V378" s="241" t="n"/>
      <c r="Z378" s="240" t="n"/>
      <c r="AB378" s="241" t="n"/>
      <c r="AC378" s="240" t="n"/>
      <c r="AD378" s="241" t="n"/>
    </row>
    <row r="379">
      <c r="B379" s="42" t="n">
        <v>77</v>
      </c>
      <c r="C379" s="118">
        <f>INDIRECT("'Закуп'!A" &amp; B379)</f>
        <v/>
      </c>
      <c r="D379" s="119">
        <f>C379*1.2</f>
        <v/>
      </c>
      <c r="G379" s="172">
        <f>IF(INDIRECT("'Закуп'!L" &amp; B379)="Sale","Sale","")</f>
        <v/>
      </c>
      <c r="H379" s="158">
        <f>IF(INDIRECT("'Закуп'!F" &amp; B379)=0,"",INDIRECT("'Закуп'!F" &amp; B379))</f>
        <v/>
      </c>
      <c r="I379" s="120" t="n">
        <v>300</v>
      </c>
      <c r="J379" s="121">
        <f>K379/1.2</f>
        <v/>
      </c>
      <c r="K379" s="70" t="n">
        <v>1.89</v>
      </c>
      <c r="L379" s="122">
        <f>J379-C379-(J379-C379)*0.2</f>
        <v/>
      </c>
      <c r="M379" s="123">
        <f>L379*I379</f>
        <v/>
      </c>
      <c r="N379" s="124" t="inlineStr">
        <is>
          <t xml:space="preserve">300-490 шт - </t>
        </is>
      </c>
      <c r="O379" s="47" t="inlineStr">
        <is>
          <t xml:space="preserve"> руб / шт с НДС</t>
        </is>
      </c>
      <c r="P379" s="125">
        <f>ROUND(K379,2)</f>
        <v/>
      </c>
      <c r="Q379" s="207">
        <f>CONCATENATE(N379,P379,O379,)</f>
        <v/>
      </c>
      <c r="R379" s="240" t="n"/>
      <c r="T379" s="241" t="n"/>
      <c r="U379" s="240" t="n"/>
      <c r="V379" s="241" t="n"/>
      <c r="Z379" s="240" t="n"/>
      <c r="AB379" s="241" t="n"/>
      <c r="AC379" s="240" t="n"/>
      <c r="AD379" s="241" t="n"/>
    </row>
    <row r="380">
      <c r="B380" s="42" t="n">
        <v>77</v>
      </c>
      <c r="C380" s="118">
        <f>INDIRECT("'Закуп'!A" &amp; B380)</f>
        <v/>
      </c>
      <c r="D380" s="119">
        <f>C380*1.2</f>
        <v/>
      </c>
      <c r="G380" s="172">
        <f>IF(INDIRECT("'Закуп'!L" &amp; B380)="Sale","Sale","")</f>
        <v/>
      </c>
      <c r="H380" s="158">
        <f>IF(INDIRECT("'Закуп'!F" &amp; B380)=0,"",INDIRECT("'Закуп'!F" &amp; B380))</f>
        <v/>
      </c>
      <c r="I380" s="120" t="n">
        <v>500</v>
      </c>
      <c r="J380" s="121">
        <f>K380/1.2</f>
        <v/>
      </c>
      <c r="K380" s="70" t="n">
        <v>1.69</v>
      </c>
      <c r="L380" s="122">
        <f>J380-C380-(J380-C380)*0.2</f>
        <v/>
      </c>
      <c r="M380" s="123">
        <f>L380*I380</f>
        <v/>
      </c>
      <c r="N380" s="124" t="inlineStr">
        <is>
          <t xml:space="preserve">500-990 шт - </t>
        </is>
      </c>
      <c r="O380" s="47" t="inlineStr">
        <is>
          <t xml:space="preserve"> руб / шт с НДС</t>
        </is>
      </c>
      <c r="P380" s="125">
        <f>ROUND(K380,2)</f>
        <v/>
      </c>
      <c r="Q380" s="207">
        <f>CONCATENATE(N380,P380,O380,)</f>
        <v/>
      </c>
      <c r="R380" s="240" t="n"/>
      <c r="T380" s="241" t="n"/>
      <c r="U380" s="240" t="n"/>
      <c r="V380" s="241" t="n"/>
      <c r="Z380" s="240" t="n"/>
      <c r="AB380" s="241" t="n"/>
      <c r="AC380" s="240" t="n"/>
      <c r="AD380" s="241" t="n"/>
    </row>
    <row r="381">
      <c r="B381" s="42" t="n">
        <v>77</v>
      </c>
      <c r="C381" s="118">
        <f>INDIRECT("'Закуп'!A" &amp; B381)</f>
        <v/>
      </c>
      <c r="D381" s="119">
        <f>C381*1.2</f>
        <v/>
      </c>
      <c r="G381" s="172">
        <f>IF(INDIRECT("'Закуп'!L" &amp; B381)="Sale","Sale","")</f>
        <v/>
      </c>
      <c r="H381" s="158">
        <f>IF(INDIRECT("'Закуп'!F" &amp; B381)=0,"",INDIRECT("'Закуп'!F" &amp; B381))</f>
        <v/>
      </c>
      <c r="I381" s="120" t="n">
        <v>1000</v>
      </c>
      <c r="J381" s="121">
        <f>K381/1.2</f>
        <v/>
      </c>
      <c r="K381" s="70" t="n">
        <v>1.64</v>
      </c>
      <c r="L381" s="122">
        <f>J381-C381-(J381-C381)*0.2</f>
        <v/>
      </c>
      <c r="M381" s="123">
        <f>L381*I381</f>
        <v/>
      </c>
      <c r="N381" s="124" t="inlineStr">
        <is>
          <t xml:space="preserve">1000 + шт - </t>
        </is>
      </c>
      <c r="O381" s="47" t="inlineStr">
        <is>
          <t xml:space="preserve"> руб / шт с НДС</t>
        </is>
      </c>
      <c r="P381" s="125">
        <f>ROUND(K381,2)</f>
        <v/>
      </c>
      <c r="Q381" s="207">
        <f>CONCATENATE(N381,P381,O381,)</f>
        <v/>
      </c>
      <c r="R381" s="240" t="n"/>
      <c r="T381" s="241" t="n"/>
      <c r="U381" s="240" t="n"/>
      <c r="V381" s="241" t="n"/>
      <c r="Z381" s="240" t="n"/>
      <c r="AB381" s="241" t="n"/>
      <c r="AC381" s="240" t="n"/>
      <c r="AD381" s="241" t="n"/>
    </row>
    <row r="382">
      <c r="A382" s="232" t="n">
        <v>78</v>
      </c>
      <c r="B382" s="42" t="n">
        <v>78</v>
      </c>
      <c r="C382" s="118">
        <f>INDIRECT("'Закуп'!A" &amp; B382)</f>
        <v/>
      </c>
      <c r="D382" s="119">
        <f>C382*1.2</f>
        <v/>
      </c>
      <c r="E382" s="224">
        <f>INDIRECT("'Закуп'!D" &amp; A382)</f>
        <v/>
      </c>
      <c r="F382" s="231">
        <f>INDIRECT("'Закуп'!E" &amp; B382)</f>
        <v/>
      </c>
      <c r="G382" s="172">
        <f>IF(INDIRECT("'Закуп'!L" &amp; B382)="Sale","Sale","")</f>
        <v/>
      </c>
      <c r="H382" s="158">
        <f>IF(INDIRECT("'Закуп'!F" &amp; B382)=0,"",INDIRECT("'Закуп'!F" &amp; B382))</f>
        <v/>
      </c>
      <c r="I382" s="120" t="n">
        <v>50</v>
      </c>
      <c r="J382" s="121">
        <f>K382/1.2</f>
        <v/>
      </c>
      <c r="K382" s="70" t="n">
        <v>1.39</v>
      </c>
      <c r="L382" s="122">
        <f>J382-C382-(J382-C382)*0.2</f>
        <v/>
      </c>
      <c r="M382" s="123">
        <f>L382*I382</f>
        <v/>
      </c>
      <c r="N382" s="124" t="inlineStr">
        <is>
          <t xml:space="preserve">50-90 шт - </t>
        </is>
      </c>
      <c r="O382" s="47" t="inlineStr">
        <is>
          <t xml:space="preserve"> руб / шт с НДС</t>
        </is>
      </c>
      <c r="P382" s="125">
        <f>ROUND(K382,2)</f>
        <v/>
      </c>
      <c r="Q382" s="207">
        <f>CONCATENATE(N382,P382,O382,)</f>
        <v/>
      </c>
      <c r="R382" s="235">
        <f>INDIRECT("'Закуп'!k" &amp; A382)</f>
        <v/>
      </c>
      <c r="S382" s="239">
        <f>INDIRECT("'Закуп'!o" &amp; A382)</f>
        <v/>
      </c>
      <c r="T382" s="226">
        <f>INDIRECT("'Закуп'!p" &amp; A382)</f>
        <v/>
      </c>
      <c r="U382" s="235">
        <f>INDIRECT("'Закуп'!v" &amp; A382)</f>
        <v/>
      </c>
      <c r="V382" s="222">
        <f>INDIRECT("'Закуп'!w" &amp; A382)</f>
        <v/>
      </c>
      <c r="W382" s="229">
        <f>INDIRECT("'Закуп'!H" &amp; A382)</f>
        <v/>
      </c>
      <c r="X382" s="237">
        <f>INDIRECT("'Закуп'!g" &amp; A382)</f>
        <v/>
      </c>
      <c r="Y382" s="229">
        <f>INDIRECT("'Закуп'!i" &amp; A382)</f>
        <v/>
      </c>
      <c r="Z382" s="236">
        <f>INDIRECT("'Закуп'!x" &amp; A382)</f>
        <v/>
      </c>
      <c r="AA382" s="237">
        <f>INDIRECT("'Закуп'!y" &amp; A382)</f>
        <v/>
      </c>
      <c r="AB382" s="238">
        <f>INDIRECT("'Закуп'!z" &amp; A382)</f>
        <v/>
      </c>
      <c r="AC382" s="223">
        <f>SUBSTITUTE(INDEX(F:F, ROUNDUP((ROW(A381))/5,0)*5 - 3), "х", "x")</f>
        <v/>
      </c>
      <c r="AD382" s="222">
        <f>SUBSTITUTE(INDEX(F:F, ROUNDUP((ROW(A381))/5,0)*5 - 3), "х", "x") &amp; " - " &amp; SUBSTITUTE(SUBSTITUTE(INDEX(F:F, ROUNDUP((ROW(A381))/5,0)*5 - 3), "х", "*"), "x", "*") &amp; " мм"</f>
        <v/>
      </c>
    </row>
    <row r="383">
      <c r="B383" s="42" t="n">
        <v>78</v>
      </c>
      <c r="C383" s="118">
        <f>INDIRECT("'Закуп'!A" &amp; B383)</f>
        <v/>
      </c>
      <c r="D383" s="119">
        <f>C383*1.2</f>
        <v/>
      </c>
      <c r="G383" s="172">
        <f>IF(INDIRECT("'Закуп'!L" &amp; B383)="Sale","Sale","")</f>
        <v/>
      </c>
      <c r="H383" s="158">
        <f>IF(INDIRECT("'Закуп'!F" &amp; B383)=0,"",INDIRECT("'Закуп'!F" &amp; B383))</f>
        <v/>
      </c>
      <c r="I383" s="120" t="n">
        <v>100</v>
      </c>
      <c r="J383" s="121">
        <f>K383/1.2</f>
        <v/>
      </c>
      <c r="K383" s="70" t="n">
        <v>1.21</v>
      </c>
      <c r="L383" s="122">
        <f>J383-C383-(J383-C383)*0.2</f>
        <v/>
      </c>
      <c r="M383" s="123">
        <f>L383*I383</f>
        <v/>
      </c>
      <c r="N383" s="124" t="inlineStr">
        <is>
          <t xml:space="preserve">100-290 шт - </t>
        </is>
      </c>
      <c r="O383" s="47" t="inlineStr">
        <is>
          <t xml:space="preserve"> руб / шт с НДС</t>
        </is>
      </c>
      <c r="P383" s="125">
        <f>ROUND(K383,2)</f>
        <v/>
      </c>
      <c r="Q383" s="207">
        <f>CONCATENATE(N383,P383,O383,)</f>
        <v/>
      </c>
      <c r="R383" s="240" t="n"/>
      <c r="T383" s="241" t="n"/>
      <c r="U383" s="240" t="n"/>
      <c r="V383" s="241" t="n"/>
      <c r="Z383" s="240" t="n"/>
      <c r="AB383" s="241" t="n"/>
      <c r="AC383" s="240" t="n"/>
      <c r="AD383" s="241" t="n"/>
    </row>
    <row r="384">
      <c r="B384" s="42" t="n">
        <v>78</v>
      </c>
      <c r="C384" s="118">
        <f>INDIRECT("'Закуп'!A" &amp; B384)</f>
        <v/>
      </c>
      <c r="D384" s="119">
        <f>C384*1.2</f>
        <v/>
      </c>
      <c r="G384" s="172">
        <f>IF(INDIRECT("'Закуп'!L" &amp; B384)="Sale","Sale","")</f>
        <v/>
      </c>
      <c r="H384" s="158">
        <f>IF(INDIRECT("'Закуп'!F" &amp; B384)=0,"",INDIRECT("'Закуп'!F" &amp; B384))</f>
        <v/>
      </c>
      <c r="I384" s="120" t="n">
        <v>300</v>
      </c>
      <c r="J384" s="121">
        <f>K384/1.2</f>
        <v/>
      </c>
      <c r="K384" s="70" t="n">
        <v>1.03</v>
      </c>
      <c r="L384" s="122">
        <f>J384-C384-(J384-C384)*0.2</f>
        <v/>
      </c>
      <c r="M384" s="123">
        <f>L384*I384</f>
        <v/>
      </c>
      <c r="N384" s="124" t="inlineStr">
        <is>
          <t xml:space="preserve">300-490 шт - </t>
        </is>
      </c>
      <c r="O384" s="47" t="inlineStr">
        <is>
          <t xml:space="preserve"> руб / шт с НДС</t>
        </is>
      </c>
      <c r="P384" s="125">
        <f>ROUND(K384,2)</f>
        <v/>
      </c>
      <c r="Q384" s="207">
        <f>CONCATENATE(N384,P384,O384,)</f>
        <v/>
      </c>
      <c r="R384" s="240" t="n"/>
      <c r="T384" s="241" t="n"/>
      <c r="U384" s="240" t="n"/>
      <c r="V384" s="241" t="n"/>
      <c r="Z384" s="240" t="n"/>
      <c r="AB384" s="241" t="n"/>
      <c r="AC384" s="240" t="n"/>
      <c r="AD384" s="241" t="n"/>
    </row>
    <row r="385">
      <c r="B385" s="42" t="n">
        <v>78</v>
      </c>
      <c r="C385" s="118">
        <f>INDIRECT("'Закуп'!A" &amp; B385)</f>
        <v/>
      </c>
      <c r="D385" s="119">
        <f>C385*1.2</f>
        <v/>
      </c>
      <c r="G385" s="172">
        <f>IF(INDIRECT("'Закуп'!L" &amp; B385)="Sale","Sale","")</f>
        <v/>
      </c>
      <c r="H385" s="158">
        <f>IF(INDIRECT("'Закуп'!F" &amp; B385)=0,"",INDIRECT("'Закуп'!F" &amp; B385))</f>
        <v/>
      </c>
      <c r="I385" s="120" t="n">
        <v>500</v>
      </c>
      <c r="J385" s="121">
        <f>K385/1.2</f>
        <v/>
      </c>
      <c r="K385" s="70" t="n">
        <v>0.96</v>
      </c>
      <c r="L385" s="122">
        <f>J385-C385-(J385-C385)*0.2</f>
        <v/>
      </c>
      <c r="M385" s="123">
        <f>L385*I385</f>
        <v/>
      </c>
      <c r="N385" s="124" t="inlineStr">
        <is>
          <t xml:space="preserve">500-990 шт - </t>
        </is>
      </c>
      <c r="O385" s="47" t="inlineStr">
        <is>
          <t xml:space="preserve"> руб / шт с НДС</t>
        </is>
      </c>
      <c r="P385" s="125">
        <f>ROUND(K385,2)</f>
        <v/>
      </c>
      <c r="Q385" s="207">
        <f>CONCATENATE(N385,P385,O385,)</f>
        <v/>
      </c>
      <c r="R385" s="240" t="n"/>
      <c r="T385" s="241" t="n"/>
      <c r="U385" s="240" t="n"/>
      <c r="V385" s="241" t="n"/>
      <c r="Z385" s="240" t="n"/>
      <c r="AB385" s="241" t="n"/>
      <c r="AC385" s="240" t="n"/>
      <c r="AD385" s="241" t="n"/>
    </row>
    <row r="386">
      <c r="B386" s="42" t="n">
        <v>78</v>
      </c>
      <c r="C386" s="118">
        <f>INDIRECT("'Закуп'!A" &amp; B386)</f>
        <v/>
      </c>
      <c r="D386" s="119">
        <f>C386*1.2</f>
        <v/>
      </c>
      <c r="G386" s="172">
        <f>IF(INDIRECT("'Закуп'!L" &amp; B386)="Sale","Sale","")</f>
        <v/>
      </c>
      <c r="H386" s="158">
        <f>IF(INDIRECT("'Закуп'!F" &amp; B386)=0,"",INDIRECT("'Закуп'!F" &amp; B386))</f>
        <v/>
      </c>
      <c r="I386" s="120" t="n">
        <v>1000</v>
      </c>
      <c r="J386" s="121">
        <f>K386/1.2</f>
        <v/>
      </c>
      <c r="K386" s="70" t="n">
        <v>0.9</v>
      </c>
      <c r="L386" s="122">
        <f>J386-C386-(J386-C386)*0.2</f>
        <v/>
      </c>
      <c r="M386" s="123">
        <f>L386*I386</f>
        <v/>
      </c>
      <c r="N386" s="124" t="inlineStr">
        <is>
          <t xml:space="preserve">1000 + шт - </t>
        </is>
      </c>
      <c r="O386" s="47" t="inlineStr">
        <is>
          <t xml:space="preserve"> руб / шт с НДС</t>
        </is>
      </c>
      <c r="P386" s="125">
        <f>ROUND(K386,2)</f>
        <v/>
      </c>
      <c r="Q386" s="207">
        <f>CONCATENATE(N386,P386,O386,)</f>
        <v/>
      </c>
      <c r="R386" s="240" t="n"/>
      <c r="T386" s="241" t="n"/>
      <c r="U386" s="240" t="n"/>
      <c r="V386" s="241" t="n"/>
      <c r="Z386" s="240" t="n"/>
      <c r="AB386" s="241" t="n"/>
      <c r="AC386" s="240" t="n"/>
      <c r="AD386" s="241" t="n"/>
    </row>
    <row r="387">
      <c r="A387" s="232" t="n">
        <v>79</v>
      </c>
      <c r="B387" s="42" t="n">
        <v>79</v>
      </c>
      <c r="C387" s="118">
        <f>INDIRECT("'Закуп'!A" &amp; B387)</f>
        <v/>
      </c>
      <c r="D387" s="119">
        <f>C387*1.2</f>
        <v/>
      </c>
      <c r="E387" s="224">
        <f>INDIRECT("'Закуп'!D" &amp; A387)</f>
        <v/>
      </c>
      <c r="F387" s="231">
        <f>INDIRECT("'Закуп'!E" &amp; B387)</f>
        <v/>
      </c>
      <c r="G387" s="172">
        <f>IF(INDIRECT("'Закуп'!L" &amp; B387)="Sale","Sale","")</f>
        <v/>
      </c>
      <c r="H387" s="158">
        <f>IF(INDIRECT("'Закуп'!F" &amp; B387)=0,"",INDIRECT("'Закуп'!F" &amp; B387))</f>
        <v/>
      </c>
      <c r="I387" s="120" t="n">
        <v>50</v>
      </c>
      <c r="J387" s="121">
        <f>K387/1.2</f>
        <v/>
      </c>
      <c r="K387" s="70" t="n">
        <v>1.71</v>
      </c>
      <c r="L387" s="122">
        <f>J387-C387-(J387-C387)*0.2</f>
        <v/>
      </c>
      <c r="M387" s="123">
        <f>L387*I387</f>
        <v/>
      </c>
      <c r="N387" s="124" t="inlineStr">
        <is>
          <t xml:space="preserve">50-90 шт - </t>
        </is>
      </c>
      <c r="O387" s="47" t="inlineStr">
        <is>
          <t xml:space="preserve"> руб / шт с НДС</t>
        </is>
      </c>
      <c r="P387" s="125">
        <f>ROUND(K387,2)</f>
        <v/>
      </c>
      <c r="Q387" s="207">
        <f>CONCATENATE(N387,P387,O387,)</f>
        <v/>
      </c>
      <c r="R387" s="235">
        <f>INDIRECT("'Закуп'!k" &amp; A387)</f>
        <v/>
      </c>
      <c r="S387" s="239">
        <f>INDIRECT("'Закуп'!o" &amp; A387)</f>
        <v/>
      </c>
      <c r="T387" s="226">
        <f>INDIRECT("'Закуп'!p" &amp; A387)</f>
        <v/>
      </c>
      <c r="U387" s="235">
        <f>INDIRECT("'Закуп'!v" &amp; A387)</f>
        <v/>
      </c>
      <c r="V387" s="222">
        <f>INDIRECT("'Закуп'!w" &amp; A387)</f>
        <v/>
      </c>
      <c r="W387" s="229">
        <f>INDIRECT("'Закуп'!H" &amp; A387)</f>
        <v/>
      </c>
      <c r="X387" s="237">
        <f>INDIRECT("'Закуп'!g" &amp; A387)</f>
        <v/>
      </c>
      <c r="Y387" s="229">
        <f>INDIRECT("'Закуп'!i" &amp; A387)</f>
        <v/>
      </c>
      <c r="Z387" s="236">
        <f>INDIRECT("'Закуп'!x" &amp; A387)</f>
        <v/>
      </c>
      <c r="AA387" s="237">
        <f>INDIRECT("'Закуп'!y" &amp; A387)</f>
        <v/>
      </c>
      <c r="AB387" s="238">
        <f>INDIRECT("'Закуп'!z" &amp; A387)</f>
        <v/>
      </c>
      <c r="AC387" s="223">
        <f>SUBSTITUTE(INDEX(F:F, ROUNDUP((ROW(A386))/5,0)*5 - 3), "х", "x")</f>
        <v/>
      </c>
      <c r="AD387" s="222">
        <f>SUBSTITUTE(INDEX(F:F, ROUNDUP((ROW(A386))/5,0)*5 - 3), "х", "x") &amp; " - " &amp; SUBSTITUTE(SUBSTITUTE(INDEX(F:F, ROUNDUP((ROW(A386))/5,0)*5 - 3), "х", "*"), "x", "*") &amp; " мм"</f>
        <v/>
      </c>
    </row>
    <row r="388">
      <c r="B388" s="42" t="n">
        <v>79</v>
      </c>
      <c r="C388" s="118">
        <f>INDIRECT("'Закуп'!A" &amp; B388)</f>
        <v/>
      </c>
      <c r="D388" s="119">
        <f>C388*1.2</f>
        <v/>
      </c>
      <c r="G388" s="172">
        <f>IF(INDIRECT("'Закуп'!L" &amp; B388)="Sale","Sale","")</f>
        <v/>
      </c>
      <c r="H388" s="158">
        <f>IF(INDIRECT("'Закуп'!F" &amp; B388)=0,"",INDIRECT("'Закуп'!F" &amp; B388))</f>
        <v/>
      </c>
      <c r="I388" s="120" t="n">
        <v>100</v>
      </c>
      <c r="J388" s="121">
        <f>K388/1.2</f>
        <v/>
      </c>
      <c r="K388" s="70" t="n">
        <v>1.56</v>
      </c>
      <c r="L388" s="122">
        <f>J388-C388-(J388-C388)*0.2</f>
        <v/>
      </c>
      <c r="M388" s="123">
        <f>L388*I388</f>
        <v/>
      </c>
      <c r="N388" s="124" t="inlineStr">
        <is>
          <t xml:space="preserve">100-290 шт - </t>
        </is>
      </c>
      <c r="O388" s="47" t="inlineStr">
        <is>
          <t xml:space="preserve"> руб / шт с НДС</t>
        </is>
      </c>
      <c r="P388" s="125">
        <f>ROUND(K388,2)</f>
        <v/>
      </c>
      <c r="Q388" s="207">
        <f>CONCATENATE(N388,P388,O388,)</f>
        <v/>
      </c>
      <c r="R388" s="240" t="n"/>
      <c r="T388" s="241" t="n"/>
      <c r="U388" s="240" t="n"/>
      <c r="V388" s="241" t="n"/>
      <c r="Z388" s="240" t="n"/>
      <c r="AB388" s="241" t="n"/>
      <c r="AC388" s="240" t="n"/>
      <c r="AD388" s="241" t="n"/>
    </row>
    <row r="389">
      <c r="B389" s="42" t="n">
        <v>79</v>
      </c>
      <c r="C389" s="118">
        <f>INDIRECT("'Закуп'!A" &amp; B389)</f>
        <v/>
      </c>
      <c r="D389" s="119">
        <f>C389*1.2</f>
        <v/>
      </c>
      <c r="G389" s="172">
        <f>IF(INDIRECT("'Закуп'!L" &amp; B389)="Sale","Sale","")</f>
        <v/>
      </c>
      <c r="H389" s="158">
        <f>IF(INDIRECT("'Закуп'!F" &amp; B389)=0,"",INDIRECT("'Закуп'!F" &amp; B389))</f>
        <v/>
      </c>
      <c r="I389" s="120" t="n">
        <v>300</v>
      </c>
      <c r="J389" s="121">
        <f>K389/1.2</f>
        <v/>
      </c>
      <c r="K389" s="70" t="n">
        <v>1.42</v>
      </c>
      <c r="L389" s="122">
        <f>J389-C389-(J389-C389)*0.2</f>
        <v/>
      </c>
      <c r="M389" s="123">
        <f>L389*I389</f>
        <v/>
      </c>
      <c r="N389" s="124" t="inlineStr">
        <is>
          <t xml:space="preserve">300-490 шт - </t>
        </is>
      </c>
      <c r="O389" s="47" t="inlineStr">
        <is>
          <t xml:space="preserve"> руб / шт с НДС</t>
        </is>
      </c>
      <c r="P389" s="125">
        <f>ROUND(K389,2)</f>
        <v/>
      </c>
      <c r="Q389" s="207">
        <f>CONCATENATE(N389,P389,O389,)</f>
        <v/>
      </c>
      <c r="R389" s="240" t="n"/>
      <c r="T389" s="241" t="n"/>
      <c r="U389" s="240" t="n"/>
      <c r="V389" s="241" t="n"/>
      <c r="Z389" s="240" t="n"/>
      <c r="AB389" s="241" t="n"/>
      <c r="AC389" s="240" t="n"/>
      <c r="AD389" s="241" t="n"/>
    </row>
    <row r="390">
      <c r="B390" s="42" t="n">
        <v>79</v>
      </c>
      <c r="C390" s="118">
        <f>INDIRECT("'Закуп'!A" &amp; B390)</f>
        <v/>
      </c>
      <c r="D390" s="119">
        <f>C390*1.2</f>
        <v/>
      </c>
      <c r="G390" s="172">
        <f>IF(INDIRECT("'Закуп'!L" &amp; B390)="Sale","Sale","")</f>
        <v/>
      </c>
      <c r="H390" s="158">
        <f>IF(INDIRECT("'Закуп'!F" &amp; B390)=0,"",INDIRECT("'Закуп'!F" &amp; B390))</f>
        <v/>
      </c>
      <c r="I390" s="120" t="n">
        <v>500</v>
      </c>
      <c r="J390" s="121">
        <f>K390/1.2</f>
        <v/>
      </c>
      <c r="K390" s="70" t="n">
        <v>1.32</v>
      </c>
      <c r="L390" s="122">
        <f>J390-C390-(J390-C390)*0.2</f>
        <v/>
      </c>
      <c r="M390" s="123">
        <f>L390*I390</f>
        <v/>
      </c>
      <c r="N390" s="124" t="inlineStr">
        <is>
          <t xml:space="preserve">500-990 шт - </t>
        </is>
      </c>
      <c r="O390" s="47" t="inlineStr">
        <is>
          <t xml:space="preserve"> руб / шт с НДС</t>
        </is>
      </c>
      <c r="P390" s="125">
        <f>ROUND(K390,2)</f>
        <v/>
      </c>
      <c r="Q390" s="207">
        <f>CONCATENATE(N390,P390,O390,)</f>
        <v/>
      </c>
      <c r="R390" s="240" t="n"/>
      <c r="T390" s="241" t="n"/>
      <c r="U390" s="240" t="n"/>
      <c r="V390" s="241" t="n"/>
      <c r="Z390" s="240" t="n"/>
      <c r="AB390" s="241" t="n"/>
      <c r="AC390" s="240" t="n"/>
      <c r="AD390" s="241" t="n"/>
    </row>
    <row r="391">
      <c r="B391" s="42" t="n">
        <v>79</v>
      </c>
      <c r="C391" s="118">
        <f>INDIRECT("'Закуп'!A" &amp; B391)</f>
        <v/>
      </c>
      <c r="D391" s="119">
        <f>C391*1.2</f>
        <v/>
      </c>
      <c r="G391" s="172">
        <f>IF(INDIRECT("'Закуп'!L" &amp; B391)="Sale","Sale","")</f>
        <v/>
      </c>
      <c r="H391" s="158">
        <f>IF(INDIRECT("'Закуп'!F" &amp; B391)=0,"",INDIRECT("'Закуп'!F" &amp; B391))</f>
        <v/>
      </c>
      <c r="I391" s="120" t="n">
        <v>1000</v>
      </c>
      <c r="J391" s="121">
        <f>K391/1.2</f>
        <v/>
      </c>
      <c r="K391" s="70" t="n">
        <v>1.17</v>
      </c>
      <c r="L391" s="122">
        <f>J391-C391-(J391-C391)*0.2</f>
        <v/>
      </c>
      <c r="M391" s="123">
        <f>L391*I391</f>
        <v/>
      </c>
      <c r="N391" s="124" t="inlineStr">
        <is>
          <t xml:space="preserve">1000 + шт - </t>
        </is>
      </c>
      <c r="O391" s="47" t="inlineStr">
        <is>
          <t xml:space="preserve"> руб / шт с НДС</t>
        </is>
      </c>
      <c r="P391" s="125">
        <f>ROUND(K391,2)</f>
        <v/>
      </c>
      <c r="Q391" s="207">
        <f>CONCATENATE(N391,P391,O391,)</f>
        <v/>
      </c>
      <c r="R391" s="240" t="n"/>
      <c r="T391" s="241" t="n"/>
      <c r="U391" s="240" t="n"/>
      <c r="V391" s="241" t="n"/>
      <c r="Z391" s="240" t="n"/>
      <c r="AB391" s="241" t="n"/>
      <c r="AC391" s="240" t="n"/>
      <c r="AD391" s="241" t="n"/>
    </row>
    <row r="392">
      <c r="A392" s="232" t="n">
        <v>80</v>
      </c>
      <c r="B392" s="42" t="n">
        <v>80</v>
      </c>
      <c r="C392" s="118">
        <f>INDIRECT("'Закуп'!A" &amp; B392)</f>
        <v/>
      </c>
      <c r="D392" s="119">
        <f>C392*1.2</f>
        <v/>
      </c>
      <c r="E392" s="224">
        <f>INDIRECT("'Закуп'!D" &amp; A392)</f>
        <v/>
      </c>
      <c r="F392" s="231">
        <f>INDIRECT("'Закуп'!E" &amp; B392)</f>
        <v/>
      </c>
      <c r="G392" s="172">
        <f>IF(INDIRECT("'Закуп'!L" &amp; B392)="Sale","Sale","")</f>
        <v/>
      </c>
      <c r="H392" s="158">
        <f>IF(INDIRECT("'Закуп'!F" &amp; B392)=0,"",INDIRECT("'Закуп'!F" &amp; B392))</f>
        <v/>
      </c>
      <c r="I392" s="120" t="n">
        <v>50</v>
      </c>
      <c r="J392" s="121">
        <f>K392/1.2</f>
        <v/>
      </c>
      <c r="K392" s="70" t="n">
        <v>1.61</v>
      </c>
      <c r="L392" s="122">
        <f>J392-C392-(J392-C392)*0.2</f>
        <v/>
      </c>
      <c r="M392" s="123">
        <f>L392*I392</f>
        <v/>
      </c>
      <c r="N392" s="124" t="inlineStr">
        <is>
          <t xml:space="preserve">50-90 шт - </t>
        </is>
      </c>
      <c r="O392" s="47" t="inlineStr">
        <is>
          <t xml:space="preserve"> руб / шт с НДС</t>
        </is>
      </c>
      <c r="P392" s="125">
        <f>ROUND(K392,2)</f>
        <v/>
      </c>
      <c r="Q392" s="207">
        <f>CONCATENATE(N392,P392,O392,)</f>
        <v/>
      </c>
      <c r="R392" s="235">
        <f>INDIRECT("'Закуп'!k" &amp; A392)</f>
        <v/>
      </c>
      <c r="S392" s="239">
        <f>INDIRECT("'Закуп'!o" &amp; A392)</f>
        <v/>
      </c>
      <c r="T392" s="226">
        <f>INDIRECT("'Закуп'!p" &amp; A392)</f>
        <v/>
      </c>
      <c r="U392" s="235">
        <f>INDIRECT("'Закуп'!v" &amp; A392)</f>
        <v/>
      </c>
      <c r="V392" s="222">
        <f>INDIRECT("'Закуп'!w" &amp; A392)</f>
        <v/>
      </c>
      <c r="W392" s="229">
        <f>INDIRECT("'Закуп'!H" &amp; A392)</f>
        <v/>
      </c>
      <c r="X392" s="237">
        <f>INDIRECT("'Закуп'!g" &amp; A392)</f>
        <v/>
      </c>
      <c r="Y392" s="229">
        <f>INDIRECT("'Закуп'!i" &amp; A392)</f>
        <v/>
      </c>
      <c r="Z392" s="236">
        <f>INDIRECT("'Закуп'!x" &amp; A392)</f>
        <v/>
      </c>
      <c r="AA392" s="237">
        <f>INDIRECT("'Закуп'!y" &amp; A392)</f>
        <v/>
      </c>
      <c r="AB392" s="238">
        <f>INDIRECT("'Закуп'!z" &amp; A392)</f>
        <v/>
      </c>
      <c r="AC392" s="223">
        <f>SUBSTITUTE(INDEX(F:F, ROUNDUP((ROW(A391))/5,0)*5 - 3), "х", "x")</f>
        <v/>
      </c>
      <c r="AD392" s="222">
        <f>SUBSTITUTE(INDEX(F:F, ROUNDUP((ROW(A391))/5,0)*5 - 3), "х", "x") &amp; " - " &amp; SUBSTITUTE(SUBSTITUTE(INDEX(F:F, ROUNDUP((ROW(A391))/5,0)*5 - 3), "х", "*"), "x", "*") &amp; " мм"</f>
        <v/>
      </c>
    </row>
    <row r="393">
      <c r="B393" s="42" t="n">
        <v>80</v>
      </c>
      <c r="C393" s="118">
        <f>INDIRECT("'Закуп'!A" &amp; B393)</f>
        <v/>
      </c>
      <c r="D393" s="119">
        <f>C393*1.2</f>
        <v/>
      </c>
      <c r="G393" s="172">
        <f>IF(INDIRECT("'Закуп'!L" &amp; B393)="Sale","Sale","")</f>
        <v/>
      </c>
      <c r="H393" s="158">
        <f>IF(INDIRECT("'Закуп'!F" &amp; B393)=0,"",INDIRECT("'Закуп'!F" &amp; B393))</f>
        <v/>
      </c>
      <c r="I393" s="120" t="n">
        <v>100</v>
      </c>
      <c r="J393" s="121">
        <f>K393/1.2</f>
        <v/>
      </c>
      <c r="K393" s="70" t="n">
        <v>1.47</v>
      </c>
      <c r="L393" s="122">
        <f>J393-C393-(J393-C393)*0.2</f>
        <v/>
      </c>
      <c r="M393" s="123">
        <f>L393*I393</f>
        <v/>
      </c>
      <c r="N393" s="124" t="inlineStr">
        <is>
          <t xml:space="preserve">100-290 шт - </t>
        </is>
      </c>
      <c r="O393" s="47" t="inlineStr">
        <is>
          <t xml:space="preserve"> руб / шт с НДС</t>
        </is>
      </c>
      <c r="P393" s="125">
        <f>ROUND(K393,2)</f>
        <v/>
      </c>
      <c r="Q393" s="207">
        <f>CONCATENATE(N393,P393,O393,)</f>
        <v/>
      </c>
      <c r="R393" s="240" t="n"/>
      <c r="T393" s="241" t="n"/>
      <c r="U393" s="240" t="n"/>
      <c r="V393" s="241" t="n"/>
      <c r="Z393" s="240" t="n"/>
      <c r="AB393" s="241" t="n"/>
      <c r="AC393" s="240" t="n"/>
      <c r="AD393" s="241" t="n"/>
    </row>
    <row r="394">
      <c r="B394" s="42" t="n">
        <v>80</v>
      </c>
      <c r="C394" s="118">
        <f>INDIRECT("'Закуп'!A" &amp; B394)</f>
        <v/>
      </c>
      <c r="D394" s="119">
        <f>C394*1.2</f>
        <v/>
      </c>
      <c r="G394" s="172">
        <f>IF(INDIRECT("'Закуп'!L" &amp; B394)="Sale","Sale","")</f>
        <v/>
      </c>
      <c r="H394" s="158">
        <f>IF(INDIRECT("'Закуп'!F" &amp; B394)=0,"",INDIRECT("'Закуп'!F" &amp; B394))</f>
        <v/>
      </c>
      <c r="I394" s="120" t="n">
        <v>300</v>
      </c>
      <c r="J394" s="121">
        <f>K394/1.2</f>
        <v/>
      </c>
      <c r="K394" s="70" t="n">
        <v>1.16</v>
      </c>
      <c r="L394" s="122">
        <f>J394-C394-(J394-C394)*0.2</f>
        <v/>
      </c>
      <c r="M394" s="123">
        <f>L394*I394</f>
        <v/>
      </c>
      <c r="N394" s="124" t="inlineStr">
        <is>
          <t xml:space="preserve">300-490 шт - </t>
        </is>
      </c>
      <c r="O394" s="47" t="inlineStr">
        <is>
          <t xml:space="preserve"> руб / шт с НДС</t>
        </is>
      </c>
      <c r="P394" s="125">
        <f>ROUND(K394,2)</f>
        <v/>
      </c>
      <c r="Q394" s="207">
        <f>CONCATENATE(N394,P394,O394,)</f>
        <v/>
      </c>
      <c r="R394" s="240" t="n"/>
      <c r="T394" s="241" t="n"/>
      <c r="U394" s="240" t="n"/>
      <c r="V394" s="241" t="n"/>
      <c r="Z394" s="240" t="n"/>
      <c r="AB394" s="241" t="n"/>
      <c r="AC394" s="240" t="n"/>
      <c r="AD394" s="241" t="n"/>
    </row>
    <row r="395">
      <c r="B395" s="42" t="n">
        <v>80</v>
      </c>
      <c r="C395" s="118">
        <f>INDIRECT("'Закуп'!A" &amp; B395)</f>
        <v/>
      </c>
      <c r="D395" s="119">
        <f>C395*1.2</f>
        <v/>
      </c>
      <c r="G395" s="172">
        <f>IF(INDIRECT("'Закуп'!L" &amp; B395)="Sale","Sale","")</f>
        <v/>
      </c>
      <c r="H395" s="158">
        <f>IF(INDIRECT("'Закуп'!F" &amp; B395)=0,"",INDIRECT("'Закуп'!F" &amp; B395))</f>
        <v/>
      </c>
      <c r="I395" s="120" t="n">
        <v>500</v>
      </c>
      <c r="J395" s="121">
        <f>K395/1.2</f>
        <v/>
      </c>
      <c r="K395" s="70" t="n">
        <v>1.08</v>
      </c>
      <c r="L395" s="122">
        <f>J395-C395-(J395-C395)*0.2</f>
        <v/>
      </c>
      <c r="M395" s="123">
        <f>L395*I395</f>
        <v/>
      </c>
      <c r="N395" s="124" t="inlineStr">
        <is>
          <t xml:space="preserve">500-990 шт - </t>
        </is>
      </c>
      <c r="O395" s="47" t="inlineStr">
        <is>
          <t xml:space="preserve"> руб / шт с НДС</t>
        </is>
      </c>
      <c r="P395" s="125">
        <f>ROUND(K395,2)</f>
        <v/>
      </c>
      <c r="Q395" s="207">
        <f>CONCATENATE(N395,P395,O395,)</f>
        <v/>
      </c>
      <c r="R395" s="240" t="n"/>
      <c r="T395" s="241" t="n"/>
      <c r="U395" s="240" t="n"/>
      <c r="V395" s="241" t="n"/>
      <c r="Z395" s="240" t="n"/>
      <c r="AB395" s="241" t="n"/>
      <c r="AC395" s="240" t="n"/>
      <c r="AD395" s="241" t="n"/>
    </row>
    <row r="396">
      <c r="B396" s="42" t="n">
        <v>80</v>
      </c>
      <c r="C396" s="118">
        <f>INDIRECT("'Закуп'!A" &amp; B396)</f>
        <v/>
      </c>
      <c r="D396" s="119">
        <f>C396*1.2</f>
        <v/>
      </c>
      <c r="G396" s="172">
        <f>IF(INDIRECT("'Закуп'!L" &amp; B396)="Sale","Sale","")</f>
        <v/>
      </c>
      <c r="H396" s="158">
        <f>IF(INDIRECT("'Закуп'!F" &amp; B396)=0,"",INDIRECT("'Закуп'!F" &amp; B396))</f>
        <v/>
      </c>
      <c r="I396" s="120" t="n">
        <v>1000</v>
      </c>
      <c r="J396" s="121">
        <f>K396/1.2</f>
        <v/>
      </c>
      <c r="K396" s="70" t="n">
        <v>1.03</v>
      </c>
      <c r="L396" s="122">
        <f>J396-C396-(J396-C396)*0.2</f>
        <v/>
      </c>
      <c r="M396" s="123">
        <f>L396*I396</f>
        <v/>
      </c>
      <c r="N396" s="124" t="inlineStr">
        <is>
          <t xml:space="preserve">1000 + шт - </t>
        </is>
      </c>
      <c r="O396" s="47" t="inlineStr">
        <is>
          <t xml:space="preserve"> руб / шт с НДС</t>
        </is>
      </c>
      <c r="P396" s="125">
        <f>ROUND(K396,2)</f>
        <v/>
      </c>
      <c r="Q396" s="207">
        <f>CONCATENATE(N396,P396,O396,)</f>
        <v/>
      </c>
      <c r="R396" s="240" t="n"/>
      <c r="T396" s="241" t="n"/>
      <c r="U396" s="240" t="n"/>
      <c r="V396" s="241" t="n"/>
      <c r="Z396" s="240" t="n"/>
      <c r="AB396" s="241" t="n"/>
      <c r="AC396" s="240" t="n"/>
      <c r="AD396" s="241" t="n"/>
    </row>
    <row r="397">
      <c r="A397" s="232" t="n">
        <v>81</v>
      </c>
      <c r="B397" s="42" t="n">
        <v>81</v>
      </c>
      <c r="C397" s="118">
        <f>INDIRECT("'Закуп'!A" &amp; B397)</f>
        <v/>
      </c>
      <c r="D397" s="119">
        <f>C397*1.2</f>
        <v/>
      </c>
      <c r="E397" s="224">
        <f>INDIRECT("'Закуп'!D" &amp; A397)</f>
        <v/>
      </c>
      <c r="F397" s="231">
        <f>INDIRECT("'Закуп'!E" &amp; B397)</f>
        <v/>
      </c>
      <c r="G397" s="172">
        <f>IF(INDIRECT("'Закуп'!L" &amp; B397)="Sale","Sale","")</f>
        <v/>
      </c>
      <c r="H397" s="158">
        <f>IF(INDIRECT("'Закуп'!F" &amp; B397)=0,"",INDIRECT("'Закуп'!F" &amp; B397))</f>
        <v/>
      </c>
      <c r="I397" s="120" t="n">
        <v>50</v>
      </c>
      <c r="J397" s="121">
        <f>K397/1.2</f>
        <v/>
      </c>
      <c r="K397" s="70" t="n">
        <v>2.26</v>
      </c>
      <c r="L397" s="122">
        <f>J397-C397-(J397-C397)*0.2</f>
        <v/>
      </c>
      <c r="M397" s="123">
        <f>L397*I397</f>
        <v/>
      </c>
      <c r="N397" s="124" t="inlineStr">
        <is>
          <t xml:space="preserve">50-90 шт - </t>
        </is>
      </c>
      <c r="O397" s="47" t="inlineStr">
        <is>
          <t xml:space="preserve"> руб / шт с НДС</t>
        </is>
      </c>
      <c r="P397" s="125">
        <f>ROUND(K397,2)</f>
        <v/>
      </c>
      <c r="Q397" s="207">
        <f>CONCATENATE(N397,P397,O397,)</f>
        <v/>
      </c>
      <c r="R397" s="235">
        <f>INDIRECT("'Закуп'!k" &amp; A397)</f>
        <v/>
      </c>
      <c r="S397" s="239">
        <f>INDIRECT("'Закуп'!o" &amp; A397)</f>
        <v/>
      </c>
      <c r="T397" s="226">
        <f>INDIRECT("'Закуп'!p" &amp; A397)</f>
        <v/>
      </c>
      <c r="U397" s="235">
        <f>INDIRECT("'Закуп'!v" &amp; A397)</f>
        <v/>
      </c>
      <c r="V397" s="222">
        <f>INDIRECT("'Закуп'!w" &amp; A397)</f>
        <v/>
      </c>
      <c r="W397" s="229">
        <f>INDIRECT("'Закуп'!H" &amp; A397)</f>
        <v/>
      </c>
      <c r="X397" s="237">
        <f>INDIRECT("'Закуп'!g" &amp; A397)</f>
        <v/>
      </c>
      <c r="Y397" s="229">
        <f>INDIRECT("'Закуп'!i" &amp; A397)</f>
        <v/>
      </c>
      <c r="Z397" s="236">
        <f>INDIRECT("'Закуп'!x" &amp; A397)</f>
        <v/>
      </c>
      <c r="AA397" s="237">
        <f>INDIRECT("'Закуп'!y" &amp; A397)</f>
        <v/>
      </c>
      <c r="AB397" s="238">
        <f>INDIRECT("'Закуп'!z" &amp; A397)</f>
        <v/>
      </c>
      <c r="AC397" s="223">
        <f>SUBSTITUTE(INDEX(F:F, ROUNDUP((ROW(A396))/5,0)*5 - 3), "х", "x")</f>
        <v/>
      </c>
      <c r="AD397" s="222">
        <f>SUBSTITUTE(INDEX(F:F, ROUNDUP((ROW(A396))/5,0)*5 - 3), "х", "x") &amp; " - " &amp; SUBSTITUTE(SUBSTITUTE(INDEX(F:F, ROUNDUP((ROW(A396))/5,0)*5 - 3), "х", "*"), "x", "*") &amp; " мм"</f>
        <v/>
      </c>
    </row>
    <row r="398">
      <c r="B398" s="42" t="n">
        <v>81</v>
      </c>
      <c r="C398" s="118">
        <f>INDIRECT("'Закуп'!A" &amp; B398)</f>
        <v/>
      </c>
      <c r="D398" s="119">
        <f>C398*1.2</f>
        <v/>
      </c>
      <c r="G398" s="172">
        <f>IF(INDIRECT("'Закуп'!L" &amp; B398)="Sale","Sale","")</f>
        <v/>
      </c>
      <c r="H398" s="158">
        <f>IF(INDIRECT("'Закуп'!F" &amp; B398)=0,"",INDIRECT("'Закуп'!F" &amp; B398))</f>
        <v/>
      </c>
      <c r="I398" s="120" t="n">
        <v>100</v>
      </c>
      <c r="J398" s="121">
        <f>K398/1.2</f>
        <v/>
      </c>
      <c r="K398" s="70" t="n">
        <v>2.05</v>
      </c>
      <c r="L398" s="122">
        <f>J398-C398-(J398-C398)*0.2</f>
        <v/>
      </c>
      <c r="M398" s="123">
        <f>L398*I398</f>
        <v/>
      </c>
      <c r="N398" s="124" t="inlineStr">
        <is>
          <t xml:space="preserve">100-290 шт - </t>
        </is>
      </c>
      <c r="O398" s="47" t="inlineStr">
        <is>
          <t xml:space="preserve"> руб / шт с НДС</t>
        </is>
      </c>
      <c r="P398" s="125">
        <f>ROUND(K398,2)</f>
        <v/>
      </c>
      <c r="Q398" s="207">
        <f>CONCATENATE(N398,P398,O398,)</f>
        <v/>
      </c>
      <c r="R398" s="240" t="n"/>
      <c r="T398" s="241" t="n"/>
      <c r="U398" s="240" t="n"/>
      <c r="V398" s="241" t="n"/>
      <c r="Z398" s="240" t="n"/>
      <c r="AB398" s="241" t="n"/>
      <c r="AC398" s="240" t="n"/>
      <c r="AD398" s="241" t="n"/>
    </row>
    <row r="399">
      <c r="B399" s="42" t="n">
        <v>81</v>
      </c>
      <c r="C399" s="118">
        <f>INDIRECT("'Закуп'!A" &amp; B399)</f>
        <v/>
      </c>
      <c r="D399" s="119">
        <f>C399*1.2</f>
        <v/>
      </c>
      <c r="G399" s="172">
        <f>IF(INDIRECT("'Закуп'!L" &amp; B399)="Sale","Sale","")</f>
        <v/>
      </c>
      <c r="H399" s="158">
        <f>IF(INDIRECT("'Закуп'!F" &amp; B399)=0,"",INDIRECT("'Закуп'!F" &amp; B399))</f>
        <v/>
      </c>
      <c r="I399" s="120" t="n">
        <v>300</v>
      </c>
      <c r="J399" s="121">
        <f>K399/1.2</f>
        <v/>
      </c>
      <c r="K399" s="70" t="n">
        <v>1.61</v>
      </c>
      <c r="L399" s="122">
        <f>J399-C399-(J399-C399)*0.2</f>
        <v/>
      </c>
      <c r="M399" s="123">
        <f>L399*I399</f>
        <v/>
      </c>
      <c r="N399" s="124" t="inlineStr">
        <is>
          <t xml:space="preserve">300-490 шт - </t>
        </is>
      </c>
      <c r="O399" s="47" t="inlineStr">
        <is>
          <t xml:space="preserve"> руб / шт с НДС</t>
        </is>
      </c>
      <c r="P399" s="125">
        <f>ROUND(K399,2)</f>
        <v/>
      </c>
      <c r="Q399" s="207">
        <f>CONCATENATE(N399,P399,O399,)</f>
        <v/>
      </c>
      <c r="R399" s="240" t="n"/>
      <c r="T399" s="241" t="n"/>
      <c r="U399" s="240" t="n"/>
      <c r="V399" s="241" t="n"/>
      <c r="Z399" s="240" t="n"/>
      <c r="AB399" s="241" t="n"/>
      <c r="AC399" s="240" t="n"/>
      <c r="AD399" s="241" t="n"/>
    </row>
    <row r="400">
      <c r="B400" s="42" t="n">
        <v>81</v>
      </c>
      <c r="C400" s="118">
        <f>INDIRECT("'Закуп'!A" &amp; B400)</f>
        <v/>
      </c>
      <c r="D400" s="119">
        <f>C400*1.2</f>
        <v/>
      </c>
      <c r="G400" s="172">
        <f>IF(INDIRECT("'Закуп'!L" &amp; B400)="Sale","Sale","")</f>
        <v/>
      </c>
      <c r="H400" s="158">
        <f>IF(INDIRECT("'Закуп'!F" &amp; B400)=0,"",INDIRECT("'Закуп'!F" &amp; B400))</f>
        <v/>
      </c>
      <c r="I400" s="120" t="n">
        <v>500</v>
      </c>
      <c r="J400" s="121">
        <f>K400/1.2</f>
        <v/>
      </c>
      <c r="K400" s="70" t="n">
        <v>1.39</v>
      </c>
      <c r="L400" s="122">
        <f>J400-C400-(J400-C400)*0.2</f>
        <v/>
      </c>
      <c r="M400" s="123">
        <f>L400*I400</f>
        <v/>
      </c>
      <c r="N400" s="124" t="inlineStr">
        <is>
          <t xml:space="preserve">500-990 шт - </t>
        </is>
      </c>
      <c r="O400" s="47" t="inlineStr">
        <is>
          <t xml:space="preserve"> руб / шт с НДС</t>
        </is>
      </c>
      <c r="P400" s="125">
        <f>ROUND(K400,2)</f>
        <v/>
      </c>
      <c r="Q400" s="207">
        <f>CONCATENATE(N400,P400,O400,)</f>
        <v/>
      </c>
      <c r="R400" s="240" t="n"/>
      <c r="T400" s="241" t="n"/>
      <c r="U400" s="240" t="n"/>
      <c r="V400" s="241" t="n"/>
      <c r="Z400" s="240" t="n"/>
      <c r="AB400" s="241" t="n"/>
      <c r="AC400" s="240" t="n"/>
      <c r="AD400" s="241" t="n"/>
    </row>
    <row r="401">
      <c r="B401" s="42" t="n">
        <v>81</v>
      </c>
      <c r="C401" s="118">
        <f>INDIRECT("'Закуп'!A" &amp; B401)</f>
        <v/>
      </c>
      <c r="D401" s="119">
        <f>C401*1.2</f>
        <v/>
      </c>
      <c r="G401" s="172">
        <f>IF(INDIRECT("'Закуп'!L" &amp; B401)="Sale","Sale","")</f>
        <v/>
      </c>
      <c r="H401" s="158">
        <f>IF(INDIRECT("'Закуп'!F" &amp; B401)=0,"",INDIRECT("'Закуп'!F" &amp; B401))</f>
        <v/>
      </c>
      <c r="I401" s="120" t="n">
        <v>1000</v>
      </c>
      <c r="J401" s="121">
        <f>K401/1.2</f>
        <v/>
      </c>
      <c r="K401" s="70" t="n">
        <v>1.29</v>
      </c>
      <c r="L401" s="122">
        <f>J401-C401-(J401-C401)*0.2</f>
        <v/>
      </c>
      <c r="M401" s="123">
        <f>L401*I401</f>
        <v/>
      </c>
      <c r="N401" s="124" t="inlineStr">
        <is>
          <t xml:space="preserve">1000 + шт - </t>
        </is>
      </c>
      <c r="O401" s="47" t="inlineStr">
        <is>
          <t xml:space="preserve"> руб / шт с НДС</t>
        </is>
      </c>
      <c r="P401" s="125">
        <f>ROUND(K401,2)</f>
        <v/>
      </c>
      <c r="Q401" s="207">
        <f>CONCATENATE(N401,P401,O401,)</f>
        <v/>
      </c>
      <c r="R401" s="240" t="n"/>
      <c r="T401" s="241" t="n"/>
      <c r="U401" s="240" t="n"/>
      <c r="V401" s="241" t="n"/>
      <c r="Z401" s="240" t="n"/>
      <c r="AB401" s="241" t="n"/>
      <c r="AC401" s="240" t="n"/>
      <c r="AD401" s="241" t="n"/>
    </row>
    <row r="402">
      <c r="A402" s="232" t="n">
        <v>82</v>
      </c>
      <c r="B402" s="42" t="n">
        <v>82</v>
      </c>
      <c r="C402" s="118">
        <f>INDIRECT("'Закуп'!A" &amp; B402)</f>
        <v/>
      </c>
      <c r="D402" s="119">
        <f>C402*1.2</f>
        <v/>
      </c>
      <c r="E402" s="224">
        <f>INDIRECT("'Закуп'!D" &amp; A402)</f>
        <v/>
      </c>
      <c r="F402" s="231">
        <f>INDIRECT("'Закуп'!E" &amp; B402)</f>
        <v/>
      </c>
      <c r="G402" s="172">
        <f>IF(INDIRECT("'Закуп'!L" &amp; B402)="Sale","Sale","")</f>
        <v/>
      </c>
      <c r="H402" s="158">
        <f>IF(INDIRECT("'Закуп'!F" &amp; B402)=0,"",INDIRECT("'Закуп'!F" &amp; B402))</f>
        <v/>
      </c>
      <c r="I402" s="120" t="n">
        <v>50</v>
      </c>
      <c r="J402" s="121">
        <f>K402/1.2</f>
        <v/>
      </c>
      <c r="K402" s="70" t="n">
        <v>1.41</v>
      </c>
      <c r="L402" s="122">
        <f>J402-C402-(J402-C402)*0.2</f>
        <v/>
      </c>
      <c r="M402" s="123">
        <f>L402*I402</f>
        <v/>
      </c>
      <c r="N402" s="124" t="inlineStr">
        <is>
          <t xml:space="preserve">50-90 шт - </t>
        </is>
      </c>
      <c r="O402" s="47" t="inlineStr">
        <is>
          <t xml:space="preserve"> руб / шт с НДС</t>
        </is>
      </c>
      <c r="P402" s="125">
        <f>ROUND(K402,2)</f>
        <v/>
      </c>
      <c r="Q402" s="207">
        <f>CONCATENATE(N402,P402,O402,)</f>
        <v/>
      </c>
      <c r="R402" s="235">
        <f>INDIRECT("'Закуп'!k" &amp; A402)</f>
        <v/>
      </c>
      <c r="S402" s="239">
        <f>INDIRECT("'Закуп'!o" &amp; A402)</f>
        <v/>
      </c>
      <c r="T402" s="226">
        <f>INDIRECT("'Закуп'!p" &amp; A402)</f>
        <v/>
      </c>
      <c r="U402" s="235">
        <f>INDIRECT("'Закуп'!v" &amp; A402)</f>
        <v/>
      </c>
      <c r="V402" s="222">
        <f>INDIRECT("'Закуп'!w" &amp; A402)</f>
        <v/>
      </c>
      <c r="W402" s="229">
        <f>INDIRECT("'Закуп'!H" &amp; A402)</f>
        <v/>
      </c>
      <c r="X402" s="237">
        <f>INDIRECT("'Закуп'!g" &amp; A402)</f>
        <v/>
      </c>
      <c r="Y402" s="229">
        <f>INDIRECT("'Закуп'!i" &amp; A402)</f>
        <v/>
      </c>
      <c r="Z402" s="236">
        <f>INDIRECT("'Закуп'!x" &amp; A402)</f>
        <v/>
      </c>
      <c r="AA402" s="237">
        <f>INDIRECT("'Закуп'!y" &amp; A402)</f>
        <v/>
      </c>
      <c r="AB402" s="238">
        <f>INDIRECT("'Закуп'!z" &amp; A402)</f>
        <v/>
      </c>
      <c r="AC402" s="223">
        <f>SUBSTITUTE(INDEX(F:F, ROUNDUP((ROW(A401))/5,0)*5 - 3), "х", "x")</f>
        <v/>
      </c>
      <c r="AD402" s="222">
        <f>SUBSTITUTE(INDEX(F:F, ROUNDUP((ROW(A401))/5,0)*5 - 3), "х", "x") &amp; " - " &amp; SUBSTITUTE(SUBSTITUTE(INDEX(F:F, ROUNDUP((ROW(A401))/5,0)*5 - 3), "х", "*"), "x", "*") &amp; " мм"</f>
        <v/>
      </c>
    </row>
    <row r="403">
      <c r="B403" s="42" t="n">
        <v>82</v>
      </c>
      <c r="C403" s="118">
        <f>INDIRECT("'Закуп'!A" &amp; B403)</f>
        <v/>
      </c>
      <c r="D403" s="119">
        <f>C403*1.2</f>
        <v/>
      </c>
      <c r="G403" s="172">
        <f>IF(INDIRECT("'Закуп'!L" &amp; B403)="Sale","Sale","")</f>
        <v/>
      </c>
      <c r="H403" s="158">
        <f>IF(INDIRECT("'Закуп'!F" &amp; B403)=0,"",INDIRECT("'Закуп'!F" &amp; B403))</f>
        <v/>
      </c>
      <c r="I403" s="120" t="n">
        <v>100</v>
      </c>
      <c r="J403" s="121">
        <f>K403/1.2</f>
        <v/>
      </c>
      <c r="K403" s="70" t="n">
        <v>1.23</v>
      </c>
      <c r="L403" s="122">
        <f>J403-C403-(J403-C403)*0.2</f>
        <v/>
      </c>
      <c r="M403" s="123">
        <f>L403*I403</f>
        <v/>
      </c>
      <c r="N403" s="124" t="inlineStr">
        <is>
          <t xml:space="preserve">100-290 шт - </t>
        </is>
      </c>
      <c r="O403" s="47" t="inlineStr">
        <is>
          <t xml:space="preserve"> руб / шт с НДС</t>
        </is>
      </c>
      <c r="P403" s="125">
        <f>ROUND(K403,2)</f>
        <v/>
      </c>
      <c r="Q403" s="207">
        <f>CONCATENATE(N403,P403,O403,)</f>
        <v/>
      </c>
      <c r="R403" s="240" t="n"/>
      <c r="T403" s="241" t="n"/>
      <c r="U403" s="240" t="n"/>
      <c r="V403" s="241" t="n"/>
      <c r="Z403" s="240" t="n"/>
      <c r="AB403" s="241" t="n"/>
      <c r="AC403" s="240" t="n"/>
      <c r="AD403" s="241" t="n"/>
    </row>
    <row r="404">
      <c r="B404" s="42" t="n">
        <v>82</v>
      </c>
      <c r="C404" s="118">
        <f>INDIRECT("'Закуп'!A" &amp; B404)</f>
        <v/>
      </c>
      <c r="D404" s="119">
        <f>C404*1.2</f>
        <v/>
      </c>
      <c r="G404" s="172">
        <f>IF(INDIRECT("'Закуп'!L" &amp; B404)="Sale","Sale","")</f>
        <v/>
      </c>
      <c r="H404" s="158">
        <f>IF(INDIRECT("'Закуп'!F" &amp; B404)=0,"",INDIRECT("'Закуп'!F" &amp; B404))</f>
        <v/>
      </c>
      <c r="I404" s="120" t="n">
        <v>300</v>
      </c>
      <c r="J404" s="121">
        <f>K404/1.2</f>
        <v/>
      </c>
      <c r="K404" s="70" t="n">
        <v>1.05</v>
      </c>
      <c r="L404" s="122">
        <f>J404-C404-(J404-C404)*0.2</f>
        <v/>
      </c>
      <c r="M404" s="123">
        <f>L404*I404</f>
        <v/>
      </c>
      <c r="N404" s="124" t="inlineStr">
        <is>
          <t xml:space="preserve">300-490 шт - </t>
        </is>
      </c>
      <c r="O404" s="47" t="inlineStr">
        <is>
          <t xml:space="preserve"> руб / шт с НДС</t>
        </is>
      </c>
      <c r="P404" s="125">
        <f>ROUND(K404,2)</f>
        <v/>
      </c>
      <c r="Q404" s="207">
        <f>CONCATENATE(N404,P404,O404,)</f>
        <v/>
      </c>
      <c r="R404" s="240" t="n"/>
      <c r="T404" s="241" t="n"/>
      <c r="U404" s="240" t="n"/>
      <c r="V404" s="241" t="n"/>
      <c r="Z404" s="240" t="n"/>
      <c r="AB404" s="241" t="n"/>
      <c r="AC404" s="240" t="n"/>
      <c r="AD404" s="241" t="n"/>
    </row>
    <row r="405">
      <c r="B405" s="42" t="n">
        <v>82</v>
      </c>
      <c r="C405" s="118">
        <f>INDIRECT("'Закуп'!A" &amp; B405)</f>
        <v/>
      </c>
      <c r="D405" s="119">
        <f>C405*1.2</f>
        <v/>
      </c>
      <c r="G405" s="172">
        <f>IF(INDIRECT("'Закуп'!L" &amp; B405)="Sale","Sale","")</f>
        <v/>
      </c>
      <c r="H405" s="158">
        <f>IF(INDIRECT("'Закуп'!F" &amp; B405)=0,"",INDIRECT("'Закуп'!F" &amp; B405))</f>
        <v/>
      </c>
      <c r="I405" s="120" t="n">
        <v>500</v>
      </c>
      <c r="J405" s="121">
        <f>K405/1.2</f>
        <v/>
      </c>
      <c r="K405" s="70" t="n">
        <v>0.98</v>
      </c>
      <c r="L405" s="122">
        <f>J405-C405-(J405-C405)*0.2</f>
        <v/>
      </c>
      <c r="M405" s="123">
        <f>L405*I405</f>
        <v/>
      </c>
      <c r="N405" s="124" t="inlineStr">
        <is>
          <t xml:space="preserve">500-990 шт - </t>
        </is>
      </c>
      <c r="O405" s="47" t="inlineStr">
        <is>
          <t xml:space="preserve"> руб / шт с НДС</t>
        </is>
      </c>
      <c r="P405" s="125">
        <f>ROUND(K405,2)</f>
        <v/>
      </c>
      <c r="Q405" s="207">
        <f>CONCATENATE(N405,P405,O405,)</f>
        <v/>
      </c>
      <c r="R405" s="240" t="n"/>
      <c r="T405" s="241" t="n"/>
      <c r="U405" s="240" t="n"/>
      <c r="V405" s="241" t="n"/>
      <c r="Z405" s="240" t="n"/>
      <c r="AB405" s="241" t="n"/>
      <c r="AC405" s="240" t="n"/>
      <c r="AD405" s="241" t="n"/>
    </row>
    <row r="406">
      <c r="B406" s="42" t="n">
        <v>82</v>
      </c>
      <c r="C406" s="118">
        <f>INDIRECT("'Закуп'!A" &amp; B406)</f>
        <v/>
      </c>
      <c r="D406" s="119">
        <f>C406*1.2</f>
        <v/>
      </c>
      <c r="G406" s="172">
        <f>IF(INDIRECT("'Закуп'!L" &amp; B406)="Sale","Sale","")</f>
        <v/>
      </c>
      <c r="H406" s="158">
        <f>IF(INDIRECT("'Закуп'!F" &amp; B406)=0,"",INDIRECT("'Закуп'!F" &amp; B406))</f>
        <v/>
      </c>
      <c r="I406" s="120" t="n">
        <v>1000</v>
      </c>
      <c r="J406" s="121">
        <f>K406/1.2</f>
        <v/>
      </c>
      <c r="K406" s="70" t="n">
        <v>0.92</v>
      </c>
      <c r="L406" s="122">
        <f>J406-C406-(J406-C406)*0.2</f>
        <v/>
      </c>
      <c r="M406" s="123">
        <f>L406*I406</f>
        <v/>
      </c>
      <c r="N406" s="124" t="inlineStr">
        <is>
          <t xml:space="preserve">1000 + шт - </t>
        </is>
      </c>
      <c r="O406" s="47" t="inlineStr">
        <is>
          <t xml:space="preserve"> руб / шт с НДС</t>
        </is>
      </c>
      <c r="P406" s="125">
        <f>ROUND(K406,2)</f>
        <v/>
      </c>
      <c r="Q406" s="207">
        <f>CONCATENATE(N406,P406,O406,)</f>
        <v/>
      </c>
      <c r="R406" s="240" t="n"/>
      <c r="T406" s="241" t="n"/>
      <c r="U406" s="240" t="n"/>
      <c r="V406" s="241" t="n"/>
      <c r="Z406" s="240" t="n"/>
      <c r="AB406" s="241" t="n"/>
      <c r="AC406" s="240" t="n"/>
      <c r="AD406" s="241" t="n"/>
    </row>
    <row r="407">
      <c r="A407" s="232" t="n">
        <v>83</v>
      </c>
      <c r="B407" s="42" t="n">
        <v>83</v>
      </c>
      <c r="C407" s="118">
        <f>INDIRECT("'Закуп'!A" &amp; B407)</f>
        <v/>
      </c>
      <c r="D407" s="119">
        <f>C407*1.2</f>
        <v/>
      </c>
      <c r="E407" s="224">
        <f>INDIRECT("'Закуп'!D" &amp; A407)</f>
        <v/>
      </c>
      <c r="F407" s="231">
        <f>INDIRECT("'Закуп'!E" &amp; B407)</f>
        <v/>
      </c>
      <c r="G407" s="172">
        <f>IF(INDIRECT("'Закуп'!L" &amp; B407)="Sale","Sale","")</f>
        <v/>
      </c>
      <c r="H407" s="158">
        <f>IF(INDIRECT("'Закуп'!F" &amp; B407)=0,"",INDIRECT("'Закуп'!F" &amp; B407))</f>
        <v/>
      </c>
      <c r="I407" s="120" t="n">
        <v>50</v>
      </c>
      <c r="J407" s="121">
        <f>K407/1.2</f>
        <v/>
      </c>
      <c r="K407" s="70" t="n">
        <v>1.41</v>
      </c>
      <c r="L407" s="122">
        <f>J407-C407-(J407-C407)*0.2</f>
        <v/>
      </c>
      <c r="M407" s="123">
        <f>L407*I407</f>
        <v/>
      </c>
      <c r="N407" s="124" t="inlineStr">
        <is>
          <t xml:space="preserve">50-90 шт - </t>
        </is>
      </c>
      <c r="O407" s="47" t="inlineStr">
        <is>
          <t xml:space="preserve"> руб / шт с НДС</t>
        </is>
      </c>
      <c r="P407" s="125">
        <f>ROUND(K407,2)</f>
        <v/>
      </c>
      <c r="Q407" s="207">
        <f>CONCATENATE(N407,P407,O407,)</f>
        <v/>
      </c>
      <c r="R407" s="235">
        <f>INDIRECT("'Закуп'!k" &amp; A407)</f>
        <v/>
      </c>
      <c r="S407" s="239">
        <f>INDIRECT("'Закуп'!o" &amp; A407)</f>
        <v/>
      </c>
      <c r="T407" s="226">
        <f>INDIRECT("'Закуп'!p" &amp; A407)</f>
        <v/>
      </c>
      <c r="U407" s="235">
        <f>INDIRECT("'Закуп'!v" &amp; A407)</f>
        <v/>
      </c>
      <c r="V407" s="222">
        <f>INDIRECT("'Закуп'!w" &amp; A407)</f>
        <v/>
      </c>
      <c r="W407" s="229">
        <f>INDIRECT("'Закуп'!H" &amp; A407)</f>
        <v/>
      </c>
      <c r="X407" s="237">
        <f>INDIRECT("'Закуп'!g" &amp; A407)</f>
        <v/>
      </c>
      <c r="Y407" s="229">
        <f>INDIRECT("'Закуп'!i" &amp; A407)</f>
        <v/>
      </c>
      <c r="Z407" s="236">
        <f>INDIRECT("'Закуп'!x" &amp; A407)</f>
        <v/>
      </c>
      <c r="AA407" s="237">
        <f>INDIRECT("'Закуп'!y" &amp; A407)</f>
        <v/>
      </c>
      <c r="AB407" s="238">
        <f>INDIRECT("'Закуп'!z" &amp; A407)</f>
        <v/>
      </c>
      <c r="AC407" s="223">
        <f>SUBSTITUTE(INDEX(F:F, ROUNDUP((ROW(A406))/5,0)*5 - 3), "х", "x")</f>
        <v/>
      </c>
      <c r="AD407" s="222">
        <f>SUBSTITUTE(INDEX(F:F, ROUNDUP((ROW(A406))/5,0)*5 - 3), "х", "x") &amp; " - " &amp; SUBSTITUTE(SUBSTITUTE(INDEX(F:F, ROUNDUP((ROW(A406))/5,0)*5 - 3), "х", "*"), "x", "*") &amp; " мм"</f>
        <v/>
      </c>
    </row>
    <row r="408">
      <c r="B408" s="42" t="n">
        <v>83</v>
      </c>
      <c r="C408" s="118">
        <f>INDIRECT("'Закуп'!A" &amp; B408)</f>
        <v/>
      </c>
      <c r="D408" s="119">
        <f>C408*1.2</f>
        <v/>
      </c>
      <c r="G408" s="172">
        <f>IF(INDIRECT("'Закуп'!L" &amp; B408)="Sale","Sale","")</f>
        <v/>
      </c>
      <c r="H408" s="158">
        <f>IF(INDIRECT("'Закуп'!F" &amp; B408)=0,"",INDIRECT("'Закуп'!F" &amp; B408))</f>
        <v/>
      </c>
      <c r="I408" s="120" t="n">
        <v>100</v>
      </c>
      <c r="J408" s="121">
        <f>K408/1.2</f>
        <v/>
      </c>
      <c r="K408" s="70" t="n">
        <v>1.23</v>
      </c>
      <c r="L408" s="122">
        <f>J408-C408-(J408-C408)*0.2</f>
        <v/>
      </c>
      <c r="M408" s="123">
        <f>L408*I408</f>
        <v/>
      </c>
      <c r="N408" s="124" t="inlineStr">
        <is>
          <t xml:space="preserve">100-290 шт - </t>
        </is>
      </c>
      <c r="O408" s="47" t="inlineStr">
        <is>
          <t xml:space="preserve"> руб / шт с НДС</t>
        </is>
      </c>
      <c r="P408" s="125">
        <f>ROUND(K408,2)</f>
        <v/>
      </c>
      <c r="Q408" s="207">
        <f>CONCATENATE(N408,P408,O408,)</f>
        <v/>
      </c>
      <c r="R408" s="240" t="n"/>
      <c r="T408" s="241" t="n"/>
      <c r="U408" s="240" t="n"/>
      <c r="V408" s="241" t="n"/>
      <c r="Z408" s="240" t="n"/>
      <c r="AB408" s="241" t="n"/>
      <c r="AC408" s="240" t="n"/>
      <c r="AD408" s="241" t="n"/>
    </row>
    <row r="409">
      <c r="B409" s="42" t="n">
        <v>83</v>
      </c>
      <c r="C409" s="118">
        <f>INDIRECT("'Закуп'!A" &amp; B409)</f>
        <v/>
      </c>
      <c r="D409" s="119">
        <f>C409*1.2</f>
        <v/>
      </c>
      <c r="G409" s="172">
        <f>IF(INDIRECT("'Закуп'!L" &amp; B409)="Sale","Sale","")</f>
        <v/>
      </c>
      <c r="H409" s="158">
        <f>IF(INDIRECT("'Закуп'!F" &amp; B409)=0,"",INDIRECT("'Закуп'!F" &amp; B409))</f>
        <v/>
      </c>
      <c r="I409" s="120" t="n">
        <v>300</v>
      </c>
      <c r="J409" s="121">
        <f>K409/1.2</f>
        <v/>
      </c>
      <c r="K409" s="70" t="n">
        <v>1.05</v>
      </c>
      <c r="L409" s="122">
        <f>J409-C409-(J409-C409)*0.2</f>
        <v/>
      </c>
      <c r="M409" s="123">
        <f>L409*I409</f>
        <v/>
      </c>
      <c r="N409" s="124" t="inlineStr">
        <is>
          <t xml:space="preserve">300-490 шт - </t>
        </is>
      </c>
      <c r="O409" s="47" t="inlineStr">
        <is>
          <t xml:space="preserve"> руб / шт с НДС</t>
        </is>
      </c>
      <c r="P409" s="125">
        <f>ROUND(K409,2)</f>
        <v/>
      </c>
      <c r="Q409" s="207">
        <f>CONCATENATE(N409,P409,O409,)</f>
        <v/>
      </c>
      <c r="R409" s="240" t="n"/>
      <c r="T409" s="241" t="n"/>
      <c r="U409" s="240" t="n"/>
      <c r="V409" s="241" t="n"/>
      <c r="Z409" s="240" t="n"/>
      <c r="AB409" s="241" t="n"/>
      <c r="AC409" s="240" t="n"/>
      <c r="AD409" s="241" t="n"/>
    </row>
    <row r="410">
      <c r="B410" s="42" t="n">
        <v>83</v>
      </c>
      <c r="C410" s="118">
        <f>INDIRECT("'Закуп'!A" &amp; B410)</f>
        <v/>
      </c>
      <c r="D410" s="119">
        <f>C410*1.2</f>
        <v/>
      </c>
      <c r="G410" s="172">
        <f>IF(INDIRECT("'Закуп'!L" &amp; B410)="Sale","Sale","")</f>
        <v/>
      </c>
      <c r="H410" s="158">
        <f>IF(INDIRECT("'Закуп'!F" &amp; B410)=0,"",INDIRECT("'Закуп'!F" &amp; B410))</f>
        <v/>
      </c>
      <c r="I410" s="120" t="n">
        <v>500</v>
      </c>
      <c r="J410" s="121">
        <f>K410/1.2</f>
        <v/>
      </c>
      <c r="K410" s="70" t="n">
        <v>0.98</v>
      </c>
      <c r="L410" s="122">
        <f>J410-C410-(J410-C410)*0.2</f>
        <v/>
      </c>
      <c r="M410" s="123">
        <f>L410*I410</f>
        <v/>
      </c>
      <c r="N410" s="124" t="inlineStr">
        <is>
          <t xml:space="preserve">500-990 шт - </t>
        </is>
      </c>
      <c r="O410" s="47" t="inlineStr">
        <is>
          <t xml:space="preserve"> руб / шт с НДС</t>
        </is>
      </c>
      <c r="P410" s="125">
        <f>ROUND(K410,2)</f>
        <v/>
      </c>
      <c r="Q410" s="207">
        <f>CONCATENATE(N410,P410,O410,)</f>
        <v/>
      </c>
      <c r="R410" s="240" t="n"/>
      <c r="T410" s="241" t="n"/>
      <c r="U410" s="240" t="n"/>
      <c r="V410" s="241" t="n"/>
      <c r="Z410" s="240" t="n"/>
      <c r="AB410" s="241" t="n"/>
      <c r="AC410" s="240" t="n"/>
      <c r="AD410" s="241" t="n"/>
    </row>
    <row r="411">
      <c r="B411" s="42" t="n">
        <v>83</v>
      </c>
      <c r="C411" s="118">
        <f>INDIRECT("'Закуп'!A" &amp; B411)</f>
        <v/>
      </c>
      <c r="D411" s="119">
        <f>C411*1.2</f>
        <v/>
      </c>
      <c r="G411" s="172">
        <f>IF(INDIRECT("'Закуп'!L" &amp; B411)="Sale","Sale","")</f>
        <v/>
      </c>
      <c r="H411" s="158">
        <f>IF(INDIRECT("'Закуп'!F" &amp; B411)=0,"",INDIRECT("'Закуп'!F" &amp; B411))</f>
        <v/>
      </c>
      <c r="I411" s="120" t="n">
        <v>1000</v>
      </c>
      <c r="J411" s="121">
        <f>K411/1.2</f>
        <v/>
      </c>
      <c r="K411" s="70" t="n">
        <v>0.92</v>
      </c>
      <c r="L411" s="122">
        <f>J411-C411-(J411-C411)*0.2</f>
        <v/>
      </c>
      <c r="M411" s="123">
        <f>L411*I411</f>
        <v/>
      </c>
      <c r="N411" s="124" t="inlineStr">
        <is>
          <t xml:space="preserve">1000 + шт - </t>
        </is>
      </c>
      <c r="O411" s="47" t="inlineStr">
        <is>
          <t xml:space="preserve"> руб / шт с НДС</t>
        </is>
      </c>
      <c r="P411" s="125">
        <f>ROUND(K411,2)</f>
        <v/>
      </c>
      <c r="Q411" s="207">
        <f>CONCATENATE(N411,P411,O411,)</f>
        <v/>
      </c>
      <c r="R411" s="240" t="n"/>
      <c r="T411" s="241" t="n"/>
      <c r="U411" s="240" t="n"/>
      <c r="V411" s="241" t="n"/>
      <c r="Z411" s="240" t="n"/>
      <c r="AB411" s="241" t="n"/>
      <c r="AC411" s="240" t="n"/>
      <c r="AD411" s="241" t="n"/>
    </row>
    <row r="412">
      <c r="A412" s="232" t="n">
        <v>84</v>
      </c>
      <c r="B412" s="42" t="n">
        <v>84</v>
      </c>
      <c r="C412" s="118">
        <f>INDIRECT("'Закуп'!A" &amp; B412)</f>
        <v/>
      </c>
      <c r="D412" s="119">
        <f>C412*1.2</f>
        <v/>
      </c>
      <c r="E412" s="224">
        <f>INDIRECT("'Закуп'!D" &amp; A412)</f>
        <v/>
      </c>
      <c r="F412" s="231">
        <f>INDIRECT("'Закуп'!E" &amp; B412)</f>
        <v/>
      </c>
      <c r="G412" s="172">
        <f>IF(INDIRECT("'Закуп'!L" &amp; B412)="Sale","Sale","")</f>
        <v/>
      </c>
      <c r="H412" s="158">
        <f>IF(INDIRECT("'Закуп'!F" &amp; B412)=0,"",INDIRECT("'Закуп'!F" &amp; B412))</f>
        <v/>
      </c>
      <c r="I412" s="120" t="n">
        <v>50</v>
      </c>
      <c r="J412" s="121">
        <f>K412/1.2</f>
        <v/>
      </c>
      <c r="K412" s="70" t="n">
        <v>0.96</v>
      </c>
      <c r="L412" s="122">
        <f>J412-C412-(J412-C412)*0.2</f>
        <v/>
      </c>
      <c r="M412" s="123">
        <f>L412*I412</f>
        <v/>
      </c>
      <c r="N412" s="124" t="inlineStr">
        <is>
          <t xml:space="preserve">50-90 шт - </t>
        </is>
      </c>
      <c r="O412" s="47" t="inlineStr">
        <is>
          <t xml:space="preserve"> руб / шт с НДС</t>
        </is>
      </c>
      <c r="P412" s="125">
        <f>ROUND(K412,2)</f>
        <v/>
      </c>
      <c r="Q412" s="207">
        <f>CONCATENATE(N412,P412,O412,)</f>
        <v/>
      </c>
      <c r="R412" s="235">
        <f>INDIRECT("'Закуп'!k" &amp; A412)</f>
        <v/>
      </c>
      <c r="S412" s="239">
        <f>INDIRECT("'Закуп'!o" &amp; A412)</f>
        <v/>
      </c>
      <c r="T412" s="226">
        <f>INDIRECT("'Закуп'!p" &amp; A412)</f>
        <v/>
      </c>
      <c r="U412" s="235">
        <f>INDIRECT("'Закуп'!v" &amp; A412)</f>
        <v/>
      </c>
      <c r="V412" s="222">
        <f>INDIRECT("'Закуп'!w" &amp; A412)</f>
        <v/>
      </c>
      <c r="W412" s="229">
        <f>INDIRECT("'Закуп'!H" &amp; A412)</f>
        <v/>
      </c>
      <c r="X412" s="237">
        <f>INDIRECT("'Закуп'!g" &amp; A412)</f>
        <v/>
      </c>
      <c r="Y412" s="229">
        <f>INDIRECT("'Закуп'!i" &amp; A412)</f>
        <v/>
      </c>
      <c r="Z412" s="236">
        <f>INDIRECT("'Закуп'!x" &amp; A412)</f>
        <v/>
      </c>
      <c r="AA412" s="237">
        <f>INDIRECT("'Закуп'!y" &amp; A412)</f>
        <v/>
      </c>
      <c r="AB412" s="238">
        <f>INDIRECT("'Закуп'!z" &amp; A412)</f>
        <v/>
      </c>
      <c r="AC412" s="223">
        <f>SUBSTITUTE(INDEX(F:F, ROUNDUP((ROW(A411))/5,0)*5 - 3), "х", "x")</f>
        <v/>
      </c>
      <c r="AD412" s="222">
        <f>SUBSTITUTE(INDEX(F:F, ROUNDUP((ROW(A411))/5,0)*5 - 3), "х", "x") &amp; " - " &amp; SUBSTITUTE(SUBSTITUTE(INDEX(F:F, ROUNDUP((ROW(A411))/5,0)*5 - 3), "х", "*"), "x", "*") &amp; " мм"</f>
        <v/>
      </c>
    </row>
    <row r="413">
      <c r="B413" s="42" t="n">
        <v>84</v>
      </c>
      <c r="C413" s="118">
        <f>INDIRECT("'Закуп'!A" &amp; B413)</f>
        <v/>
      </c>
      <c r="D413" s="119">
        <f>C413*1.2</f>
        <v/>
      </c>
      <c r="G413" s="172">
        <f>IF(INDIRECT("'Закуп'!L" &amp; B413)="Sale","Sale","")</f>
        <v/>
      </c>
      <c r="H413" s="158">
        <f>IF(INDIRECT("'Закуп'!F" &amp; B413)=0,"",INDIRECT("'Закуп'!F" &amp; B413))</f>
        <v/>
      </c>
      <c r="I413" s="120" t="n">
        <v>100</v>
      </c>
      <c r="J413" s="121">
        <f>K413/1.2</f>
        <v/>
      </c>
      <c r="K413" s="70" t="n">
        <v>0.86</v>
      </c>
      <c r="L413" s="122">
        <f>J413-C413-(J413-C413)*0.2</f>
        <v/>
      </c>
      <c r="M413" s="123">
        <f>L413*I413</f>
        <v/>
      </c>
      <c r="N413" s="124" t="inlineStr">
        <is>
          <t xml:space="preserve">100-290 шт - </t>
        </is>
      </c>
      <c r="O413" s="47" t="inlineStr">
        <is>
          <t xml:space="preserve"> руб / шт с НДС</t>
        </is>
      </c>
      <c r="P413" s="125">
        <f>ROUND(K413,2)</f>
        <v/>
      </c>
      <c r="Q413" s="207">
        <f>CONCATENATE(N413,P413,O413,)</f>
        <v/>
      </c>
      <c r="R413" s="240" t="n"/>
      <c r="T413" s="241" t="n"/>
      <c r="U413" s="240" t="n"/>
      <c r="V413" s="241" t="n"/>
      <c r="Z413" s="240" t="n"/>
      <c r="AB413" s="241" t="n"/>
      <c r="AC413" s="240" t="n"/>
      <c r="AD413" s="241" t="n"/>
    </row>
    <row r="414">
      <c r="B414" s="42" t="n">
        <v>84</v>
      </c>
      <c r="C414" s="118">
        <f>INDIRECT("'Закуп'!A" &amp; B414)</f>
        <v/>
      </c>
      <c r="D414" s="119">
        <f>C414*1.2</f>
        <v/>
      </c>
      <c r="G414" s="172">
        <f>IF(INDIRECT("'Закуп'!L" &amp; B414)="Sale","Sale","")</f>
        <v/>
      </c>
      <c r="H414" s="158">
        <f>IF(INDIRECT("'Закуп'!F" &amp; B414)=0,"",INDIRECT("'Закуп'!F" &amp; B414))</f>
        <v/>
      </c>
      <c r="I414" s="120" t="n">
        <v>300</v>
      </c>
      <c r="J414" s="121">
        <f>K414/1.2</f>
        <v/>
      </c>
      <c r="K414" s="70" t="n">
        <v>0.75</v>
      </c>
      <c r="L414" s="122">
        <f>J414-C414-(J414-C414)*0.2</f>
        <v/>
      </c>
      <c r="M414" s="123">
        <f>L414*I414</f>
        <v/>
      </c>
      <c r="N414" s="124" t="inlineStr">
        <is>
          <t xml:space="preserve">300-490 шт - </t>
        </is>
      </c>
      <c r="O414" s="47" t="inlineStr">
        <is>
          <t xml:space="preserve"> руб / шт с НДС</t>
        </is>
      </c>
      <c r="P414" s="125">
        <f>ROUND(K414,2)</f>
        <v/>
      </c>
      <c r="Q414" s="207">
        <f>CONCATENATE(N414,P414,O414,)</f>
        <v/>
      </c>
      <c r="R414" s="240" t="n"/>
      <c r="T414" s="241" t="n"/>
      <c r="U414" s="240" t="n"/>
      <c r="V414" s="241" t="n"/>
      <c r="Z414" s="240" t="n"/>
      <c r="AB414" s="241" t="n"/>
      <c r="AC414" s="240" t="n"/>
      <c r="AD414" s="241" t="n"/>
    </row>
    <row r="415">
      <c r="B415" s="42" t="n">
        <v>84</v>
      </c>
      <c r="C415" s="118">
        <f>INDIRECT("'Закуп'!A" &amp; B415)</f>
        <v/>
      </c>
      <c r="D415" s="119">
        <f>C415*1.2</f>
        <v/>
      </c>
      <c r="G415" s="172">
        <f>IF(INDIRECT("'Закуп'!L" &amp; B415)="Sale","Sale","")</f>
        <v/>
      </c>
      <c r="H415" s="158">
        <f>IF(INDIRECT("'Закуп'!F" &amp; B415)=0,"",INDIRECT("'Закуп'!F" &amp; B415))</f>
        <v/>
      </c>
      <c r="I415" s="120" t="n">
        <v>500</v>
      </c>
      <c r="J415" s="121">
        <f>K415/1.2</f>
        <v/>
      </c>
      <c r="K415" s="70" t="n">
        <v>0.64</v>
      </c>
      <c r="L415" s="122">
        <f>J415-C415-(J415-C415)*0.2</f>
        <v/>
      </c>
      <c r="M415" s="123">
        <f>L415*I415</f>
        <v/>
      </c>
      <c r="N415" s="124" t="inlineStr">
        <is>
          <t xml:space="preserve">500-990 шт - </t>
        </is>
      </c>
      <c r="O415" s="47" t="inlineStr">
        <is>
          <t xml:space="preserve"> руб / шт с НДС</t>
        </is>
      </c>
      <c r="P415" s="125">
        <f>ROUND(K415,2)</f>
        <v/>
      </c>
      <c r="Q415" s="207">
        <f>CONCATENATE(N415,P415,O415,)</f>
        <v/>
      </c>
      <c r="R415" s="240" t="n"/>
      <c r="T415" s="241" t="n"/>
      <c r="U415" s="240" t="n"/>
      <c r="V415" s="241" t="n"/>
      <c r="Z415" s="240" t="n"/>
      <c r="AB415" s="241" t="n"/>
      <c r="AC415" s="240" t="n"/>
      <c r="AD415" s="241" t="n"/>
    </row>
    <row r="416">
      <c r="B416" s="42" t="n">
        <v>84</v>
      </c>
      <c r="C416" s="118">
        <f>INDIRECT("'Закуп'!A" &amp; B416)</f>
        <v/>
      </c>
      <c r="D416" s="119">
        <f>C416*1.2</f>
        <v/>
      </c>
      <c r="G416" s="172">
        <f>IF(INDIRECT("'Закуп'!L" &amp; B416)="Sale","Sale","")</f>
        <v/>
      </c>
      <c r="H416" s="158">
        <f>IF(INDIRECT("'Закуп'!F" &amp; B416)=0,"",INDIRECT("'Закуп'!F" &amp; B416))</f>
        <v/>
      </c>
      <c r="I416" s="120" t="n">
        <v>1000</v>
      </c>
      <c r="J416" s="121">
        <f>K416/1.2</f>
        <v/>
      </c>
      <c r="K416" s="70" t="n">
        <v>0.54</v>
      </c>
      <c r="L416" s="122">
        <f>J416-C416-(J416-C416)*0.2</f>
        <v/>
      </c>
      <c r="M416" s="123">
        <f>L416*I416</f>
        <v/>
      </c>
      <c r="N416" s="124" t="inlineStr">
        <is>
          <t xml:space="preserve">1000 + шт - </t>
        </is>
      </c>
      <c r="O416" s="47" t="inlineStr">
        <is>
          <t xml:space="preserve"> руб / шт с НДС</t>
        </is>
      </c>
      <c r="P416" s="125">
        <f>ROUND(K416,2)</f>
        <v/>
      </c>
      <c r="Q416" s="207">
        <f>CONCATENATE(N416,P416,O416,)</f>
        <v/>
      </c>
      <c r="R416" s="240" t="n"/>
      <c r="T416" s="241" t="n"/>
      <c r="U416" s="240" t="n"/>
      <c r="V416" s="241" t="n"/>
      <c r="Z416" s="240" t="n"/>
      <c r="AB416" s="241" t="n"/>
      <c r="AC416" s="240" t="n"/>
      <c r="AD416" s="241" t="n"/>
    </row>
    <row r="417">
      <c r="A417" s="232" t="n">
        <v>85</v>
      </c>
      <c r="B417" s="42" t="n">
        <v>85</v>
      </c>
      <c r="C417" s="118">
        <f>INDIRECT("'Закуп'!A" &amp; B417)</f>
        <v/>
      </c>
      <c r="D417" s="119">
        <f>C417*1.2</f>
        <v/>
      </c>
      <c r="E417" s="224">
        <f>INDIRECT("'Закуп'!D" &amp; A417)</f>
        <v/>
      </c>
      <c r="F417" s="231">
        <f>INDIRECT("'Закуп'!E" &amp; B417)</f>
        <v/>
      </c>
      <c r="G417" s="172">
        <f>IF(INDIRECT("'Закуп'!L" &amp; B417)="Sale","Sale","")</f>
        <v/>
      </c>
      <c r="H417" s="158">
        <f>IF(INDIRECT("'Закуп'!F" &amp; B417)=0,"",INDIRECT("'Закуп'!F" &amp; B417))</f>
        <v/>
      </c>
      <c r="I417" s="120" t="n">
        <v>50</v>
      </c>
      <c r="J417" s="121">
        <f>K417/1.2</f>
        <v/>
      </c>
      <c r="K417" s="70" t="n">
        <v>0.96</v>
      </c>
      <c r="L417" s="122">
        <f>J417-C417-(J417-C417)*0.2</f>
        <v/>
      </c>
      <c r="M417" s="123">
        <f>L417*I417</f>
        <v/>
      </c>
      <c r="N417" s="124" t="inlineStr">
        <is>
          <t xml:space="preserve">50-90 шт - </t>
        </is>
      </c>
      <c r="O417" s="47" t="inlineStr">
        <is>
          <t xml:space="preserve"> руб / шт с НДС</t>
        </is>
      </c>
      <c r="P417" s="125">
        <f>ROUND(K417,2)</f>
        <v/>
      </c>
      <c r="Q417" s="207">
        <f>CONCATENATE(N417,P417,O417,)</f>
        <v/>
      </c>
      <c r="R417" s="235">
        <f>INDIRECT("'Закуп'!k" &amp; A417)</f>
        <v/>
      </c>
      <c r="S417" s="239">
        <f>INDIRECT("'Закуп'!o" &amp; A417)</f>
        <v/>
      </c>
      <c r="T417" s="226">
        <f>INDIRECT("'Закуп'!p" &amp; A417)</f>
        <v/>
      </c>
      <c r="U417" s="235">
        <f>INDIRECT("'Закуп'!v" &amp; A417)</f>
        <v/>
      </c>
      <c r="V417" s="222">
        <f>INDIRECT("'Закуп'!w" &amp; A417)</f>
        <v/>
      </c>
      <c r="W417" s="229">
        <f>INDIRECT("'Закуп'!H" &amp; A417)</f>
        <v/>
      </c>
      <c r="X417" s="237">
        <f>INDIRECT("'Закуп'!g" &amp; A417)</f>
        <v/>
      </c>
      <c r="Y417" s="229">
        <f>INDIRECT("'Закуп'!i" &amp; A417)</f>
        <v/>
      </c>
      <c r="Z417" s="236">
        <f>INDIRECT("'Закуп'!x" &amp; A417)</f>
        <v/>
      </c>
      <c r="AA417" s="237">
        <f>INDIRECT("'Закуп'!y" &amp; A417)</f>
        <v/>
      </c>
      <c r="AB417" s="238">
        <f>INDIRECT("'Закуп'!z" &amp; A417)</f>
        <v/>
      </c>
      <c r="AC417" s="223">
        <f>SUBSTITUTE(INDEX(F:F, ROUNDUP((ROW(A416))/5,0)*5 - 3), "х", "x")</f>
        <v/>
      </c>
      <c r="AD417" s="222">
        <f>SUBSTITUTE(INDEX(F:F, ROUNDUP((ROW(A416))/5,0)*5 - 3), "х", "x") &amp; " - " &amp; SUBSTITUTE(SUBSTITUTE(INDEX(F:F, ROUNDUP((ROW(A416))/5,0)*5 - 3), "х", "*"), "x", "*") &amp; " мм"</f>
        <v/>
      </c>
    </row>
    <row r="418">
      <c r="B418" s="42" t="n">
        <v>85</v>
      </c>
      <c r="C418" s="118">
        <f>INDIRECT("'Закуп'!A" &amp; B418)</f>
        <v/>
      </c>
      <c r="D418" s="119">
        <f>C418*1.2</f>
        <v/>
      </c>
      <c r="G418" s="172">
        <f>IF(INDIRECT("'Закуп'!L" &amp; B418)="Sale","Sale","")</f>
        <v/>
      </c>
      <c r="H418" s="158">
        <f>IF(INDIRECT("'Закуп'!F" &amp; B418)=0,"",INDIRECT("'Закуп'!F" &amp; B418))</f>
        <v/>
      </c>
      <c r="I418" s="120" t="n">
        <v>100</v>
      </c>
      <c r="J418" s="121">
        <f>K418/1.2</f>
        <v/>
      </c>
      <c r="K418" s="70" t="n">
        <v>0.83</v>
      </c>
      <c r="L418" s="122">
        <f>J418-C418-(J418-C418)*0.2</f>
        <v/>
      </c>
      <c r="M418" s="123">
        <f>L418*I418</f>
        <v/>
      </c>
      <c r="N418" s="124" t="inlineStr">
        <is>
          <t xml:space="preserve">100-290 шт - </t>
        </is>
      </c>
      <c r="O418" s="47" t="inlineStr">
        <is>
          <t xml:space="preserve"> руб / шт с НДС</t>
        </is>
      </c>
      <c r="P418" s="125">
        <f>ROUND(K418,2)</f>
        <v/>
      </c>
      <c r="Q418" s="207">
        <f>CONCATENATE(N418,P418,O418,)</f>
        <v/>
      </c>
      <c r="R418" s="240" t="n"/>
      <c r="T418" s="241" t="n"/>
      <c r="U418" s="240" t="n"/>
      <c r="V418" s="241" t="n"/>
      <c r="Z418" s="240" t="n"/>
      <c r="AB418" s="241" t="n"/>
      <c r="AC418" s="240" t="n"/>
      <c r="AD418" s="241" t="n"/>
    </row>
    <row r="419">
      <c r="B419" s="42" t="n">
        <v>85</v>
      </c>
      <c r="C419" s="118">
        <f>INDIRECT("'Закуп'!A" &amp; B419)</f>
        <v/>
      </c>
      <c r="D419" s="119">
        <f>C419*1.2</f>
        <v/>
      </c>
      <c r="G419" s="172">
        <f>IF(INDIRECT("'Закуп'!L" &amp; B419)="Sale","Sale","")</f>
        <v/>
      </c>
      <c r="H419" s="158">
        <f>IF(INDIRECT("'Закуп'!F" &amp; B419)=0,"",INDIRECT("'Закуп'!F" &amp; B419))</f>
        <v/>
      </c>
      <c r="I419" s="120" t="n">
        <v>300</v>
      </c>
      <c r="J419" s="121">
        <f>K419/1.2</f>
        <v/>
      </c>
      <c r="K419" s="70" t="n">
        <v>0.72</v>
      </c>
      <c r="L419" s="122">
        <f>J419-C419-(J419-C419)*0.2</f>
        <v/>
      </c>
      <c r="M419" s="123">
        <f>L419*I419</f>
        <v/>
      </c>
      <c r="N419" s="124" t="inlineStr">
        <is>
          <t xml:space="preserve">300-490 шт - </t>
        </is>
      </c>
      <c r="O419" s="47" t="inlineStr">
        <is>
          <t xml:space="preserve"> руб / шт с НДС</t>
        </is>
      </c>
      <c r="P419" s="125">
        <f>ROUND(K419,2)</f>
        <v/>
      </c>
      <c r="Q419" s="207">
        <f>CONCATENATE(N419,P419,O419,)</f>
        <v/>
      </c>
      <c r="R419" s="240" t="n"/>
      <c r="T419" s="241" t="n"/>
      <c r="U419" s="240" t="n"/>
      <c r="V419" s="241" t="n"/>
      <c r="Z419" s="240" t="n"/>
      <c r="AB419" s="241" t="n"/>
      <c r="AC419" s="240" t="n"/>
      <c r="AD419" s="241" t="n"/>
    </row>
    <row r="420">
      <c r="B420" s="42" t="n">
        <v>85</v>
      </c>
      <c r="C420" s="118">
        <f>INDIRECT("'Закуп'!A" &amp; B420)</f>
        <v/>
      </c>
      <c r="D420" s="119">
        <f>C420*1.2</f>
        <v/>
      </c>
      <c r="G420" s="172">
        <f>IF(INDIRECT("'Закуп'!L" &amp; B420)="Sale","Sale","")</f>
        <v/>
      </c>
      <c r="H420" s="158">
        <f>IF(INDIRECT("'Закуп'!F" &amp; B420)=0,"",INDIRECT("'Закуп'!F" &amp; B420))</f>
        <v/>
      </c>
      <c r="I420" s="120" t="n">
        <v>500</v>
      </c>
      <c r="J420" s="121">
        <f>K420/1.2</f>
        <v/>
      </c>
      <c r="K420" s="70" t="n">
        <v>0.65</v>
      </c>
      <c r="L420" s="122">
        <f>J420-C420-(J420-C420)*0.2</f>
        <v/>
      </c>
      <c r="M420" s="123">
        <f>L420*I420</f>
        <v/>
      </c>
      <c r="N420" s="124" t="inlineStr">
        <is>
          <t xml:space="preserve">500-990 шт - </t>
        </is>
      </c>
      <c r="O420" s="47" t="inlineStr">
        <is>
          <t xml:space="preserve"> руб / шт с НДС</t>
        </is>
      </c>
      <c r="P420" s="125">
        <f>ROUND(K420,2)</f>
        <v/>
      </c>
      <c r="Q420" s="207">
        <f>CONCATENATE(N420,P420,O420,)</f>
        <v/>
      </c>
      <c r="R420" s="240" t="n"/>
      <c r="T420" s="241" t="n"/>
      <c r="U420" s="240" t="n"/>
      <c r="V420" s="241" t="n"/>
      <c r="Z420" s="240" t="n"/>
      <c r="AB420" s="241" t="n"/>
      <c r="AC420" s="240" t="n"/>
      <c r="AD420" s="241" t="n"/>
    </row>
    <row r="421">
      <c r="B421" s="42" t="n">
        <v>85</v>
      </c>
      <c r="C421" s="118">
        <f>INDIRECT("'Закуп'!A" &amp; B421)</f>
        <v/>
      </c>
      <c r="D421" s="119">
        <f>C421*1.2</f>
        <v/>
      </c>
      <c r="G421" s="172">
        <f>IF(INDIRECT("'Закуп'!L" &amp; B421)="Sale","Sale","")</f>
        <v/>
      </c>
      <c r="H421" s="158">
        <f>IF(INDIRECT("'Закуп'!F" &amp; B421)=0,"",INDIRECT("'Закуп'!F" &amp; B421))</f>
        <v/>
      </c>
      <c r="I421" s="120" t="n">
        <v>1000</v>
      </c>
      <c r="J421" s="121">
        <f>K421/1.2</f>
        <v/>
      </c>
      <c r="K421" s="70" t="n">
        <v>0.59</v>
      </c>
      <c r="L421" s="122">
        <f>J421-C421-(J421-C421)*0.2</f>
        <v/>
      </c>
      <c r="M421" s="123">
        <f>L421*I421</f>
        <v/>
      </c>
      <c r="N421" s="124" t="inlineStr">
        <is>
          <t xml:space="preserve">1000 + шт - </t>
        </is>
      </c>
      <c r="O421" s="47" t="inlineStr">
        <is>
          <t xml:space="preserve"> руб / шт с НДС</t>
        </is>
      </c>
      <c r="P421" s="125">
        <f>ROUND(K421,2)</f>
        <v/>
      </c>
      <c r="Q421" s="207">
        <f>CONCATENATE(N421,P421,O421,)</f>
        <v/>
      </c>
      <c r="R421" s="240" t="n"/>
      <c r="T421" s="241" t="n"/>
      <c r="U421" s="240" t="n"/>
      <c r="V421" s="241" t="n"/>
      <c r="Z421" s="240" t="n"/>
      <c r="AB421" s="241" t="n"/>
      <c r="AC421" s="240" t="n"/>
      <c r="AD421" s="241" t="n"/>
    </row>
    <row r="422">
      <c r="A422" s="232" t="n">
        <v>86</v>
      </c>
      <c r="B422" s="42" t="n">
        <v>86</v>
      </c>
      <c r="C422" s="118">
        <f>INDIRECT("'Закуп'!A" &amp; B422)</f>
        <v/>
      </c>
      <c r="D422" s="119">
        <f>C422*1.2</f>
        <v/>
      </c>
      <c r="E422" s="224">
        <f>INDIRECT("'Закуп'!D" &amp; A422)</f>
        <v/>
      </c>
      <c r="F422" s="231">
        <f>INDIRECT("'Закуп'!E" &amp; B422)</f>
        <v/>
      </c>
      <c r="G422" s="172">
        <f>IF(INDIRECT("'Закуп'!L" &amp; B422)="Sale","Sale","")</f>
        <v/>
      </c>
      <c r="H422" s="158">
        <f>IF(INDIRECT("'Закуп'!F" &amp; B422)=0,"",INDIRECT("'Закуп'!F" &amp; B422))</f>
        <v/>
      </c>
      <c r="I422" s="120" t="n">
        <v>50</v>
      </c>
      <c r="J422" s="121">
        <f>K422/1.2</f>
        <v/>
      </c>
      <c r="K422" s="70" t="n">
        <v>1.37</v>
      </c>
      <c r="L422" s="122">
        <f>J422-C422-(J422-C422)*0.2</f>
        <v/>
      </c>
      <c r="M422" s="123">
        <f>L422*I422</f>
        <v/>
      </c>
      <c r="N422" s="124" t="inlineStr">
        <is>
          <t xml:space="preserve">50-90 шт - </t>
        </is>
      </c>
      <c r="O422" s="47" t="inlineStr">
        <is>
          <t xml:space="preserve"> руб / шт с НДС</t>
        </is>
      </c>
      <c r="P422" s="125">
        <f>ROUND(K422,2)</f>
        <v/>
      </c>
      <c r="Q422" s="207">
        <f>CONCATENATE(N422,P422,O422,)</f>
        <v/>
      </c>
      <c r="R422" s="235">
        <f>INDIRECT("'Закуп'!k" &amp; A422)</f>
        <v/>
      </c>
      <c r="S422" s="239">
        <f>INDIRECT("'Закуп'!o" &amp; A422)</f>
        <v/>
      </c>
      <c r="T422" s="226">
        <f>INDIRECT("'Закуп'!p" &amp; A422)</f>
        <v/>
      </c>
      <c r="U422" s="235">
        <f>INDIRECT("'Закуп'!v" &amp; A422)</f>
        <v/>
      </c>
      <c r="V422" s="222">
        <f>INDIRECT("'Закуп'!w" &amp; A422)</f>
        <v/>
      </c>
      <c r="W422" s="229">
        <f>INDIRECT("'Закуп'!H" &amp; A422)</f>
        <v/>
      </c>
      <c r="X422" s="237">
        <f>INDIRECT("'Закуп'!g" &amp; A422)</f>
        <v/>
      </c>
      <c r="Y422" s="229">
        <f>INDIRECT("'Закуп'!i" &amp; A422)</f>
        <v/>
      </c>
      <c r="Z422" s="236">
        <f>INDIRECT("'Закуп'!x" &amp; A422)</f>
        <v/>
      </c>
      <c r="AA422" s="237">
        <f>INDIRECT("'Закуп'!y" &amp; A422)</f>
        <v/>
      </c>
      <c r="AB422" s="238">
        <f>INDIRECT("'Закуп'!z" &amp; A422)</f>
        <v/>
      </c>
      <c r="AC422" s="223">
        <f>SUBSTITUTE(INDEX(F:F, ROUNDUP((ROW(A421))/5,0)*5 - 3), "х", "x")</f>
        <v/>
      </c>
      <c r="AD422" s="222">
        <f>SUBSTITUTE(INDEX(F:F, ROUNDUP((ROW(A421))/5,0)*5 - 3), "х", "x") &amp; " - " &amp; SUBSTITUTE(SUBSTITUTE(INDEX(F:F, ROUNDUP((ROW(A421))/5,0)*5 - 3), "х", "*"), "x", "*") &amp; " мм"</f>
        <v/>
      </c>
    </row>
    <row r="423">
      <c r="B423" s="42" t="n">
        <v>86</v>
      </c>
      <c r="C423" s="118">
        <f>INDIRECT("'Закуп'!A" &amp; B423)</f>
        <v/>
      </c>
      <c r="D423" s="119">
        <f>C423*1.2</f>
        <v/>
      </c>
      <c r="G423" s="172">
        <f>IF(INDIRECT("'Закуп'!L" &amp; B423)="Sale","Sale","")</f>
        <v/>
      </c>
      <c r="H423" s="158">
        <f>IF(INDIRECT("'Закуп'!F" &amp; B423)=0,"",INDIRECT("'Закуп'!F" &amp; B423))</f>
        <v/>
      </c>
      <c r="I423" s="120" t="n">
        <v>100</v>
      </c>
      <c r="J423" s="121">
        <f>K423/1.2</f>
        <v/>
      </c>
      <c r="K423" s="70" t="n">
        <v>1.22</v>
      </c>
      <c r="L423" s="122">
        <f>J423-C423-(J423-C423)*0.2</f>
        <v/>
      </c>
      <c r="M423" s="123">
        <f>L423*I423</f>
        <v/>
      </c>
      <c r="N423" s="124" t="inlineStr">
        <is>
          <t xml:space="preserve">100-290 шт - </t>
        </is>
      </c>
      <c r="O423" s="47" t="inlineStr">
        <is>
          <t xml:space="preserve"> руб / шт с НДС</t>
        </is>
      </c>
      <c r="P423" s="125">
        <f>ROUND(K423,2)</f>
        <v/>
      </c>
      <c r="Q423" s="207">
        <f>CONCATENATE(N423,P423,O423,)</f>
        <v/>
      </c>
      <c r="R423" s="240" t="n"/>
      <c r="T423" s="241" t="n"/>
      <c r="U423" s="240" t="n"/>
      <c r="V423" s="241" t="n"/>
      <c r="Z423" s="240" t="n"/>
      <c r="AB423" s="241" t="n"/>
      <c r="AC423" s="240" t="n"/>
      <c r="AD423" s="241" t="n"/>
    </row>
    <row r="424">
      <c r="B424" s="42" t="n">
        <v>86</v>
      </c>
      <c r="C424" s="118">
        <f>INDIRECT("'Закуп'!A" &amp; B424)</f>
        <v/>
      </c>
      <c r="D424" s="119">
        <f>C424*1.2</f>
        <v/>
      </c>
      <c r="G424" s="172">
        <f>IF(INDIRECT("'Закуп'!L" &amp; B424)="Sale","Sale","")</f>
        <v/>
      </c>
      <c r="H424" s="158">
        <f>IF(INDIRECT("'Закуп'!F" &amp; B424)=0,"",INDIRECT("'Закуп'!F" &amp; B424))</f>
        <v/>
      </c>
      <c r="I424" s="120" t="n">
        <v>300</v>
      </c>
      <c r="J424" s="121">
        <f>K424/1.2</f>
        <v/>
      </c>
      <c r="K424" s="70" t="n">
        <v>1.1</v>
      </c>
      <c r="L424" s="122">
        <f>J424-C424-(J424-C424)*0.2</f>
        <v/>
      </c>
      <c r="M424" s="123">
        <f>L424*I424</f>
        <v/>
      </c>
      <c r="N424" s="124" t="inlineStr">
        <is>
          <t xml:space="preserve">300-490 шт - </t>
        </is>
      </c>
      <c r="O424" s="47" t="inlineStr">
        <is>
          <t xml:space="preserve"> руб / шт с НДС</t>
        </is>
      </c>
      <c r="P424" s="125">
        <f>ROUND(K424,2)</f>
        <v/>
      </c>
      <c r="Q424" s="207">
        <f>CONCATENATE(N424,P424,O424,)</f>
        <v/>
      </c>
      <c r="R424" s="240" t="n"/>
      <c r="T424" s="241" t="n"/>
      <c r="U424" s="240" t="n"/>
      <c r="V424" s="241" t="n"/>
      <c r="Z424" s="240" t="n"/>
      <c r="AB424" s="241" t="n"/>
      <c r="AC424" s="240" t="n"/>
      <c r="AD424" s="241" t="n"/>
    </row>
    <row r="425">
      <c r="B425" s="42" t="n">
        <v>86</v>
      </c>
      <c r="C425" s="118">
        <f>INDIRECT("'Закуп'!A" &amp; B425)</f>
        <v/>
      </c>
      <c r="D425" s="119">
        <f>C425*1.2</f>
        <v/>
      </c>
      <c r="G425" s="172">
        <f>IF(INDIRECT("'Закуп'!L" &amp; B425)="Sale","Sale","")</f>
        <v/>
      </c>
      <c r="H425" s="158">
        <f>IF(INDIRECT("'Закуп'!F" &amp; B425)=0,"",INDIRECT("'Закуп'!F" &amp; B425))</f>
        <v/>
      </c>
      <c r="I425" s="120" t="n">
        <v>500</v>
      </c>
      <c r="J425" s="121">
        <f>K425/1.2</f>
        <v/>
      </c>
      <c r="K425" s="70" t="n">
        <v>1.05</v>
      </c>
      <c r="L425" s="122">
        <f>J425-C425-(J425-C425)*0.2</f>
        <v/>
      </c>
      <c r="M425" s="123">
        <f>L425*I425</f>
        <v/>
      </c>
      <c r="N425" s="124" t="inlineStr">
        <is>
          <t xml:space="preserve">500-990 шт - </t>
        </is>
      </c>
      <c r="O425" s="47" t="inlineStr">
        <is>
          <t xml:space="preserve"> руб / шт с НДС</t>
        </is>
      </c>
      <c r="P425" s="125">
        <f>ROUND(K425,2)</f>
        <v/>
      </c>
      <c r="Q425" s="207">
        <f>CONCATENATE(N425,P425,O425,)</f>
        <v/>
      </c>
      <c r="R425" s="240" t="n"/>
      <c r="T425" s="241" t="n"/>
      <c r="U425" s="240" t="n"/>
      <c r="V425" s="241" t="n"/>
      <c r="Z425" s="240" t="n"/>
      <c r="AB425" s="241" t="n"/>
      <c r="AC425" s="240" t="n"/>
      <c r="AD425" s="241" t="n"/>
    </row>
    <row r="426">
      <c r="B426" s="42" t="n">
        <v>86</v>
      </c>
      <c r="C426" s="118">
        <f>INDIRECT("'Закуп'!A" &amp; B426)</f>
        <v/>
      </c>
      <c r="D426" s="119">
        <f>C426*1.2</f>
        <v/>
      </c>
      <c r="G426" s="172">
        <f>IF(INDIRECT("'Закуп'!L" &amp; B426)="Sale","Sale","")</f>
        <v/>
      </c>
      <c r="H426" s="158">
        <f>IF(INDIRECT("'Закуп'!F" &amp; B426)=0,"",INDIRECT("'Закуп'!F" &amp; B426))</f>
        <v/>
      </c>
      <c r="I426" s="120" t="n">
        <v>1000</v>
      </c>
      <c r="J426" s="121">
        <f>K426/1.2</f>
        <v/>
      </c>
      <c r="K426" s="70" t="n">
        <v>0.97</v>
      </c>
      <c r="L426" s="122">
        <f>J426-C426-(J426-C426)*0.2</f>
        <v/>
      </c>
      <c r="M426" s="123">
        <f>L426*I426</f>
        <v/>
      </c>
      <c r="N426" s="124" t="inlineStr">
        <is>
          <t xml:space="preserve">1000 + шт - </t>
        </is>
      </c>
      <c r="O426" s="47" t="inlineStr">
        <is>
          <t xml:space="preserve"> руб / шт с НДС</t>
        </is>
      </c>
      <c r="P426" s="125">
        <f>ROUND(K426,2)</f>
        <v/>
      </c>
      <c r="Q426" s="207">
        <f>CONCATENATE(N426,P426,O426,)</f>
        <v/>
      </c>
      <c r="R426" s="240" t="n"/>
      <c r="T426" s="241" t="n"/>
      <c r="U426" s="240" t="n"/>
      <c r="V426" s="241" t="n"/>
      <c r="Z426" s="240" t="n"/>
      <c r="AB426" s="241" t="n"/>
      <c r="AC426" s="240" t="n"/>
      <c r="AD426" s="241" t="n"/>
    </row>
    <row r="427">
      <c r="A427" s="232" t="n">
        <v>87</v>
      </c>
      <c r="B427" s="42" t="n">
        <v>87</v>
      </c>
      <c r="C427" s="118">
        <f>INDIRECT("'Закуп'!A" &amp; B427)</f>
        <v/>
      </c>
      <c r="D427" s="119">
        <f>C427*1.2</f>
        <v/>
      </c>
      <c r="E427" s="224">
        <f>INDIRECT("'Закуп'!D" &amp; A427)</f>
        <v/>
      </c>
      <c r="F427" s="231">
        <f>INDIRECT("'Закуп'!E" &amp; B427)</f>
        <v/>
      </c>
      <c r="G427" s="172">
        <f>IF(INDIRECT("'Закуп'!L" &amp; B427)="Sale","Sale","")</f>
        <v/>
      </c>
      <c r="H427" s="158">
        <f>IF(INDIRECT("'Закуп'!F" &amp; B427)=0,"",INDIRECT("'Закуп'!F" &amp; B427))</f>
        <v/>
      </c>
      <c r="I427" s="120" t="n">
        <v>50</v>
      </c>
      <c r="J427" s="121">
        <f>K427/1.2</f>
        <v/>
      </c>
      <c r="K427" s="70" t="n">
        <v>1.95</v>
      </c>
      <c r="L427" s="122">
        <f>J427-C427-(J427-C427)*0.2</f>
        <v/>
      </c>
      <c r="M427" s="123">
        <f>L427*I427</f>
        <v/>
      </c>
      <c r="N427" s="124" t="inlineStr">
        <is>
          <t xml:space="preserve">50-90 шт - </t>
        </is>
      </c>
      <c r="O427" s="47" t="inlineStr">
        <is>
          <t xml:space="preserve"> руб / шт с НДС</t>
        </is>
      </c>
      <c r="P427" s="125">
        <f>ROUND(K427,2)</f>
        <v/>
      </c>
      <c r="Q427" s="207">
        <f>CONCATENATE(N427,P427,O427,)</f>
        <v/>
      </c>
      <c r="R427" s="235">
        <f>INDIRECT("'Закуп'!k" &amp; A427)</f>
        <v/>
      </c>
      <c r="S427" s="239">
        <f>INDIRECT("'Закуп'!o" &amp; A427)</f>
        <v/>
      </c>
      <c r="T427" s="226">
        <f>INDIRECT("'Закуп'!p" &amp; A427)</f>
        <v/>
      </c>
      <c r="U427" s="235">
        <f>INDIRECT("'Закуп'!v" &amp; A427)</f>
        <v/>
      </c>
      <c r="V427" s="222">
        <f>INDIRECT("'Закуп'!w" &amp; A427)</f>
        <v/>
      </c>
      <c r="W427" s="229">
        <f>INDIRECT("'Закуп'!H" &amp; A427)</f>
        <v/>
      </c>
      <c r="X427" s="237">
        <f>INDIRECT("'Закуп'!g" &amp; A427)</f>
        <v/>
      </c>
      <c r="Y427" s="229">
        <f>INDIRECT("'Закуп'!i" &amp; A427)</f>
        <v/>
      </c>
      <c r="Z427" s="236">
        <f>INDIRECT("'Закуп'!x" &amp; A427)</f>
        <v/>
      </c>
      <c r="AA427" s="237">
        <f>INDIRECT("'Закуп'!y" &amp; A427)</f>
        <v/>
      </c>
      <c r="AB427" s="238">
        <f>INDIRECT("'Закуп'!z" &amp; A427)</f>
        <v/>
      </c>
      <c r="AC427" s="223">
        <f>SUBSTITUTE(INDEX(F:F, ROUNDUP((ROW(A426))/5,0)*5 - 3), "х", "x")</f>
        <v/>
      </c>
      <c r="AD427" s="222">
        <f>SUBSTITUTE(INDEX(F:F, ROUNDUP((ROW(A426))/5,0)*5 - 3), "х", "x") &amp; " - " &amp; SUBSTITUTE(SUBSTITUTE(INDEX(F:F, ROUNDUP((ROW(A426))/5,0)*5 - 3), "х", "*"), "x", "*") &amp; " мм"</f>
        <v/>
      </c>
    </row>
    <row r="428">
      <c r="B428" s="42" t="n">
        <v>87</v>
      </c>
      <c r="C428" s="118">
        <f>INDIRECT("'Закуп'!A" &amp; B428)</f>
        <v/>
      </c>
      <c r="D428" s="119">
        <f>C428*1.2</f>
        <v/>
      </c>
      <c r="G428" s="172">
        <f>IF(INDIRECT("'Закуп'!L" &amp; B428)="Sale","Sale","")</f>
        <v/>
      </c>
      <c r="H428" s="158">
        <f>IF(INDIRECT("'Закуп'!F" &amp; B428)=0,"",INDIRECT("'Закуп'!F" &amp; B428))</f>
        <v/>
      </c>
      <c r="I428" s="120" t="n">
        <v>100</v>
      </c>
      <c r="J428" s="121">
        <f>K428/1.2</f>
        <v/>
      </c>
      <c r="K428" s="70" t="n">
        <v>1.78</v>
      </c>
      <c r="L428" s="122">
        <f>J428-C428-(J428-C428)*0.2</f>
        <v/>
      </c>
      <c r="M428" s="123">
        <f>L428*I428</f>
        <v/>
      </c>
      <c r="N428" s="124" t="inlineStr">
        <is>
          <t xml:space="preserve">100-290 шт - </t>
        </is>
      </c>
      <c r="O428" s="47" t="inlineStr">
        <is>
          <t xml:space="preserve"> руб / шт с НДС</t>
        </is>
      </c>
      <c r="P428" s="125">
        <f>ROUND(K428,2)</f>
        <v/>
      </c>
      <c r="Q428" s="207">
        <f>CONCATENATE(N428,P428,O428,)</f>
        <v/>
      </c>
      <c r="R428" s="240" t="n"/>
      <c r="T428" s="241" t="n"/>
      <c r="U428" s="240" t="n"/>
      <c r="V428" s="241" t="n"/>
      <c r="Z428" s="240" t="n"/>
      <c r="AB428" s="241" t="n"/>
      <c r="AC428" s="240" t="n"/>
      <c r="AD428" s="241" t="n"/>
    </row>
    <row r="429">
      <c r="B429" s="42" t="n">
        <v>87</v>
      </c>
      <c r="C429" s="118">
        <f>INDIRECT("'Закуп'!A" &amp; B429)</f>
        <v/>
      </c>
      <c r="D429" s="119">
        <f>C429*1.2</f>
        <v/>
      </c>
      <c r="G429" s="172">
        <f>IF(INDIRECT("'Закуп'!L" &amp; B429)="Sale","Sale","")</f>
        <v/>
      </c>
      <c r="H429" s="158">
        <f>IF(INDIRECT("'Закуп'!F" &amp; B429)=0,"",INDIRECT("'Закуп'!F" &amp; B429))</f>
        <v/>
      </c>
      <c r="I429" s="120" t="n">
        <v>300</v>
      </c>
      <c r="J429" s="121">
        <f>K429/1.2</f>
        <v/>
      </c>
      <c r="K429" s="70" t="n">
        <v>1.4</v>
      </c>
      <c r="L429" s="122">
        <f>J429-C429-(J429-C429)*0.2</f>
        <v/>
      </c>
      <c r="M429" s="123">
        <f>L429*I429</f>
        <v/>
      </c>
      <c r="N429" s="124" t="inlineStr">
        <is>
          <t xml:space="preserve">300-490 шт - </t>
        </is>
      </c>
      <c r="O429" s="47" t="inlineStr">
        <is>
          <t xml:space="preserve"> руб / шт с НДС</t>
        </is>
      </c>
      <c r="P429" s="125">
        <f>ROUND(K429,2)</f>
        <v/>
      </c>
      <c r="Q429" s="207">
        <f>CONCATENATE(N429,P429,O429,)</f>
        <v/>
      </c>
      <c r="R429" s="240" t="n"/>
      <c r="T429" s="241" t="n"/>
      <c r="U429" s="240" t="n"/>
      <c r="V429" s="241" t="n"/>
      <c r="Z429" s="240" t="n"/>
      <c r="AB429" s="241" t="n"/>
      <c r="AC429" s="240" t="n"/>
      <c r="AD429" s="241" t="n"/>
    </row>
    <row r="430">
      <c r="B430" s="42" t="n">
        <v>87</v>
      </c>
      <c r="C430" s="118">
        <f>INDIRECT("'Закуп'!A" &amp; B430)</f>
        <v/>
      </c>
      <c r="D430" s="119">
        <f>C430*1.2</f>
        <v/>
      </c>
      <c r="G430" s="172">
        <f>IF(INDIRECT("'Закуп'!L" &amp; B430)="Sale","Sale","")</f>
        <v/>
      </c>
      <c r="H430" s="158">
        <f>IF(INDIRECT("'Закуп'!F" &amp; B430)=0,"",INDIRECT("'Закуп'!F" &amp; B430))</f>
        <v/>
      </c>
      <c r="I430" s="120" t="n">
        <v>500</v>
      </c>
      <c r="J430" s="121">
        <f>K430/1.2</f>
        <v/>
      </c>
      <c r="K430" s="70" t="n">
        <v>1.32</v>
      </c>
      <c r="L430" s="122">
        <f>J430-C430-(J430-C430)*0.2</f>
        <v/>
      </c>
      <c r="M430" s="123">
        <f>L430*I430</f>
        <v/>
      </c>
      <c r="N430" s="124" t="inlineStr">
        <is>
          <t xml:space="preserve">500-990 шт - </t>
        </is>
      </c>
      <c r="O430" s="47" t="inlineStr">
        <is>
          <t xml:space="preserve"> руб / шт с НДС</t>
        </is>
      </c>
      <c r="P430" s="125">
        <f>ROUND(K430,2)</f>
        <v/>
      </c>
      <c r="Q430" s="207">
        <f>CONCATENATE(N430,P430,O430,)</f>
        <v/>
      </c>
      <c r="R430" s="240" t="n"/>
      <c r="T430" s="241" t="n"/>
      <c r="U430" s="240" t="n"/>
      <c r="V430" s="241" t="n"/>
      <c r="Z430" s="240" t="n"/>
      <c r="AB430" s="241" t="n"/>
      <c r="AC430" s="240" t="n"/>
      <c r="AD430" s="241" t="n"/>
    </row>
    <row r="431">
      <c r="B431" s="42" t="n">
        <v>87</v>
      </c>
      <c r="C431" s="118">
        <f>INDIRECT("'Закуп'!A" &amp; B431)</f>
        <v/>
      </c>
      <c r="D431" s="119">
        <f>C431*1.2</f>
        <v/>
      </c>
      <c r="G431" s="172">
        <f>IF(INDIRECT("'Закуп'!L" &amp; B431)="Sale","Sale","")</f>
        <v/>
      </c>
      <c r="H431" s="158">
        <f>IF(INDIRECT("'Закуп'!F" &amp; B431)=0,"",INDIRECT("'Закуп'!F" &amp; B431))</f>
        <v/>
      </c>
      <c r="I431" s="120" t="n">
        <v>1000</v>
      </c>
      <c r="J431" s="121">
        <f>K431/1.2</f>
        <v/>
      </c>
      <c r="K431" s="70" t="n">
        <v>1.16</v>
      </c>
      <c r="L431" s="122">
        <f>J431-C431-(J431-C431)*0.2</f>
        <v/>
      </c>
      <c r="M431" s="123">
        <f>L431*I431</f>
        <v/>
      </c>
      <c r="N431" s="124" t="inlineStr">
        <is>
          <t xml:space="preserve">1000 + шт - </t>
        </is>
      </c>
      <c r="O431" s="47" t="inlineStr">
        <is>
          <t xml:space="preserve"> руб / шт с НДС</t>
        </is>
      </c>
      <c r="P431" s="125">
        <f>ROUND(K431,2)</f>
        <v/>
      </c>
      <c r="Q431" s="207">
        <f>CONCATENATE(N431,P431,O431,)</f>
        <v/>
      </c>
      <c r="R431" s="240" t="n"/>
      <c r="T431" s="241" t="n"/>
      <c r="U431" s="240" t="n"/>
      <c r="V431" s="241" t="n"/>
      <c r="Z431" s="240" t="n"/>
      <c r="AB431" s="241" t="n"/>
      <c r="AC431" s="240" t="n"/>
      <c r="AD431" s="241" t="n"/>
    </row>
    <row r="432">
      <c r="A432" s="232" t="n">
        <v>88</v>
      </c>
      <c r="B432" s="42" t="n">
        <v>88</v>
      </c>
      <c r="C432" s="118">
        <f>INDIRECT("'Закуп'!A" &amp; B432)</f>
        <v/>
      </c>
      <c r="D432" s="119">
        <f>C432*1.2</f>
        <v/>
      </c>
      <c r="E432" s="224">
        <f>INDIRECT("'Закуп'!D" &amp; A432)</f>
        <v/>
      </c>
      <c r="F432" s="231">
        <f>INDIRECT("'Закуп'!E" &amp; B432)</f>
        <v/>
      </c>
      <c r="G432" s="172">
        <f>IF(INDIRECT("'Закуп'!L" &amp; B432)="Sale","Sale","")</f>
        <v/>
      </c>
      <c r="H432" s="158">
        <f>IF(INDIRECT("'Закуп'!F" &amp; B432)=0,"",INDIRECT("'Закуп'!F" &amp; B432))</f>
        <v/>
      </c>
      <c r="I432" s="120" t="n">
        <v>50</v>
      </c>
      <c r="J432" s="121">
        <f>K432/1.2</f>
        <v/>
      </c>
      <c r="K432" s="70" t="n">
        <v>1.07</v>
      </c>
      <c r="L432" s="122">
        <f>J432-C432-(J432-C432)*0.2</f>
        <v/>
      </c>
      <c r="M432" s="123">
        <f>L432*I432</f>
        <v/>
      </c>
      <c r="N432" s="124" t="inlineStr">
        <is>
          <t xml:space="preserve">50-90 шт - </t>
        </is>
      </c>
      <c r="O432" s="47" t="inlineStr">
        <is>
          <t xml:space="preserve"> руб / шт с НДС</t>
        </is>
      </c>
      <c r="P432" s="125">
        <f>ROUND(K432,2)</f>
        <v/>
      </c>
      <c r="Q432" s="207">
        <f>CONCATENATE(N432,P432,O432,)</f>
        <v/>
      </c>
      <c r="R432" s="235">
        <f>INDIRECT("'Закуп'!k" &amp; A432)</f>
        <v/>
      </c>
      <c r="S432" s="239">
        <f>INDIRECT("'Закуп'!o" &amp; A432)</f>
        <v/>
      </c>
      <c r="T432" s="226">
        <f>INDIRECT("'Закуп'!p" &amp; A432)</f>
        <v/>
      </c>
      <c r="U432" s="235">
        <f>INDIRECT("'Закуп'!v" &amp; A432)</f>
        <v/>
      </c>
      <c r="V432" s="222">
        <f>INDIRECT("'Закуп'!w" &amp; A432)</f>
        <v/>
      </c>
      <c r="W432" s="229">
        <f>INDIRECT("'Закуп'!H" &amp; A432)</f>
        <v/>
      </c>
      <c r="X432" s="237">
        <f>INDIRECT("'Закуп'!g" &amp; A432)</f>
        <v/>
      </c>
      <c r="Y432" s="229">
        <f>INDIRECT("'Закуп'!i" &amp; A432)</f>
        <v/>
      </c>
      <c r="Z432" s="236">
        <f>INDIRECT("'Закуп'!x" &amp; A432)</f>
        <v/>
      </c>
      <c r="AA432" s="237">
        <f>INDIRECT("'Закуп'!y" &amp; A432)</f>
        <v/>
      </c>
      <c r="AB432" s="238">
        <f>INDIRECT("'Закуп'!z" &amp; A432)</f>
        <v/>
      </c>
      <c r="AC432" s="223">
        <f>SUBSTITUTE(INDEX(F:F, ROUNDUP((ROW(A431))/5,0)*5 - 3), "х", "x")</f>
        <v/>
      </c>
      <c r="AD432" s="222">
        <f>SUBSTITUTE(INDEX(F:F, ROUNDUP((ROW(A431))/5,0)*5 - 3), "х", "x") &amp; " - " &amp; SUBSTITUTE(SUBSTITUTE(INDEX(F:F, ROUNDUP((ROW(A431))/5,0)*5 - 3), "х", "*"), "x", "*") &amp; " мм"</f>
        <v/>
      </c>
    </row>
    <row r="433">
      <c r="B433" s="42" t="n">
        <v>88</v>
      </c>
      <c r="C433" s="118">
        <f>INDIRECT("'Закуп'!A" &amp; B433)</f>
        <v/>
      </c>
      <c r="D433" s="119">
        <f>C433*1.2</f>
        <v/>
      </c>
      <c r="G433" s="172">
        <f>IF(INDIRECT("'Закуп'!L" &amp; B433)="Sale","Sale","")</f>
        <v/>
      </c>
      <c r="H433" s="158">
        <f>IF(INDIRECT("'Закуп'!F" &amp; B433)=0,"",INDIRECT("'Закуп'!F" &amp; B433))</f>
        <v/>
      </c>
      <c r="I433" s="120" t="n">
        <v>100</v>
      </c>
      <c r="J433" s="121">
        <f>K433/1.2</f>
        <v/>
      </c>
      <c r="K433" s="70" t="n">
        <v>0.9</v>
      </c>
      <c r="L433" s="122">
        <f>J433-C433-(J433-C433)*0.2</f>
        <v/>
      </c>
      <c r="M433" s="123">
        <f>L433*I433</f>
        <v/>
      </c>
      <c r="N433" s="124" t="inlineStr">
        <is>
          <t xml:space="preserve">100-290 шт - </t>
        </is>
      </c>
      <c r="O433" s="47" t="inlineStr">
        <is>
          <t xml:space="preserve"> руб / шт с НДС</t>
        </is>
      </c>
      <c r="P433" s="125">
        <f>ROUND(K433,2)</f>
        <v/>
      </c>
      <c r="Q433" s="207">
        <f>CONCATENATE(N433,P433,O433,)</f>
        <v/>
      </c>
      <c r="R433" s="240" t="n"/>
      <c r="T433" s="241" t="n"/>
      <c r="U433" s="240" t="n"/>
      <c r="V433" s="241" t="n"/>
      <c r="Z433" s="240" t="n"/>
      <c r="AB433" s="241" t="n"/>
      <c r="AC433" s="240" t="n"/>
      <c r="AD433" s="241" t="n"/>
    </row>
    <row r="434">
      <c r="B434" s="42" t="n">
        <v>88</v>
      </c>
      <c r="C434" s="118">
        <f>INDIRECT("'Закуп'!A" &amp; B434)</f>
        <v/>
      </c>
      <c r="D434" s="119">
        <f>C434*1.2</f>
        <v/>
      </c>
      <c r="G434" s="172">
        <f>IF(INDIRECT("'Закуп'!L" &amp; B434)="Sale","Sale","")</f>
        <v/>
      </c>
      <c r="H434" s="158">
        <f>IF(INDIRECT("'Закуп'!F" &amp; B434)=0,"",INDIRECT("'Закуп'!F" &amp; B434))</f>
        <v/>
      </c>
      <c r="I434" s="120" t="n">
        <v>300</v>
      </c>
      <c r="J434" s="121">
        <f>K434/1.2</f>
        <v/>
      </c>
      <c r="K434" s="70" t="n">
        <v>0.82</v>
      </c>
      <c r="L434" s="122">
        <f>J434-C434-(J434-C434)*0.2</f>
        <v/>
      </c>
      <c r="M434" s="123">
        <f>L434*I434</f>
        <v/>
      </c>
      <c r="N434" s="124" t="inlineStr">
        <is>
          <t xml:space="preserve">300-490 шт - </t>
        </is>
      </c>
      <c r="O434" s="47" t="inlineStr">
        <is>
          <t xml:space="preserve"> руб / шт с НДС</t>
        </is>
      </c>
      <c r="P434" s="125">
        <f>ROUND(K434,2)</f>
        <v/>
      </c>
      <c r="Q434" s="207">
        <f>CONCATENATE(N434,P434,O434,)</f>
        <v/>
      </c>
      <c r="R434" s="240" t="n"/>
      <c r="T434" s="241" t="n"/>
      <c r="U434" s="240" t="n"/>
      <c r="V434" s="241" t="n"/>
      <c r="Z434" s="240" t="n"/>
      <c r="AB434" s="241" t="n"/>
      <c r="AC434" s="240" t="n"/>
      <c r="AD434" s="241" t="n"/>
    </row>
    <row r="435">
      <c r="B435" s="42" t="n">
        <v>88</v>
      </c>
      <c r="C435" s="118">
        <f>INDIRECT("'Закуп'!A" &amp; B435)</f>
        <v/>
      </c>
      <c r="D435" s="119">
        <f>C435*1.2</f>
        <v/>
      </c>
      <c r="G435" s="172">
        <f>IF(INDIRECT("'Закуп'!L" &amp; B435)="Sale","Sale","")</f>
        <v/>
      </c>
      <c r="H435" s="158">
        <f>IF(INDIRECT("'Закуп'!F" &amp; B435)=0,"",INDIRECT("'Закуп'!F" &amp; B435))</f>
        <v/>
      </c>
      <c r="I435" s="120" t="n">
        <v>500</v>
      </c>
      <c r="J435" s="121">
        <f>K435/1.2</f>
        <v/>
      </c>
      <c r="K435" s="70" t="n">
        <v>0.75</v>
      </c>
      <c r="L435" s="122">
        <f>J435-C435-(J435-C435)*0.2</f>
        <v/>
      </c>
      <c r="M435" s="123">
        <f>L435*I435</f>
        <v/>
      </c>
      <c r="N435" s="124" t="inlineStr">
        <is>
          <t xml:space="preserve">500-990 шт - </t>
        </is>
      </c>
      <c r="O435" s="47" t="inlineStr">
        <is>
          <t xml:space="preserve"> руб / шт с НДС</t>
        </is>
      </c>
      <c r="P435" s="125">
        <f>ROUND(K435,2)</f>
        <v/>
      </c>
      <c r="Q435" s="207">
        <f>CONCATENATE(N435,P435,O435,)</f>
        <v/>
      </c>
      <c r="R435" s="240" t="n"/>
      <c r="T435" s="241" t="n"/>
      <c r="U435" s="240" t="n"/>
      <c r="V435" s="241" t="n"/>
      <c r="Z435" s="240" t="n"/>
      <c r="AB435" s="241" t="n"/>
      <c r="AC435" s="240" t="n"/>
      <c r="AD435" s="241" t="n"/>
    </row>
    <row r="436">
      <c r="B436" s="42" t="n">
        <v>88</v>
      </c>
      <c r="C436" s="118">
        <f>INDIRECT("'Закуп'!A" &amp; B436)</f>
        <v/>
      </c>
      <c r="D436" s="119">
        <f>C436*1.2</f>
        <v/>
      </c>
      <c r="G436" s="172">
        <f>IF(INDIRECT("'Закуп'!L" &amp; B436)="Sale","Sale","")</f>
        <v/>
      </c>
      <c r="H436" s="158">
        <f>IF(INDIRECT("'Закуп'!F" &amp; B436)=0,"",INDIRECT("'Закуп'!F" &amp; B436))</f>
        <v/>
      </c>
      <c r="I436" s="120" t="n">
        <v>1000</v>
      </c>
      <c r="J436" s="121">
        <f>K436/1.2</f>
        <v/>
      </c>
      <c r="K436" s="70" t="n">
        <v>0.7</v>
      </c>
      <c r="L436" s="122">
        <f>J436-C436-(J436-C436)*0.2</f>
        <v/>
      </c>
      <c r="M436" s="123">
        <f>L436*I436</f>
        <v/>
      </c>
      <c r="N436" s="124" t="inlineStr">
        <is>
          <t xml:space="preserve">1000 + шт - </t>
        </is>
      </c>
      <c r="O436" s="47" t="inlineStr">
        <is>
          <t xml:space="preserve"> руб / шт с НДС</t>
        </is>
      </c>
      <c r="P436" s="125">
        <f>ROUND(K436,2)</f>
        <v/>
      </c>
      <c r="Q436" s="207">
        <f>CONCATENATE(N436,P436,O436,)</f>
        <v/>
      </c>
      <c r="R436" s="240" t="n"/>
      <c r="T436" s="241" t="n"/>
      <c r="U436" s="240" t="n"/>
      <c r="V436" s="241" t="n"/>
      <c r="Z436" s="240" t="n"/>
      <c r="AB436" s="241" t="n"/>
      <c r="AC436" s="240" t="n"/>
      <c r="AD436" s="241" t="n"/>
    </row>
    <row r="437">
      <c r="A437" s="232" t="n">
        <v>89</v>
      </c>
      <c r="B437" s="42" t="n">
        <v>89</v>
      </c>
      <c r="C437" s="118">
        <f>INDIRECT("'Закуп'!A" &amp; B437)</f>
        <v/>
      </c>
      <c r="D437" s="119">
        <f>C437*1.2</f>
        <v/>
      </c>
      <c r="E437" s="224">
        <f>INDIRECT("'Закуп'!D" &amp; A437)</f>
        <v/>
      </c>
      <c r="F437" s="231">
        <f>INDIRECT("'Закуп'!E" &amp; B437)</f>
        <v/>
      </c>
      <c r="G437" s="172">
        <f>IF(INDIRECT("'Закуп'!L" &amp; B437)="Sale","Sale","")</f>
        <v/>
      </c>
      <c r="H437" s="158">
        <f>IF(INDIRECT("'Закуп'!F" &amp; B437)=0,"",INDIRECT("'Закуп'!F" &amp; B437))</f>
        <v/>
      </c>
      <c r="I437" s="120" t="n">
        <v>50</v>
      </c>
      <c r="J437" s="121">
        <f>K437/1.2</f>
        <v/>
      </c>
      <c r="K437" s="242" t="n">
        <v>1.48</v>
      </c>
      <c r="L437" s="122">
        <f>J437-C437-(J437-C437)*0.2</f>
        <v/>
      </c>
      <c r="M437" s="123">
        <f>L437*I437</f>
        <v/>
      </c>
      <c r="N437" s="124" t="inlineStr">
        <is>
          <t xml:space="preserve">50-90 шт - </t>
        </is>
      </c>
      <c r="O437" s="47" t="inlineStr">
        <is>
          <t xml:space="preserve"> руб / шт с НДС</t>
        </is>
      </c>
      <c r="P437" s="125">
        <f>ROUND(K437,2)</f>
        <v/>
      </c>
      <c r="Q437" s="207">
        <f>CONCATENATE(N437,P437,O437,)</f>
        <v/>
      </c>
      <c r="R437" s="235">
        <f>INDIRECT("'Закуп'!k" &amp; A437)</f>
        <v/>
      </c>
      <c r="S437" s="239">
        <f>INDIRECT("'Закуп'!o" &amp; A437)</f>
        <v/>
      </c>
      <c r="T437" s="226">
        <f>INDIRECT("'Закуп'!p" &amp; A437)</f>
        <v/>
      </c>
      <c r="U437" s="235">
        <f>INDIRECT("'Закуп'!v" &amp; A437)</f>
        <v/>
      </c>
      <c r="V437" s="222">
        <f>INDIRECT("'Закуп'!w" &amp; A437)</f>
        <v/>
      </c>
      <c r="W437" s="229">
        <f>INDIRECT("'Закуп'!H" &amp; A437)</f>
        <v/>
      </c>
      <c r="X437" s="237">
        <f>INDIRECT("'Закуп'!g" &amp; A437)</f>
        <v/>
      </c>
      <c r="Y437" s="229">
        <f>INDIRECT("'Закуп'!i" &amp; A437)</f>
        <v/>
      </c>
      <c r="Z437" s="236">
        <f>INDIRECT("'Закуп'!x" &amp; A437)</f>
        <v/>
      </c>
      <c r="AA437" s="237">
        <f>INDIRECT("'Закуп'!y" &amp; A437)</f>
        <v/>
      </c>
      <c r="AB437" s="238">
        <f>INDIRECT("'Закуп'!z" &amp; A437)</f>
        <v/>
      </c>
      <c r="AC437" s="223">
        <f>SUBSTITUTE(INDEX(F:F, ROUNDUP((ROW(A436))/5,0)*5 - 3), "х", "x")</f>
        <v/>
      </c>
      <c r="AD437" s="222">
        <f>SUBSTITUTE(INDEX(F:F, ROUNDUP((ROW(A436))/5,0)*5 - 3), "х", "x") &amp; " - " &amp; SUBSTITUTE(SUBSTITUTE(INDEX(F:F, ROUNDUP((ROW(A436))/5,0)*5 - 3), "х", "*"), "x", "*") &amp; " мм"</f>
        <v/>
      </c>
      <c r="AE437" t="n">
        <v>2.31</v>
      </c>
    </row>
    <row r="438">
      <c r="B438" s="42" t="n">
        <v>89</v>
      </c>
      <c r="C438" s="118">
        <f>INDIRECT("'Закуп'!A" &amp; B438)</f>
        <v/>
      </c>
      <c r="D438" s="119">
        <f>C438*1.2</f>
        <v/>
      </c>
      <c r="G438" s="172">
        <f>IF(INDIRECT("'Закуп'!L" &amp; B438)="Sale","Sale","")</f>
        <v/>
      </c>
      <c r="H438" s="158">
        <f>IF(INDIRECT("'Закуп'!F" &amp; B438)=0,"",INDIRECT("'Закуп'!F" &amp; B438))</f>
        <v/>
      </c>
      <c r="I438" s="120" t="n">
        <v>100</v>
      </c>
      <c r="J438" s="121">
        <f>K438/1.2</f>
        <v/>
      </c>
      <c r="K438" s="242" t="n">
        <v>1.26</v>
      </c>
      <c r="L438" s="122">
        <f>J438-C438-(J438-C438)*0.2</f>
        <v/>
      </c>
      <c r="M438" s="123">
        <f>L438*I438</f>
        <v/>
      </c>
      <c r="N438" s="124" t="inlineStr">
        <is>
          <t xml:space="preserve">100-290 шт - </t>
        </is>
      </c>
      <c r="O438" s="47" t="inlineStr">
        <is>
          <t xml:space="preserve"> руб / шт с НДС</t>
        </is>
      </c>
      <c r="P438" s="125">
        <f>ROUND(K438,2)</f>
        <v/>
      </c>
      <c r="Q438" s="207">
        <f>CONCATENATE(N438,P438,O438,)</f>
        <v/>
      </c>
      <c r="R438" s="240" t="n"/>
      <c r="T438" s="241" t="n"/>
      <c r="U438" s="240" t="n"/>
      <c r="V438" s="241" t="n"/>
      <c r="Z438" s="240" t="n"/>
      <c r="AB438" s="241" t="n"/>
      <c r="AC438" s="240" t="n"/>
      <c r="AD438" s="241" t="n"/>
      <c r="AE438" t="n">
        <v>2.11</v>
      </c>
    </row>
    <row r="439">
      <c r="B439" s="42" t="n">
        <v>89</v>
      </c>
      <c r="C439" s="118">
        <f>INDIRECT("'Закуп'!A" &amp; B439)</f>
        <v/>
      </c>
      <c r="D439" s="119">
        <f>C439*1.2</f>
        <v/>
      </c>
      <c r="G439" s="172">
        <f>IF(INDIRECT("'Закуп'!L" &amp; B439)="Sale","Sale","")</f>
        <v/>
      </c>
      <c r="H439" s="158">
        <f>IF(INDIRECT("'Закуп'!F" &amp; B439)=0,"",INDIRECT("'Закуп'!F" &amp; B439))</f>
        <v/>
      </c>
      <c r="I439" s="120" t="n">
        <v>300</v>
      </c>
      <c r="J439" s="121">
        <f>K439/1.2</f>
        <v/>
      </c>
      <c r="K439" s="242" t="n">
        <v>1.18</v>
      </c>
      <c r="L439" s="122">
        <f>J439-C439-(J439-C439)*0.2</f>
        <v/>
      </c>
      <c r="M439" s="123">
        <f>L439*I439</f>
        <v/>
      </c>
      <c r="N439" s="124" t="inlineStr">
        <is>
          <t xml:space="preserve">300-490 шт - </t>
        </is>
      </c>
      <c r="O439" s="47" t="inlineStr">
        <is>
          <t xml:space="preserve"> руб / шт с НДС</t>
        </is>
      </c>
      <c r="P439" s="125">
        <f>ROUND(K439,2)</f>
        <v/>
      </c>
      <c r="Q439" s="207">
        <f>CONCATENATE(N439,P439,O439,)</f>
        <v/>
      </c>
      <c r="R439" s="240" t="n"/>
      <c r="T439" s="241" t="n"/>
      <c r="U439" s="240" t="n"/>
      <c r="V439" s="241" t="n"/>
      <c r="Z439" s="240" t="n"/>
      <c r="AB439" s="241" t="n"/>
      <c r="AC439" s="240" t="n"/>
      <c r="AD439" s="241" t="n"/>
      <c r="AE439" t="n">
        <v>1.65</v>
      </c>
    </row>
    <row r="440">
      <c r="B440" s="42" t="n">
        <v>89</v>
      </c>
      <c r="C440" s="118">
        <f>INDIRECT("'Закуп'!A" &amp; B440)</f>
        <v/>
      </c>
      <c r="D440" s="119">
        <f>C440*1.2</f>
        <v/>
      </c>
      <c r="G440" s="172">
        <f>IF(INDIRECT("'Закуп'!L" &amp; B440)="Sale","Sale","")</f>
        <v/>
      </c>
      <c r="H440" s="158">
        <f>IF(INDIRECT("'Закуп'!F" &amp; B440)=0,"",INDIRECT("'Закуп'!F" &amp; B440))</f>
        <v/>
      </c>
      <c r="I440" s="120" t="n">
        <v>500</v>
      </c>
      <c r="J440" s="121">
        <f>K440/1.2</f>
        <v/>
      </c>
      <c r="K440" s="242" t="n">
        <v>1.12</v>
      </c>
      <c r="L440" s="122">
        <f>J440-C440-(J440-C440)*0.2</f>
        <v/>
      </c>
      <c r="M440" s="123">
        <f>L440*I440</f>
        <v/>
      </c>
      <c r="N440" s="124" t="inlineStr">
        <is>
          <t xml:space="preserve">500-990 шт - </t>
        </is>
      </c>
      <c r="O440" s="47" t="inlineStr">
        <is>
          <t xml:space="preserve"> руб / шт с НДС</t>
        </is>
      </c>
      <c r="P440" s="125">
        <f>ROUND(K440,2)</f>
        <v/>
      </c>
      <c r="Q440" s="207">
        <f>CONCATENATE(N440,P440,O440,)</f>
        <v/>
      </c>
      <c r="R440" s="240" t="n"/>
      <c r="T440" s="241" t="n"/>
      <c r="U440" s="240" t="n"/>
      <c r="V440" s="241" t="n"/>
      <c r="Z440" s="240" t="n"/>
      <c r="AB440" s="241" t="n"/>
      <c r="AC440" s="240" t="n"/>
      <c r="AD440" s="241" t="n"/>
      <c r="AE440" t="n">
        <v>1.42</v>
      </c>
    </row>
    <row r="441">
      <c r="B441" s="42" t="n">
        <v>89</v>
      </c>
      <c r="C441" s="118">
        <f>INDIRECT("'Закуп'!A" &amp; B441)</f>
        <v/>
      </c>
      <c r="D441" s="119">
        <f>C441*1.2</f>
        <v/>
      </c>
      <c r="G441" s="172">
        <f>IF(INDIRECT("'Закуп'!L" &amp; B441)="Sale","Sale","")</f>
        <v/>
      </c>
      <c r="H441" s="158">
        <f>IF(INDIRECT("'Закуп'!F" &amp; B441)=0,"",INDIRECT("'Закуп'!F" &amp; B441))</f>
        <v/>
      </c>
      <c r="I441" s="120" t="n">
        <v>1000</v>
      </c>
      <c r="J441" s="121">
        <f>K441/1.2</f>
        <v/>
      </c>
      <c r="K441" s="242" t="n">
        <v>1.08</v>
      </c>
      <c r="L441" s="122">
        <f>J441-C441-(J441-C441)*0.2</f>
        <v/>
      </c>
      <c r="M441" s="123">
        <f>L441*I441</f>
        <v/>
      </c>
      <c r="N441" s="124" t="inlineStr">
        <is>
          <t xml:space="preserve">1000 + шт - </t>
        </is>
      </c>
      <c r="O441" s="47" t="inlineStr">
        <is>
          <t xml:space="preserve"> руб / шт с НДС</t>
        </is>
      </c>
      <c r="P441" s="125">
        <f>ROUND(K441,2)</f>
        <v/>
      </c>
      <c r="Q441" s="207">
        <f>CONCATENATE(N441,P441,O441,)</f>
        <v/>
      </c>
      <c r="R441" s="240" t="n"/>
      <c r="T441" s="241" t="n"/>
      <c r="U441" s="240" t="n"/>
      <c r="V441" s="241" t="n"/>
      <c r="Z441" s="240" t="n"/>
      <c r="AB441" s="241" t="n"/>
      <c r="AC441" s="240" t="n"/>
      <c r="AD441" s="241" t="n"/>
      <c r="AE441" t="n">
        <v>1.33</v>
      </c>
    </row>
    <row r="442">
      <c r="A442" s="232" t="n">
        <v>90</v>
      </c>
      <c r="B442" s="42" t="n">
        <v>90</v>
      </c>
      <c r="C442" s="118">
        <f>INDIRECT("'Закуп'!A" &amp; B442)</f>
        <v/>
      </c>
      <c r="D442" s="119">
        <f>C442*1.2</f>
        <v/>
      </c>
      <c r="E442" s="224">
        <f>INDIRECT("'Закуп'!D" &amp; A442)</f>
        <v/>
      </c>
      <c r="F442" s="231">
        <f>INDIRECT("'Закуп'!E" &amp; B442)</f>
        <v/>
      </c>
      <c r="G442" s="172">
        <f>IF(INDIRECT("'Закуп'!L" &amp; B442)="Sale","Sale","")</f>
        <v/>
      </c>
      <c r="H442" s="158">
        <f>IF(INDIRECT("'Закуп'!F" &amp; B442)=0,"",INDIRECT("'Закуп'!F" &amp; B442))</f>
        <v/>
      </c>
      <c r="I442" s="120" t="n">
        <v>50</v>
      </c>
      <c r="J442" s="121">
        <f>K442/1.2</f>
        <v/>
      </c>
      <c r="K442" s="70" t="n">
        <v>1.39</v>
      </c>
      <c r="L442" s="122">
        <f>J442-C442-(J442-C442)*0.2</f>
        <v/>
      </c>
      <c r="M442" s="123">
        <f>L442*I442</f>
        <v/>
      </c>
      <c r="N442" s="124" t="inlineStr">
        <is>
          <t xml:space="preserve">50-90 шт - </t>
        </is>
      </c>
      <c r="O442" s="47" t="inlineStr">
        <is>
          <t xml:space="preserve"> руб / шт с НДС</t>
        </is>
      </c>
      <c r="P442" s="125">
        <f>ROUND(K442,2)</f>
        <v/>
      </c>
      <c r="Q442" s="207">
        <f>CONCATENATE(N442,P442,O442,)</f>
        <v/>
      </c>
      <c r="R442" s="235">
        <f>INDIRECT("'Закуп'!k" &amp; A442)</f>
        <v/>
      </c>
      <c r="S442" s="239">
        <f>INDIRECT("'Закуп'!o" &amp; A442)</f>
        <v/>
      </c>
      <c r="T442" s="226">
        <f>INDIRECT("'Закуп'!p" &amp; A442)</f>
        <v/>
      </c>
      <c r="U442" s="235">
        <f>INDIRECT("'Закуп'!v" &amp; A442)</f>
        <v/>
      </c>
      <c r="V442" s="222">
        <f>INDIRECT("'Закуп'!w" &amp; A442)</f>
        <v/>
      </c>
      <c r="W442" s="229">
        <f>INDIRECT("'Закуп'!H" &amp; A442)</f>
        <v/>
      </c>
      <c r="X442" s="237">
        <f>INDIRECT("'Закуп'!g" &amp; A442)</f>
        <v/>
      </c>
      <c r="Y442" s="229">
        <f>INDIRECT("'Закуп'!i" &amp; A442)</f>
        <v/>
      </c>
      <c r="Z442" s="236">
        <f>INDIRECT("'Закуп'!x" &amp; A442)</f>
        <v/>
      </c>
      <c r="AA442" s="237">
        <f>INDIRECT("'Закуп'!y" &amp; A442)</f>
        <v/>
      </c>
      <c r="AB442" s="238">
        <f>INDIRECT("'Закуп'!z" &amp; A442)</f>
        <v/>
      </c>
      <c r="AC442" s="223">
        <f>SUBSTITUTE(INDEX(F:F, ROUNDUP((ROW(A441))/5,0)*5 - 3), "х", "x")</f>
        <v/>
      </c>
      <c r="AD442" s="222">
        <f>SUBSTITUTE(INDEX(F:F, ROUNDUP((ROW(A441))/5,0)*5 - 3), "х", "x") &amp; " - " &amp; SUBSTITUTE(SUBSTITUTE(INDEX(F:F, ROUNDUP((ROW(A441))/5,0)*5 - 3), "х", "*"), "x", "*") &amp; " мм"</f>
        <v/>
      </c>
    </row>
    <row r="443">
      <c r="B443" s="42" t="n">
        <v>90</v>
      </c>
      <c r="C443" s="118">
        <f>INDIRECT("'Закуп'!A" &amp; B443)</f>
        <v/>
      </c>
      <c r="D443" s="119">
        <f>C443*1.2</f>
        <v/>
      </c>
      <c r="G443" s="172">
        <f>IF(INDIRECT("'Закуп'!L" &amp; B443)="Sale","Sale","")</f>
        <v/>
      </c>
      <c r="H443" s="158">
        <f>IF(INDIRECT("'Закуп'!F" &amp; B443)=0,"",INDIRECT("'Закуп'!F" &amp; B443))</f>
        <v/>
      </c>
      <c r="I443" s="120" t="n">
        <v>100</v>
      </c>
      <c r="J443" s="121">
        <f>K443/1.2</f>
        <v/>
      </c>
      <c r="K443" s="70" t="n">
        <v>1.21</v>
      </c>
      <c r="L443" s="122">
        <f>J443-C443-(J443-C443)*0.2</f>
        <v/>
      </c>
      <c r="M443" s="123">
        <f>L443*I443</f>
        <v/>
      </c>
      <c r="N443" s="124" t="inlineStr">
        <is>
          <t xml:space="preserve">100-290 шт - </t>
        </is>
      </c>
      <c r="O443" s="47" t="inlineStr">
        <is>
          <t xml:space="preserve"> руб / шт с НДС</t>
        </is>
      </c>
      <c r="P443" s="125">
        <f>ROUND(K443,2)</f>
        <v/>
      </c>
      <c r="Q443" s="207">
        <f>CONCATENATE(N443,P443,O443,)</f>
        <v/>
      </c>
      <c r="R443" s="240" t="n"/>
      <c r="T443" s="241" t="n"/>
      <c r="U443" s="240" t="n"/>
      <c r="V443" s="241" t="n"/>
      <c r="Z443" s="240" t="n"/>
      <c r="AB443" s="241" t="n"/>
      <c r="AC443" s="240" t="n"/>
      <c r="AD443" s="241" t="n"/>
    </row>
    <row r="444">
      <c r="B444" s="42" t="n">
        <v>90</v>
      </c>
      <c r="C444" s="118">
        <f>INDIRECT("'Закуп'!A" &amp; B444)</f>
        <v/>
      </c>
      <c r="D444" s="119">
        <f>C444*1.2</f>
        <v/>
      </c>
      <c r="G444" s="172">
        <f>IF(INDIRECT("'Закуп'!L" &amp; B444)="Sale","Sale","")</f>
        <v/>
      </c>
      <c r="H444" s="158">
        <f>IF(INDIRECT("'Закуп'!F" &amp; B444)=0,"",INDIRECT("'Закуп'!F" &amp; B444))</f>
        <v/>
      </c>
      <c r="I444" s="120" t="n">
        <v>300</v>
      </c>
      <c r="J444" s="121">
        <f>K444/1.2</f>
        <v/>
      </c>
      <c r="K444" s="70" t="n">
        <v>1.03</v>
      </c>
      <c r="L444" s="122">
        <f>J444-C444-(J444-C444)*0.2</f>
        <v/>
      </c>
      <c r="M444" s="123">
        <f>L444*I444</f>
        <v/>
      </c>
      <c r="N444" s="124" t="inlineStr">
        <is>
          <t xml:space="preserve">300-490 шт - </t>
        </is>
      </c>
      <c r="O444" s="47" t="inlineStr">
        <is>
          <t xml:space="preserve"> руб / шт с НДС</t>
        </is>
      </c>
      <c r="P444" s="125">
        <f>ROUND(K444,2)</f>
        <v/>
      </c>
      <c r="Q444" s="207">
        <f>CONCATENATE(N444,P444,O444,)</f>
        <v/>
      </c>
      <c r="R444" s="240" t="n"/>
      <c r="T444" s="241" t="n"/>
      <c r="U444" s="240" t="n"/>
      <c r="V444" s="241" t="n"/>
      <c r="Z444" s="240" t="n"/>
      <c r="AB444" s="241" t="n"/>
      <c r="AC444" s="240" t="n"/>
      <c r="AD444" s="241" t="n"/>
    </row>
    <row r="445">
      <c r="B445" s="42" t="n">
        <v>90</v>
      </c>
      <c r="C445" s="118">
        <f>INDIRECT("'Закуп'!A" &amp; B445)</f>
        <v/>
      </c>
      <c r="D445" s="119">
        <f>C445*1.2</f>
        <v/>
      </c>
      <c r="G445" s="172">
        <f>IF(INDIRECT("'Закуп'!L" &amp; B445)="Sale","Sale","")</f>
        <v/>
      </c>
      <c r="H445" s="158">
        <f>IF(INDIRECT("'Закуп'!F" &amp; B445)=0,"",INDIRECT("'Закуп'!F" &amp; B445))</f>
        <v/>
      </c>
      <c r="I445" s="120" t="n">
        <v>500</v>
      </c>
      <c r="J445" s="121">
        <f>K445/1.2</f>
        <v/>
      </c>
      <c r="K445" s="70" t="n">
        <v>0.96</v>
      </c>
      <c r="L445" s="122">
        <f>J445-C445-(J445-C445)*0.2</f>
        <v/>
      </c>
      <c r="M445" s="123">
        <f>L445*I445</f>
        <v/>
      </c>
      <c r="N445" s="124" t="inlineStr">
        <is>
          <t xml:space="preserve">500-990 шт - </t>
        </is>
      </c>
      <c r="O445" s="47" t="inlineStr">
        <is>
          <t xml:space="preserve"> руб / шт с НДС</t>
        </is>
      </c>
      <c r="P445" s="125">
        <f>ROUND(K445,2)</f>
        <v/>
      </c>
      <c r="Q445" s="207">
        <f>CONCATENATE(N445,P445,O445,)</f>
        <v/>
      </c>
      <c r="R445" s="240" t="n"/>
      <c r="T445" s="241" t="n"/>
      <c r="U445" s="240" t="n"/>
      <c r="V445" s="241" t="n"/>
      <c r="Z445" s="240" t="n"/>
      <c r="AB445" s="241" t="n"/>
      <c r="AC445" s="240" t="n"/>
      <c r="AD445" s="241" t="n"/>
    </row>
    <row r="446">
      <c r="B446" s="42" t="n">
        <v>90</v>
      </c>
      <c r="C446" s="118">
        <f>INDIRECT("'Закуп'!A" &amp; B446)</f>
        <v/>
      </c>
      <c r="D446" s="119">
        <f>C446*1.2</f>
        <v/>
      </c>
      <c r="G446" s="172">
        <f>IF(INDIRECT("'Закуп'!L" &amp; B446)="Sale","Sale","")</f>
        <v/>
      </c>
      <c r="H446" s="158">
        <f>IF(INDIRECT("'Закуп'!F" &amp; B446)=0,"",INDIRECT("'Закуп'!F" &amp; B446))</f>
        <v/>
      </c>
      <c r="I446" s="120" t="n">
        <v>1000</v>
      </c>
      <c r="J446" s="121">
        <f>K446/1.2</f>
        <v/>
      </c>
      <c r="K446" s="70" t="n">
        <v>0.9</v>
      </c>
      <c r="L446" s="122">
        <f>J446-C446-(J446-C446)*0.2</f>
        <v/>
      </c>
      <c r="M446" s="123">
        <f>L446*I446</f>
        <v/>
      </c>
      <c r="N446" s="124" t="inlineStr">
        <is>
          <t xml:space="preserve">1000 + шт - </t>
        </is>
      </c>
      <c r="O446" s="47" t="inlineStr">
        <is>
          <t xml:space="preserve"> руб / шт с НДС</t>
        </is>
      </c>
      <c r="P446" s="125">
        <f>ROUND(K446,2)</f>
        <v/>
      </c>
      <c r="Q446" s="207">
        <f>CONCATENATE(N446,P446,O446,)</f>
        <v/>
      </c>
      <c r="R446" s="240" t="n"/>
      <c r="T446" s="241" t="n"/>
      <c r="U446" s="240" t="n"/>
      <c r="V446" s="241" t="n"/>
      <c r="Z446" s="240" t="n"/>
      <c r="AB446" s="241" t="n"/>
      <c r="AC446" s="240" t="n"/>
      <c r="AD446" s="241" t="n"/>
    </row>
    <row r="447">
      <c r="A447" s="232" t="n">
        <v>91</v>
      </c>
      <c r="B447" s="42" t="n">
        <v>91</v>
      </c>
      <c r="C447" s="118">
        <f>INDIRECT("'Закуп'!A" &amp; B447)</f>
        <v/>
      </c>
      <c r="D447" s="119">
        <f>C447*1.2</f>
        <v/>
      </c>
      <c r="E447" s="224">
        <f>INDIRECT("'Закуп'!D" &amp; A447)</f>
        <v/>
      </c>
      <c r="F447" s="231">
        <f>INDIRECT("'Закуп'!E" &amp; B447)</f>
        <v/>
      </c>
      <c r="G447" s="172">
        <f>IF(INDIRECT("'Закуп'!L" &amp; B447)="Sale","Sale","")</f>
        <v/>
      </c>
      <c r="H447" s="158">
        <f>IF(INDIRECT("'Закуп'!F" &amp; B447)=0,"",INDIRECT("'Закуп'!F" &amp; B447))</f>
        <v/>
      </c>
      <c r="I447" s="120" t="n">
        <v>50</v>
      </c>
      <c r="J447" s="121">
        <f>K447/1.2</f>
        <v/>
      </c>
      <c r="K447" s="70" t="n">
        <v>1.39</v>
      </c>
      <c r="L447" s="122">
        <f>J447-C447-(J447-C447)*0.2</f>
        <v/>
      </c>
      <c r="M447" s="123">
        <f>L447*I447</f>
        <v/>
      </c>
      <c r="N447" s="124" t="inlineStr">
        <is>
          <t xml:space="preserve">50-90 шт - </t>
        </is>
      </c>
      <c r="O447" s="47" t="inlineStr">
        <is>
          <t xml:space="preserve"> руб / шт с НДС</t>
        </is>
      </c>
      <c r="P447" s="125">
        <f>ROUND(K447,2)</f>
        <v/>
      </c>
      <c r="Q447" s="207">
        <f>CONCATENATE(N447,P447,O447,)</f>
        <v/>
      </c>
      <c r="R447" s="235">
        <f>INDIRECT("'Закуп'!k" &amp; A447)</f>
        <v/>
      </c>
      <c r="S447" s="239">
        <f>INDIRECT("'Закуп'!o" &amp; A447)</f>
        <v/>
      </c>
      <c r="T447" s="226">
        <f>INDIRECT("'Закуп'!p" &amp; A447)</f>
        <v/>
      </c>
      <c r="U447" s="235">
        <f>INDIRECT("'Закуп'!v" &amp; A447)</f>
        <v/>
      </c>
      <c r="V447" s="222">
        <f>INDIRECT("'Закуп'!w" &amp; A447)</f>
        <v/>
      </c>
      <c r="W447" s="229">
        <f>INDIRECT("'Закуп'!H" &amp; A447)</f>
        <v/>
      </c>
      <c r="X447" s="237">
        <f>INDIRECT("'Закуп'!g" &amp; A447)</f>
        <v/>
      </c>
      <c r="Y447" s="229">
        <f>INDIRECT("'Закуп'!i" &amp; A447)</f>
        <v/>
      </c>
      <c r="Z447" s="236">
        <f>INDIRECT("'Закуп'!x" &amp; A447)</f>
        <v/>
      </c>
      <c r="AA447" s="237">
        <f>INDIRECT("'Закуп'!y" &amp; A447)</f>
        <v/>
      </c>
      <c r="AB447" s="238">
        <f>INDIRECT("'Закуп'!z" &amp; A447)</f>
        <v/>
      </c>
      <c r="AC447" s="223">
        <f>SUBSTITUTE(INDEX(F:F, ROUNDUP((ROW(A446))/5,0)*5 - 3), "х", "x")</f>
        <v/>
      </c>
      <c r="AD447" s="222">
        <f>SUBSTITUTE(INDEX(F:F, ROUNDUP((ROW(A446))/5,0)*5 - 3), "х", "x") &amp; " - " &amp; SUBSTITUTE(SUBSTITUTE(INDEX(F:F, ROUNDUP((ROW(A446))/5,0)*5 - 3), "х", "*"), "x", "*") &amp; " мм"</f>
        <v/>
      </c>
    </row>
    <row r="448">
      <c r="B448" s="42" t="n">
        <v>91</v>
      </c>
      <c r="C448" s="118">
        <f>INDIRECT("'Закуп'!A" &amp; B448)</f>
        <v/>
      </c>
      <c r="D448" s="119">
        <f>C448*1.2</f>
        <v/>
      </c>
      <c r="G448" s="172">
        <f>IF(INDIRECT("'Закуп'!L" &amp; B448)="Sale","Sale","")</f>
        <v/>
      </c>
      <c r="H448" s="158">
        <f>IF(INDIRECT("'Закуп'!F" &amp; B448)=0,"",INDIRECT("'Закуп'!F" &amp; B448))</f>
        <v/>
      </c>
      <c r="I448" s="120" t="n">
        <v>100</v>
      </c>
      <c r="J448" s="121">
        <f>K448/1.2</f>
        <v/>
      </c>
      <c r="K448" s="70" t="n">
        <v>1.21</v>
      </c>
      <c r="L448" s="122">
        <f>J448-C448-(J448-C448)*0.2</f>
        <v/>
      </c>
      <c r="M448" s="123">
        <f>L448*I448</f>
        <v/>
      </c>
      <c r="N448" s="124" t="inlineStr">
        <is>
          <t xml:space="preserve">100-290 шт - </t>
        </is>
      </c>
      <c r="O448" s="47" t="inlineStr">
        <is>
          <t xml:space="preserve"> руб / шт с НДС</t>
        </is>
      </c>
      <c r="P448" s="125">
        <f>ROUND(K448,2)</f>
        <v/>
      </c>
      <c r="Q448" s="207">
        <f>CONCATENATE(N448,P448,O448,)</f>
        <v/>
      </c>
      <c r="R448" s="240" t="n"/>
      <c r="T448" s="241" t="n"/>
      <c r="U448" s="240" t="n"/>
      <c r="V448" s="241" t="n"/>
      <c r="Z448" s="240" t="n"/>
      <c r="AB448" s="241" t="n"/>
      <c r="AC448" s="240" t="n"/>
      <c r="AD448" s="241" t="n"/>
    </row>
    <row r="449">
      <c r="B449" s="42" t="n">
        <v>91</v>
      </c>
      <c r="C449" s="118">
        <f>INDIRECT("'Закуп'!A" &amp; B449)</f>
        <v/>
      </c>
      <c r="D449" s="119">
        <f>C449*1.2</f>
        <v/>
      </c>
      <c r="G449" s="172">
        <f>IF(INDIRECT("'Закуп'!L" &amp; B449)="Sale","Sale","")</f>
        <v/>
      </c>
      <c r="H449" s="158">
        <f>IF(INDIRECT("'Закуп'!F" &amp; B449)=0,"",INDIRECT("'Закуп'!F" &amp; B449))</f>
        <v/>
      </c>
      <c r="I449" s="120" t="n">
        <v>300</v>
      </c>
      <c r="J449" s="121">
        <f>K449/1.2</f>
        <v/>
      </c>
      <c r="K449" s="70" t="n">
        <v>1.03</v>
      </c>
      <c r="L449" s="122">
        <f>J449-C449-(J449-C449)*0.2</f>
        <v/>
      </c>
      <c r="M449" s="123">
        <f>L449*I449</f>
        <v/>
      </c>
      <c r="N449" s="124" t="inlineStr">
        <is>
          <t xml:space="preserve">300-490 шт - </t>
        </is>
      </c>
      <c r="O449" s="47" t="inlineStr">
        <is>
          <t xml:space="preserve"> руб / шт с НДС</t>
        </is>
      </c>
      <c r="P449" s="125">
        <f>ROUND(K449,2)</f>
        <v/>
      </c>
      <c r="Q449" s="207">
        <f>CONCATENATE(N449,P449,O449,)</f>
        <v/>
      </c>
      <c r="R449" s="240" t="n"/>
      <c r="T449" s="241" t="n"/>
      <c r="U449" s="240" t="n"/>
      <c r="V449" s="241" t="n"/>
      <c r="Z449" s="240" t="n"/>
      <c r="AB449" s="241" t="n"/>
      <c r="AC449" s="240" t="n"/>
      <c r="AD449" s="241" t="n"/>
    </row>
    <row r="450">
      <c r="B450" s="42" t="n">
        <v>91</v>
      </c>
      <c r="C450" s="118">
        <f>INDIRECT("'Закуп'!A" &amp; B450)</f>
        <v/>
      </c>
      <c r="D450" s="119">
        <f>C450*1.2</f>
        <v/>
      </c>
      <c r="G450" s="172">
        <f>IF(INDIRECT("'Закуп'!L" &amp; B450)="Sale","Sale","")</f>
        <v/>
      </c>
      <c r="H450" s="158">
        <f>IF(INDIRECT("'Закуп'!F" &amp; B450)=0,"",INDIRECT("'Закуп'!F" &amp; B450))</f>
        <v/>
      </c>
      <c r="I450" s="120" t="n">
        <v>500</v>
      </c>
      <c r="J450" s="121">
        <f>K450/1.2</f>
        <v/>
      </c>
      <c r="K450" s="70" t="n">
        <v>0.96</v>
      </c>
      <c r="L450" s="122">
        <f>J450-C450-(J450-C450)*0.2</f>
        <v/>
      </c>
      <c r="M450" s="123">
        <f>L450*I450</f>
        <v/>
      </c>
      <c r="N450" s="124" t="inlineStr">
        <is>
          <t xml:space="preserve">500-990 шт - </t>
        </is>
      </c>
      <c r="O450" s="47" t="inlineStr">
        <is>
          <t xml:space="preserve"> руб / шт с НДС</t>
        </is>
      </c>
      <c r="P450" s="125">
        <f>ROUND(K450,2)</f>
        <v/>
      </c>
      <c r="Q450" s="207">
        <f>CONCATENATE(N450,P450,O450,)</f>
        <v/>
      </c>
      <c r="R450" s="240" t="n"/>
      <c r="T450" s="241" t="n"/>
      <c r="U450" s="240" t="n"/>
      <c r="V450" s="241" t="n"/>
      <c r="Z450" s="240" t="n"/>
      <c r="AB450" s="241" t="n"/>
      <c r="AC450" s="240" t="n"/>
      <c r="AD450" s="241" t="n"/>
    </row>
    <row r="451">
      <c r="B451" s="42" t="n">
        <v>91</v>
      </c>
      <c r="C451" s="118">
        <f>INDIRECT("'Закуп'!A" &amp; B451)</f>
        <v/>
      </c>
      <c r="D451" s="119">
        <f>C451*1.2</f>
        <v/>
      </c>
      <c r="G451" s="172">
        <f>IF(INDIRECT("'Закуп'!L" &amp; B451)="Sale","Sale","")</f>
        <v/>
      </c>
      <c r="H451" s="158">
        <f>IF(INDIRECT("'Закуп'!F" &amp; B451)=0,"",INDIRECT("'Закуп'!F" &amp; B451))</f>
        <v/>
      </c>
      <c r="I451" s="120" t="n">
        <v>1000</v>
      </c>
      <c r="J451" s="121">
        <f>K451/1.2</f>
        <v/>
      </c>
      <c r="K451" s="70" t="n">
        <v>0.9</v>
      </c>
      <c r="L451" s="122">
        <f>J451-C451-(J451-C451)*0.2</f>
        <v/>
      </c>
      <c r="M451" s="123">
        <f>L451*I451</f>
        <v/>
      </c>
      <c r="N451" s="124" t="inlineStr">
        <is>
          <t xml:space="preserve">1000 + шт - </t>
        </is>
      </c>
      <c r="O451" s="47" t="inlineStr">
        <is>
          <t xml:space="preserve"> руб / шт с НДС</t>
        </is>
      </c>
      <c r="P451" s="125">
        <f>ROUND(K451,2)</f>
        <v/>
      </c>
      <c r="Q451" s="207">
        <f>CONCATENATE(N451,P451,O451,)</f>
        <v/>
      </c>
      <c r="R451" s="240" t="n"/>
      <c r="T451" s="241" t="n"/>
      <c r="U451" s="240" t="n"/>
      <c r="V451" s="241" t="n"/>
      <c r="Z451" s="240" t="n"/>
      <c r="AB451" s="241" t="n"/>
      <c r="AC451" s="240" t="n"/>
      <c r="AD451" s="241" t="n"/>
    </row>
    <row r="452">
      <c r="A452" s="232" t="n">
        <v>92</v>
      </c>
      <c r="B452" s="42" t="n">
        <v>92</v>
      </c>
      <c r="C452" s="118">
        <f>INDIRECT("'Закуп'!A" &amp; B452)</f>
        <v/>
      </c>
      <c r="D452" s="119">
        <f>C452*1.2</f>
        <v/>
      </c>
      <c r="E452" s="224">
        <f>INDIRECT("'Закуп'!D" &amp; A452)</f>
        <v/>
      </c>
      <c r="F452" s="231">
        <f>INDIRECT("'Закуп'!E" &amp; B452)</f>
        <v/>
      </c>
      <c r="G452" s="172">
        <f>IF(INDIRECT("'Закуп'!L" &amp; B452)="Sale","Sale","")</f>
        <v/>
      </c>
      <c r="H452" s="158">
        <f>IF(INDIRECT("'Закуп'!F" &amp; B452)=0,"",INDIRECT("'Закуп'!F" &amp; B452))</f>
        <v/>
      </c>
      <c r="I452" s="120" t="n">
        <v>50</v>
      </c>
      <c r="J452" s="121">
        <f>K452/1.2</f>
        <v/>
      </c>
      <c r="K452" s="242" t="n">
        <v>2.77</v>
      </c>
      <c r="L452" s="122">
        <f>J452-C452-(J452-C452)*0.2</f>
        <v/>
      </c>
      <c r="M452" s="123">
        <f>L452*I452</f>
        <v/>
      </c>
      <c r="N452" s="124" t="inlineStr">
        <is>
          <t xml:space="preserve">50-90 шт - </t>
        </is>
      </c>
      <c r="O452" s="47" t="inlineStr">
        <is>
          <t xml:space="preserve"> руб / шт с НДС</t>
        </is>
      </c>
      <c r="P452" s="125">
        <f>ROUND(K452,2)</f>
        <v/>
      </c>
      <c r="Q452" s="207">
        <f>CONCATENATE(N452,P452,O452,)</f>
        <v/>
      </c>
      <c r="R452" s="235">
        <f>INDIRECT("'Закуп'!k" &amp; A452)</f>
        <v/>
      </c>
      <c r="S452" s="239">
        <f>INDIRECT("'Закуп'!o" &amp; A452)</f>
        <v/>
      </c>
      <c r="T452" s="226">
        <f>INDIRECT("'Закуп'!p" &amp; A452)</f>
        <v/>
      </c>
      <c r="U452" s="235">
        <f>INDIRECT("'Закуп'!v" &amp; A452)</f>
        <v/>
      </c>
      <c r="V452" s="222">
        <f>INDIRECT("'Закуп'!w" &amp; A452)</f>
        <v/>
      </c>
      <c r="W452" s="229">
        <f>INDIRECT("'Закуп'!H" &amp; A452)</f>
        <v/>
      </c>
      <c r="X452" s="237">
        <f>INDIRECT("'Закуп'!g" &amp; A452)</f>
        <v/>
      </c>
      <c r="Y452" s="229">
        <f>INDIRECT("'Закуп'!i" &amp; A452)</f>
        <v/>
      </c>
      <c r="Z452" s="236">
        <f>INDIRECT("'Закуп'!x" &amp; A452)</f>
        <v/>
      </c>
      <c r="AA452" s="237">
        <f>INDIRECT("'Закуп'!y" &amp; A452)</f>
        <v/>
      </c>
      <c r="AB452" s="238">
        <f>INDIRECT("'Закуп'!z" &amp; A452)</f>
        <v/>
      </c>
      <c r="AC452" s="223">
        <f>SUBSTITUTE(INDEX(F:F, ROUNDUP((ROW(A451))/5,0)*5 - 3), "х", "x")</f>
        <v/>
      </c>
      <c r="AD452" s="222">
        <f>SUBSTITUTE(INDEX(F:F, ROUNDUP((ROW(A451))/5,0)*5 - 3), "х", "x") &amp; " - " &amp; SUBSTITUTE(SUBSTITUTE(INDEX(F:F, ROUNDUP((ROW(A451))/5,0)*5 - 3), "х", "*"), "x", "*") &amp; " мм"</f>
        <v/>
      </c>
      <c r="AE452" t="n">
        <v>4.57</v>
      </c>
    </row>
    <row r="453">
      <c r="B453" s="42" t="n">
        <v>92</v>
      </c>
      <c r="C453" s="118">
        <f>INDIRECT("'Закуп'!A" &amp; B453)</f>
        <v/>
      </c>
      <c r="D453" s="119">
        <f>C453*1.2</f>
        <v/>
      </c>
      <c r="G453" s="172">
        <f>IF(INDIRECT("'Закуп'!L" &amp; B453)="Sale","Sale","")</f>
        <v/>
      </c>
      <c r="H453" s="158">
        <f>IF(INDIRECT("'Закуп'!F" &amp; B453)=0,"",INDIRECT("'Закуп'!F" &amp; B453))</f>
        <v/>
      </c>
      <c r="I453" s="120" t="n">
        <v>100</v>
      </c>
      <c r="J453" s="121">
        <f>K453/1.2</f>
        <v/>
      </c>
      <c r="K453" s="242" t="n">
        <v>2.36</v>
      </c>
      <c r="L453" s="122">
        <f>J453-C453-(J453-C453)*0.2</f>
        <v/>
      </c>
      <c r="M453" s="123">
        <f>L453*I453</f>
        <v/>
      </c>
      <c r="N453" s="124" t="inlineStr">
        <is>
          <t xml:space="preserve">100-290 шт - </t>
        </is>
      </c>
      <c r="O453" s="47" t="inlineStr">
        <is>
          <t xml:space="preserve"> руб / шт с НДС</t>
        </is>
      </c>
      <c r="P453" s="125">
        <f>ROUND(K453,2)</f>
        <v/>
      </c>
      <c r="Q453" s="207">
        <f>CONCATENATE(N453,P453,O453,)</f>
        <v/>
      </c>
      <c r="R453" s="240" t="n"/>
      <c r="T453" s="241" t="n"/>
      <c r="U453" s="240" t="n"/>
      <c r="V453" s="241" t="n"/>
      <c r="Z453" s="240" t="n"/>
      <c r="AB453" s="241" t="n"/>
      <c r="AC453" s="240" t="n"/>
      <c r="AD453" s="241" t="n"/>
      <c r="AE453" t="n">
        <v>3.61</v>
      </c>
    </row>
    <row r="454">
      <c r="B454" s="42" t="n">
        <v>92</v>
      </c>
      <c r="C454" s="118">
        <f>INDIRECT("'Закуп'!A" &amp; B454)</f>
        <v/>
      </c>
      <c r="D454" s="119">
        <f>C454*1.2</f>
        <v/>
      </c>
      <c r="G454" s="172">
        <f>IF(INDIRECT("'Закуп'!L" &amp; B454)="Sale","Sale","")</f>
        <v/>
      </c>
      <c r="H454" s="158">
        <f>IF(INDIRECT("'Закуп'!F" &amp; B454)=0,"",INDIRECT("'Закуп'!F" &amp; B454))</f>
        <v/>
      </c>
      <c r="I454" s="120" t="n">
        <v>300</v>
      </c>
      <c r="J454" s="121">
        <f>K454/1.2</f>
        <v/>
      </c>
      <c r="K454" s="242" t="n">
        <v>2.22</v>
      </c>
      <c r="L454" s="122">
        <f>J454-C454-(J454-C454)*0.2</f>
        <v/>
      </c>
      <c r="M454" s="123">
        <f>L454*I454</f>
        <v/>
      </c>
      <c r="N454" s="124" t="inlineStr">
        <is>
          <t xml:space="preserve">300-490 шт - </t>
        </is>
      </c>
      <c r="O454" s="47" t="inlineStr">
        <is>
          <t xml:space="preserve"> руб / шт с НДС</t>
        </is>
      </c>
      <c r="P454" s="125">
        <f>ROUND(K454,2)</f>
        <v/>
      </c>
      <c r="Q454" s="207">
        <f>CONCATENATE(N454,P454,O454,)</f>
        <v/>
      </c>
      <c r="R454" s="240" t="n"/>
      <c r="T454" s="241" t="n"/>
      <c r="U454" s="240" t="n"/>
      <c r="V454" s="241" t="n"/>
      <c r="Z454" s="240" t="n"/>
      <c r="AB454" s="241" t="n"/>
      <c r="AC454" s="240" t="n"/>
      <c r="AD454" s="241" t="n"/>
      <c r="AE454" t="n">
        <v>2.97</v>
      </c>
    </row>
    <row r="455">
      <c r="B455" s="42" t="n">
        <v>92</v>
      </c>
      <c r="C455" s="118">
        <f>INDIRECT("'Закуп'!A" &amp; B455)</f>
        <v/>
      </c>
      <c r="D455" s="119">
        <f>C455*1.2</f>
        <v/>
      </c>
      <c r="G455" s="172">
        <f>IF(INDIRECT("'Закуп'!L" &amp; B455)="Sale","Sale","")</f>
        <v/>
      </c>
      <c r="H455" s="158">
        <f>IF(INDIRECT("'Закуп'!F" &amp; B455)=0,"",INDIRECT("'Закуп'!F" &amp; B455))</f>
        <v/>
      </c>
      <c r="I455" s="120" t="n">
        <v>500</v>
      </c>
      <c r="J455" s="121">
        <f>K455/1.2</f>
        <v/>
      </c>
      <c r="K455" s="242" t="n">
        <v>2.1</v>
      </c>
      <c r="L455" s="122">
        <f>J455-C455-(J455-C455)*0.2</f>
        <v/>
      </c>
      <c r="M455" s="123">
        <f>L455*I455</f>
        <v/>
      </c>
      <c r="N455" s="124" t="inlineStr">
        <is>
          <t xml:space="preserve">500-990 шт - </t>
        </is>
      </c>
      <c r="O455" s="47" t="inlineStr">
        <is>
          <t xml:space="preserve"> руб / шт с НДС</t>
        </is>
      </c>
      <c r="P455" s="125">
        <f>ROUND(K455,2)</f>
        <v/>
      </c>
      <c r="Q455" s="207">
        <f>CONCATENATE(N455,P455,O455,)</f>
        <v/>
      </c>
      <c r="R455" s="240" t="n"/>
      <c r="T455" s="241" t="n"/>
      <c r="U455" s="240" t="n"/>
      <c r="V455" s="241" t="n"/>
      <c r="Z455" s="240" t="n"/>
      <c r="AB455" s="241" t="n"/>
      <c r="AC455" s="240" t="n"/>
      <c r="AD455" s="241" t="n"/>
      <c r="AE455" t="n">
        <v>2.88</v>
      </c>
    </row>
    <row r="456">
      <c r="B456" s="42" t="n">
        <v>92</v>
      </c>
      <c r="C456" s="118">
        <f>INDIRECT("'Закуп'!A" &amp; B456)</f>
        <v/>
      </c>
      <c r="D456" s="119">
        <f>C456*1.2</f>
        <v/>
      </c>
      <c r="G456" s="172">
        <f>IF(INDIRECT("'Закуп'!L" &amp; B456)="Sale","Sale","")</f>
        <v/>
      </c>
      <c r="H456" s="158">
        <f>IF(INDIRECT("'Закуп'!F" &amp; B456)=0,"",INDIRECT("'Закуп'!F" &amp; B456))</f>
        <v/>
      </c>
      <c r="I456" s="120" t="n">
        <v>1000</v>
      </c>
      <c r="J456" s="121">
        <f>K456/1.2</f>
        <v/>
      </c>
      <c r="K456" s="242" t="n">
        <v>2.03</v>
      </c>
      <c r="L456" s="122">
        <f>J456-C456-(J456-C456)*0.2</f>
        <v/>
      </c>
      <c r="M456" s="123">
        <f>L456*I456</f>
        <v/>
      </c>
      <c r="N456" s="124" t="inlineStr">
        <is>
          <t xml:space="preserve">1000 + шт - </t>
        </is>
      </c>
      <c r="O456" s="47" t="inlineStr">
        <is>
          <t xml:space="preserve"> руб / шт с НДС</t>
        </is>
      </c>
      <c r="P456" s="125">
        <f>ROUND(K456,2)</f>
        <v/>
      </c>
      <c r="Q456" s="207">
        <f>CONCATENATE(N456,P456,O456,)</f>
        <v/>
      </c>
      <c r="R456" s="240" t="n"/>
      <c r="T456" s="241" t="n"/>
      <c r="U456" s="240" t="n"/>
      <c r="V456" s="241" t="n"/>
      <c r="Z456" s="240" t="n"/>
      <c r="AB456" s="241" t="n"/>
      <c r="AC456" s="240" t="n"/>
      <c r="AD456" s="241" t="n"/>
      <c r="AE456" t="n">
        <v>2.79</v>
      </c>
    </row>
    <row r="457">
      <c r="A457" s="232" t="n">
        <v>93</v>
      </c>
      <c r="B457" s="42" t="n">
        <v>93</v>
      </c>
      <c r="C457" s="118">
        <f>INDIRECT("'Закуп'!A" &amp; B457)</f>
        <v/>
      </c>
      <c r="D457" s="119">
        <f>C457*1.2</f>
        <v/>
      </c>
      <c r="E457" s="224">
        <f>INDIRECT("'Закуп'!D" &amp; A457)</f>
        <v/>
      </c>
      <c r="F457" s="231">
        <f>INDIRECT("'Закуп'!E" &amp; B457)</f>
        <v/>
      </c>
      <c r="G457" s="172">
        <f>IF(INDIRECT("'Закуп'!L" &amp; B457)="Sale","Sale","")</f>
        <v/>
      </c>
      <c r="H457" s="158">
        <f>IF(INDIRECT("'Закуп'!F" &amp; B457)=0,"",INDIRECT("'Закуп'!F" &amp; B457))</f>
        <v/>
      </c>
      <c r="I457" s="120" t="n">
        <v>50</v>
      </c>
      <c r="J457" s="121">
        <f>K457/1.2</f>
        <v/>
      </c>
      <c r="K457" s="242" t="n">
        <v>2.76</v>
      </c>
      <c r="L457" s="122">
        <f>J457-C457-(J457-C457)*0.2</f>
        <v/>
      </c>
      <c r="M457" s="123">
        <f>L457*I457</f>
        <v/>
      </c>
      <c r="N457" s="124" t="inlineStr">
        <is>
          <t xml:space="preserve">50-90 шт - </t>
        </is>
      </c>
      <c r="O457" s="47" t="inlineStr">
        <is>
          <t xml:space="preserve"> руб / шт с НДС</t>
        </is>
      </c>
      <c r="P457" s="125">
        <f>ROUND(K457,2)</f>
        <v/>
      </c>
      <c r="Q457" s="207">
        <f>CONCATENATE(N457,P457,O457,)</f>
        <v/>
      </c>
      <c r="R457" s="235">
        <f>INDIRECT("'Закуп'!k" &amp; A457)</f>
        <v/>
      </c>
      <c r="S457" s="239">
        <f>INDIRECT("'Закуп'!o" &amp; A457)</f>
        <v/>
      </c>
      <c r="T457" s="226">
        <f>INDIRECT("'Закуп'!p" &amp; A457)</f>
        <v/>
      </c>
      <c r="U457" s="235">
        <f>INDIRECT("'Закуп'!v" &amp; A457)</f>
        <v/>
      </c>
      <c r="V457" s="222">
        <f>INDIRECT("'Закуп'!w" &amp; A457)</f>
        <v/>
      </c>
      <c r="W457" s="229">
        <f>INDIRECT("'Закуп'!H" &amp; A457)</f>
        <v/>
      </c>
      <c r="X457" s="237">
        <f>INDIRECT("'Закуп'!g" &amp; A457)</f>
        <v/>
      </c>
      <c r="Y457" s="229">
        <f>INDIRECT("'Закуп'!i" &amp; A457)</f>
        <v/>
      </c>
      <c r="Z457" s="236">
        <f>INDIRECT("'Закуп'!x" &amp; A457)</f>
        <v/>
      </c>
      <c r="AA457" s="237">
        <f>INDIRECT("'Закуп'!y" &amp; A457)</f>
        <v/>
      </c>
      <c r="AB457" s="238">
        <f>INDIRECT("'Закуп'!z" &amp; A457)</f>
        <v/>
      </c>
      <c r="AC457" s="223">
        <f>SUBSTITUTE(INDEX(F:F, ROUNDUP((ROW(A456))/5,0)*5 - 3), "х", "x")</f>
        <v/>
      </c>
      <c r="AD457" s="222">
        <f>SUBSTITUTE(INDEX(F:F, ROUNDUP((ROW(A456))/5,0)*5 - 3), "х", "x") &amp; " - " &amp; SUBSTITUTE(SUBSTITUTE(INDEX(F:F, ROUNDUP((ROW(A456))/5,0)*5 - 3), "х", "*"), "x", "*") &amp; " мм"</f>
        <v/>
      </c>
      <c r="AE457" t="n">
        <v>4.55</v>
      </c>
    </row>
    <row r="458">
      <c r="B458" s="42" t="n">
        <v>93</v>
      </c>
      <c r="C458" s="118">
        <f>INDIRECT("'Закуп'!A" &amp; B458)</f>
        <v/>
      </c>
      <c r="D458" s="119">
        <f>C458*1.2</f>
        <v/>
      </c>
      <c r="G458" s="172">
        <f>IF(INDIRECT("'Закуп'!L" &amp; B458)="Sale","Sale","")</f>
        <v/>
      </c>
      <c r="H458" s="158">
        <f>IF(INDIRECT("'Закуп'!F" &amp; B458)=0,"",INDIRECT("'Закуп'!F" &amp; B458))</f>
        <v/>
      </c>
      <c r="I458" s="120" t="n">
        <v>100</v>
      </c>
      <c r="J458" s="121">
        <f>K458/1.2</f>
        <v/>
      </c>
      <c r="K458" s="242" t="n">
        <v>2.34</v>
      </c>
      <c r="L458" s="122">
        <f>J458-C458-(J458-C458)*0.2</f>
        <v/>
      </c>
      <c r="M458" s="123">
        <f>L458*I458</f>
        <v/>
      </c>
      <c r="N458" s="124" t="inlineStr">
        <is>
          <t xml:space="preserve">100-290 шт - </t>
        </is>
      </c>
      <c r="O458" s="47" t="inlineStr">
        <is>
          <t xml:space="preserve"> руб / шт с НДС</t>
        </is>
      </c>
      <c r="P458" s="125">
        <f>ROUND(K458,2)</f>
        <v/>
      </c>
      <c r="Q458" s="207">
        <f>CONCATENATE(N458,P458,O458,)</f>
        <v/>
      </c>
      <c r="R458" s="240" t="n"/>
      <c r="T458" s="241" t="n"/>
      <c r="U458" s="240" t="n"/>
      <c r="V458" s="241" t="n"/>
      <c r="Z458" s="240" t="n"/>
      <c r="AB458" s="241" t="n"/>
      <c r="AC458" s="240" t="n"/>
      <c r="AD458" s="241" t="n"/>
      <c r="AE458" t="n">
        <v>3.6</v>
      </c>
    </row>
    <row r="459">
      <c r="B459" s="42" t="n">
        <v>93</v>
      </c>
      <c r="C459" s="118">
        <f>INDIRECT("'Закуп'!A" &amp; B459)</f>
        <v/>
      </c>
      <c r="D459" s="119">
        <f>C459*1.2</f>
        <v/>
      </c>
      <c r="G459" s="172">
        <f>IF(INDIRECT("'Закуп'!L" &amp; B459)="Sale","Sale","")</f>
        <v/>
      </c>
      <c r="H459" s="158">
        <f>IF(INDIRECT("'Закуп'!F" &amp; B459)=0,"",INDIRECT("'Закуп'!F" &amp; B459))</f>
        <v/>
      </c>
      <c r="I459" s="120" t="n">
        <v>300</v>
      </c>
      <c r="J459" s="121">
        <f>K459/1.2</f>
        <v/>
      </c>
      <c r="K459" s="242" t="n">
        <v>2.21</v>
      </c>
      <c r="L459" s="122">
        <f>J459-C459-(J459-C459)*0.2</f>
        <v/>
      </c>
      <c r="M459" s="123">
        <f>L459*I459</f>
        <v/>
      </c>
      <c r="N459" s="124" t="inlineStr">
        <is>
          <t xml:space="preserve">300-490 шт - </t>
        </is>
      </c>
      <c r="O459" s="47" t="inlineStr">
        <is>
          <t xml:space="preserve"> руб / шт с НДС</t>
        </is>
      </c>
      <c r="P459" s="125">
        <f>ROUND(K459,2)</f>
        <v/>
      </c>
      <c r="Q459" s="207">
        <f>CONCATENATE(N459,P459,O459,)</f>
        <v/>
      </c>
      <c r="R459" s="240" t="n"/>
      <c r="T459" s="241" t="n"/>
      <c r="U459" s="240" t="n"/>
      <c r="V459" s="241" t="n"/>
      <c r="Z459" s="240" t="n"/>
      <c r="AB459" s="241" t="n"/>
      <c r="AC459" s="240" t="n"/>
      <c r="AD459" s="241" t="n"/>
      <c r="AE459" t="n">
        <v>2.95</v>
      </c>
    </row>
    <row r="460">
      <c r="B460" s="42" t="n">
        <v>93</v>
      </c>
      <c r="C460" s="118">
        <f>INDIRECT("'Закуп'!A" &amp; B460)</f>
        <v/>
      </c>
      <c r="D460" s="119">
        <f>C460*1.2</f>
        <v/>
      </c>
      <c r="G460" s="172">
        <f>IF(INDIRECT("'Закуп'!L" &amp; B460)="Sale","Sale","")</f>
        <v/>
      </c>
      <c r="H460" s="158">
        <f>IF(INDIRECT("'Закуп'!F" &amp; B460)=0,"",INDIRECT("'Закуп'!F" &amp; B460))</f>
        <v/>
      </c>
      <c r="I460" s="120" t="n">
        <v>500</v>
      </c>
      <c r="J460" s="121">
        <f>K460/1.2</f>
        <v/>
      </c>
      <c r="K460" s="242" t="n">
        <v>2.09</v>
      </c>
      <c r="L460" s="122">
        <f>J460-C460-(J460-C460)*0.2</f>
        <v/>
      </c>
      <c r="M460" s="123">
        <f>L460*I460</f>
        <v/>
      </c>
      <c r="N460" s="124" t="inlineStr">
        <is>
          <t xml:space="preserve">500-990 шт - </t>
        </is>
      </c>
      <c r="O460" s="47" t="inlineStr">
        <is>
          <t xml:space="preserve"> руб / шт с НДС</t>
        </is>
      </c>
      <c r="P460" s="125">
        <f>ROUND(K460,2)</f>
        <v/>
      </c>
      <c r="Q460" s="207">
        <f>CONCATENATE(N460,P460,O460,)</f>
        <v/>
      </c>
      <c r="R460" s="240" t="n"/>
      <c r="T460" s="241" t="n"/>
      <c r="U460" s="240" t="n"/>
      <c r="V460" s="241" t="n"/>
      <c r="Z460" s="240" t="n"/>
      <c r="AB460" s="241" t="n"/>
      <c r="AC460" s="240" t="n"/>
      <c r="AD460" s="241" t="n"/>
      <c r="AE460" t="n">
        <v>2.87</v>
      </c>
    </row>
    <row r="461">
      <c r="B461" s="42" t="n">
        <v>93</v>
      </c>
      <c r="C461" s="118">
        <f>INDIRECT("'Закуп'!A" &amp; B461)</f>
        <v/>
      </c>
      <c r="D461" s="119">
        <f>C461*1.2</f>
        <v/>
      </c>
      <c r="G461" s="172">
        <f>IF(INDIRECT("'Закуп'!L" &amp; B461)="Sale","Sale","")</f>
        <v/>
      </c>
      <c r="H461" s="158">
        <f>IF(INDIRECT("'Закуп'!F" &amp; B461)=0,"",INDIRECT("'Закуп'!F" &amp; B461))</f>
        <v/>
      </c>
      <c r="I461" s="120" t="n">
        <v>1000</v>
      </c>
      <c r="J461" s="121">
        <f>K461/1.2</f>
        <v/>
      </c>
      <c r="K461" s="242" t="n">
        <v>2.02</v>
      </c>
      <c r="L461" s="122">
        <f>J461-C461-(J461-C461)*0.2</f>
        <v/>
      </c>
      <c r="M461" s="123">
        <f>L461*I461</f>
        <v/>
      </c>
      <c r="N461" s="124" t="inlineStr">
        <is>
          <t xml:space="preserve">1000 + шт - </t>
        </is>
      </c>
      <c r="O461" s="47" t="inlineStr">
        <is>
          <t xml:space="preserve"> руб / шт с НДС</t>
        </is>
      </c>
      <c r="P461" s="125">
        <f>ROUND(K461,2)</f>
        <v/>
      </c>
      <c r="Q461" s="207">
        <f>CONCATENATE(N461,P461,O461,)</f>
        <v/>
      </c>
      <c r="R461" s="240" t="n"/>
      <c r="T461" s="241" t="n"/>
      <c r="U461" s="240" t="n"/>
      <c r="V461" s="241" t="n"/>
      <c r="Z461" s="240" t="n"/>
      <c r="AB461" s="241" t="n"/>
      <c r="AC461" s="240" t="n"/>
      <c r="AD461" s="241" t="n"/>
      <c r="AE461" t="n">
        <v>2.77</v>
      </c>
    </row>
    <row r="462">
      <c r="A462" s="232" t="n">
        <v>94</v>
      </c>
      <c r="B462" s="42" t="n">
        <v>94</v>
      </c>
      <c r="C462" s="118">
        <f>INDIRECT("'Закуп'!A" &amp; B462)</f>
        <v/>
      </c>
      <c r="D462" s="119">
        <f>C462*1.2</f>
        <v/>
      </c>
      <c r="E462" s="224">
        <f>INDIRECT("'Закуп'!D" &amp; A462)</f>
        <v/>
      </c>
      <c r="F462" s="231">
        <f>INDIRECT("'Закуп'!E" &amp; B462)</f>
        <v/>
      </c>
      <c r="G462" s="172">
        <f>IF(INDIRECT("'Закуп'!L" &amp; B462)="Sale","Sale","")</f>
        <v/>
      </c>
      <c r="H462" s="158">
        <f>IF(INDIRECT("'Закуп'!F" &amp; B462)=0,"",INDIRECT("'Закуп'!F" &amp; B462))</f>
        <v/>
      </c>
      <c r="I462" s="120" t="n">
        <v>50</v>
      </c>
      <c r="J462" s="121">
        <f>K462/1.2</f>
        <v/>
      </c>
      <c r="K462" s="70" t="n">
        <v>1.03</v>
      </c>
      <c r="L462" s="122">
        <f>J462-C462-(J462-C462)*0.2</f>
        <v/>
      </c>
      <c r="M462" s="123">
        <f>L462*I462</f>
        <v/>
      </c>
      <c r="N462" s="124" t="inlineStr">
        <is>
          <t xml:space="preserve">50-90 шт - </t>
        </is>
      </c>
      <c r="O462" s="47" t="inlineStr">
        <is>
          <t xml:space="preserve"> руб / шт с НДС</t>
        </is>
      </c>
      <c r="P462" s="125">
        <f>ROUND(K462,2)</f>
        <v/>
      </c>
      <c r="Q462" s="207">
        <f>CONCATENATE(N462,P462,O462,)</f>
        <v/>
      </c>
      <c r="R462" s="235">
        <f>INDIRECT("'Закуп'!k" &amp; A462)</f>
        <v/>
      </c>
      <c r="S462" s="239">
        <f>INDIRECT("'Закуп'!o" &amp; A462)</f>
        <v/>
      </c>
      <c r="T462" s="226">
        <f>INDIRECT("'Закуп'!p" &amp; A462)</f>
        <v/>
      </c>
      <c r="U462" s="235">
        <f>INDIRECT("'Закуп'!v" &amp; A462)</f>
        <v/>
      </c>
      <c r="V462" s="222">
        <f>INDIRECT("'Закуп'!w" &amp; A462)</f>
        <v/>
      </c>
      <c r="W462" s="229">
        <f>INDIRECT("'Закуп'!H" &amp; A462)</f>
        <v/>
      </c>
      <c r="X462" s="237">
        <f>INDIRECT("'Закуп'!g" &amp; A462)</f>
        <v/>
      </c>
      <c r="Y462" s="229">
        <f>INDIRECT("'Закуп'!i" &amp; A462)</f>
        <v/>
      </c>
      <c r="Z462" s="236">
        <f>INDIRECT("'Закуп'!x" &amp; A462)</f>
        <v/>
      </c>
      <c r="AA462" s="237">
        <f>INDIRECT("'Закуп'!y" &amp; A462)</f>
        <v/>
      </c>
      <c r="AB462" s="238">
        <f>INDIRECT("'Закуп'!z" &amp; A462)</f>
        <v/>
      </c>
      <c r="AC462" s="223">
        <f>SUBSTITUTE(INDEX(F:F, ROUNDUP((ROW(A461))/5,0)*5 - 3), "х", "x")</f>
        <v/>
      </c>
      <c r="AD462" s="222">
        <f>SUBSTITUTE(INDEX(F:F, ROUNDUP((ROW(A461))/5,0)*5 - 3), "х", "x") &amp; " - " &amp; SUBSTITUTE(SUBSTITUTE(INDEX(F:F, ROUNDUP((ROW(A461))/5,0)*5 - 3), "х", "*"), "x", "*") &amp; " мм"</f>
        <v/>
      </c>
    </row>
    <row r="463">
      <c r="B463" s="42" t="n">
        <v>94</v>
      </c>
      <c r="C463" s="118">
        <f>INDIRECT("'Закуп'!A" &amp; B463)</f>
        <v/>
      </c>
      <c r="D463" s="119">
        <f>C463*1.2</f>
        <v/>
      </c>
      <c r="G463" s="172">
        <f>IF(INDIRECT("'Закуп'!L" &amp; B463)="Sale","Sale","")</f>
        <v/>
      </c>
      <c r="H463" s="158">
        <f>IF(INDIRECT("'Закуп'!F" &amp; B463)=0,"",INDIRECT("'Закуп'!F" &amp; B463))</f>
        <v/>
      </c>
      <c r="I463" s="120" t="n">
        <v>100</v>
      </c>
      <c r="J463" s="121">
        <f>K463/1.2</f>
        <v/>
      </c>
      <c r="K463" s="70" t="n">
        <v>0.89</v>
      </c>
      <c r="L463" s="122">
        <f>J463-C463-(J463-C463)*0.2</f>
        <v/>
      </c>
      <c r="M463" s="123">
        <f>L463*I463</f>
        <v/>
      </c>
      <c r="N463" s="124" t="inlineStr">
        <is>
          <t xml:space="preserve">100-290 шт - </t>
        </is>
      </c>
      <c r="O463" s="47" t="inlineStr">
        <is>
          <t xml:space="preserve"> руб / шт с НДС</t>
        </is>
      </c>
      <c r="P463" s="125">
        <f>ROUND(K463,2)</f>
        <v/>
      </c>
      <c r="Q463" s="207">
        <f>CONCATENATE(N463,P463,O463,)</f>
        <v/>
      </c>
      <c r="R463" s="240" t="n"/>
      <c r="T463" s="241" t="n"/>
      <c r="U463" s="240" t="n"/>
      <c r="V463" s="241" t="n"/>
      <c r="Z463" s="240" t="n"/>
      <c r="AB463" s="241" t="n"/>
      <c r="AC463" s="240" t="n"/>
      <c r="AD463" s="241" t="n"/>
    </row>
    <row r="464">
      <c r="B464" s="42" t="n">
        <v>94</v>
      </c>
      <c r="C464" s="118">
        <f>INDIRECT("'Закуп'!A" &amp; B464)</f>
        <v/>
      </c>
      <c r="D464" s="119">
        <f>C464*1.2</f>
        <v/>
      </c>
      <c r="G464" s="172">
        <f>IF(INDIRECT("'Закуп'!L" &amp; B464)="Sale","Sale","")</f>
        <v/>
      </c>
      <c r="H464" s="158">
        <f>IF(INDIRECT("'Закуп'!F" &amp; B464)=0,"",INDIRECT("'Закуп'!F" &amp; B464))</f>
        <v/>
      </c>
      <c r="I464" s="120" t="n">
        <v>300</v>
      </c>
      <c r="J464" s="121">
        <f>K464/1.2</f>
        <v/>
      </c>
      <c r="K464" s="70" t="n">
        <v>0.71</v>
      </c>
      <c r="L464" s="122">
        <f>J464-C464-(J464-C464)*0.2</f>
        <v/>
      </c>
      <c r="M464" s="123">
        <f>L464*I464</f>
        <v/>
      </c>
      <c r="N464" s="124" t="inlineStr">
        <is>
          <t xml:space="preserve">300-490 шт - </t>
        </is>
      </c>
      <c r="O464" s="47" t="inlineStr">
        <is>
          <t xml:space="preserve"> руб / шт с НДС</t>
        </is>
      </c>
      <c r="P464" s="125">
        <f>ROUND(K464,2)</f>
        <v/>
      </c>
      <c r="Q464" s="207">
        <f>CONCATENATE(N464,P464,O464,)</f>
        <v/>
      </c>
      <c r="R464" s="240" t="n"/>
      <c r="T464" s="241" t="n"/>
      <c r="U464" s="240" t="n"/>
      <c r="V464" s="241" t="n"/>
      <c r="Z464" s="240" t="n"/>
      <c r="AB464" s="241" t="n"/>
      <c r="AC464" s="240" t="n"/>
      <c r="AD464" s="241" t="n"/>
    </row>
    <row r="465">
      <c r="B465" s="42" t="n">
        <v>94</v>
      </c>
      <c r="C465" s="118">
        <f>INDIRECT("'Закуп'!A" &amp; B465)</f>
        <v/>
      </c>
      <c r="D465" s="119">
        <f>C465*1.2</f>
        <v/>
      </c>
      <c r="G465" s="172">
        <f>IF(INDIRECT("'Закуп'!L" &amp; B465)="Sale","Sale","")</f>
        <v/>
      </c>
      <c r="H465" s="158">
        <f>IF(INDIRECT("'Закуп'!F" &amp; B465)=0,"",INDIRECT("'Закуп'!F" &amp; B465))</f>
        <v/>
      </c>
      <c r="I465" s="120" t="n">
        <v>500</v>
      </c>
      <c r="J465" s="121">
        <f>K465/1.2</f>
        <v/>
      </c>
      <c r="K465" s="70" t="n">
        <v>0.65</v>
      </c>
      <c r="L465" s="122">
        <f>J465-C465-(J465-C465)*0.2</f>
        <v/>
      </c>
      <c r="M465" s="123">
        <f>L465*I465</f>
        <v/>
      </c>
      <c r="N465" s="124" t="inlineStr">
        <is>
          <t xml:space="preserve">500-990 шт - </t>
        </is>
      </c>
      <c r="O465" s="47" t="inlineStr">
        <is>
          <t xml:space="preserve"> руб / шт с НДС</t>
        </is>
      </c>
      <c r="P465" s="125">
        <f>ROUND(K465,2)</f>
        <v/>
      </c>
      <c r="Q465" s="207">
        <f>CONCATENATE(N465,P465,O465,)</f>
        <v/>
      </c>
      <c r="R465" s="240" t="n"/>
      <c r="T465" s="241" t="n"/>
      <c r="U465" s="240" t="n"/>
      <c r="V465" s="241" t="n"/>
      <c r="Z465" s="240" t="n"/>
      <c r="AB465" s="241" t="n"/>
      <c r="AC465" s="240" t="n"/>
      <c r="AD465" s="241" t="n"/>
    </row>
    <row r="466">
      <c r="B466" s="42" t="n">
        <v>94</v>
      </c>
      <c r="C466" s="118">
        <f>INDIRECT("'Закуп'!A" &amp; B466)</f>
        <v/>
      </c>
      <c r="D466" s="119">
        <f>C466*1.2</f>
        <v/>
      </c>
      <c r="G466" s="172">
        <f>IF(INDIRECT("'Закуп'!L" &amp; B466)="Sale","Sale","")</f>
        <v/>
      </c>
      <c r="H466" s="158">
        <f>IF(INDIRECT("'Закуп'!F" &amp; B466)=0,"",INDIRECT("'Закуп'!F" &amp; B466))</f>
        <v/>
      </c>
      <c r="I466" s="120" t="n">
        <v>1000</v>
      </c>
      <c r="J466" s="121">
        <f>K466/1.2</f>
        <v/>
      </c>
      <c r="K466" s="70" t="n">
        <v>0.5600000000000001</v>
      </c>
      <c r="L466" s="122">
        <f>J466-C466-(J466-C466)*0.2</f>
        <v/>
      </c>
      <c r="M466" s="123">
        <f>L466*I466</f>
        <v/>
      </c>
      <c r="N466" s="124" t="inlineStr">
        <is>
          <t xml:space="preserve">1000 + шт - </t>
        </is>
      </c>
      <c r="O466" s="47" t="inlineStr">
        <is>
          <t xml:space="preserve"> руб / шт с НДС</t>
        </is>
      </c>
      <c r="P466" s="125">
        <f>ROUND(K466,2)</f>
        <v/>
      </c>
      <c r="Q466" s="207">
        <f>CONCATENATE(N466,P466,O466,)</f>
        <v/>
      </c>
      <c r="R466" s="240" t="n"/>
      <c r="T466" s="241" t="n"/>
      <c r="U466" s="240" t="n"/>
      <c r="V466" s="241" t="n"/>
      <c r="Z466" s="240" t="n"/>
      <c r="AB466" s="241" t="n"/>
      <c r="AC466" s="240" t="n"/>
      <c r="AD466" s="241" t="n"/>
    </row>
    <row r="467">
      <c r="A467" s="232" t="n">
        <v>95</v>
      </c>
      <c r="B467" s="42" t="n">
        <v>95</v>
      </c>
      <c r="C467" s="118">
        <f>INDIRECT("'Закуп'!A" &amp; B467)</f>
        <v/>
      </c>
      <c r="D467" s="119">
        <f>C467*1.2</f>
        <v/>
      </c>
      <c r="E467" s="224">
        <f>INDIRECT("'Закуп'!D" &amp; A467)</f>
        <v/>
      </c>
      <c r="F467" s="231">
        <f>INDIRECT("'Закуп'!E" &amp; B467)</f>
        <v/>
      </c>
      <c r="G467" s="172">
        <f>IF(INDIRECT("'Закуп'!L" &amp; B467)="Sale","Sale","")</f>
        <v/>
      </c>
      <c r="H467" s="158">
        <f>IF(INDIRECT("'Закуп'!F" &amp; B467)=0,"",INDIRECT("'Закуп'!F" &amp; B467))</f>
        <v/>
      </c>
      <c r="I467" s="120" t="n">
        <v>50</v>
      </c>
      <c r="J467" s="121">
        <f>K467/1.2</f>
        <v/>
      </c>
      <c r="K467" s="70" t="n">
        <v>1.03</v>
      </c>
      <c r="L467" s="122">
        <f>J467-C467-(J467-C467)*0.2</f>
        <v/>
      </c>
      <c r="M467" s="123">
        <f>L467*I467</f>
        <v/>
      </c>
      <c r="N467" s="124" t="inlineStr">
        <is>
          <t xml:space="preserve">50-90 шт - </t>
        </is>
      </c>
      <c r="O467" s="47" t="inlineStr">
        <is>
          <t xml:space="preserve"> руб / шт с НДС</t>
        </is>
      </c>
      <c r="P467" s="125">
        <f>ROUND(K467,2)</f>
        <v/>
      </c>
      <c r="Q467" s="207">
        <f>CONCATENATE(N467,P467,O467,)</f>
        <v/>
      </c>
      <c r="R467" s="235">
        <f>INDIRECT("'Закуп'!k" &amp; A467)</f>
        <v/>
      </c>
      <c r="S467" s="239">
        <f>INDIRECT("'Закуп'!o" &amp; A467)</f>
        <v/>
      </c>
      <c r="T467" s="226">
        <f>INDIRECT("'Закуп'!p" &amp; A467)</f>
        <v/>
      </c>
      <c r="U467" s="235">
        <f>INDIRECT("'Закуп'!v" &amp; A467)</f>
        <v/>
      </c>
      <c r="V467" s="222">
        <f>INDIRECT("'Закуп'!w" &amp; A467)</f>
        <v/>
      </c>
      <c r="W467" s="229">
        <f>INDIRECT("'Закуп'!H" &amp; A467)</f>
        <v/>
      </c>
      <c r="X467" s="237">
        <f>INDIRECT("'Закуп'!g" &amp; A467)</f>
        <v/>
      </c>
      <c r="Y467" s="229">
        <f>INDIRECT("'Закуп'!i" &amp; A467)</f>
        <v/>
      </c>
      <c r="Z467" s="236">
        <f>INDIRECT("'Закуп'!x" &amp; A467)</f>
        <v/>
      </c>
      <c r="AA467" s="237">
        <f>INDIRECT("'Закуп'!y" &amp; A467)</f>
        <v/>
      </c>
      <c r="AB467" s="238">
        <f>INDIRECT("'Закуп'!z" &amp; A467)</f>
        <v/>
      </c>
      <c r="AC467" s="223">
        <f>SUBSTITUTE(INDEX(F:F, ROUNDUP((ROW(A466))/5,0)*5 - 3), "х", "x")</f>
        <v/>
      </c>
      <c r="AD467" s="222">
        <f>SUBSTITUTE(INDEX(F:F, ROUNDUP((ROW(A466))/5,0)*5 - 3), "х", "x") &amp; " - " &amp; SUBSTITUTE(SUBSTITUTE(INDEX(F:F, ROUNDUP((ROW(A466))/5,0)*5 - 3), "х", "*"), "x", "*") &amp; " мм"</f>
        <v/>
      </c>
    </row>
    <row r="468">
      <c r="B468" s="42" t="n">
        <v>95</v>
      </c>
      <c r="C468" s="118">
        <f>INDIRECT("'Закуп'!A" &amp; B468)</f>
        <v/>
      </c>
      <c r="D468" s="119">
        <f>C468*1.2</f>
        <v/>
      </c>
      <c r="G468" s="172">
        <f>IF(INDIRECT("'Закуп'!L" &amp; B468)="Sale","Sale","")</f>
        <v/>
      </c>
      <c r="H468" s="158">
        <f>IF(INDIRECT("'Закуп'!F" &amp; B468)=0,"",INDIRECT("'Закуп'!F" &amp; B468))</f>
        <v/>
      </c>
      <c r="I468" s="120" t="n">
        <v>100</v>
      </c>
      <c r="J468" s="121">
        <f>K468/1.2</f>
        <v/>
      </c>
      <c r="K468" s="70" t="n">
        <v>0.89</v>
      </c>
      <c r="L468" s="122">
        <f>J468-C468-(J468-C468)*0.2</f>
        <v/>
      </c>
      <c r="M468" s="123">
        <f>L468*I468</f>
        <v/>
      </c>
      <c r="N468" s="124" t="inlineStr">
        <is>
          <t xml:space="preserve">100-290 шт - </t>
        </is>
      </c>
      <c r="O468" s="47" t="inlineStr">
        <is>
          <t xml:space="preserve"> руб / шт с НДС</t>
        </is>
      </c>
      <c r="P468" s="125">
        <f>ROUND(K468,2)</f>
        <v/>
      </c>
      <c r="Q468" s="207">
        <f>CONCATENATE(N468,P468,O468,)</f>
        <v/>
      </c>
      <c r="R468" s="240" t="n"/>
      <c r="T468" s="241" t="n"/>
      <c r="U468" s="240" t="n"/>
      <c r="V468" s="241" t="n"/>
      <c r="Z468" s="240" t="n"/>
      <c r="AB468" s="241" t="n"/>
      <c r="AC468" s="240" t="n"/>
      <c r="AD468" s="241" t="n"/>
    </row>
    <row r="469">
      <c r="B469" s="42" t="n">
        <v>95</v>
      </c>
      <c r="C469" s="118">
        <f>INDIRECT("'Закуп'!A" &amp; B469)</f>
        <v/>
      </c>
      <c r="D469" s="119">
        <f>C469*1.2</f>
        <v/>
      </c>
      <c r="G469" s="172">
        <f>IF(INDIRECT("'Закуп'!L" &amp; B469)="Sale","Sale","")</f>
        <v/>
      </c>
      <c r="H469" s="158">
        <f>IF(INDIRECT("'Закуп'!F" &amp; B469)=0,"",INDIRECT("'Закуп'!F" &amp; B469))</f>
        <v/>
      </c>
      <c r="I469" s="120" t="n">
        <v>300</v>
      </c>
      <c r="J469" s="121">
        <f>K469/1.2</f>
        <v/>
      </c>
      <c r="K469" s="70" t="n">
        <v>0.71</v>
      </c>
      <c r="L469" s="122">
        <f>J469-C469-(J469-C469)*0.2</f>
        <v/>
      </c>
      <c r="M469" s="123">
        <f>L469*I469</f>
        <v/>
      </c>
      <c r="N469" s="124" t="inlineStr">
        <is>
          <t xml:space="preserve">300-490 шт - </t>
        </is>
      </c>
      <c r="O469" s="47" t="inlineStr">
        <is>
          <t xml:space="preserve"> руб / шт с НДС</t>
        </is>
      </c>
      <c r="P469" s="125">
        <f>ROUND(K469,2)</f>
        <v/>
      </c>
      <c r="Q469" s="207">
        <f>CONCATENATE(N469,P469,O469,)</f>
        <v/>
      </c>
      <c r="R469" s="240" t="n"/>
      <c r="T469" s="241" t="n"/>
      <c r="U469" s="240" t="n"/>
      <c r="V469" s="241" t="n"/>
      <c r="Z469" s="240" t="n"/>
      <c r="AB469" s="241" t="n"/>
      <c r="AC469" s="240" t="n"/>
      <c r="AD469" s="241" t="n"/>
    </row>
    <row r="470">
      <c r="B470" s="42" t="n">
        <v>95</v>
      </c>
      <c r="C470" s="118">
        <f>INDIRECT("'Закуп'!A" &amp; B470)</f>
        <v/>
      </c>
      <c r="D470" s="119">
        <f>C470*1.2</f>
        <v/>
      </c>
      <c r="G470" s="172">
        <f>IF(INDIRECT("'Закуп'!L" &amp; B470)="Sale","Sale","")</f>
        <v/>
      </c>
      <c r="H470" s="158">
        <f>IF(INDIRECT("'Закуп'!F" &amp; B470)=0,"",INDIRECT("'Закуп'!F" &amp; B470))</f>
        <v/>
      </c>
      <c r="I470" s="120" t="n">
        <v>500</v>
      </c>
      <c r="J470" s="121">
        <f>K470/1.2</f>
        <v/>
      </c>
      <c r="K470" s="70" t="n">
        <v>0.65</v>
      </c>
      <c r="L470" s="122">
        <f>J470-C470-(J470-C470)*0.2</f>
        <v/>
      </c>
      <c r="M470" s="123">
        <f>L470*I470</f>
        <v/>
      </c>
      <c r="N470" s="124" t="inlineStr">
        <is>
          <t xml:space="preserve">500-990 шт - </t>
        </is>
      </c>
      <c r="O470" s="47" t="inlineStr">
        <is>
          <t xml:space="preserve"> руб / шт с НДС</t>
        </is>
      </c>
      <c r="P470" s="125">
        <f>ROUND(K470,2)</f>
        <v/>
      </c>
      <c r="Q470" s="207">
        <f>CONCATENATE(N470,P470,O470,)</f>
        <v/>
      </c>
      <c r="R470" s="240" t="n"/>
      <c r="T470" s="241" t="n"/>
      <c r="U470" s="240" t="n"/>
      <c r="V470" s="241" t="n"/>
      <c r="Z470" s="240" t="n"/>
      <c r="AB470" s="241" t="n"/>
      <c r="AC470" s="240" t="n"/>
      <c r="AD470" s="241" t="n"/>
    </row>
    <row r="471">
      <c r="B471" s="42" t="n">
        <v>95</v>
      </c>
      <c r="C471" s="118">
        <f>INDIRECT("'Закуп'!A" &amp; B471)</f>
        <v/>
      </c>
      <c r="D471" s="119">
        <f>C471*1.2</f>
        <v/>
      </c>
      <c r="G471" s="172">
        <f>IF(INDIRECT("'Закуп'!L" &amp; B471)="Sale","Sale","")</f>
        <v/>
      </c>
      <c r="H471" s="158">
        <f>IF(INDIRECT("'Закуп'!F" &amp; B471)=0,"",INDIRECT("'Закуп'!F" &amp; B471))</f>
        <v/>
      </c>
      <c r="I471" s="120" t="n">
        <v>1000</v>
      </c>
      <c r="J471" s="121">
        <f>K471/1.2</f>
        <v/>
      </c>
      <c r="K471" s="70" t="n">
        <v>0.5600000000000001</v>
      </c>
      <c r="L471" s="122">
        <f>J471-C471-(J471-C471)*0.2</f>
        <v/>
      </c>
      <c r="M471" s="123">
        <f>L471*I471</f>
        <v/>
      </c>
      <c r="N471" s="124" t="inlineStr">
        <is>
          <t xml:space="preserve">1000 + шт - </t>
        </is>
      </c>
      <c r="O471" s="47" t="inlineStr">
        <is>
          <t xml:space="preserve"> руб / шт с НДС</t>
        </is>
      </c>
      <c r="P471" s="125">
        <f>ROUND(K471,2)</f>
        <v/>
      </c>
      <c r="Q471" s="207">
        <f>CONCATENATE(N471,P471,O471,)</f>
        <v/>
      </c>
      <c r="R471" s="240" t="n"/>
      <c r="T471" s="241" t="n"/>
      <c r="U471" s="240" t="n"/>
      <c r="V471" s="241" t="n"/>
      <c r="Z471" s="240" t="n"/>
      <c r="AB471" s="241" t="n"/>
      <c r="AC471" s="240" t="n"/>
      <c r="AD471" s="241" t="n"/>
    </row>
    <row r="472">
      <c r="A472" s="232" t="n">
        <v>96</v>
      </c>
      <c r="B472" s="42" t="n">
        <v>96</v>
      </c>
      <c r="C472" s="118">
        <f>INDIRECT("'Закуп'!A" &amp; B472)</f>
        <v/>
      </c>
      <c r="D472" s="119">
        <f>C472*1.2</f>
        <v/>
      </c>
      <c r="E472" s="224">
        <f>INDIRECT("'Закуп'!D" &amp; A472)</f>
        <v/>
      </c>
      <c r="F472" s="231">
        <f>INDIRECT("'Закуп'!E" &amp; B472)</f>
        <v/>
      </c>
      <c r="G472" s="172">
        <f>IF(INDIRECT("'Закуп'!L" &amp; B472)="Sale","Sale","")</f>
        <v/>
      </c>
      <c r="H472" s="158">
        <f>IF(INDIRECT("'Закуп'!F" &amp; B472)=0,"",INDIRECT("'Закуп'!F" &amp; B472))</f>
        <v/>
      </c>
      <c r="I472" s="120" t="n">
        <v>50</v>
      </c>
      <c r="J472" s="121">
        <f>K472/1.2</f>
        <v/>
      </c>
      <c r="K472" s="70" t="n">
        <v>1.16</v>
      </c>
      <c r="L472" s="122">
        <f>J472-C472-(J472-C472)*0.2</f>
        <v/>
      </c>
      <c r="M472" s="123">
        <f>L472*I472</f>
        <v/>
      </c>
      <c r="N472" s="124" t="inlineStr">
        <is>
          <t xml:space="preserve">50-90 шт - </t>
        </is>
      </c>
      <c r="O472" s="47" t="inlineStr">
        <is>
          <t xml:space="preserve"> руб / шт с НДС</t>
        </is>
      </c>
      <c r="P472" s="125">
        <f>ROUND(K472,2)</f>
        <v/>
      </c>
      <c r="Q472" s="207">
        <f>CONCATENATE(N472,P472,O472,)</f>
        <v/>
      </c>
      <c r="R472" s="235">
        <f>INDIRECT("'Закуп'!k" &amp; A472)</f>
        <v/>
      </c>
      <c r="S472" s="239">
        <f>INDIRECT("'Закуп'!o" &amp; A472)</f>
        <v/>
      </c>
      <c r="T472" s="226">
        <f>INDIRECT("'Закуп'!p" &amp; A472)</f>
        <v/>
      </c>
      <c r="U472" s="235">
        <f>INDIRECT("'Закуп'!v" &amp; A472)</f>
        <v/>
      </c>
      <c r="V472" s="222">
        <f>INDIRECT("'Закуп'!w" &amp; A472)</f>
        <v/>
      </c>
      <c r="W472" s="229">
        <f>INDIRECT("'Закуп'!H" &amp; A472)</f>
        <v/>
      </c>
      <c r="X472" s="237">
        <f>INDIRECT("'Закуп'!g" &amp; A472)</f>
        <v/>
      </c>
      <c r="Y472" s="229">
        <f>INDIRECT("'Закуп'!i" &amp; A472)</f>
        <v/>
      </c>
      <c r="Z472" s="236">
        <f>INDIRECT("'Закуп'!x" &amp; A472)</f>
        <v/>
      </c>
      <c r="AA472" s="237">
        <f>INDIRECT("'Закуп'!y" &amp; A472)</f>
        <v/>
      </c>
      <c r="AB472" s="238">
        <f>INDIRECT("'Закуп'!z" &amp; A472)</f>
        <v/>
      </c>
      <c r="AC472" s="223">
        <f>SUBSTITUTE(INDEX(F:F, ROUNDUP((ROW(A471))/5,0)*5 - 3), "х", "x")</f>
        <v/>
      </c>
      <c r="AD472" s="222">
        <f>SUBSTITUTE(INDEX(F:F, ROUNDUP((ROW(A471))/5,0)*5 - 3), "х", "x") &amp; " - " &amp; SUBSTITUTE(SUBSTITUTE(INDEX(F:F, ROUNDUP((ROW(A471))/5,0)*5 - 3), "х", "*"), "x", "*") &amp; " мм"</f>
        <v/>
      </c>
    </row>
    <row r="473">
      <c r="B473" s="42" t="n">
        <v>96</v>
      </c>
      <c r="C473" s="118">
        <f>INDIRECT("'Закуп'!A" &amp; B473)</f>
        <v/>
      </c>
      <c r="D473" s="119">
        <f>C473*1.2</f>
        <v/>
      </c>
      <c r="G473" s="172">
        <f>IF(INDIRECT("'Закуп'!L" &amp; B473)="Sale","Sale","")</f>
        <v/>
      </c>
      <c r="H473" s="158">
        <f>IF(INDIRECT("'Закуп'!F" &amp; B473)=0,"",INDIRECT("'Закуп'!F" &amp; B473))</f>
        <v/>
      </c>
      <c r="I473" s="120" t="n">
        <v>100</v>
      </c>
      <c r="J473" s="121">
        <f>K473/1.2</f>
        <v/>
      </c>
      <c r="K473" s="70" t="n">
        <v>1.02</v>
      </c>
      <c r="L473" s="122">
        <f>J473-C473-(J473-C473)*0.2</f>
        <v/>
      </c>
      <c r="M473" s="123">
        <f>L473*I473</f>
        <v/>
      </c>
      <c r="N473" s="124" t="inlineStr">
        <is>
          <t xml:space="preserve">100-290 шт - </t>
        </is>
      </c>
      <c r="O473" s="47" t="inlineStr">
        <is>
          <t xml:space="preserve"> руб / шт с НДС</t>
        </is>
      </c>
      <c r="P473" s="125">
        <f>ROUND(K473,2)</f>
        <v/>
      </c>
      <c r="Q473" s="207">
        <f>CONCATENATE(N473,P473,O473,)</f>
        <v/>
      </c>
      <c r="R473" s="240" t="n"/>
      <c r="T473" s="241" t="n"/>
      <c r="U473" s="240" t="n"/>
      <c r="V473" s="241" t="n"/>
      <c r="Z473" s="240" t="n"/>
      <c r="AB473" s="241" t="n"/>
      <c r="AC473" s="240" t="n"/>
      <c r="AD473" s="241" t="n"/>
    </row>
    <row r="474">
      <c r="B474" s="42" t="n">
        <v>96</v>
      </c>
      <c r="C474" s="118">
        <f>INDIRECT("'Закуп'!A" &amp; B474)</f>
        <v/>
      </c>
      <c r="D474" s="119">
        <f>C474*1.2</f>
        <v/>
      </c>
      <c r="G474" s="172">
        <f>IF(INDIRECT("'Закуп'!L" &amp; B474)="Sale","Sale","")</f>
        <v/>
      </c>
      <c r="H474" s="158">
        <f>IF(INDIRECT("'Закуп'!F" &amp; B474)=0,"",INDIRECT("'Закуп'!F" &amp; B474))</f>
        <v/>
      </c>
      <c r="I474" s="120" t="n">
        <v>300</v>
      </c>
      <c r="J474" s="121">
        <f>K474/1.2</f>
        <v/>
      </c>
      <c r="K474" s="70" t="n">
        <v>0.87</v>
      </c>
      <c r="L474" s="122">
        <f>J474-C474-(J474-C474)*0.2</f>
        <v/>
      </c>
      <c r="M474" s="123">
        <f>L474*I474</f>
        <v/>
      </c>
      <c r="N474" s="124" t="inlineStr">
        <is>
          <t xml:space="preserve">300-490 шт - </t>
        </is>
      </c>
      <c r="O474" s="47" t="inlineStr">
        <is>
          <t xml:space="preserve"> руб / шт с НДС</t>
        </is>
      </c>
      <c r="P474" s="125">
        <f>ROUND(K474,2)</f>
        <v/>
      </c>
      <c r="Q474" s="207">
        <f>CONCATENATE(N474,P474,O474,)</f>
        <v/>
      </c>
      <c r="R474" s="240" t="n"/>
      <c r="T474" s="241" t="n"/>
      <c r="U474" s="240" t="n"/>
      <c r="V474" s="241" t="n"/>
      <c r="Z474" s="240" t="n"/>
      <c r="AB474" s="241" t="n"/>
      <c r="AC474" s="240" t="n"/>
      <c r="AD474" s="241" t="n"/>
    </row>
    <row r="475">
      <c r="B475" s="42" t="n">
        <v>96</v>
      </c>
      <c r="C475" s="118">
        <f>INDIRECT("'Закуп'!A" &amp; B475)</f>
        <v/>
      </c>
      <c r="D475" s="119">
        <f>C475*1.2</f>
        <v/>
      </c>
      <c r="G475" s="172">
        <f>IF(INDIRECT("'Закуп'!L" &amp; B475)="Sale","Sale","")</f>
        <v/>
      </c>
      <c r="H475" s="158">
        <f>IF(INDIRECT("'Закуп'!F" &amp; B475)=0,"",INDIRECT("'Закуп'!F" &amp; B475))</f>
        <v/>
      </c>
      <c r="I475" s="120" t="n">
        <v>500</v>
      </c>
      <c r="J475" s="121">
        <f>K475/1.2</f>
        <v/>
      </c>
      <c r="K475" s="70" t="n">
        <v>0.73</v>
      </c>
      <c r="L475" s="122">
        <f>J475-C475-(J475-C475)*0.2</f>
        <v/>
      </c>
      <c r="M475" s="123">
        <f>L475*I475</f>
        <v/>
      </c>
      <c r="N475" s="124" t="inlineStr">
        <is>
          <t xml:space="preserve">500-990 шт - </t>
        </is>
      </c>
      <c r="O475" s="47" t="inlineStr">
        <is>
          <t xml:space="preserve"> руб / шт с НДС</t>
        </is>
      </c>
      <c r="P475" s="125">
        <f>ROUND(K475,2)</f>
        <v/>
      </c>
      <c r="Q475" s="207">
        <f>CONCATENATE(N475,P475,O475,)</f>
        <v/>
      </c>
      <c r="R475" s="240" t="n"/>
      <c r="T475" s="241" t="n"/>
      <c r="U475" s="240" t="n"/>
      <c r="V475" s="241" t="n"/>
      <c r="Z475" s="240" t="n"/>
      <c r="AB475" s="241" t="n"/>
      <c r="AC475" s="240" t="n"/>
      <c r="AD475" s="241" t="n"/>
    </row>
    <row r="476">
      <c r="B476" s="42" t="n">
        <v>96</v>
      </c>
      <c r="C476" s="118">
        <f>INDIRECT("'Закуп'!A" &amp; B476)</f>
        <v/>
      </c>
      <c r="D476" s="119">
        <f>C476*1.2</f>
        <v/>
      </c>
      <c r="G476" s="172">
        <f>IF(INDIRECT("'Закуп'!L" &amp; B476)="Sale","Sale","")</f>
        <v/>
      </c>
      <c r="H476" s="158">
        <f>IF(INDIRECT("'Закуп'!F" &amp; B476)=0,"",INDIRECT("'Закуп'!F" &amp; B476))</f>
        <v/>
      </c>
      <c r="I476" s="120" t="n">
        <v>1000</v>
      </c>
      <c r="J476" s="121">
        <f>K476/1.2</f>
        <v/>
      </c>
      <c r="K476" s="70" t="n">
        <v>0.59</v>
      </c>
      <c r="L476" s="122">
        <f>J476-C476-(J476-C476)*0.2</f>
        <v/>
      </c>
      <c r="M476" s="123">
        <f>L476*I476</f>
        <v/>
      </c>
      <c r="N476" s="124" t="inlineStr">
        <is>
          <t xml:space="preserve">1000 + шт - </t>
        </is>
      </c>
      <c r="O476" s="47" t="inlineStr">
        <is>
          <t xml:space="preserve"> руб / шт с НДС</t>
        </is>
      </c>
      <c r="P476" s="125">
        <f>ROUND(K476,2)</f>
        <v/>
      </c>
      <c r="Q476" s="207">
        <f>CONCATENATE(N476,P476,O476,)</f>
        <v/>
      </c>
      <c r="R476" s="240" t="n"/>
      <c r="T476" s="241" t="n"/>
      <c r="U476" s="240" t="n"/>
      <c r="V476" s="241" t="n"/>
      <c r="Z476" s="240" t="n"/>
      <c r="AB476" s="241" t="n"/>
      <c r="AC476" s="240" t="n"/>
      <c r="AD476" s="241" t="n"/>
    </row>
    <row r="477">
      <c r="A477" s="232" t="n">
        <v>97</v>
      </c>
      <c r="B477" s="42" t="n">
        <v>97</v>
      </c>
      <c r="C477" s="118">
        <f>INDIRECT("'Закуп'!A" &amp; B477)</f>
        <v/>
      </c>
      <c r="D477" s="119">
        <f>C477*1.2</f>
        <v/>
      </c>
      <c r="E477" s="224">
        <f>INDIRECT("'Закуп'!D" &amp; A477)</f>
        <v/>
      </c>
      <c r="F477" s="231">
        <f>INDIRECT("'Закуп'!E" &amp; B477)</f>
        <v/>
      </c>
      <c r="G477" s="172">
        <f>IF(INDIRECT("'Закуп'!L" &amp; B477)="Sale","Sale","")</f>
        <v/>
      </c>
      <c r="H477" s="158">
        <f>IF(INDIRECT("'Закуп'!F" &amp; B477)=0,"",INDIRECT("'Закуп'!F" &amp; B477))</f>
        <v/>
      </c>
      <c r="I477" s="120" t="n">
        <v>50</v>
      </c>
      <c r="J477" s="121">
        <f>K477/1.2</f>
        <v/>
      </c>
      <c r="K477" s="242" t="n">
        <v>1.31</v>
      </c>
      <c r="L477" s="122">
        <f>J477-C477-(J477-C477)*0.2</f>
        <v/>
      </c>
      <c r="M477" s="123">
        <f>L477*I477</f>
        <v/>
      </c>
      <c r="N477" s="124" t="inlineStr">
        <is>
          <t xml:space="preserve">50-90 шт - </t>
        </is>
      </c>
      <c r="O477" s="47" t="inlineStr">
        <is>
          <t xml:space="preserve"> руб / шт с НДС</t>
        </is>
      </c>
      <c r="P477" s="125">
        <f>ROUND(K477,2)</f>
        <v/>
      </c>
      <c r="Q477" s="207">
        <f>CONCATENATE(N477,P477,O477,)</f>
        <v/>
      </c>
      <c r="R477" s="235">
        <f>INDIRECT("'Закуп'!k" &amp; A477)</f>
        <v/>
      </c>
      <c r="S477" s="239">
        <f>INDIRECT("'Закуп'!o" &amp; A477)</f>
        <v/>
      </c>
      <c r="T477" s="226">
        <f>INDIRECT("'Закуп'!p" &amp; A477)</f>
        <v/>
      </c>
      <c r="U477" s="235">
        <f>INDIRECT("'Закуп'!v" &amp; A477)</f>
        <v/>
      </c>
      <c r="V477" s="222">
        <f>INDIRECT("'Закуп'!w" &amp; A477)</f>
        <v/>
      </c>
      <c r="W477" s="229">
        <f>INDIRECT("'Закуп'!H" &amp; A477)</f>
        <v/>
      </c>
      <c r="X477" s="237">
        <f>INDIRECT("'Закуп'!g" &amp; A477)</f>
        <v/>
      </c>
      <c r="Y477" s="229">
        <f>INDIRECT("'Закуп'!i" &amp; A477)</f>
        <v/>
      </c>
      <c r="Z477" s="236">
        <f>INDIRECT("'Закуп'!x" &amp; A477)</f>
        <v/>
      </c>
      <c r="AA477" s="237">
        <f>INDIRECT("'Закуп'!y" &amp; A477)</f>
        <v/>
      </c>
      <c r="AB477" s="238">
        <f>INDIRECT("'Закуп'!z" &amp; A477)</f>
        <v/>
      </c>
      <c r="AC477" s="223">
        <f>SUBSTITUTE(INDEX(F:F, ROUNDUP((ROW(A476))/5,0)*5 - 3), "х", "x")</f>
        <v/>
      </c>
      <c r="AD477" s="222">
        <f>SUBSTITUTE(INDEX(F:F, ROUNDUP((ROW(A476))/5,0)*5 - 3), "х", "x") &amp; " - " &amp; SUBSTITUTE(SUBSTITUTE(INDEX(F:F, ROUNDUP((ROW(A476))/5,0)*5 - 3), "х", "*"), "x", "*") &amp; " мм"</f>
        <v/>
      </c>
      <c r="AE477" t="n">
        <v>1.77</v>
      </c>
    </row>
    <row r="478">
      <c r="B478" s="42" t="n">
        <v>97</v>
      </c>
      <c r="C478" s="118">
        <f>INDIRECT("'Закуп'!A" &amp; B478)</f>
        <v/>
      </c>
      <c r="D478" s="119">
        <f>C478*1.2</f>
        <v/>
      </c>
      <c r="G478" s="172">
        <f>IF(INDIRECT("'Закуп'!L" &amp; B478)="Sale","Sale","")</f>
        <v/>
      </c>
      <c r="H478" s="158">
        <f>IF(INDIRECT("'Закуп'!F" &amp; B478)=0,"",INDIRECT("'Закуп'!F" &amp; B478))</f>
        <v/>
      </c>
      <c r="I478" s="120" t="n">
        <v>100</v>
      </c>
      <c r="J478" s="121">
        <f>K478/1.2</f>
        <v/>
      </c>
      <c r="K478" s="242" t="n">
        <v>1.12</v>
      </c>
      <c r="L478" s="122">
        <f>J478-C478-(J478-C478)*0.2</f>
        <v/>
      </c>
      <c r="M478" s="123">
        <f>L478*I478</f>
        <v/>
      </c>
      <c r="N478" s="124" t="inlineStr">
        <is>
          <t xml:space="preserve">100-290 шт - </t>
        </is>
      </c>
      <c r="O478" s="47" t="inlineStr">
        <is>
          <t xml:space="preserve"> руб / шт с НДС</t>
        </is>
      </c>
      <c r="P478" s="125">
        <f>ROUND(K478,2)</f>
        <v/>
      </c>
      <c r="Q478" s="207">
        <f>CONCATENATE(N478,P478,O478,)</f>
        <v/>
      </c>
      <c r="R478" s="240" t="n"/>
      <c r="T478" s="241" t="n"/>
      <c r="U478" s="240" t="n"/>
      <c r="V478" s="241" t="n"/>
      <c r="Z478" s="240" t="n"/>
      <c r="AB478" s="241" t="n"/>
      <c r="AC478" s="240" t="n"/>
      <c r="AD478" s="241" t="n"/>
      <c r="AE478" t="n">
        <v>1.61</v>
      </c>
    </row>
    <row r="479">
      <c r="B479" s="42" t="n">
        <v>97</v>
      </c>
      <c r="C479" s="118">
        <f>INDIRECT("'Закуп'!A" &amp; B479)</f>
        <v/>
      </c>
      <c r="D479" s="119">
        <f>C479*1.2</f>
        <v/>
      </c>
      <c r="G479" s="172">
        <f>IF(INDIRECT("'Закуп'!L" &amp; B479)="Sale","Sale","")</f>
        <v/>
      </c>
      <c r="H479" s="158">
        <f>IF(INDIRECT("'Закуп'!F" &amp; B479)=0,"",INDIRECT("'Закуп'!F" &amp; B479))</f>
        <v/>
      </c>
      <c r="I479" s="120" t="n">
        <v>300</v>
      </c>
      <c r="J479" s="121">
        <f>K479/1.2</f>
        <v/>
      </c>
      <c r="K479" s="242" t="n">
        <v>1.05</v>
      </c>
      <c r="L479" s="122">
        <f>J479-C479-(J479-C479)*0.2</f>
        <v/>
      </c>
      <c r="M479" s="123">
        <f>L479*I479</f>
        <v/>
      </c>
      <c r="N479" s="124" t="inlineStr">
        <is>
          <t xml:space="preserve">300-490 шт - </t>
        </is>
      </c>
      <c r="O479" s="47" t="inlineStr">
        <is>
          <t xml:space="preserve"> руб / шт с НДС</t>
        </is>
      </c>
      <c r="P479" s="125">
        <f>ROUND(K479,2)</f>
        <v/>
      </c>
      <c r="Q479" s="207">
        <f>CONCATENATE(N479,P479,O479,)</f>
        <v/>
      </c>
      <c r="R479" s="240" t="n"/>
      <c r="T479" s="241" t="n"/>
      <c r="U479" s="240" t="n"/>
      <c r="V479" s="241" t="n"/>
      <c r="Z479" s="240" t="n"/>
      <c r="AB479" s="241" t="n"/>
      <c r="AC479" s="240" t="n"/>
      <c r="AD479" s="241" t="n"/>
      <c r="AE479" t="n">
        <v>1.47</v>
      </c>
    </row>
    <row r="480">
      <c r="B480" s="42" t="n">
        <v>97</v>
      </c>
      <c r="C480" s="118">
        <f>INDIRECT("'Закуп'!A" &amp; B480)</f>
        <v/>
      </c>
      <c r="D480" s="119">
        <f>C480*1.2</f>
        <v/>
      </c>
      <c r="G480" s="172">
        <f>IF(INDIRECT("'Закуп'!L" &amp; B480)="Sale","Sale","")</f>
        <v/>
      </c>
      <c r="H480" s="158">
        <f>IF(INDIRECT("'Закуп'!F" &amp; B480)=0,"",INDIRECT("'Закуп'!F" &amp; B480))</f>
        <v/>
      </c>
      <c r="I480" s="120" t="n">
        <v>500</v>
      </c>
      <c r="J480" s="121">
        <f>K480/1.2</f>
        <v/>
      </c>
      <c r="K480" s="242" t="n">
        <v>1</v>
      </c>
      <c r="L480" s="122">
        <f>J480-C480-(J480-C480)*0.2</f>
        <v/>
      </c>
      <c r="M480" s="123">
        <f>L480*I480</f>
        <v/>
      </c>
      <c r="N480" s="124" t="inlineStr">
        <is>
          <t xml:space="preserve">500-990 шт - </t>
        </is>
      </c>
      <c r="O480" s="47" t="inlineStr">
        <is>
          <t xml:space="preserve"> руб / шт с НДС</t>
        </is>
      </c>
      <c r="P480" s="125">
        <f>ROUND(K480,2)</f>
        <v/>
      </c>
      <c r="Q480" s="207">
        <f>CONCATENATE(N480,P480,O480,)</f>
        <v/>
      </c>
      <c r="R480" s="240" t="n"/>
      <c r="T480" s="241" t="n"/>
      <c r="U480" s="240" t="n"/>
      <c r="V480" s="241" t="n"/>
      <c r="Z480" s="240" t="n"/>
      <c r="AB480" s="241" t="n"/>
      <c r="AC480" s="240" t="n"/>
      <c r="AD480" s="241" t="n"/>
      <c r="AE480" t="n">
        <v>1.35</v>
      </c>
    </row>
    <row r="481">
      <c r="B481" s="42" t="n">
        <v>97</v>
      </c>
      <c r="C481" s="118">
        <f>INDIRECT("'Закуп'!A" &amp; B481)</f>
        <v/>
      </c>
      <c r="D481" s="119">
        <f>C481*1.2</f>
        <v/>
      </c>
      <c r="G481" s="172">
        <f>IF(INDIRECT("'Закуп'!L" &amp; B481)="Sale","Sale","")</f>
        <v/>
      </c>
      <c r="H481" s="158">
        <f>IF(INDIRECT("'Закуп'!F" &amp; B481)=0,"",INDIRECT("'Закуп'!F" &amp; B481))</f>
        <v/>
      </c>
      <c r="I481" s="120" t="n">
        <v>1000</v>
      </c>
      <c r="J481" s="121">
        <f>K481/1.2</f>
        <v/>
      </c>
      <c r="K481" s="242" t="n">
        <v>0.95</v>
      </c>
      <c r="L481" s="122">
        <f>J481-C481-(J481-C481)*0.2</f>
        <v/>
      </c>
      <c r="M481" s="123">
        <f>L481*I481</f>
        <v/>
      </c>
      <c r="N481" s="124" t="inlineStr">
        <is>
          <t xml:space="preserve">1000 + шт - </t>
        </is>
      </c>
      <c r="O481" s="47" t="inlineStr">
        <is>
          <t xml:space="preserve"> руб / шт с НДС</t>
        </is>
      </c>
      <c r="P481" s="125">
        <f>ROUND(K481,2)</f>
        <v/>
      </c>
      <c r="Q481" s="207">
        <f>CONCATENATE(N481,P481,O481,)</f>
        <v/>
      </c>
      <c r="R481" s="240" t="n"/>
      <c r="T481" s="241" t="n"/>
      <c r="U481" s="240" t="n"/>
      <c r="V481" s="241" t="n"/>
      <c r="Z481" s="240" t="n"/>
      <c r="AB481" s="241" t="n"/>
      <c r="AC481" s="240" t="n"/>
      <c r="AD481" s="241" t="n"/>
      <c r="AE481" t="n">
        <v>1.2</v>
      </c>
    </row>
    <row r="482">
      <c r="A482" s="232" t="n">
        <v>98</v>
      </c>
      <c r="B482" s="42" t="n">
        <v>98</v>
      </c>
      <c r="C482" s="118">
        <f>INDIRECT("'Закуп'!A" &amp; B482)</f>
        <v/>
      </c>
      <c r="D482" s="119">
        <f>C482*1.2</f>
        <v/>
      </c>
      <c r="E482" s="224">
        <f>INDIRECT("'Закуп'!D" &amp; A482)</f>
        <v/>
      </c>
      <c r="F482" s="231">
        <f>INDIRECT("'Закуп'!E" &amp; B482)</f>
        <v/>
      </c>
      <c r="G482" s="172">
        <f>IF(INDIRECT("'Закуп'!L" &amp; B482)="Sale","Sale","")</f>
        <v/>
      </c>
      <c r="H482" s="158">
        <f>IF(INDIRECT("'Закуп'!F" &amp; B482)=0,"",INDIRECT("'Закуп'!F" &amp; B482))</f>
        <v/>
      </c>
      <c r="I482" s="120" t="n">
        <v>50</v>
      </c>
      <c r="J482" s="121">
        <f>K482/1.2</f>
        <v/>
      </c>
      <c r="K482" s="242" t="n">
        <v>2.74</v>
      </c>
      <c r="L482" s="122">
        <f>J482-C482-(J482-C482)*0.2</f>
        <v/>
      </c>
      <c r="M482" s="123">
        <f>L482*I482</f>
        <v/>
      </c>
      <c r="N482" s="124" t="inlineStr">
        <is>
          <t xml:space="preserve">50-90 шт - </t>
        </is>
      </c>
      <c r="O482" s="47" t="inlineStr">
        <is>
          <t xml:space="preserve"> руб / шт с НДС</t>
        </is>
      </c>
      <c r="P482" s="125">
        <f>ROUND(K482,2)</f>
        <v/>
      </c>
      <c r="Q482" s="207">
        <f>CONCATENATE(N482,P482,O482,)</f>
        <v/>
      </c>
      <c r="R482" s="235">
        <f>INDIRECT("'Закуп'!k" &amp; A482)</f>
        <v/>
      </c>
      <c r="S482" s="239">
        <f>INDIRECT("'Закуп'!o" &amp; A482)</f>
        <v/>
      </c>
      <c r="T482" s="226">
        <f>INDIRECT("'Закуп'!p" &amp; A482)</f>
        <v/>
      </c>
      <c r="U482" s="235">
        <f>INDIRECT("'Закуп'!v" &amp; A482)</f>
        <v/>
      </c>
      <c r="V482" s="222">
        <f>INDIRECT("'Закуп'!w" &amp; A482)</f>
        <v/>
      </c>
      <c r="W482" s="229">
        <f>INDIRECT("'Закуп'!H" &amp; A482)</f>
        <v/>
      </c>
      <c r="X482" s="237">
        <f>INDIRECT("'Закуп'!g" &amp; A482)</f>
        <v/>
      </c>
      <c r="Y482" s="229">
        <f>INDIRECT("'Закуп'!i" &amp; A482)</f>
        <v/>
      </c>
      <c r="Z482" s="236">
        <f>INDIRECT("'Закуп'!x" &amp; A482)</f>
        <v/>
      </c>
      <c r="AA482" s="237">
        <f>INDIRECT("'Закуп'!y" &amp; A482)</f>
        <v/>
      </c>
      <c r="AB482" s="238">
        <f>INDIRECT("'Закуп'!z" &amp; A482)</f>
        <v/>
      </c>
      <c r="AC482" s="223">
        <f>SUBSTITUTE(INDEX(F:F, ROUNDUP((ROW(A481))/5,0)*5 - 3), "х", "x")</f>
        <v/>
      </c>
      <c r="AD482" s="222">
        <f>SUBSTITUTE(INDEX(F:F, ROUNDUP((ROW(A481))/5,0)*5 - 3), "х", "x") &amp; " - " &amp; SUBSTITUTE(SUBSTITUTE(INDEX(F:F, ROUNDUP((ROW(A481))/5,0)*5 - 3), "х", "*"), "x", "*") &amp; " мм"</f>
        <v/>
      </c>
      <c r="AE482" t="n">
        <v>4.39</v>
      </c>
    </row>
    <row r="483">
      <c r="B483" s="42" t="n">
        <v>98</v>
      </c>
      <c r="C483" s="118">
        <f>INDIRECT("'Закуп'!A" &amp; B483)</f>
        <v/>
      </c>
      <c r="D483" s="119">
        <f>C483*1.2</f>
        <v/>
      </c>
      <c r="G483" s="172">
        <f>IF(INDIRECT("'Закуп'!L" &amp; B483)="Sale","Sale","")</f>
        <v/>
      </c>
      <c r="H483" s="158">
        <f>IF(INDIRECT("'Закуп'!F" &amp; B483)=0,"",INDIRECT("'Закуп'!F" &amp; B483))</f>
        <v/>
      </c>
      <c r="I483" s="120" t="n">
        <v>100</v>
      </c>
      <c r="J483" s="121">
        <f>K483/1.2</f>
        <v/>
      </c>
      <c r="K483" s="242" t="n">
        <v>2.34</v>
      </c>
      <c r="L483" s="122">
        <f>J483-C483-(J483-C483)*0.2</f>
        <v/>
      </c>
      <c r="M483" s="123">
        <f>L483*I483</f>
        <v/>
      </c>
      <c r="N483" s="124" t="inlineStr">
        <is>
          <t xml:space="preserve">100-290 шт - </t>
        </is>
      </c>
      <c r="O483" s="47" t="inlineStr">
        <is>
          <t xml:space="preserve"> руб / шт с НДС</t>
        </is>
      </c>
      <c r="P483" s="125">
        <f>ROUND(K483,2)</f>
        <v/>
      </c>
      <c r="Q483" s="207">
        <f>CONCATENATE(N483,P483,O483,)</f>
        <v/>
      </c>
      <c r="R483" s="240" t="n"/>
      <c r="T483" s="241" t="n"/>
      <c r="U483" s="240" t="n"/>
      <c r="V483" s="241" t="n"/>
      <c r="Z483" s="240" t="n"/>
      <c r="AB483" s="241" t="n"/>
      <c r="AC483" s="240" t="n"/>
      <c r="AD483" s="241" t="n"/>
      <c r="AE483" t="n">
        <v>3.47</v>
      </c>
    </row>
    <row r="484">
      <c r="B484" s="42" t="n">
        <v>98</v>
      </c>
      <c r="C484" s="118">
        <f>INDIRECT("'Закуп'!A" &amp; B484)</f>
        <v/>
      </c>
      <c r="D484" s="119">
        <f>C484*1.2</f>
        <v/>
      </c>
      <c r="G484" s="172">
        <f>IF(INDIRECT("'Закуп'!L" &amp; B484)="Sale","Sale","")</f>
        <v/>
      </c>
      <c r="H484" s="158">
        <f>IF(INDIRECT("'Закуп'!F" &amp; B484)=0,"",INDIRECT("'Закуп'!F" &amp; B484))</f>
        <v/>
      </c>
      <c r="I484" s="120" t="n">
        <v>300</v>
      </c>
      <c r="J484" s="121">
        <f>K484/1.2</f>
        <v/>
      </c>
      <c r="K484" s="242" t="n">
        <v>2.13</v>
      </c>
      <c r="L484" s="122">
        <f>J484-C484-(J484-C484)*0.2</f>
        <v/>
      </c>
      <c r="M484" s="123">
        <f>L484*I484</f>
        <v/>
      </c>
      <c r="N484" s="124" t="inlineStr">
        <is>
          <t xml:space="preserve">300-490 шт - </t>
        </is>
      </c>
      <c r="O484" s="47" t="inlineStr">
        <is>
          <t xml:space="preserve"> руб / шт с НДС</t>
        </is>
      </c>
      <c r="P484" s="125">
        <f>ROUND(K484,2)</f>
        <v/>
      </c>
      <c r="Q484" s="207">
        <f>CONCATENATE(N484,P484,O484,)</f>
        <v/>
      </c>
      <c r="R484" s="240" t="n"/>
      <c r="T484" s="241" t="n"/>
      <c r="U484" s="240" t="n"/>
      <c r="V484" s="241" t="n"/>
      <c r="Z484" s="240" t="n"/>
      <c r="AB484" s="241" t="n"/>
      <c r="AC484" s="240" t="n"/>
      <c r="AD484" s="241" t="n"/>
      <c r="AE484" t="n">
        <v>2.86</v>
      </c>
    </row>
    <row r="485">
      <c r="B485" s="42" t="n">
        <v>98</v>
      </c>
      <c r="C485" s="118">
        <f>INDIRECT("'Закуп'!A" &amp; B485)</f>
        <v/>
      </c>
      <c r="D485" s="119">
        <f>C485*1.2</f>
        <v/>
      </c>
      <c r="G485" s="172">
        <f>IF(INDIRECT("'Закуп'!L" &amp; B485)="Sale","Sale","")</f>
        <v/>
      </c>
      <c r="H485" s="158">
        <f>IF(INDIRECT("'Закуп'!F" &amp; B485)=0,"",INDIRECT("'Закуп'!F" &amp; B485))</f>
        <v/>
      </c>
      <c r="I485" s="120" t="n">
        <v>500</v>
      </c>
      <c r="J485" s="121">
        <f>K485/1.2</f>
        <v/>
      </c>
      <c r="K485" s="242" t="n">
        <v>2.02</v>
      </c>
      <c r="L485" s="122">
        <f>J485-C485-(J485-C485)*0.2</f>
        <v/>
      </c>
      <c r="M485" s="123">
        <f>L485*I485</f>
        <v/>
      </c>
      <c r="N485" s="124" t="inlineStr">
        <is>
          <t xml:space="preserve">500-990 шт - </t>
        </is>
      </c>
      <c r="O485" s="47" t="inlineStr">
        <is>
          <t xml:space="preserve"> руб / шт с НДС</t>
        </is>
      </c>
      <c r="P485" s="125">
        <f>ROUND(K485,2)</f>
        <v/>
      </c>
      <c r="Q485" s="207">
        <f>CONCATENATE(N485,P485,O485,)</f>
        <v/>
      </c>
      <c r="R485" s="240" t="n"/>
      <c r="T485" s="241" t="n"/>
      <c r="U485" s="240" t="n"/>
      <c r="V485" s="241" t="n"/>
      <c r="Z485" s="240" t="n"/>
      <c r="AB485" s="241" t="n"/>
      <c r="AC485" s="240" t="n"/>
      <c r="AD485" s="241" t="n"/>
      <c r="AE485" t="n">
        <v>2.77</v>
      </c>
    </row>
    <row r="486">
      <c r="B486" s="42" t="n">
        <v>98</v>
      </c>
      <c r="C486" s="118">
        <f>INDIRECT("'Закуп'!A" &amp; B486)</f>
        <v/>
      </c>
      <c r="D486" s="119">
        <f>C486*1.2</f>
        <v/>
      </c>
      <c r="G486" s="172">
        <f>IF(INDIRECT("'Закуп'!L" &amp; B486)="Sale","Sale","")</f>
        <v/>
      </c>
      <c r="H486" s="158">
        <f>IF(INDIRECT("'Закуп'!F" &amp; B486)=0,"",INDIRECT("'Закуп'!F" &amp; B486))</f>
        <v/>
      </c>
      <c r="I486" s="120" t="n">
        <v>1000</v>
      </c>
      <c r="J486" s="121">
        <f>K486/1.2</f>
        <v/>
      </c>
      <c r="K486" s="242" t="n">
        <v>1.95</v>
      </c>
      <c r="L486" s="122">
        <f>J486-C486-(J486-C486)*0.2</f>
        <v/>
      </c>
      <c r="M486" s="123">
        <f>L486*I486</f>
        <v/>
      </c>
      <c r="N486" s="124" t="inlineStr">
        <is>
          <t xml:space="preserve">1000 + шт - </t>
        </is>
      </c>
      <c r="O486" s="47" t="inlineStr">
        <is>
          <t xml:space="preserve"> руб / шт с НДС</t>
        </is>
      </c>
      <c r="P486" s="125">
        <f>ROUND(K486,2)</f>
        <v/>
      </c>
      <c r="Q486" s="207">
        <f>CONCATENATE(N486,P486,O486,)</f>
        <v/>
      </c>
      <c r="R486" s="240" t="n"/>
      <c r="T486" s="241" t="n"/>
      <c r="U486" s="240" t="n"/>
      <c r="V486" s="241" t="n"/>
      <c r="Z486" s="240" t="n"/>
      <c r="AB486" s="241" t="n"/>
      <c r="AC486" s="240" t="n"/>
      <c r="AD486" s="241" t="n"/>
      <c r="AE486" t="n">
        <v>2.68</v>
      </c>
    </row>
    <row r="487">
      <c r="A487" s="232" t="n">
        <v>99</v>
      </c>
      <c r="B487" s="42" t="n">
        <v>99</v>
      </c>
      <c r="C487" s="118">
        <f>INDIRECT("'Закуп'!A" &amp; B487)</f>
        <v/>
      </c>
      <c r="D487" s="119">
        <f>C487*1.2</f>
        <v/>
      </c>
      <c r="E487" s="224">
        <f>INDIRECT("'Закуп'!D" &amp; A487)</f>
        <v/>
      </c>
      <c r="F487" s="231">
        <f>INDIRECT("'Закуп'!E" &amp; B487)</f>
        <v/>
      </c>
      <c r="G487" s="172">
        <f>IF(INDIRECT("'Закуп'!L" &amp; B487)="Sale","Sale","")</f>
        <v/>
      </c>
      <c r="H487" s="158">
        <f>IF(INDIRECT("'Закуп'!F" &amp; B487)=0,"",INDIRECT("'Закуп'!F" &amp; B487))</f>
        <v/>
      </c>
      <c r="I487" s="120" t="n">
        <v>50</v>
      </c>
      <c r="J487" s="121">
        <f>K487/1.2</f>
        <v/>
      </c>
      <c r="K487" s="242" t="n">
        <v>1.75</v>
      </c>
      <c r="L487" s="122">
        <f>J487-C487-(J487-C487)*0.2</f>
        <v/>
      </c>
      <c r="M487" s="123">
        <f>L487*I487</f>
        <v/>
      </c>
      <c r="N487" s="124" t="inlineStr">
        <is>
          <t xml:space="preserve">50-90 шт - </t>
        </is>
      </c>
      <c r="O487" s="47" t="inlineStr">
        <is>
          <t xml:space="preserve"> руб / шт с НДС</t>
        </is>
      </c>
      <c r="P487" s="125">
        <f>ROUND(K487,2)</f>
        <v/>
      </c>
      <c r="Q487" s="207">
        <f>CONCATENATE(N487,P487,O487,)</f>
        <v/>
      </c>
      <c r="R487" s="235">
        <f>INDIRECT("'Закуп'!k" &amp; A487)</f>
        <v/>
      </c>
      <c r="S487" s="239">
        <f>INDIRECT("'Закуп'!o" &amp; A487)</f>
        <v/>
      </c>
      <c r="T487" s="226">
        <f>INDIRECT("'Закуп'!p" &amp; A487)</f>
        <v/>
      </c>
      <c r="U487" s="235">
        <f>INDIRECT("'Закуп'!v" &amp; A487)</f>
        <v/>
      </c>
      <c r="V487" s="222">
        <f>INDIRECT("'Закуп'!w" &amp; A487)</f>
        <v/>
      </c>
      <c r="W487" s="229">
        <f>INDIRECT("'Закуп'!H" &amp; A487)</f>
        <v/>
      </c>
      <c r="X487" s="237">
        <f>INDIRECT("'Закуп'!g" &amp; A487)</f>
        <v/>
      </c>
      <c r="Y487" s="229">
        <f>INDIRECT("'Закуп'!i" &amp; A487)</f>
        <v/>
      </c>
      <c r="Z487" s="236">
        <f>INDIRECT("'Закуп'!x" &amp; A487)</f>
        <v/>
      </c>
      <c r="AA487" s="237">
        <f>INDIRECT("'Закуп'!y" &amp; A487)</f>
        <v/>
      </c>
      <c r="AB487" s="238">
        <f>INDIRECT("'Закуп'!z" &amp; A487)</f>
        <v/>
      </c>
      <c r="AC487" s="223">
        <f>SUBSTITUTE(INDEX(F:F, ROUNDUP((ROW(A486))/5,0)*5 - 3), "х", "x")</f>
        <v/>
      </c>
      <c r="AD487" s="222">
        <f>SUBSTITUTE(INDEX(F:F, ROUNDUP((ROW(A486))/5,0)*5 - 3), "х", "x") &amp; " - " &amp; SUBSTITUTE(SUBSTITUTE(INDEX(F:F, ROUNDUP((ROW(A486))/5,0)*5 - 3), "х", "*"), "x", "*") &amp; " мм"</f>
        <v/>
      </c>
      <c r="AE487" t="n">
        <v>1.44</v>
      </c>
    </row>
    <row r="488">
      <c r="B488" s="42" t="n">
        <v>99</v>
      </c>
      <c r="C488" s="118">
        <f>INDIRECT("'Закуп'!A" &amp; B488)</f>
        <v/>
      </c>
      <c r="D488" s="119">
        <f>C488*1.2</f>
        <v/>
      </c>
      <c r="G488" s="172">
        <f>IF(INDIRECT("'Закуп'!L" &amp; B488)="Sale","Sale","")</f>
        <v/>
      </c>
      <c r="H488" s="158">
        <f>IF(INDIRECT("'Закуп'!F" &amp; B488)=0,"",INDIRECT("'Закуп'!F" &amp; B488))</f>
        <v/>
      </c>
      <c r="I488" s="120" t="n">
        <v>100</v>
      </c>
      <c r="J488" s="121">
        <f>K488/1.2</f>
        <v/>
      </c>
      <c r="K488" s="242" t="n">
        <v>1.54</v>
      </c>
      <c r="L488" s="122">
        <f>J488-C488-(J488-C488)*0.2</f>
        <v/>
      </c>
      <c r="M488" s="123">
        <f>L488*I488</f>
        <v/>
      </c>
      <c r="N488" s="124" t="inlineStr">
        <is>
          <t xml:space="preserve">100-290 шт - </t>
        </is>
      </c>
      <c r="O488" s="47" t="inlineStr">
        <is>
          <t xml:space="preserve"> руб / шт с НДС</t>
        </is>
      </c>
      <c r="P488" s="125">
        <f>ROUND(K488,2)</f>
        <v/>
      </c>
      <c r="Q488" s="207">
        <f>CONCATENATE(N488,P488,O488,)</f>
        <v/>
      </c>
      <c r="R488" s="240" t="n"/>
      <c r="T488" s="241" t="n"/>
      <c r="U488" s="240" t="n"/>
      <c r="V488" s="241" t="n"/>
      <c r="Z488" s="240" t="n"/>
      <c r="AB488" s="241" t="n"/>
      <c r="AC488" s="240" t="n"/>
      <c r="AD488" s="241" t="n"/>
      <c r="AE488" t="n">
        <v>1.26</v>
      </c>
    </row>
    <row r="489">
      <c r="B489" s="42" t="n">
        <v>99</v>
      </c>
      <c r="C489" s="118">
        <f>INDIRECT("'Закуп'!A" &amp; B489)</f>
        <v/>
      </c>
      <c r="D489" s="119">
        <f>C489*1.2</f>
        <v/>
      </c>
      <c r="G489" s="172">
        <f>IF(INDIRECT("'Закуп'!L" &amp; B489)="Sale","Sale","")</f>
        <v/>
      </c>
      <c r="H489" s="158">
        <f>IF(INDIRECT("'Закуп'!F" &amp; B489)=0,"",INDIRECT("'Закуп'!F" &amp; B489))</f>
        <v/>
      </c>
      <c r="I489" s="120" t="n">
        <v>300</v>
      </c>
      <c r="J489" s="121">
        <f>K489/1.2</f>
        <v/>
      </c>
      <c r="K489" s="242" t="n">
        <v>1.34</v>
      </c>
      <c r="L489" s="122">
        <f>J489-C489-(J489-C489)*0.2</f>
        <v/>
      </c>
      <c r="M489" s="123">
        <f>L489*I489</f>
        <v/>
      </c>
      <c r="N489" s="124" t="inlineStr">
        <is>
          <t xml:space="preserve">300-490 шт - </t>
        </is>
      </c>
      <c r="O489" s="47" t="inlineStr">
        <is>
          <t xml:space="preserve"> руб / шт с НДС</t>
        </is>
      </c>
      <c r="P489" s="125">
        <f>ROUND(K489,2)</f>
        <v/>
      </c>
      <c r="Q489" s="207">
        <f>CONCATENATE(N489,P489,O489,)</f>
        <v/>
      </c>
      <c r="R489" s="240" t="n"/>
      <c r="T489" s="241" t="n"/>
      <c r="U489" s="240" t="n"/>
      <c r="V489" s="241" t="n"/>
      <c r="Z489" s="240" t="n"/>
      <c r="AB489" s="241" t="n"/>
      <c r="AC489" s="240" t="n"/>
      <c r="AD489" s="241" t="n"/>
      <c r="AE489" t="n">
        <v>1.07</v>
      </c>
    </row>
    <row r="490">
      <c r="B490" s="42" t="n">
        <v>99</v>
      </c>
      <c r="C490" s="118">
        <f>INDIRECT("'Закуп'!A" &amp; B490)</f>
        <v/>
      </c>
      <c r="D490" s="119">
        <f>C490*1.2</f>
        <v/>
      </c>
      <c r="G490" s="172">
        <f>IF(INDIRECT("'Закуп'!L" &amp; B490)="Sale","Sale","")</f>
        <v/>
      </c>
      <c r="H490" s="158">
        <f>IF(INDIRECT("'Закуп'!F" &amp; B490)=0,"",INDIRECT("'Закуп'!F" &amp; B490))</f>
        <v/>
      </c>
      <c r="I490" s="120" t="n">
        <v>500</v>
      </c>
      <c r="J490" s="121">
        <f>K490/1.2</f>
        <v/>
      </c>
      <c r="K490" s="242" t="n">
        <v>1.23</v>
      </c>
      <c r="L490" s="122">
        <f>J490-C490-(J490-C490)*0.2</f>
        <v/>
      </c>
      <c r="M490" s="123">
        <f>L490*I490</f>
        <v/>
      </c>
      <c r="N490" s="124" t="inlineStr">
        <is>
          <t xml:space="preserve">500-990 шт - </t>
        </is>
      </c>
      <c r="O490" s="47" t="inlineStr">
        <is>
          <t xml:space="preserve"> руб / шт с НДС</t>
        </is>
      </c>
      <c r="P490" s="125">
        <f>ROUND(K490,2)</f>
        <v/>
      </c>
      <c r="Q490" s="207">
        <f>CONCATENATE(N490,P490,O490,)</f>
        <v/>
      </c>
      <c r="R490" s="240" t="n"/>
      <c r="T490" s="241" t="n"/>
      <c r="U490" s="240" t="n"/>
      <c r="V490" s="241" t="n"/>
      <c r="Z490" s="240" t="n"/>
      <c r="AB490" s="241" t="n"/>
      <c r="AC490" s="240" t="n"/>
      <c r="AD490" s="241" t="n"/>
      <c r="AE490" t="n">
        <v>1.01</v>
      </c>
    </row>
    <row r="491">
      <c r="B491" s="42" t="n">
        <v>99</v>
      </c>
      <c r="C491" s="118">
        <f>INDIRECT("'Закуп'!A" &amp; B491)</f>
        <v/>
      </c>
      <c r="D491" s="119">
        <f>C491*1.2</f>
        <v/>
      </c>
      <c r="G491" s="172">
        <f>IF(INDIRECT("'Закуп'!L" &amp; B491)="Sale","Sale","")</f>
        <v/>
      </c>
      <c r="H491" s="158">
        <f>IF(INDIRECT("'Закуп'!F" &amp; B491)=0,"",INDIRECT("'Закуп'!F" &amp; B491))</f>
        <v/>
      </c>
      <c r="I491" s="120" t="n">
        <v>1000</v>
      </c>
      <c r="J491" s="121">
        <f>K491/1.2</f>
        <v/>
      </c>
      <c r="K491" s="242" t="n">
        <v>1.03</v>
      </c>
      <c r="L491" s="122">
        <f>J491-C491-(J491-C491)*0.2</f>
        <v/>
      </c>
      <c r="M491" s="123">
        <f>L491*I491</f>
        <v/>
      </c>
      <c r="N491" s="124" t="inlineStr">
        <is>
          <t xml:space="preserve">1000 + шт - </t>
        </is>
      </c>
      <c r="O491" s="47" t="inlineStr">
        <is>
          <t xml:space="preserve"> руб / шт с НДС</t>
        </is>
      </c>
      <c r="P491" s="125">
        <f>ROUND(K491,2)</f>
        <v/>
      </c>
      <c r="Q491" s="207">
        <f>CONCATENATE(N491,P491,O491,)</f>
        <v/>
      </c>
      <c r="R491" s="240" t="n"/>
      <c r="T491" s="241" t="n"/>
      <c r="U491" s="240" t="n"/>
      <c r="V491" s="241" t="n"/>
      <c r="Z491" s="240" t="n"/>
      <c r="AB491" s="241" t="n"/>
      <c r="AC491" s="240" t="n"/>
      <c r="AD491" s="241" t="n"/>
      <c r="AE491" t="n">
        <v>0.9399999999999999</v>
      </c>
    </row>
    <row r="492">
      <c r="A492" s="232" t="n">
        <v>100</v>
      </c>
      <c r="B492" s="42" t="n">
        <v>100</v>
      </c>
      <c r="C492" s="118">
        <f>INDIRECT("'Закуп'!A" &amp; B492)</f>
        <v/>
      </c>
      <c r="D492" s="119">
        <f>C492*1.2</f>
        <v/>
      </c>
      <c r="E492" s="224">
        <f>INDIRECT("'Закуп'!D" &amp; A492)</f>
        <v/>
      </c>
      <c r="F492" s="231">
        <f>INDIRECT("'Закуп'!E" &amp; B492)</f>
        <v/>
      </c>
      <c r="G492" s="172">
        <f>IF(INDIRECT("'Закуп'!L" &amp; B492)="Sale","Sale","")</f>
        <v/>
      </c>
      <c r="H492" s="158">
        <f>IF(INDIRECT("'Закуп'!F" &amp; B492)=0,"",INDIRECT("'Закуп'!F" &amp; B492))</f>
        <v/>
      </c>
      <c r="I492" s="120" t="n">
        <v>50</v>
      </c>
      <c r="J492" s="121">
        <f>K492/1.2</f>
        <v/>
      </c>
      <c r="K492" s="242" t="n">
        <v>2.38</v>
      </c>
      <c r="L492" s="122">
        <f>J492-C492-(J492-C492)*0.2</f>
        <v/>
      </c>
      <c r="M492" s="123">
        <f>L492*I492</f>
        <v/>
      </c>
      <c r="N492" s="124" t="inlineStr">
        <is>
          <t xml:space="preserve">50-90 шт - </t>
        </is>
      </c>
      <c r="O492" s="47" t="inlineStr">
        <is>
          <t xml:space="preserve"> руб / шт с НДС</t>
        </is>
      </c>
      <c r="P492" s="125">
        <f>ROUND(K492,2)</f>
        <v/>
      </c>
      <c r="Q492" s="207">
        <f>CONCATENATE(N492,P492,O492,)</f>
        <v/>
      </c>
      <c r="R492" s="235">
        <f>INDIRECT("'Закуп'!k" &amp; A492)</f>
        <v/>
      </c>
      <c r="S492" s="239">
        <f>INDIRECT("'Закуп'!o" &amp; A492)</f>
        <v/>
      </c>
      <c r="T492" s="226">
        <f>INDIRECT("'Закуп'!p" &amp; A492)</f>
        <v/>
      </c>
      <c r="U492" s="235">
        <f>INDIRECT("'Закуп'!v" &amp; A492)</f>
        <v/>
      </c>
      <c r="V492" s="222">
        <f>INDIRECT("'Закуп'!w" &amp; A492)</f>
        <v/>
      </c>
      <c r="W492" s="229">
        <f>INDIRECT("'Закуп'!H" &amp; A492)</f>
        <v/>
      </c>
      <c r="X492" s="237">
        <f>INDIRECT("'Закуп'!g" &amp; A492)</f>
        <v/>
      </c>
      <c r="Y492" s="229">
        <f>INDIRECT("'Закуп'!i" &amp; A492)</f>
        <v/>
      </c>
      <c r="Z492" s="236">
        <f>INDIRECT("'Закуп'!x" &amp; A492)</f>
        <v/>
      </c>
      <c r="AA492" s="237">
        <f>INDIRECT("'Закуп'!y" &amp; A492)</f>
        <v/>
      </c>
      <c r="AB492" s="238">
        <f>INDIRECT("'Закуп'!z" &amp; A492)</f>
        <v/>
      </c>
      <c r="AC492" s="223">
        <f>SUBSTITUTE(INDEX(F:F, ROUNDUP((ROW(A491))/5,0)*5 - 3), "х", "x")</f>
        <v/>
      </c>
      <c r="AD492" s="222">
        <f>SUBSTITUTE(INDEX(F:F, ROUNDUP((ROW(A491))/5,0)*5 - 3), "х", "x") &amp; " - " &amp; SUBSTITUTE(SUBSTITUTE(INDEX(F:F, ROUNDUP((ROW(A491))/5,0)*5 - 3), "х", "*"), "x", "*") &amp; " мм"</f>
        <v/>
      </c>
      <c r="AE492" t="n">
        <v>3.62</v>
      </c>
    </row>
    <row r="493">
      <c r="B493" s="42" t="n">
        <v>100</v>
      </c>
      <c r="C493" s="118">
        <f>INDIRECT("'Закуп'!A" &amp; B493)</f>
        <v/>
      </c>
      <c r="D493" s="119">
        <f>C493*1.2</f>
        <v/>
      </c>
      <c r="G493" s="172">
        <f>IF(INDIRECT("'Закуп'!L" &amp; B493)="Sale","Sale","")</f>
        <v/>
      </c>
      <c r="H493" s="158">
        <f>IF(INDIRECT("'Закуп'!F" &amp; B493)=0,"",INDIRECT("'Закуп'!F" &amp; B493))</f>
        <v/>
      </c>
      <c r="I493" s="120" t="n">
        <v>100</v>
      </c>
      <c r="J493" s="121">
        <f>K493/1.2</f>
        <v/>
      </c>
      <c r="K493" s="242" t="n">
        <v>2.03</v>
      </c>
      <c r="L493" s="122">
        <f>J493-C493-(J493-C493)*0.2</f>
        <v/>
      </c>
      <c r="M493" s="123">
        <f>L493*I493</f>
        <v/>
      </c>
      <c r="N493" s="124" t="inlineStr">
        <is>
          <t xml:space="preserve">100-290 шт - </t>
        </is>
      </c>
      <c r="O493" s="47" t="inlineStr">
        <is>
          <t xml:space="preserve"> руб / шт с НДС</t>
        </is>
      </c>
      <c r="P493" s="125">
        <f>ROUND(K493,2)</f>
        <v/>
      </c>
      <c r="Q493" s="207">
        <f>CONCATENATE(N493,P493,O493,)</f>
        <v/>
      </c>
      <c r="R493" s="240" t="n"/>
      <c r="T493" s="241" t="n"/>
      <c r="U493" s="240" t="n"/>
      <c r="V493" s="241" t="n"/>
      <c r="Z493" s="240" t="n"/>
      <c r="AB493" s="241" t="n"/>
      <c r="AC493" s="240" t="n"/>
      <c r="AD493" s="241" t="n"/>
      <c r="AE493" t="n">
        <v>2.9</v>
      </c>
    </row>
    <row r="494">
      <c r="B494" s="42" t="n">
        <v>100</v>
      </c>
      <c r="C494" s="118">
        <f>INDIRECT("'Закуп'!A" &amp; B494)</f>
        <v/>
      </c>
      <c r="D494" s="119">
        <f>C494*1.2</f>
        <v/>
      </c>
      <c r="G494" s="172">
        <f>IF(INDIRECT("'Закуп'!L" &amp; B494)="Sale","Sale","")</f>
        <v/>
      </c>
      <c r="H494" s="158">
        <f>IF(INDIRECT("'Закуп'!F" &amp; B494)=0,"",INDIRECT("'Закуп'!F" &amp; B494))</f>
        <v/>
      </c>
      <c r="I494" s="120" t="n">
        <v>300</v>
      </c>
      <c r="J494" s="121">
        <f>K494/1.2</f>
        <v/>
      </c>
      <c r="K494" s="242" t="n">
        <v>1.91</v>
      </c>
      <c r="L494" s="122">
        <f>J494-C494-(J494-C494)*0.2</f>
        <v/>
      </c>
      <c r="M494" s="123">
        <f>L494*I494</f>
        <v/>
      </c>
      <c r="N494" s="124" t="inlineStr">
        <is>
          <t xml:space="preserve">300-490 шт - </t>
        </is>
      </c>
      <c r="O494" s="47" t="inlineStr">
        <is>
          <t xml:space="preserve"> руб / шт с НДС</t>
        </is>
      </c>
      <c r="P494" s="125">
        <f>ROUND(K494,2)</f>
        <v/>
      </c>
      <c r="Q494" s="207">
        <f>CONCATENATE(N494,P494,O494,)</f>
        <v/>
      </c>
      <c r="R494" s="240" t="n"/>
      <c r="T494" s="241" t="n"/>
      <c r="U494" s="240" t="n"/>
      <c r="V494" s="241" t="n"/>
      <c r="Z494" s="240" t="n"/>
      <c r="AB494" s="241" t="n"/>
      <c r="AC494" s="240" t="n"/>
      <c r="AD494" s="241" t="n"/>
      <c r="AE494" t="n">
        <v>2.44</v>
      </c>
    </row>
    <row r="495">
      <c r="B495" s="42" t="n">
        <v>100</v>
      </c>
      <c r="C495" s="118">
        <f>INDIRECT("'Закуп'!A" &amp; B495)</f>
        <v/>
      </c>
      <c r="D495" s="119">
        <f>C495*1.2</f>
        <v/>
      </c>
      <c r="G495" s="172">
        <f>IF(INDIRECT("'Закуп'!L" &amp; B495)="Sale","Sale","")</f>
        <v/>
      </c>
      <c r="H495" s="158">
        <f>IF(INDIRECT("'Закуп'!F" &amp; B495)=0,"",INDIRECT("'Закуп'!F" &amp; B495))</f>
        <v/>
      </c>
      <c r="I495" s="120" t="n">
        <v>500</v>
      </c>
      <c r="J495" s="121">
        <f>K495/1.2</f>
        <v/>
      </c>
      <c r="K495" s="242" t="n">
        <v>1.79</v>
      </c>
      <c r="L495" s="122">
        <f>J495-C495-(J495-C495)*0.2</f>
        <v/>
      </c>
      <c r="M495" s="123">
        <f>L495*I495</f>
        <v/>
      </c>
      <c r="N495" s="124" t="inlineStr">
        <is>
          <t xml:space="preserve">500-990 шт - </t>
        </is>
      </c>
      <c r="O495" s="47" t="inlineStr">
        <is>
          <t xml:space="preserve"> руб / шт с НДС</t>
        </is>
      </c>
      <c r="P495" s="125">
        <f>ROUND(K495,2)</f>
        <v/>
      </c>
      <c r="Q495" s="207">
        <f>CONCATENATE(N495,P495,O495,)</f>
        <v/>
      </c>
      <c r="R495" s="240" t="n"/>
      <c r="T495" s="241" t="n"/>
      <c r="U495" s="240" t="n"/>
      <c r="V495" s="241" t="n"/>
      <c r="Z495" s="240" t="n"/>
      <c r="AB495" s="241" t="n"/>
      <c r="AC495" s="240" t="n"/>
      <c r="AD495" s="241" t="n"/>
      <c r="AE495" t="n">
        <v>2.32</v>
      </c>
    </row>
    <row r="496">
      <c r="B496" s="42" t="n">
        <v>100</v>
      </c>
      <c r="C496" s="118">
        <f>INDIRECT("'Закуп'!A" &amp; B496)</f>
        <v/>
      </c>
      <c r="D496" s="119">
        <f>C496*1.2</f>
        <v/>
      </c>
      <c r="G496" s="172">
        <f>IF(INDIRECT("'Закуп'!L" &amp; B496)="Sale","Sale","")</f>
        <v/>
      </c>
      <c r="H496" s="158">
        <f>IF(INDIRECT("'Закуп'!F" &amp; B496)=0,"",INDIRECT("'Закуп'!F" &amp; B496))</f>
        <v/>
      </c>
      <c r="I496" s="120" t="n">
        <v>1000</v>
      </c>
      <c r="J496" s="121">
        <f>K496/1.2</f>
        <v/>
      </c>
      <c r="K496" s="242" t="n">
        <v>1.73</v>
      </c>
      <c r="L496" s="122">
        <f>J496-C496-(J496-C496)*0.2</f>
        <v/>
      </c>
      <c r="M496" s="123">
        <f>L496*I496</f>
        <v/>
      </c>
      <c r="N496" s="124" t="inlineStr">
        <is>
          <t xml:space="preserve">1000 + шт - </t>
        </is>
      </c>
      <c r="O496" s="47" t="inlineStr">
        <is>
          <t xml:space="preserve"> руб / шт с НДС</t>
        </is>
      </c>
      <c r="P496" s="125">
        <f>ROUND(K496,2)</f>
        <v/>
      </c>
      <c r="Q496" s="207">
        <f>CONCATENATE(N496,P496,O496,)</f>
        <v/>
      </c>
      <c r="R496" s="240" t="n"/>
      <c r="T496" s="241" t="n"/>
      <c r="U496" s="240" t="n"/>
      <c r="V496" s="241" t="n"/>
      <c r="Z496" s="240" t="n"/>
      <c r="AB496" s="241" t="n"/>
      <c r="AC496" s="240" t="n"/>
      <c r="AD496" s="241" t="n"/>
      <c r="AE496" t="n">
        <v>2.2</v>
      </c>
    </row>
    <row r="497">
      <c r="A497" s="232" t="n">
        <v>101</v>
      </c>
      <c r="B497" s="42" t="n">
        <v>101</v>
      </c>
      <c r="C497" s="118">
        <f>INDIRECT("'Закуп'!A" &amp; B497)</f>
        <v/>
      </c>
      <c r="D497" s="119">
        <f>C497*1.2</f>
        <v/>
      </c>
      <c r="E497" s="224">
        <f>INDIRECT("'Закуп'!D" &amp; A497)</f>
        <v/>
      </c>
      <c r="F497" s="231">
        <f>INDIRECT("'Закуп'!E" &amp; B497)</f>
        <v/>
      </c>
      <c r="G497" s="172">
        <f>IF(INDIRECT("'Закуп'!L" &amp; B497)="Sale","Sale","")</f>
        <v/>
      </c>
      <c r="H497" s="158">
        <f>IF(INDIRECT("'Закуп'!F" &amp; B497)=0,"",INDIRECT("'Закуп'!F" &amp; B497))</f>
        <v/>
      </c>
      <c r="I497" s="120" t="n">
        <v>50</v>
      </c>
      <c r="J497" s="121">
        <f>K497/1.2</f>
        <v/>
      </c>
      <c r="K497" s="242" t="n">
        <v>1.48</v>
      </c>
      <c r="L497" s="122">
        <f>J497-C497-(J497-C497)*0.2</f>
        <v/>
      </c>
      <c r="M497" s="123">
        <f>L497*I497</f>
        <v/>
      </c>
      <c r="N497" s="124" t="inlineStr">
        <is>
          <t xml:space="preserve">50-90 шт - </t>
        </is>
      </c>
      <c r="O497" s="47" t="inlineStr">
        <is>
          <t xml:space="preserve"> руб / шт с НДС</t>
        </is>
      </c>
      <c r="P497" s="125">
        <f>ROUND(K497,2)</f>
        <v/>
      </c>
      <c r="Q497" s="207">
        <f>CONCATENATE(N497,P497,O497,)</f>
        <v/>
      </c>
      <c r="R497" s="235">
        <f>INDIRECT("'Закуп'!k" &amp; A497)</f>
        <v/>
      </c>
      <c r="S497" s="239">
        <f>INDIRECT("'Закуп'!o" &amp; A497)</f>
        <v/>
      </c>
      <c r="T497" s="226">
        <f>INDIRECT("'Закуп'!p" &amp; A497)</f>
        <v/>
      </c>
      <c r="U497" s="235">
        <f>INDIRECT("'Закуп'!v" &amp; A497)</f>
        <v/>
      </c>
      <c r="V497" s="222">
        <f>INDIRECT("'Закуп'!w" &amp; A497)</f>
        <v/>
      </c>
      <c r="W497" s="229">
        <f>INDIRECT("'Закуп'!H" &amp; A497)</f>
        <v/>
      </c>
      <c r="X497" s="237">
        <f>INDIRECT("'Закуп'!g" &amp; A497)</f>
        <v/>
      </c>
      <c r="Y497" s="229">
        <f>INDIRECT("'Закуп'!i" &amp; A497)</f>
        <v/>
      </c>
      <c r="Z497" s="236">
        <f>INDIRECT("'Закуп'!x" &amp; A497)</f>
        <v/>
      </c>
      <c r="AA497" s="237">
        <f>INDIRECT("'Закуп'!y" &amp; A497)</f>
        <v/>
      </c>
      <c r="AB497" s="238">
        <f>INDIRECT("'Закуп'!z" &amp; A497)</f>
        <v/>
      </c>
      <c r="AC497" s="223">
        <f>SUBSTITUTE(INDEX(F:F, ROUNDUP((ROW(A496))/5,0)*5 - 3), "х", "x")</f>
        <v/>
      </c>
      <c r="AD497" s="222">
        <f>SUBSTITUTE(INDEX(F:F, ROUNDUP((ROW(A496))/5,0)*5 - 3), "х", "x") &amp; " - " &amp; SUBSTITUTE(SUBSTITUTE(INDEX(F:F, ROUNDUP((ROW(A496))/5,0)*5 - 3), "х", "*"), "x", "*") &amp; " мм"</f>
        <v/>
      </c>
      <c r="AE497" t="n">
        <v>2.4</v>
      </c>
    </row>
    <row r="498">
      <c r="B498" s="42" t="n">
        <v>101</v>
      </c>
      <c r="C498" s="118">
        <f>INDIRECT("'Закуп'!A" &amp; B498)</f>
        <v/>
      </c>
      <c r="D498" s="119">
        <f>C498*1.2</f>
        <v/>
      </c>
      <c r="G498" s="172">
        <f>IF(INDIRECT("'Закуп'!L" &amp; B498)="Sale","Sale","")</f>
        <v/>
      </c>
      <c r="H498" s="158">
        <f>IF(INDIRECT("'Закуп'!F" &amp; B498)=0,"",INDIRECT("'Закуп'!F" &amp; B498))</f>
        <v/>
      </c>
      <c r="I498" s="120" t="n">
        <v>100</v>
      </c>
      <c r="J498" s="121">
        <f>K498/1.2</f>
        <v/>
      </c>
      <c r="K498" s="242" t="n">
        <v>1.26</v>
      </c>
      <c r="L498" s="122">
        <f>J498-C498-(J498-C498)*0.2</f>
        <v/>
      </c>
      <c r="M498" s="123">
        <f>L498*I498</f>
        <v/>
      </c>
      <c r="N498" s="124" t="inlineStr">
        <is>
          <t xml:space="preserve">100-290 шт - </t>
        </is>
      </c>
      <c r="O498" s="47" t="inlineStr">
        <is>
          <t xml:space="preserve"> руб / шт с НДС</t>
        </is>
      </c>
      <c r="P498" s="125">
        <f>ROUND(K498,2)</f>
        <v/>
      </c>
      <c r="Q498" s="207">
        <f>CONCATENATE(N498,P498,O498,)</f>
        <v/>
      </c>
      <c r="R498" s="240" t="n"/>
      <c r="T498" s="241" t="n"/>
      <c r="U498" s="240" t="n"/>
      <c r="V498" s="241" t="n"/>
      <c r="Z498" s="240" t="n"/>
      <c r="AB498" s="241" t="n"/>
      <c r="AC498" s="240" t="n"/>
      <c r="AD498" s="241" t="n"/>
      <c r="AE498" t="n">
        <v>2.18</v>
      </c>
    </row>
    <row r="499">
      <c r="B499" s="42" t="n">
        <v>101</v>
      </c>
      <c r="C499" s="118">
        <f>INDIRECT("'Закуп'!A" &amp; B499)</f>
        <v/>
      </c>
      <c r="D499" s="119">
        <f>C499*1.2</f>
        <v/>
      </c>
      <c r="G499" s="172">
        <f>IF(INDIRECT("'Закуп'!L" &amp; B499)="Sale","Sale","")</f>
        <v/>
      </c>
      <c r="H499" s="158">
        <f>IF(INDIRECT("'Закуп'!F" &amp; B499)=0,"",INDIRECT("'Закуп'!F" &amp; B499))</f>
        <v/>
      </c>
      <c r="I499" s="120" t="n">
        <v>300</v>
      </c>
      <c r="J499" s="121">
        <f>K499/1.2</f>
        <v/>
      </c>
      <c r="K499" s="242" t="n">
        <v>1.19</v>
      </c>
      <c r="L499" s="122">
        <f>J499-C499-(J499-C499)*0.2</f>
        <v/>
      </c>
      <c r="M499" s="123">
        <f>L499*I499</f>
        <v/>
      </c>
      <c r="N499" s="124" t="inlineStr">
        <is>
          <t xml:space="preserve">300-490 шт - </t>
        </is>
      </c>
      <c r="O499" s="47" t="inlineStr">
        <is>
          <t xml:space="preserve"> руб / шт с НДС</t>
        </is>
      </c>
      <c r="P499" s="125">
        <f>ROUND(K499,2)</f>
        <v/>
      </c>
      <c r="Q499" s="207">
        <f>CONCATENATE(N499,P499,O499,)</f>
        <v/>
      </c>
      <c r="R499" s="240" t="n"/>
      <c r="T499" s="241" t="n"/>
      <c r="U499" s="240" t="n"/>
      <c r="V499" s="241" t="n"/>
      <c r="Z499" s="240" t="n"/>
      <c r="AB499" s="241" t="n"/>
      <c r="AC499" s="240" t="n"/>
      <c r="AD499" s="241" t="n"/>
      <c r="AE499" t="n">
        <v>1.7</v>
      </c>
    </row>
    <row r="500">
      <c r="B500" s="42" t="n">
        <v>101</v>
      </c>
      <c r="C500" s="118">
        <f>INDIRECT("'Закуп'!A" &amp; B500)</f>
        <v/>
      </c>
      <c r="D500" s="119">
        <f>C500*1.2</f>
        <v/>
      </c>
      <c r="G500" s="172">
        <f>IF(INDIRECT("'Закуп'!L" &amp; B500)="Sale","Sale","")</f>
        <v/>
      </c>
      <c r="H500" s="158">
        <f>IF(INDIRECT("'Закуп'!F" &amp; B500)=0,"",INDIRECT("'Закуп'!F" &amp; B500))</f>
        <v/>
      </c>
      <c r="I500" s="120" t="n">
        <v>500</v>
      </c>
      <c r="J500" s="121">
        <f>K500/1.2</f>
        <v/>
      </c>
      <c r="K500" s="242" t="n">
        <v>1.13</v>
      </c>
      <c r="L500" s="122">
        <f>J500-C500-(J500-C500)*0.2</f>
        <v/>
      </c>
      <c r="M500" s="123">
        <f>L500*I500</f>
        <v/>
      </c>
      <c r="N500" s="124" t="inlineStr">
        <is>
          <t xml:space="preserve">500-990 шт - </t>
        </is>
      </c>
      <c r="O500" s="47" t="inlineStr">
        <is>
          <t xml:space="preserve"> руб / шт с НДС</t>
        </is>
      </c>
      <c r="P500" s="125">
        <f>ROUND(K500,2)</f>
        <v/>
      </c>
      <c r="Q500" s="207">
        <f>CONCATENATE(N500,P500,O500,)</f>
        <v/>
      </c>
      <c r="R500" s="240" t="n"/>
      <c r="T500" s="241" t="n"/>
      <c r="U500" s="240" t="n"/>
      <c r="V500" s="241" t="n"/>
      <c r="Z500" s="240" t="n"/>
      <c r="AB500" s="241" t="n"/>
      <c r="AC500" s="240" t="n"/>
      <c r="AD500" s="241" t="n"/>
      <c r="AE500" t="n">
        <v>1.48</v>
      </c>
    </row>
    <row r="501">
      <c r="B501" s="42" t="n">
        <v>101</v>
      </c>
      <c r="C501" s="118">
        <f>INDIRECT("'Закуп'!A" &amp; B501)</f>
        <v/>
      </c>
      <c r="D501" s="119">
        <f>C501*1.2</f>
        <v/>
      </c>
      <c r="G501" s="172">
        <f>IF(INDIRECT("'Закуп'!L" &amp; B501)="Sale","Sale","")</f>
        <v/>
      </c>
      <c r="H501" s="158">
        <f>IF(INDIRECT("'Закуп'!F" &amp; B501)=0,"",INDIRECT("'Закуп'!F" &amp; B501))</f>
        <v/>
      </c>
      <c r="I501" s="120" t="n">
        <v>1000</v>
      </c>
      <c r="J501" s="121">
        <f>K501/1.2</f>
        <v/>
      </c>
      <c r="K501" s="242" t="n">
        <v>1.09</v>
      </c>
      <c r="L501" s="122">
        <f>J501-C501-(J501-C501)*0.2</f>
        <v/>
      </c>
      <c r="M501" s="123">
        <f>L501*I501</f>
        <v/>
      </c>
      <c r="N501" s="124" t="inlineStr">
        <is>
          <t xml:space="preserve">1000 + шт - </t>
        </is>
      </c>
      <c r="O501" s="47" t="inlineStr">
        <is>
          <t xml:space="preserve"> руб / шт с НДС</t>
        </is>
      </c>
      <c r="P501" s="125">
        <f>ROUND(K501,2)</f>
        <v/>
      </c>
      <c r="Q501" s="207">
        <f>CONCATENATE(N501,P501,O501,)</f>
        <v/>
      </c>
      <c r="R501" s="240" t="n"/>
      <c r="T501" s="241" t="n"/>
      <c r="U501" s="240" t="n"/>
      <c r="V501" s="241" t="n"/>
      <c r="Z501" s="240" t="n"/>
      <c r="AB501" s="241" t="n"/>
      <c r="AC501" s="240" t="n"/>
      <c r="AD501" s="241" t="n"/>
      <c r="AE501" t="n">
        <v>1.38</v>
      </c>
    </row>
    <row r="502">
      <c r="A502" s="232" t="n">
        <v>102</v>
      </c>
      <c r="B502" s="42" t="n">
        <v>102</v>
      </c>
      <c r="C502" s="118">
        <f>INDIRECT("'Закуп'!A" &amp; B502)</f>
        <v/>
      </c>
      <c r="D502" s="119">
        <f>C502*1.2</f>
        <v/>
      </c>
      <c r="E502" s="224">
        <f>INDIRECT("'Закуп'!D" &amp; A502)</f>
        <v/>
      </c>
      <c r="F502" s="231">
        <f>INDIRECT("'Закуп'!E" &amp; B502)</f>
        <v/>
      </c>
      <c r="G502" s="172">
        <f>IF(INDIRECT("'Закуп'!L" &amp; B502)="Sale","Sale","")</f>
        <v/>
      </c>
      <c r="H502" s="158">
        <f>IF(INDIRECT("'Закуп'!F" &amp; B502)=0,"",INDIRECT("'Закуп'!F" &amp; B502))</f>
        <v/>
      </c>
      <c r="I502" s="120" t="n">
        <v>50</v>
      </c>
      <c r="J502" s="121">
        <f>K502/1.2</f>
        <v/>
      </c>
      <c r="K502" s="70" t="n">
        <v>0.98</v>
      </c>
      <c r="L502" s="122">
        <f>J502-C502-(J502-C502)*0.2</f>
        <v/>
      </c>
      <c r="M502" s="123">
        <f>L502*I502</f>
        <v/>
      </c>
      <c r="N502" s="124" t="inlineStr">
        <is>
          <t xml:space="preserve">50-90 шт - </t>
        </is>
      </c>
      <c r="O502" s="47" t="inlineStr">
        <is>
          <t xml:space="preserve"> руб / шт с НДС</t>
        </is>
      </c>
      <c r="P502" s="125">
        <f>ROUND(K502,2)</f>
        <v/>
      </c>
      <c r="Q502" s="207">
        <f>CONCATENATE(N502,P502,O502,)</f>
        <v/>
      </c>
      <c r="R502" s="235">
        <f>INDIRECT("'Закуп'!k" &amp; A502)</f>
        <v/>
      </c>
      <c r="S502" s="239">
        <f>INDIRECT("'Закуп'!o" &amp; A502)</f>
        <v/>
      </c>
      <c r="T502" s="226">
        <f>INDIRECT("'Закуп'!p" &amp; A502)</f>
        <v/>
      </c>
      <c r="U502" s="235">
        <f>INDIRECT("'Закуп'!v" &amp; A502)</f>
        <v/>
      </c>
      <c r="V502" s="222">
        <f>INDIRECT("'Закуп'!w" &amp; A502)</f>
        <v/>
      </c>
      <c r="W502" s="229">
        <f>INDIRECT("'Закуп'!H" &amp; A502)</f>
        <v/>
      </c>
      <c r="X502" s="237">
        <f>INDIRECT("'Закуп'!g" &amp; A502)</f>
        <v/>
      </c>
      <c r="Y502" s="229">
        <f>INDIRECT("'Закуп'!i" &amp; A502)</f>
        <v/>
      </c>
      <c r="Z502" s="236">
        <f>INDIRECT("'Закуп'!x" &amp; A502)</f>
        <v/>
      </c>
      <c r="AA502" s="237">
        <f>INDIRECT("'Закуп'!y" &amp; A502)</f>
        <v/>
      </c>
      <c r="AB502" s="238">
        <f>INDIRECT("'Закуп'!z" &amp; A502)</f>
        <v/>
      </c>
      <c r="AC502" s="223">
        <f>SUBSTITUTE(INDEX(F:F, ROUNDUP((ROW(A501))/5,0)*5 - 3), "х", "x")</f>
        <v/>
      </c>
      <c r="AD502" s="222">
        <f>SUBSTITUTE(INDEX(F:F, ROUNDUP((ROW(A501))/5,0)*5 - 3), "х", "x") &amp; " - " &amp; SUBSTITUTE(SUBSTITUTE(INDEX(F:F, ROUNDUP((ROW(A501))/5,0)*5 - 3), "х", "*"), "x", "*") &amp; " мм"</f>
        <v/>
      </c>
    </row>
    <row r="503">
      <c r="B503" s="42" t="n">
        <v>102</v>
      </c>
      <c r="C503" s="118">
        <f>INDIRECT("'Закуп'!A" &amp; B503)</f>
        <v/>
      </c>
      <c r="D503" s="119">
        <f>C503*1.2</f>
        <v/>
      </c>
      <c r="G503" s="172">
        <f>IF(INDIRECT("'Закуп'!L" &amp; B503)="Sale","Sale","")</f>
        <v/>
      </c>
      <c r="H503" s="158">
        <f>IF(INDIRECT("'Закуп'!F" &amp; B503)=0,"",INDIRECT("'Закуп'!F" &amp; B503))</f>
        <v/>
      </c>
      <c r="I503" s="120" t="n">
        <v>100</v>
      </c>
      <c r="J503" s="121">
        <f>K503/1.2</f>
        <v/>
      </c>
      <c r="K503" s="70" t="n">
        <v>0.86</v>
      </c>
      <c r="L503" s="122">
        <f>J503-C503-(J503-C503)*0.2</f>
        <v/>
      </c>
      <c r="M503" s="123">
        <f>L503*I503</f>
        <v/>
      </c>
      <c r="N503" s="124" t="inlineStr">
        <is>
          <t xml:space="preserve">100-290 шт - </t>
        </is>
      </c>
      <c r="O503" s="47" t="inlineStr">
        <is>
          <t xml:space="preserve"> руб / шт с НДС</t>
        </is>
      </c>
      <c r="P503" s="125">
        <f>ROUND(K503,2)</f>
        <v/>
      </c>
      <c r="Q503" s="207">
        <f>CONCATENATE(N503,P503,O503,)</f>
        <v/>
      </c>
      <c r="R503" s="240" t="n"/>
      <c r="T503" s="241" t="n"/>
      <c r="U503" s="240" t="n"/>
      <c r="V503" s="241" t="n"/>
      <c r="Z503" s="240" t="n"/>
      <c r="AB503" s="241" t="n"/>
      <c r="AC503" s="240" t="n"/>
      <c r="AD503" s="241" t="n"/>
    </row>
    <row r="504">
      <c r="B504" s="42" t="n">
        <v>102</v>
      </c>
      <c r="C504" s="118">
        <f>INDIRECT("'Закуп'!A" &amp; B504)</f>
        <v/>
      </c>
      <c r="D504" s="119">
        <f>C504*1.2</f>
        <v/>
      </c>
      <c r="G504" s="172">
        <f>IF(INDIRECT("'Закуп'!L" &amp; B504)="Sale","Sale","")</f>
        <v/>
      </c>
      <c r="H504" s="158">
        <f>IF(INDIRECT("'Закуп'!F" &amp; B504)=0,"",INDIRECT("'Закуп'!F" &amp; B504))</f>
        <v/>
      </c>
      <c r="I504" s="120" t="n">
        <v>300</v>
      </c>
      <c r="J504" s="121">
        <f>K504/1.2</f>
        <v/>
      </c>
      <c r="K504" s="70" t="n">
        <v>0.74</v>
      </c>
      <c r="L504" s="122">
        <f>J504-C504-(J504-C504)*0.2</f>
        <v/>
      </c>
      <c r="M504" s="123">
        <f>L504*I504</f>
        <v/>
      </c>
      <c r="N504" s="124" t="inlineStr">
        <is>
          <t xml:space="preserve">300-490 шт - </t>
        </is>
      </c>
      <c r="O504" s="47" t="inlineStr">
        <is>
          <t xml:space="preserve"> руб / шт с НДС</t>
        </is>
      </c>
      <c r="P504" s="125">
        <f>ROUND(K504,2)</f>
        <v/>
      </c>
      <c r="Q504" s="207">
        <f>CONCATENATE(N504,P504,O504,)</f>
        <v/>
      </c>
      <c r="R504" s="240" t="n"/>
      <c r="T504" s="241" t="n"/>
      <c r="U504" s="240" t="n"/>
      <c r="V504" s="241" t="n"/>
      <c r="Z504" s="240" t="n"/>
      <c r="AB504" s="241" t="n"/>
      <c r="AC504" s="240" t="n"/>
      <c r="AD504" s="241" t="n"/>
    </row>
    <row r="505">
      <c r="B505" s="42" t="n">
        <v>102</v>
      </c>
      <c r="C505" s="118">
        <f>INDIRECT("'Закуп'!A" &amp; B505)</f>
        <v/>
      </c>
      <c r="D505" s="119">
        <f>C505*1.2</f>
        <v/>
      </c>
      <c r="G505" s="172">
        <f>IF(INDIRECT("'Закуп'!L" &amp; B505)="Sale","Sale","")</f>
        <v/>
      </c>
      <c r="H505" s="158">
        <f>IF(INDIRECT("'Закуп'!F" &amp; B505)=0,"",INDIRECT("'Закуп'!F" &amp; B505))</f>
        <v/>
      </c>
      <c r="I505" s="120" t="n">
        <v>500</v>
      </c>
      <c r="J505" s="121">
        <f>K505/1.2</f>
        <v/>
      </c>
      <c r="K505" s="70" t="n">
        <v>0.67</v>
      </c>
      <c r="L505" s="122">
        <f>J505-C505-(J505-C505)*0.2</f>
        <v/>
      </c>
      <c r="M505" s="123">
        <f>L505*I505</f>
        <v/>
      </c>
      <c r="N505" s="124" t="inlineStr">
        <is>
          <t xml:space="preserve">500-990 шт - </t>
        </is>
      </c>
      <c r="O505" s="47" t="inlineStr">
        <is>
          <t xml:space="preserve"> руб / шт с НДС</t>
        </is>
      </c>
      <c r="P505" s="125">
        <f>ROUND(K505,2)</f>
        <v/>
      </c>
      <c r="Q505" s="207">
        <f>CONCATENATE(N505,P505,O505,)</f>
        <v/>
      </c>
      <c r="R505" s="240" t="n"/>
      <c r="T505" s="241" t="n"/>
      <c r="U505" s="240" t="n"/>
      <c r="V505" s="241" t="n"/>
      <c r="Z505" s="240" t="n"/>
      <c r="AB505" s="241" t="n"/>
      <c r="AC505" s="240" t="n"/>
      <c r="AD505" s="241" t="n"/>
    </row>
    <row r="506">
      <c r="B506" s="42" t="n">
        <v>102</v>
      </c>
      <c r="C506" s="118">
        <f>INDIRECT("'Закуп'!A" &amp; B506)</f>
        <v/>
      </c>
      <c r="D506" s="119">
        <f>C506*1.2</f>
        <v/>
      </c>
      <c r="G506" s="172">
        <f>IF(INDIRECT("'Закуп'!L" &amp; B506)="Sale","Sale","")</f>
        <v/>
      </c>
      <c r="H506" s="158">
        <f>IF(INDIRECT("'Закуп'!F" &amp; B506)=0,"",INDIRECT("'Закуп'!F" &amp; B506))</f>
        <v/>
      </c>
      <c r="I506" s="120" t="n">
        <v>1000</v>
      </c>
      <c r="J506" s="121">
        <f>K506/1.2</f>
        <v/>
      </c>
      <c r="K506" s="70" t="n">
        <v>0.59</v>
      </c>
      <c r="L506" s="122">
        <f>J506-C506-(J506-C506)*0.2</f>
        <v/>
      </c>
      <c r="M506" s="123">
        <f>L506*I506</f>
        <v/>
      </c>
      <c r="N506" s="124" t="inlineStr">
        <is>
          <t xml:space="preserve">1000 + шт - </t>
        </is>
      </c>
      <c r="O506" s="47" t="inlineStr">
        <is>
          <t xml:space="preserve"> руб / шт с НДС</t>
        </is>
      </c>
      <c r="P506" s="125">
        <f>ROUND(K506,2)</f>
        <v/>
      </c>
      <c r="Q506" s="207">
        <f>CONCATENATE(N506,P506,O506,)</f>
        <v/>
      </c>
      <c r="R506" s="240" t="n"/>
      <c r="T506" s="241" t="n"/>
      <c r="U506" s="240" t="n"/>
      <c r="V506" s="241" t="n"/>
      <c r="Z506" s="240" t="n"/>
      <c r="AB506" s="241" t="n"/>
      <c r="AC506" s="240" t="n"/>
      <c r="AD506" s="241" t="n"/>
    </row>
    <row r="507">
      <c r="A507" s="232" t="n">
        <v>103</v>
      </c>
      <c r="B507" s="42" t="n">
        <v>103</v>
      </c>
      <c r="C507" s="118">
        <f>INDIRECT("'Закуп'!A" &amp; B507)</f>
        <v/>
      </c>
      <c r="D507" s="119">
        <f>C507*1.2</f>
        <v/>
      </c>
      <c r="E507" s="224">
        <f>INDIRECT("'Закуп'!D" &amp; A507)</f>
        <v/>
      </c>
      <c r="F507" s="231">
        <f>INDIRECT("'Закуп'!E" &amp; B507)</f>
        <v/>
      </c>
      <c r="G507" s="172">
        <f>IF(INDIRECT("'Закуп'!L" &amp; B507)="Sale","Sale","")</f>
        <v/>
      </c>
      <c r="H507" s="158">
        <f>IF(INDIRECT("'Закуп'!F" &amp; B507)=0,"",INDIRECT("'Закуп'!F" &amp; B507))</f>
        <v/>
      </c>
      <c r="I507" s="120" t="n">
        <v>50</v>
      </c>
      <c r="J507" s="121">
        <f>K507/1.2</f>
        <v/>
      </c>
      <c r="K507" s="70" t="n">
        <v>0.89</v>
      </c>
      <c r="L507" s="122">
        <f>J507-C507-(J507-C507)*0.2</f>
        <v/>
      </c>
      <c r="M507" s="123">
        <f>L507*I507</f>
        <v/>
      </c>
      <c r="N507" s="124" t="inlineStr">
        <is>
          <t xml:space="preserve">50-90 шт - </t>
        </is>
      </c>
      <c r="O507" s="47" t="inlineStr">
        <is>
          <t xml:space="preserve"> руб / шт с НДС</t>
        </is>
      </c>
      <c r="P507" s="125">
        <f>ROUND(K507,2)</f>
        <v/>
      </c>
      <c r="Q507" s="207">
        <f>CONCATENATE(N507,P507,O507,)</f>
        <v/>
      </c>
      <c r="R507" s="235">
        <f>INDIRECT("'Закуп'!k" &amp; A507)</f>
        <v/>
      </c>
      <c r="S507" s="239">
        <f>INDIRECT("'Закуп'!o" &amp; A507)</f>
        <v/>
      </c>
      <c r="T507" s="226">
        <f>INDIRECT("'Закуп'!p" &amp; A507)</f>
        <v/>
      </c>
      <c r="U507" s="235">
        <f>INDIRECT("'Закуп'!v" &amp; A507)</f>
        <v/>
      </c>
      <c r="V507" s="222">
        <f>INDIRECT("'Закуп'!w" &amp; A507)</f>
        <v/>
      </c>
      <c r="W507" s="229">
        <f>INDIRECT("'Закуп'!H" &amp; A507)</f>
        <v/>
      </c>
      <c r="X507" s="237">
        <f>INDIRECT("'Закуп'!g" &amp; A507)</f>
        <v/>
      </c>
      <c r="Y507" s="229">
        <f>INDIRECT("'Закуп'!i" &amp; A507)</f>
        <v/>
      </c>
      <c r="Z507" s="236">
        <f>INDIRECT("'Закуп'!x" &amp; A507)</f>
        <v/>
      </c>
      <c r="AA507" s="237">
        <f>INDIRECT("'Закуп'!y" &amp; A507)</f>
        <v/>
      </c>
      <c r="AB507" s="238">
        <f>INDIRECT("'Закуп'!z" &amp; A507)</f>
        <v/>
      </c>
      <c r="AC507" s="223">
        <f>SUBSTITUTE(INDEX(F:F, ROUNDUP((ROW(A506))/5,0)*5 - 3), "х", "x")</f>
        <v/>
      </c>
      <c r="AD507" s="222">
        <f>SUBSTITUTE(INDEX(F:F, ROUNDUP((ROW(A506))/5,0)*5 - 3), "х", "x") &amp; " - " &amp; SUBSTITUTE(SUBSTITUTE(INDEX(F:F, ROUNDUP((ROW(A506))/5,0)*5 - 3), "х", "*"), "x", "*") &amp; " мм"</f>
        <v/>
      </c>
    </row>
    <row r="508">
      <c r="B508" s="42" t="n">
        <v>103</v>
      </c>
      <c r="C508" s="118">
        <f>INDIRECT("'Закуп'!A" &amp; B508)</f>
        <v/>
      </c>
      <c r="D508" s="119">
        <f>C508*1.2</f>
        <v/>
      </c>
      <c r="G508" s="172">
        <f>IF(INDIRECT("'Закуп'!L" &amp; B508)="Sale","Sale","")</f>
        <v/>
      </c>
      <c r="H508" s="158">
        <f>IF(INDIRECT("'Закуп'!F" &amp; B508)=0,"",INDIRECT("'Закуп'!F" &amp; B508))</f>
        <v/>
      </c>
      <c r="I508" s="120" t="n">
        <v>100</v>
      </c>
      <c r="J508" s="121">
        <f>K508/1.2</f>
        <v/>
      </c>
      <c r="K508" s="70" t="n">
        <v>0.76</v>
      </c>
      <c r="L508" s="122">
        <f>J508-C508-(J508-C508)*0.2</f>
        <v/>
      </c>
      <c r="M508" s="123">
        <f>L508*I508</f>
        <v/>
      </c>
      <c r="N508" s="124" t="inlineStr">
        <is>
          <t xml:space="preserve">100-290 шт - </t>
        </is>
      </c>
      <c r="O508" s="47" t="inlineStr">
        <is>
          <t xml:space="preserve"> руб / шт с НДС</t>
        </is>
      </c>
      <c r="P508" s="125">
        <f>ROUND(K508,2)</f>
        <v/>
      </c>
      <c r="Q508" s="207">
        <f>CONCATENATE(N508,P508,O508,)</f>
        <v/>
      </c>
      <c r="R508" s="240" t="n"/>
      <c r="T508" s="241" t="n"/>
      <c r="U508" s="240" t="n"/>
      <c r="V508" s="241" t="n"/>
      <c r="Z508" s="240" t="n"/>
      <c r="AB508" s="241" t="n"/>
      <c r="AC508" s="240" t="n"/>
      <c r="AD508" s="241" t="n"/>
    </row>
    <row r="509">
      <c r="B509" s="42" t="n">
        <v>103</v>
      </c>
      <c r="C509" s="118">
        <f>INDIRECT("'Закуп'!A" &amp; B509)</f>
        <v/>
      </c>
      <c r="D509" s="119">
        <f>C509*1.2</f>
        <v/>
      </c>
      <c r="G509" s="172">
        <f>IF(INDIRECT("'Закуп'!L" &amp; B509)="Sale","Sale","")</f>
        <v/>
      </c>
      <c r="H509" s="158">
        <f>IF(INDIRECT("'Закуп'!F" &amp; B509)=0,"",INDIRECT("'Закуп'!F" &amp; B509))</f>
        <v/>
      </c>
      <c r="I509" s="120" t="n">
        <v>300</v>
      </c>
      <c r="J509" s="121">
        <f>K509/1.2</f>
        <v/>
      </c>
      <c r="K509" s="70" t="n">
        <v>0.61</v>
      </c>
      <c r="L509" s="122">
        <f>J509-C509-(J509-C509)*0.2</f>
        <v/>
      </c>
      <c r="M509" s="123">
        <f>L509*I509</f>
        <v/>
      </c>
      <c r="N509" s="124" t="inlineStr">
        <is>
          <t xml:space="preserve">300-490 шт - </t>
        </is>
      </c>
      <c r="O509" s="47" t="inlineStr">
        <is>
          <t xml:space="preserve"> руб / шт с НДС</t>
        </is>
      </c>
      <c r="P509" s="125">
        <f>ROUND(K509,2)</f>
        <v/>
      </c>
      <c r="Q509" s="207">
        <f>CONCATENATE(N509,P509,O509,)</f>
        <v/>
      </c>
      <c r="R509" s="240" t="n"/>
      <c r="T509" s="241" t="n"/>
      <c r="U509" s="240" t="n"/>
      <c r="V509" s="241" t="n"/>
      <c r="Z509" s="240" t="n"/>
      <c r="AB509" s="241" t="n"/>
      <c r="AC509" s="240" t="n"/>
      <c r="AD509" s="241" t="n"/>
    </row>
    <row r="510">
      <c r="B510" s="42" t="n">
        <v>103</v>
      </c>
      <c r="C510" s="118">
        <f>INDIRECT("'Закуп'!A" &amp; B510)</f>
        <v/>
      </c>
      <c r="D510" s="119">
        <f>C510*1.2</f>
        <v/>
      </c>
      <c r="G510" s="172">
        <f>IF(INDIRECT("'Закуп'!L" &amp; B510)="Sale","Sale","")</f>
        <v/>
      </c>
      <c r="H510" s="158">
        <f>IF(INDIRECT("'Закуп'!F" &amp; B510)=0,"",INDIRECT("'Закуп'!F" &amp; B510))</f>
        <v/>
      </c>
      <c r="I510" s="120" t="n">
        <v>500</v>
      </c>
      <c r="J510" s="121">
        <f>K510/1.2</f>
        <v/>
      </c>
      <c r="K510" s="70" t="n">
        <v>0.57</v>
      </c>
      <c r="L510" s="122">
        <f>J510-C510-(J510-C510)*0.2</f>
        <v/>
      </c>
      <c r="M510" s="123">
        <f>L510*I510</f>
        <v/>
      </c>
      <c r="N510" s="124" t="inlineStr">
        <is>
          <t xml:space="preserve">500-990 шт - </t>
        </is>
      </c>
      <c r="O510" s="47" t="inlineStr">
        <is>
          <t xml:space="preserve"> руб / шт с НДС</t>
        </is>
      </c>
      <c r="P510" s="125">
        <f>ROUND(K510,2)</f>
        <v/>
      </c>
      <c r="Q510" s="207">
        <f>CONCATENATE(N510,P510,O510,)</f>
        <v/>
      </c>
      <c r="R510" s="240" t="n"/>
      <c r="T510" s="241" t="n"/>
      <c r="U510" s="240" t="n"/>
      <c r="V510" s="241" t="n"/>
      <c r="Z510" s="240" t="n"/>
      <c r="AB510" s="241" t="n"/>
      <c r="AC510" s="240" t="n"/>
      <c r="AD510" s="241" t="n"/>
    </row>
    <row r="511">
      <c r="B511" s="42" t="n">
        <v>103</v>
      </c>
      <c r="C511" s="118">
        <f>INDIRECT("'Закуп'!A" &amp; B511)</f>
        <v/>
      </c>
      <c r="D511" s="119">
        <f>C511*1.2</f>
        <v/>
      </c>
      <c r="G511" s="172">
        <f>IF(INDIRECT("'Закуп'!L" &amp; B511)="Sale","Sale","")</f>
        <v/>
      </c>
      <c r="H511" s="158">
        <f>IF(INDIRECT("'Закуп'!F" &amp; B511)=0,"",INDIRECT("'Закуп'!F" &amp; B511))</f>
        <v/>
      </c>
      <c r="I511" s="120" t="n">
        <v>1000</v>
      </c>
      <c r="J511" s="121">
        <f>K511/1.2</f>
        <v/>
      </c>
      <c r="K511" s="70" t="n">
        <v>0.48</v>
      </c>
      <c r="L511" s="122">
        <f>J511-C511-(J511-C511)*0.2</f>
        <v/>
      </c>
      <c r="M511" s="123">
        <f>L511*I511</f>
        <v/>
      </c>
      <c r="N511" s="124" t="inlineStr">
        <is>
          <t xml:space="preserve">1000 + шт - </t>
        </is>
      </c>
      <c r="O511" s="47" t="inlineStr">
        <is>
          <t xml:space="preserve"> руб / шт с НДС</t>
        </is>
      </c>
      <c r="P511" s="125">
        <f>ROUND(K511,2)</f>
        <v/>
      </c>
      <c r="Q511" s="207">
        <f>CONCATENATE(N511,P511,O511,)</f>
        <v/>
      </c>
      <c r="R511" s="240" t="n"/>
      <c r="T511" s="241" t="n"/>
      <c r="U511" s="240" t="n"/>
      <c r="V511" s="241" t="n"/>
      <c r="Z511" s="240" t="n"/>
      <c r="AB511" s="241" t="n"/>
      <c r="AC511" s="240" t="n"/>
      <c r="AD511" s="241" t="n"/>
    </row>
    <row r="512">
      <c r="A512" s="232" t="n">
        <v>104</v>
      </c>
      <c r="B512" s="42" t="n">
        <v>104</v>
      </c>
      <c r="C512" s="118">
        <f>INDIRECT("'Закуп'!A" &amp; B512)</f>
        <v/>
      </c>
      <c r="D512" s="119">
        <f>C512*1.2</f>
        <v/>
      </c>
      <c r="E512" s="224">
        <f>INDIRECT("'Закуп'!D" &amp; A512)</f>
        <v/>
      </c>
      <c r="F512" s="231">
        <f>INDIRECT("'Закуп'!E" &amp; B512)</f>
        <v/>
      </c>
      <c r="G512" s="172">
        <f>IF(INDIRECT("'Закуп'!L" &amp; B512)="Sale","Sale","")</f>
        <v/>
      </c>
      <c r="H512" s="158">
        <f>IF(INDIRECT("'Закуп'!F" &amp; B512)=0,"",INDIRECT("'Закуп'!F" &amp; B512))</f>
        <v/>
      </c>
      <c r="I512" s="120" t="n">
        <v>50</v>
      </c>
      <c r="J512" s="121">
        <f>K512/1.2</f>
        <v/>
      </c>
      <c r="K512" s="242" t="n">
        <v>1.13</v>
      </c>
      <c r="L512" s="122">
        <f>J512-C512-(J512-C512)*0.2</f>
        <v/>
      </c>
      <c r="M512" s="123">
        <f>L512*I512</f>
        <v/>
      </c>
      <c r="N512" s="124" t="inlineStr">
        <is>
          <t xml:space="preserve">50-90 шт - </t>
        </is>
      </c>
      <c r="O512" s="47" t="inlineStr">
        <is>
          <t xml:space="preserve"> руб / шт с НДС</t>
        </is>
      </c>
      <c r="P512" s="125">
        <f>ROUND(K512,2)</f>
        <v/>
      </c>
      <c r="Q512" s="207">
        <f>CONCATENATE(N512,P512,O512,)</f>
        <v/>
      </c>
      <c r="R512" s="235">
        <f>INDIRECT("'Закуп'!k" &amp; A512)</f>
        <v/>
      </c>
      <c r="S512" s="239">
        <f>INDIRECT("'Закуп'!o" &amp; A512)</f>
        <v/>
      </c>
      <c r="T512" s="226">
        <f>INDIRECT("'Закуп'!p" &amp; A512)</f>
        <v/>
      </c>
      <c r="U512" s="235">
        <f>INDIRECT("'Закуп'!v" &amp; A512)</f>
        <v/>
      </c>
      <c r="V512" s="222">
        <f>INDIRECT("'Закуп'!w" &amp; A512)</f>
        <v/>
      </c>
      <c r="W512" s="229">
        <f>INDIRECT("'Закуп'!H" &amp; A512)</f>
        <v/>
      </c>
      <c r="X512" s="237">
        <f>INDIRECT("'Закуп'!g" &amp; A512)</f>
        <v/>
      </c>
      <c r="Y512" s="229">
        <f>INDIRECT("'Закуп'!i" &amp; A512)</f>
        <v/>
      </c>
      <c r="Z512" s="236">
        <f>INDIRECT("'Закуп'!x" &amp; A512)</f>
        <v/>
      </c>
      <c r="AA512" s="237">
        <f>INDIRECT("'Закуп'!y" &amp; A512)</f>
        <v/>
      </c>
      <c r="AB512" s="238">
        <f>INDIRECT("'Закуп'!z" &amp; A512)</f>
        <v/>
      </c>
      <c r="AC512" s="223">
        <f>SUBSTITUTE(INDEX(F:F, ROUNDUP((ROW(A511))/5,0)*5 - 3), "х", "x")</f>
        <v/>
      </c>
      <c r="AD512" s="222">
        <f>SUBSTITUTE(INDEX(F:F, ROUNDUP((ROW(A511))/5,0)*5 - 3), "х", "x") &amp; " - " &amp; SUBSTITUTE(SUBSTITUTE(INDEX(F:F, ROUNDUP((ROW(A511))/5,0)*5 - 3), "х", "*"), "x", "*") &amp; " мм"</f>
        <v/>
      </c>
      <c r="AE512" t="n">
        <v>1.78</v>
      </c>
    </row>
    <row r="513">
      <c r="B513" s="42" t="n">
        <v>104</v>
      </c>
      <c r="C513" s="118">
        <f>INDIRECT("'Закуп'!A" &amp; B513)</f>
        <v/>
      </c>
      <c r="D513" s="119">
        <f>C513*1.2</f>
        <v/>
      </c>
      <c r="G513" s="172">
        <f>IF(INDIRECT("'Закуп'!L" &amp; B513)="Sale","Sale","")</f>
        <v/>
      </c>
      <c r="H513" s="158">
        <f>IF(INDIRECT("'Закуп'!F" &amp; B513)=0,"",INDIRECT("'Закуп'!F" &amp; B513))</f>
        <v/>
      </c>
      <c r="I513" s="120" t="n">
        <v>100</v>
      </c>
      <c r="J513" s="121">
        <f>K513/1.2</f>
        <v/>
      </c>
      <c r="K513" s="242" t="n">
        <v>0.97</v>
      </c>
      <c r="L513" s="122">
        <f>J513-C513-(J513-C513)*0.2</f>
        <v/>
      </c>
      <c r="M513" s="123">
        <f>L513*I513</f>
        <v/>
      </c>
      <c r="N513" s="124" t="inlineStr">
        <is>
          <t xml:space="preserve">100-290 шт - </t>
        </is>
      </c>
      <c r="O513" s="47" t="inlineStr">
        <is>
          <t xml:space="preserve"> руб / шт с НДС</t>
        </is>
      </c>
      <c r="P513" s="125">
        <f>ROUND(K513,2)</f>
        <v/>
      </c>
      <c r="Q513" s="207">
        <f>CONCATENATE(N513,P513,O513,)</f>
        <v/>
      </c>
      <c r="R513" s="240" t="n"/>
      <c r="T513" s="241" t="n"/>
      <c r="U513" s="240" t="n"/>
      <c r="V513" s="241" t="n"/>
      <c r="Z513" s="240" t="n"/>
      <c r="AB513" s="241" t="n"/>
      <c r="AC513" s="240" t="n"/>
      <c r="AD513" s="241" t="n"/>
      <c r="AE513" t="n">
        <v>1.62</v>
      </c>
    </row>
    <row r="514">
      <c r="B514" s="42" t="n">
        <v>104</v>
      </c>
      <c r="C514" s="118">
        <f>INDIRECT("'Закуп'!A" &amp; B514)</f>
        <v/>
      </c>
      <c r="D514" s="119">
        <f>C514*1.2</f>
        <v/>
      </c>
      <c r="G514" s="172">
        <f>IF(INDIRECT("'Закуп'!L" &amp; B514)="Sale","Sale","")</f>
        <v/>
      </c>
      <c r="H514" s="158">
        <f>IF(INDIRECT("'Закуп'!F" &amp; B514)=0,"",INDIRECT("'Закуп'!F" &amp; B514))</f>
        <v/>
      </c>
      <c r="I514" s="120" t="n">
        <v>300</v>
      </c>
      <c r="J514" s="121">
        <f>K514/1.2</f>
        <v/>
      </c>
      <c r="K514" s="242" t="n">
        <v>0.91</v>
      </c>
      <c r="L514" s="122">
        <f>J514-C514-(J514-C514)*0.2</f>
        <v/>
      </c>
      <c r="M514" s="123">
        <f>L514*I514</f>
        <v/>
      </c>
      <c r="N514" s="124" t="inlineStr">
        <is>
          <t xml:space="preserve">300-490 шт - </t>
        </is>
      </c>
      <c r="O514" s="47" t="inlineStr">
        <is>
          <t xml:space="preserve"> руб / шт с НДС</t>
        </is>
      </c>
      <c r="P514" s="125">
        <f>ROUND(K514,2)</f>
        <v/>
      </c>
      <c r="Q514" s="207">
        <f>CONCATENATE(N514,P514,O514,)</f>
        <v/>
      </c>
      <c r="R514" s="240" t="n"/>
      <c r="T514" s="241" t="n"/>
      <c r="U514" s="240" t="n"/>
      <c r="V514" s="241" t="n"/>
      <c r="Z514" s="240" t="n"/>
      <c r="AB514" s="241" t="n"/>
      <c r="AC514" s="240" t="n"/>
      <c r="AD514" s="241" t="n"/>
      <c r="AE514" t="n">
        <v>1.27</v>
      </c>
    </row>
    <row r="515">
      <c r="B515" s="42" t="n">
        <v>104</v>
      </c>
      <c r="C515" s="118">
        <f>INDIRECT("'Закуп'!A" &amp; B515)</f>
        <v/>
      </c>
      <c r="D515" s="119">
        <f>C515*1.2</f>
        <v/>
      </c>
      <c r="G515" s="172">
        <f>IF(INDIRECT("'Закуп'!L" &amp; B515)="Sale","Sale","")</f>
        <v/>
      </c>
      <c r="H515" s="158">
        <f>IF(INDIRECT("'Закуп'!F" &amp; B515)=0,"",INDIRECT("'Закуп'!F" &amp; B515))</f>
        <v/>
      </c>
      <c r="I515" s="120" t="n">
        <v>500</v>
      </c>
      <c r="J515" s="121">
        <f>K515/1.2</f>
        <v/>
      </c>
      <c r="K515" s="242" t="n">
        <v>0.86</v>
      </c>
      <c r="L515" s="122">
        <f>J515-C515-(J515-C515)*0.2</f>
        <v/>
      </c>
      <c r="M515" s="123">
        <f>L515*I515</f>
        <v/>
      </c>
      <c r="N515" s="124" t="inlineStr">
        <is>
          <t xml:space="preserve">500-990 шт - </t>
        </is>
      </c>
      <c r="O515" s="47" t="inlineStr">
        <is>
          <t xml:space="preserve"> руб / шт с НДС</t>
        </is>
      </c>
      <c r="P515" s="125">
        <f>ROUND(K515,2)</f>
        <v/>
      </c>
      <c r="Q515" s="207">
        <f>CONCATENATE(N515,P515,O515,)</f>
        <v/>
      </c>
      <c r="R515" s="240" t="n"/>
      <c r="T515" s="241" t="n"/>
      <c r="U515" s="240" t="n"/>
      <c r="V515" s="241" t="n"/>
      <c r="Z515" s="240" t="n"/>
      <c r="AB515" s="241" t="n"/>
      <c r="AC515" s="240" t="n"/>
      <c r="AD515" s="241" t="n"/>
      <c r="AE515" t="n">
        <v>1.2</v>
      </c>
    </row>
    <row r="516">
      <c r="B516" s="42" t="n">
        <v>104</v>
      </c>
      <c r="C516" s="118">
        <f>INDIRECT("'Закуп'!A" &amp; B516)</f>
        <v/>
      </c>
      <c r="D516" s="119">
        <f>C516*1.2</f>
        <v/>
      </c>
      <c r="G516" s="172">
        <f>IF(INDIRECT("'Закуп'!L" &amp; B516)="Sale","Sale","")</f>
        <v/>
      </c>
      <c r="H516" s="158">
        <f>IF(INDIRECT("'Закуп'!F" &amp; B516)=0,"",INDIRECT("'Закуп'!F" &amp; B516))</f>
        <v/>
      </c>
      <c r="I516" s="120" t="n">
        <v>1000</v>
      </c>
      <c r="J516" s="121">
        <f>K516/1.2</f>
        <v/>
      </c>
      <c r="K516" s="242" t="n">
        <v>0.8</v>
      </c>
      <c r="L516" s="122">
        <f>J516-C516-(J516-C516)*0.2</f>
        <v/>
      </c>
      <c r="M516" s="123">
        <f>L516*I516</f>
        <v/>
      </c>
      <c r="N516" s="124" t="inlineStr">
        <is>
          <t xml:space="preserve">1000 + шт - </t>
        </is>
      </c>
      <c r="O516" s="47" t="inlineStr">
        <is>
          <t xml:space="preserve"> руб / шт с НДС</t>
        </is>
      </c>
      <c r="P516" s="125">
        <f>ROUND(K516,2)</f>
        <v/>
      </c>
      <c r="Q516" s="207">
        <f>CONCATENATE(N516,P516,O516,)</f>
        <v/>
      </c>
      <c r="R516" s="240" t="n"/>
      <c r="T516" s="241" t="n"/>
      <c r="U516" s="240" t="n"/>
      <c r="V516" s="241" t="n"/>
      <c r="Z516" s="240" t="n"/>
      <c r="AB516" s="241" t="n"/>
      <c r="AC516" s="240" t="n"/>
      <c r="AD516" s="241" t="n"/>
      <c r="AE516" t="n">
        <v>1.05</v>
      </c>
    </row>
    <row r="517">
      <c r="A517" s="232" t="n">
        <v>105</v>
      </c>
      <c r="B517" s="42" t="n">
        <v>105</v>
      </c>
      <c r="C517" s="118">
        <f>INDIRECT("'Закуп'!A" &amp; B517)</f>
        <v/>
      </c>
      <c r="D517" s="119">
        <f>C517*1.2</f>
        <v/>
      </c>
      <c r="E517" s="224">
        <f>INDIRECT("'Закуп'!D" &amp; A517)</f>
        <v/>
      </c>
      <c r="F517" s="231">
        <f>INDIRECT("'Закуп'!E" &amp; B517)</f>
        <v/>
      </c>
      <c r="G517" s="172">
        <f>IF(INDIRECT("'Закуп'!L" &amp; B517)="Sale","Sale","")</f>
        <v/>
      </c>
      <c r="H517" s="158">
        <f>IF(INDIRECT("'Закуп'!F" &amp; B517)=0,"",INDIRECT("'Закуп'!F" &amp; B517))</f>
        <v/>
      </c>
      <c r="I517" s="120" t="n">
        <v>50</v>
      </c>
      <c r="J517" s="121">
        <f>K517/1.2</f>
        <v/>
      </c>
      <c r="K517" s="242" t="n">
        <v>1.78</v>
      </c>
      <c r="L517" s="122">
        <f>J517-C517-(J517-C517)*0.2</f>
        <v/>
      </c>
      <c r="M517" s="123">
        <f>L517*I517</f>
        <v/>
      </c>
      <c r="N517" s="124" t="inlineStr">
        <is>
          <t xml:space="preserve">50-90 шт - </t>
        </is>
      </c>
      <c r="O517" s="47" t="inlineStr">
        <is>
          <t xml:space="preserve"> руб / шт с НДС</t>
        </is>
      </c>
      <c r="P517" s="125">
        <f>ROUND(K517,2)</f>
        <v/>
      </c>
      <c r="Q517" s="207">
        <f>CONCATENATE(N517,P517,O517,)</f>
        <v/>
      </c>
      <c r="R517" s="235">
        <f>INDIRECT("'Закуп'!k" &amp; A517)</f>
        <v/>
      </c>
      <c r="S517" s="239">
        <f>INDIRECT("'Закуп'!o" &amp; A517)</f>
        <v/>
      </c>
      <c r="T517" s="226">
        <f>INDIRECT("'Закуп'!p" &amp; A517)</f>
        <v/>
      </c>
      <c r="U517" s="235">
        <f>INDIRECT("'Закуп'!v" &amp; A517)</f>
        <v/>
      </c>
      <c r="V517" s="222">
        <f>INDIRECT("'Закуп'!w" &amp; A517)</f>
        <v/>
      </c>
      <c r="W517" s="229">
        <f>INDIRECT("'Закуп'!H" &amp; A517)</f>
        <v/>
      </c>
      <c r="X517" s="237">
        <f>INDIRECT("'Закуп'!g" &amp; A517)</f>
        <v/>
      </c>
      <c r="Y517" s="229">
        <f>INDIRECT("'Закуп'!i" &amp; A517)</f>
        <v/>
      </c>
      <c r="Z517" s="236">
        <f>INDIRECT("'Закуп'!x" &amp; A517)</f>
        <v/>
      </c>
      <c r="AA517" s="237">
        <f>INDIRECT("'Закуп'!y" &amp; A517)</f>
        <v/>
      </c>
      <c r="AB517" s="238">
        <f>INDIRECT("'Закуп'!z" &amp; A517)</f>
        <v/>
      </c>
      <c r="AC517" s="223">
        <f>SUBSTITUTE(INDEX(F:F, ROUNDUP((ROW(A516))/5,0)*5 - 3), "х", "x")</f>
        <v/>
      </c>
      <c r="AD517" s="222">
        <f>SUBSTITUTE(INDEX(F:F, ROUNDUP((ROW(A516))/5,0)*5 - 3), "х", "x") &amp; " - " &amp; SUBSTITUTE(SUBSTITUTE(INDEX(F:F, ROUNDUP((ROW(A516))/5,0)*5 - 3), "х", "*"), "x", "*") &amp; " мм"</f>
        <v/>
      </c>
      <c r="AE517" t="n">
        <v>1.44</v>
      </c>
    </row>
    <row r="518">
      <c r="B518" s="42" t="n">
        <v>105</v>
      </c>
      <c r="C518" s="118">
        <f>INDIRECT("'Закуп'!A" &amp; B518)</f>
        <v/>
      </c>
      <c r="D518" s="119">
        <f>C518*1.2</f>
        <v/>
      </c>
      <c r="G518" s="172">
        <f>IF(INDIRECT("'Закуп'!L" &amp; B518)="Sale","Sale","")</f>
        <v/>
      </c>
      <c r="H518" s="158">
        <f>IF(INDIRECT("'Закуп'!F" &amp; B518)=0,"",INDIRECT("'Закуп'!F" &amp; B518))</f>
        <v/>
      </c>
      <c r="I518" s="120" t="n">
        <v>100</v>
      </c>
      <c r="J518" s="121">
        <f>K518/1.2</f>
        <v/>
      </c>
      <c r="K518" s="242" t="n">
        <v>1.57</v>
      </c>
      <c r="L518" s="122">
        <f>J518-C518-(J518-C518)*0.2</f>
        <v/>
      </c>
      <c r="M518" s="123">
        <f>L518*I518</f>
        <v/>
      </c>
      <c r="N518" s="124" t="inlineStr">
        <is>
          <t xml:space="preserve">100-290 шт - </t>
        </is>
      </c>
      <c r="O518" s="47" t="inlineStr">
        <is>
          <t xml:space="preserve"> руб / шт с НДС</t>
        </is>
      </c>
      <c r="P518" s="125">
        <f>ROUND(K518,2)</f>
        <v/>
      </c>
      <c r="Q518" s="207">
        <f>CONCATENATE(N518,P518,O518,)</f>
        <v/>
      </c>
      <c r="R518" s="240" t="n"/>
      <c r="T518" s="241" t="n"/>
      <c r="U518" s="240" t="n"/>
      <c r="V518" s="241" t="n"/>
      <c r="Z518" s="240" t="n"/>
      <c r="AB518" s="241" t="n"/>
      <c r="AC518" s="240" t="n"/>
      <c r="AD518" s="241" t="n"/>
      <c r="AE518" t="n">
        <v>1.31</v>
      </c>
    </row>
    <row r="519">
      <c r="B519" s="42" t="n">
        <v>105</v>
      </c>
      <c r="C519" s="118">
        <f>INDIRECT("'Закуп'!A" &amp; B519)</f>
        <v/>
      </c>
      <c r="D519" s="119">
        <f>C519*1.2</f>
        <v/>
      </c>
      <c r="G519" s="172">
        <f>IF(INDIRECT("'Закуп'!L" &amp; B519)="Sale","Sale","")</f>
        <v/>
      </c>
      <c r="H519" s="158">
        <f>IF(INDIRECT("'Закуп'!F" &amp; B519)=0,"",INDIRECT("'Закуп'!F" &amp; B519))</f>
        <v/>
      </c>
      <c r="I519" s="120" t="n">
        <v>300</v>
      </c>
      <c r="J519" s="121">
        <f>K519/1.2</f>
        <v/>
      </c>
      <c r="K519" s="242" t="n">
        <v>1.36</v>
      </c>
      <c r="L519" s="122">
        <f>J519-C519-(J519-C519)*0.2</f>
        <v/>
      </c>
      <c r="M519" s="123">
        <f>L519*I519</f>
        <v/>
      </c>
      <c r="N519" s="124" t="inlineStr">
        <is>
          <t xml:space="preserve">300-490 шт - </t>
        </is>
      </c>
      <c r="O519" s="47" t="inlineStr">
        <is>
          <t xml:space="preserve"> руб / шт с НДС</t>
        </is>
      </c>
      <c r="P519" s="125">
        <f>ROUND(K519,2)</f>
        <v/>
      </c>
      <c r="Q519" s="207">
        <f>CONCATENATE(N519,P519,O519,)</f>
        <v/>
      </c>
      <c r="R519" s="240" t="n"/>
      <c r="T519" s="241" t="n"/>
      <c r="U519" s="240" t="n"/>
      <c r="V519" s="241" t="n"/>
      <c r="Z519" s="240" t="n"/>
      <c r="AB519" s="241" t="n"/>
      <c r="AC519" s="240" t="n"/>
      <c r="AD519" s="241" t="n"/>
      <c r="AE519" t="n">
        <v>1.04</v>
      </c>
    </row>
    <row r="520">
      <c r="B520" s="42" t="n">
        <v>105</v>
      </c>
      <c r="C520" s="118">
        <f>INDIRECT("'Закуп'!A" &amp; B520)</f>
        <v/>
      </c>
      <c r="D520" s="119">
        <f>C520*1.2</f>
        <v/>
      </c>
      <c r="G520" s="172">
        <f>IF(INDIRECT("'Закуп'!L" &amp; B520)="Sale","Sale","")</f>
        <v/>
      </c>
      <c r="H520" s="158">
        <f>IF(INDIRECT("'Закуп'!F" &amp; B520)=0,"",INDIRECT("'Закуп'!F" &amp; B520))</f>
        <v/>
      </c>
      <c r="I520" s="120" t="n">
        <v>500</v>
      </c>
      <c r="J520" s="121">
        <f>K520/1.2</f>
        <v/>
      </c>
      <c r="K520" s="242" t="n">
        <v>1.26</v>
      </c>
      <c r="L520" s="122">
        <f>J520-C520-(J520-C520)*0.2</f>
        <v/>
      </c>
      <c r="M520" s="123">
        <f>L520*I520</f>
        <v/>
      </c>
      <c r="N520" s="124" t="inlineStr">
        <is>
          <t xml:space="preserve">500-990 шт - </t>
        </is>
      </c>
      <c r="O520" s="47" t="inlineStr">
        <is>
          <t xml:space="preserve"> руб / шт с НДС</t>
        </is>
      </c>
      <c r="P520" s="125">
        <f>ROUND(K520,2)</f>
        <v/>
      </c>
      <c r="Q520" s="207">
        <f>CONCATENATE(N520,P520,O520,)</f>
        <v/>
      </c>
      <c r="R520" s="240" t="n"/>
      <c r="T520" s="241" t="n"/>
      <c r="U520" s="240" t="n"/>
      <c r="V520" s="241" t="n"/>
      <c r="Z520" s="240" t="n"/>
      <c r="AB520" s="241" t="n"/>
      <c r="AC520" s="240" t="n"/>
      <c r="AD520" s="241" t="n"/>
      <c r="AE520" t="n">
        <v>0.97</v>
      </c>
    </row>
    <row r="521">
      <c r="B521" s="42" t="n">
        <v>105</v>
      </c>
      <c r="C521" s="118">
        <f>INDIRECT("'Закуп'!A" &amp; B521)</f>
        <v/>
      </c>
      <c r="D521" s="119">
        <f>C521*1.2</f>
        <v/>
      </c>
      <c r="G521" s="172">
        <f>IF(INDIRECT("'Закуп'!L" &amp; B521)="Sale","Sale","")</f>
        <v/>
      </c>
      <c r="H521" s="158">
        <f>IF(INDIRECT("'Закуп'!F" &amp; B521)=0,"",INDIRECT("'Закуп'!F" &amp; B521))</f>
        <v/>
      </c>
      <c r="I521" s="120" t="n">
        <v>1000</v>
      </c>
      <c r="J521" s="121">
        <f>K521/1.2</f>
        <v/>
      </c>
      <c r="K521" s="242" t="n">
        <v>1.05</v>
      </c>
      <c r="L521" s="122">
        <f>J521-C521-(J521-C521)*0.2</f>
        <v/>
      </c>
      <c r="M521" s="123">
        <f>L521*I521</f>
        <v/>
      </c>
      <c r="N521" s="124" t="inlineStr">
        <is>
          <t xml:space="preserve">1000 + шт - </t>
        </is>
      </c>
      <c r="O521" s="47" t="inlineStr">
        <is>
          <t xml:space="preserve"> руб / шт с НДС</t>
        </is>
      </c>
      <c r="P521" s="125">
        <f>ROUND(K521,2)</f>
        <v/>
      </c>
      <c r="Q521" s="207">
        <f>CONCATENATE(N521,P521,O521,)</f>
        <v/>
      </c>
      <c r="R521" s="240" t="n"/>
      <c r="T521" s="241" t="n"/>
      <c r="U521" s="240" t="n"/>
      <c r="V521" s="241" t="n"/>
      <c r="Z521" s="240" t="n"/>
      <c r="AB521" s="241" t="n"/>
      <c r="AC521" s="240" t="n"/>
      <c r="AD521" s="241" t="n"/>
      <c r="AE521" t="n">
        <v>0.92</v>
      </c>
    </row>
    <row r="522">
      <c r="A522" s="232" t="n">
        <v>106</v>
      </c>
      <c r="B522" s="42" t="n">
        <v>106</v>
      </c>
      <c r="C522" s="118">
        <f>INDIRECT("'Закуп'!A" &amp; B522)</f>
        <v/>
      </c>
      <c r="D522" s="119">
        <f>C522*1.2</f>
        <v/>
      </c>
      <c r="E522" s="224">
        <f>INDIRECT("'Закуп'!D" &amp; A522)</f>
        <v/>
      </c>
      <c r="F522" s="231">
        <f>INDIRECT("'Закуп'!E" &amp; B522)</f>
        <v/>
      </c>
      <c r="G522" s="172">
        <f>IF(INDIRECT("'Закуп'!L" &amp; B522)="Sale","Sale","")</f>
        <v/>
      </c>
      <c r="H522" s="158">
        <f>IF(INDIRECT("'Закуп'!F" &amp; B522)=0,"",INDIRECT("'Закуп'!F" &amp; B522))</f>
        <v/>
      </c>
      <c r="I522" s="120" t="n">
        <v>50</v>
      </c>
      <c r="J522" s="121">
        <f>K522/1.2</f>
        <v/>
      </c>
      <c r="K522" s="242" t="n">
        <v>1.76</v>
      </c>
      <c r="L522" s="122">
        <f>J522-C522-(J522-C522)*0.2</f>
        <v/>
      </c>
      <c r="M522" s="123">
        <f>L522*I522</f>
        <v/>
      </c>
      <c r="N522" s="124" t="inlineStr">
        <is>
          <t xml:space="preserve">50-90 шт - </t>
        </is>
      </c>
      <c r="O522" s="47" t="inlineStr">
        <is>
          <t xml:space="preserve"> руб / шт с НДС</t>
        </is>
      </c>
      <c r="P522" s="125">
        <f>ROUND(K522,2)</f>
        <v/>
      </c>
      <c r="Q522" s="207">
        <f>CONCATENATE(N522,P522,O522,)</f>
        <v/>
      </c>
      <c r="R522" s="235">
        <f>INDIRECT("'Закуп'!k" &amp; A522)</f>
        <v/>
      </c>
      <c r="S522" s="239">
        <f>INDIRECT("'Закуп'!o" &amp; A522)</f>
        <v/>
      </c>
      <c r="T522" s="226">
        <f>INDIRECT("'Закуп'!p" &amp; A522)</f>
        <v/>
      </c>
      <c r="U522" s="235">
        <f>INDIRECT("'Закуп'!v" &amp; A522)</f>
        <v/>
      </c>
      <c r="V522" s="222">
        <f>INDIRECT("'Закуп'!w" &amp; A522)</f>
        <v/>
      </c>
      <c r="W522" s="229">
        <f>INDIRECT("'Закуп'!H" &amp; A522)</f>
        <v/>
      </c>
      <c r="X522" s="237">
        <f>INDIRECT("'Закуп'!g" &amp; A522)</f>
        <v/>
      </c>
      <c r="Y522" s="229">
        <f>INDIRECT("'Закуп'!i" &amp; A522)</f>
        <v/>
      </c>
      <c r="Z522" s="236">
        <f>INDIRECT("'Закуп'!x" &amp; A522)</f>
        <v/>
      </c>
      <c r="AA522" s="237">
        <f>INDIRECT("'Закуп'!y" &amp; A522)</f>
        <v/>
      </c>
      <c r="AB522" s="238">
        <f>INDIRECT("'Закуп'!z" &amp; A522)</f>
        <v/>
      </c>
      <c r="AC522" s="223">
        <f>SUBSTITUTE(INDEX(F:F, ROUNDUP((ROW(A521))/5,0)*5 - 3), "х", "x")</f>
        <v/>
      </c>
      <c r="AD522" s="222">
        <f>SUBSTITUTE(INDEX(F:F, ROUNDUP((ROW(A521))/5,0)*5 - 3), "х", "x") &amp; " - " &amp; SUBSTITUTE(SUBSTITUTE(INDEX(F:F, ROUNDUP((ROW(A521))/5,0)*5 - 3), "х", "*"), "x", "*") &amp; " мм"</f>
        <v/>
      </c>
      <c r="AE522" t="n">
        <v>2.64</v>
      </c>
    </row>
    <row r="523">
      <c r="B523" s="42" t="n">
        <v>106</v>
      </c>
      <c r="C523" s="118">
        <f>INDIRECT("'Закуп'!A" &amp; B523)</f>
        <v/>
      </c>
      <c r="D523" s="119">
        <f>C523*1.2</f>
        <v/>
      </c>
      <c r="G523" s="172">
        <f>IF(INDIRECT("'Закуп'!L" &amp; B523)="Sale","Sale","")</f>
        <v/>
      </c>
      <c r="H523" s="158">
        <f>IF(INDIRECT("'Закуп'!F" &amp; B523)=0,"",INDIRECT("'Закуп'!F" &amp; B523))</f>
        <v/>
      </c>
      <c r="I523" s="120" t="n">
        <v>100</v>
      </c>
      <c r="J523" s="121">
        <f>K523/1.2</f>
        <v/>
      </c>
      <c r="K523" s="242" t="n">
        <v>1.5</v>
      </c>
      <c r="L523" s="122">
        <f>J523-C523-(J523-C523)*0.2</f>
        <v/>
      </c>
      <c r="M523" s="123">
        <f>L523*I523</f>
        <v/>
      </c>
      <c r="N523" s="124" t="inlineStr">
        <is>
          <t xml:space="preserve">100-290 шт - </t>
        </is>
      </c>
      <c r="O523" s="47" t="inlineStr">
        <is>
          <t xml:space="preserve"> руб / шт с НДС</t>
        </is>
      </c>
      <c r="P523" s="125">
        <f>ROUND(K523,2)</f>
        <v/>
      </c>
      <c r="Q523" s="207">
        <f>CONCATENATE(N523,P523,O523,)</f>
        <v/>
      </c>
      <c r="R523" s="240" t="n"/>
      <c r="T523" s="241" t="n"/>
      <c r="U523" s="240" t="n"/>
      <c r="V523" s="241" t="n"/>
      <c r="Z523" s="240" t="n"/>
      <c r="AB523" s="241" t="n"/>
      <c r="AC523" s="240" t="n"/>
      <c r="AD523" s="241" t="n"/>
      <c r="AE523" t="n">
        <v>2.12</v>
      </c>
    </row>
    <row r="524">
      <c r="B524" s="42" t="n">
        <v>106</v>
      </c>
      <c r="C524" s="118">
        <f>INDIRECT("'Закуп'!A" &amp; B524)</f>
        <v/>
      </c>
      <c r="D524" s="119">
        <f>C524*1.2</f>
        <v/>
      </c>
      <c r="G524" s="172">
        <f>IF(INDIRECT("'Закуп'!L" &amp; B524)="Sale","Sale","")</f>
        <v/>
      </c>
      <c r="H524" s="158">
        <f>IF(INDIRECT("'Закуп'!F" &amp; B524)=0,"",INDIRECT("'Закуп'!F" &amp; B524))</f>
        <v/>
      </c>
      <c r="I524" s="120" t="n">
        <v>300</v>
      </c>
      <c r="J524" s="121">
        <f>K524/1.2</f>
        <v/>
      </c>
      <c r="K524" s="242" t="n">
        <v>1.41</v>
      </c>
      <c r="L524" s="122">
        <f>J524-C524-(J524-C524)*0.2</f>
        <v/>
      </c>
      <c r="M524" s="123">
        <f>L524*I524</f>
        <v/>
      </c>
      <c r="N524" s="124" t="inlineStr">
        <is>
          <t xml:space="preserve">300-490 шт - </t>
        </is>
      </c>
      <c r="O524" s="47" t="inlineStr">
        <is>
          <t xml:space="preserve"> руб / шт с НДС</t>
        </is>
      </c>
      <c r="P524" s="125">
        <f>ROUND(K524,2)</f>
        <v/>
      </c>
      <c r="Q524" s="207">
        <f>CONCATENATE(N524,P524,O524,)</f>
        <v/>
      </c>
      <c r="R524" s="240" t="n"/>
      <c r="T524" s="241" t="n"/>
      <c r="U524" s="240" t="n"/>
      <c r="V524" s="241" t="n"/>
      <c r="Z524" s="240" t="n"/>
      <c r="AB524" s="241" t="n"/>
      <c r="AC524" s="240" t="n"/>
      <c r="AD524" s="241" t="n"/>
      <c r="AE524" t="n">
        <v>1.93</v>
      </c>
    </row>
    <row r="525">
      <c r="B525" s="42" t="n">
        <v>106</v>
      </c>
      <c r="C525" s="118">
        <f>INDIRECT("'Закуп'!A" &amp; B525)</f>
        <v/>
      </c>
      <c r="D525" s="119">
        <f>C525*1.2</f>
        <v/>
      </c>
      <c r="G525" s="172">
        <f>IF(INDIRECT("'Закуп'!L" &amp; B525)="Sale","Sale","")</f>
        <v/>
      </c>
      <c r="H525" s="158">
        <f>IF(INDIRECT("'Закуп'!F" &amp; B525)=0,"",INDIRECT("'Закуп'!F" &amp; B525))</f>
        <v/>
      </c>
      <c r="I525" s="120" t="n">
        <v>500</v>
      </c>
      <c r="J525" s="121">
        <f>K525/1.2</f>
        <v/>
      </c>
      <c r="K525" s="242" t="n">
        <v>1.34</v>
      </c>
      <c r="L525" s="122">
        <f>J525-C525-(J525-C525)*0.2</f>
        <v/>
      </c>
      <c r="M525" s="123">
        <f>L525*I525</f>
        <v/>
      </c>
      <c r="N525" s="124" t="inlineStr">
        <is>
          <t xml:space="preserve">500-990 шт - </t>
        </is>
      </c>
      <c r="O525" s="47" t="inlineStr">
        <is>
          <t xml:space="preserve"> руб / шт с НДС</t>
        </is>
      </c>
      <c r="P525" s="125">
        <f>ROUND(K525,2)</f>
        <v/>
      </c>
      <c r="Q525" s="207">
        <f>CONCATENATE(N525,P525,O525,)</f>
        <v/>
      </c>
      <c r="R525" s="240" t="n"/>
      <c r="T525" s="241" t="n"/>
      <c r="U525" s="240" t="n"/>
      <c r="V525" s="241" t="n"/>
      <c r="Z525" s="240" t="n"/>
      <c r="AB525" s="241" t="n"/>
      <c r="AC525" s="240" t="n"/>
      <c r="AD525" s="241" t="n"/>
      <c r="AE525" t="n">
        <v>1.72</v>
      </c>
    </row>
    <row r="526">
      <c r="B526" s="42" t="n">
        <v>106</v>
      </c>
      <c r="C526" s="118">
        <f>INDIRECT("'Закуп'!A" &amp; B526)</f>
        <v/>
      </c>
      <c r="D526" s="119">
        <f>C526*1.2</f>
        <v/>
      </c>
      <c r="G526" s="172">
        <f>IF(INDIRECT("'Закуп'!L" &amp; B526)="Sale","Sale","")</f>
        <v/>
      </c>
      <c r="H526" s="158">
        <f>IF(INDIRECT("'Закуп'!F" &amp; B526)=0,"",INDIRECT("'Закуп'!F" &amp; B526))</f>
        <v/>
      </c>
      <c r="I526" s="120" t="n">
        <v>1000</v>
      </c>
      <c r="J526" s="121">
        <f>K526/1.2</f>
        <v/>
      </c>
      <c r="K526" s="242" t="n">
        <v>1.29</v>
      </c>
      <c r="L526" s="122">
        <f>J526-C526-(J526-C526)*0.2</f>
        <v/>
      </c>
      <c r="M526" s="123">
        <f>L526*I526</f>
        <v/>
      </c>
      <c r="N526" s="124" t="inlineStr">
        <is>
          <t xml:space="preserve">1000 + шт - </t>
        </is>
      </c>
      <c r="O526" s="47" t="inlineStr">
        <is>
          <t xml:space="preserve"> руб / шт с НДС</t>
        </is>
      </c>
      <c r="P526" s="125">
        <f>ROUND(K526,2)</f>
        <v/>
      </c>
      <c r="Q526" s="207">
        <f>CONCATENATE(N526,P526,O526,)</f>
        <v/>
      </c>
      <c r="R526" s="240" t="n"/>
      <c r="T526" s="241" t="n"/>
      <c r="U526" s="240" t="n"/>
      <c r="V526" s="241" t="n"/>
      <c r="Z526" s="240" t="n"/>
      <c r="AB526" s="241" t="n"/>
      <c r="AC526" s="240" t="n"/>
      <c r="AD526" s="241" t="n"/>
      <c r="AE526" t="n">
        <v>1.67</v>
      </c>
    </row>
    <row r="527">
      <c r="A527" s="232" t="n">
        <v>107</v>
      </c>
      <c r="B527" s="42" t="n">
        <v>107</v>
      </c>
      <c r="C527" s="118">
        <f>INDIRECT("'Закуп'!A" &amp; B527)</f>
        <v/>
      </c>
      <c r="D527" s="119">
        <f>C527*1.2</f>
        <v/>
      </c>
      <c r="E527" s="224">
        <f>INDIRECT("'Закуп'!D" &amp; A527)</f>
        <v/>
      </c>
      <c r="F527" s="231">
        <f>INDIRECT("'Закуп'!E" &amp; B527)</f>
        <v/>
      </c>
      <c r="G527" s="172">
        <f>IF(INDIRECT("'Закуп'!L" &amp; B527)="Sale","Sale","")</f>
        <v/>
      </c>
      <c r="H527" s="158">
        <f>IF(INDIRECT("'Закуп'!F" &amp; B527)=0,"",INDIRECT("'Закуп'!F" &amp; B527))</f>
        <v/>
      </c>
      <c r="I527" s="120" t="n">
        <v>50</v>
      </c>
      <c r="J527" s="121">
        <f>K527/1.2</f>
        <v/>
      </c>
      <c r="K527" s="242" t="n">
        <v>2.19</v>
      </c>
      <c r="L527" s="122">
        <f>J527-C527-(J527-C527)*0.2</f>
        <v/>
      </c>
      <c r="M527" s="123">
        <f>L527*I527</f>
        <v/>
      </c>
      <c r="N527" s="124" t="inlineStr">
        <is>
          <t xml:space="preserve">50-90 шт - </t>
        </is>
      </c>
      <c r="O527" s="47" t="inlineStr">
        <is>
          <t xml:space="preserve"> руб / шт с НДС</t>
        </is>
      </c>
      <c r="P527" s="125">
        <f>ROUND(K527,2)</f>
        <v/>
      </c>
      <c r="Q527" s="207">
        <f>CONCATENATE(N527,P527,O527,)</f>
        <v/>
      </c>
      <c r="R527" s="235">
        <f>INDIRECT("'Закуп'!k" &amp; A527)</f>
        <v/>
      </c>
      <c r="S527" s="239">
        <f>INDIRECT("'Закуп'!o" &amp; A527)</f>
        <v/>
      </c>
      <c r="T527" s="226">
        <f>INDIRECT("'Закуп'!p" &amp; A527)</f>
        <v/>
      </c>
      <c r="U527" s="235">
        <f>INDIRECT("'Закуп'!v" &amp; A527)</f>
        <v/>
      </c>
      <c r="V527" s="222">
        <f>INDIRECT("'Закуп'!w" &amp; A527)</f>
        <v/>
      </c>
      <c r="W527" s="229">
        <f>INDIRECT("'Закуп'!H" &amp; A527)</f>
        <v/>
      </c>
      <c r="X527" s="237">
        <f>INDIRECT("'Закуп'!g" &amp; A527)</f>
        <v/>
      </c>
      <c r="Y527" s="229">
        <f>INDIRECT("'Закуп'!i" &amp; A527)</f>
        <v/>
      </c>
      <c r="Z527" s="236">
        <f>INDIRECT("'Закуп'!x" &amp; A527)</f>
        <v/>
      </c>
      <c r="AA527" s="237">
        <f>INDIRECT("'Закуп'!y" &amp; A527)</f>
        <v/>
      </c>
      <c r="AB527" s="238">
        <f>INDIRECT("'Закуп'!z" &amp; A527)</f>
        <v/>
      </c>
      <c r="AC527" s="223">
        <f>SUBSTITUTE(INDEX(F:F, ROUNDUP((ROW(A526))/5,0)*5 - 3), "х", "x")</f>
        <v/>
      </c>
      <c r="AD527" s="222">
        <f>SUBSTITUTE(INDEX(F:F, ROUNDUP((ROW(A526))/5,0)*5 - 3), "х", "x") &amp; " - " &amp; SUBSTITUTE(SUBSTITUTE(INDEX(F:F, ROUNDUP((ROW(A526))/5,0)*5 - 3), "х", "*"), "x", "*") &amp; " мм"</f>
        <v/>
      </c>
      <c r="AE527" t="n">
        <v>3.32</v>
      </c>
    </row>
    <row r="528">
      <c r="B528" s="42" t="n">
        <v>107</v>
      </c>
      <c r="C528" s="118">
        <f>INDIRECT("'Закуп'!A" &amp; B528)</f>
        <v/>
      </c>
      <c r="D528" s="119">
        <f>C528*1.2</f>
        <v/>
      </c>
      <c r="G528" s="172">
        <f>IF(INDIRECT("'Закуп'!L" &amp; B528)="Sale","Sale","")</f>
        <v/>
      </c>
      <c r="H528" s="158">
        <f>IF(INDIRECT("'Закуп'!F" &amp; B528)=0,"",INDIRECT("'Закуп'!F" &amp; B528))</f>
        <v/>
      </c>
      <c r="I528" s="120" t="n">
        <v>100</v>
      </c>
      <c r="J528" s="121">
        <f>K528/1.2</f>
        <v/>
      </c>
      <c r="K528" s="242" t="n">
        <v>1.86</v>
      </c>
      <c r="L528" s="122">
        <f>J528-C528-(J528-C528)*0.2</f>
        <v/>
      </c>
      <c r="M528" s="123">
        <f>L528*I528</f>
        <v/>
      </c>
      <c r="N528" s="124" t="inlineStr">
        <is>
          <t xml:space="preserve">100-290 шт - </t>
        </is>
      </c>
      <c r="O528" s="47" t="inlineStr">
        <is>
          <t xml:space="preserve"> руб / шт с НДС</t>
        </is>
      </c>
      <c r="P528" s="125">
        <f>ROUND(K528,2)</f>
        <v/>
      </c>
      <c r="Q528" s="207">
        <f>CONCATENATE(N528,P528,O528,)</f>
        <v/>
      </c>
      <c r="R528" s="240" t="n"/>
      <c r="T528" s="241" t="n"/>
      <c r="U528" s="240" t="n"/>
      <c r="V528" s="241" t="n"/>
      <c r="Z528" s="240" t="n"/>
      <c r="AB528" s="241" t="n"/>
      <c r="AC528" s="240" t="n"/>
      <c r="AD528" s="241" t="n"/>
      <c r="AE528" t="n">
        <v>2.65</v>
      </c>
    </row>
    <row r="529">
      <c r="B529" s="42" t="n">
        <v>107</v>
      </c>
      <c r="C529" s="118">
        <f>INDIRECT("'Закуп'!A" &amp; B529)</f>
        <v/>
      </c>
      <c r="D529" s="119">
        <f>C529*1.2</f>
        <v/>
      </c>
      <c r="G529" s="172">
        <f>IF(INDIRECT("'Закуп'!L" &amp; B529)="Sale","Sale","")</f>
        <v/>
      </c>
      <c r="H529" s="158">
        <f>IF(INDIRECT("'Закуп'!F" &amp; B529)=0,"",INDIRECT("'Закуп'!F" &amp; B529))</f>
        <v/>
      </c>
      <c r="I529" s="120" t="n">
        <v>300</v>
      </c>
      <c r="J529" s="121">
        <f>K529/1.2</f>
        <v/>
      </c>
      <c r="K529" s="242" t="n">
        <v>1.75</v>
      </c>
      <c r="L529" s="122">
        <f>J529-C529-(J529-C529)*0.2</f>
        <v/>
      </c>
      <c r="M529" s="123">
        <f>L529*I529</f>
        <v/>
      </c>
      <c r="N529" s="124" t="inlineStr">
        <is>
          <t xml:space="preserve">300-490 шт - </t>
        </is>
      </c>
      <c r="O529" s="47" t="inlineStr">
        <is>
          <t xml:space="preserve"> руб / шт с НДС</t>
        </is>
      </c>
      <c r="P529" s="125">
        <f>ROUND(K529,2)</f>
        <v/>
      </c>
      <c r="Q529" s="207">
        <f>CONCATENATE(N529,P529,O529,)</f>
        <v/>
      </c>
      <c r="R529" s="240" t="n"/>
      <c r="T529" s="241" t="n"/>
      <c r="U529" s="240" t="n"/>
      <c r="V529" s="241" t="n"/>
      <c r="Z529" s="240" t="n"/>
      <c r="AB529" s="241" t="n"/>
      <c r="AC529" s="240" t="n"/>
      <c r="AD529" s="241" t="n"/>
      <c r="AE529" t="n">
        <v>2.39</v>
      </c>
    </row>
    <row r="530">
      <c r="B530" s="42" t="n">
        <v>107</v>
      </c>
      <c r="C530" s="118">
        <f>INDIRECT("'Закуп'!A" &amp; B530)</f>
        <v/>
      </c>
      <c r="D530" s="119">
        <f>C530*1.2</f>
        <v/>
      </c>
      <c r="G530" s="172">
        <f>IF(INDIRECT("'Закуп'!L" &amp; B530)="Sale","Sale","")</f>
        <v/>
      </c>
      <c r="H530" s="158">
        <f>IF(INDIRECT("'Закуп'!F" &amp; B530)=0,"",INDIRECT("'Закуп'!F" &amp; B530))</f>
        <v/>
      </c>
      <c r="I530" s="120" t="n">
        <v>500</v>
      </c>
      <c r="J530" s="121">
        <f>K530/1.2</f>
        <v/>
      </c>
      <c r="K530" s="242" t="n">
        <v>1.66</v>
      </c>
      <c r="L530" s="122">
        <f>J530-C530-(J530-C530)*0.2</f>
        <v/>
      </c>
      <c r="M530" s="123">
        <f>L530*I530</f>
        <v/>
      </c>
      <c r="N530" s="124" t="inlineStr">
        <is>
          <t xml:space="preserve">500-990 шт - </t>
        </is>
      </c>
      <c r="O530" s="47" t="inlineStr">
        <is>
          <t xml:space="preserve"> руб / шт с НДС</t>
        </is>
      </c>
      <c r="P530" s="125">
        <f>ROUND(K530,2)</f>
        <v/>
      </c>
      <c r="Q530" s="207">
        <f>CONCATENATE(N530,P530,O530,)</f>
        <v/>
      </c>
      <c r="R530" s="240" t="n"/>
      <c r="T530" s="241" t="n"/>
      <c r="U530" s="240" t="n"/>
      <c r="V530" s="241" t="n"/>
      <c r="Z530" s="240" t="n"/>
      <c r="AB530" s="241" t="n"/>
      <c r="AC530" s="240" t="n"/>
      <c r="AD530" s="241" t="n"/>
      <c r="AE530" t="n">
        <v>2.15</v>
      </c>
    </row>
    <row r="531">
      <c r="B531" s="42" t="n">
        <v>107</v>
      </c>
      <c r="C531" s="118">
        <f>INDIRECT("'Закуп'!A" &amp; B531)</f>
        <v/>
      </c>
      <c r="D531" s="119">
        <f>C531*1.2</f>
        <v/>
      </c>
      <c r="G531" s="172">
        <f>IF(INDIRECT("'Закуп'!L" &amp; B531)="Sale","Sale","")</f>
        <v/>
      </c>
      <c r="H531" s="158">
        <f>IF(INDIRECT("'Закуп'!F" &amp; B531)=0,"",INDIRECT("'Закуп'!F" &amp; B531))</f>
        <v/>
      </c>
      <c r="I531" s="120" t="n">
        <v>1000</v>
      </c>
      <c r="J531" s="121">
        <f>K531/1.2</f>
        <v/>
      </c>
      <c r="K531" s="242" t="n">
        <v>1.61</v>
      </c>
      <c r="L531" s="122">
        <f>J531-C531-(J531-C531)*0.2</f>
        <v/>
      </c>
      <c r="M531" s="123">
        <f>L531*I531</f>
        <v/>
      </c>
      <c r="N531" s="124" t="inlineStr">
        <is>
          <t xml:space="preserve">1000 + шт - </t>
        </is>
      </c>
      <c r="O531" s="47" t="inlineStr">
        <is>
          <t xml:space="preserve"> руб / шт с НДС</t>
        </is>
      </c>
      <c r="P531" s="125">
        <f>ROUND(K531,2)</f>
        <v/>
      </c>
      <c r="Q531" s="207">
        <f>CONCATENATE(N531,P531,O531,)</f>
        <v/>
      </c>
      <c r="R531" s="240" t="n"/>
      <c r="T531" s="241" t="n"/>
      <c r="U531" s="240" t="n"/>
      <c r="V531" s="241" t="n"/>
      <c r="Z531" s="240" t="n"/>
      <c r="AB531" s="241" t="n"/>
      <c r="AC531" s="240" t="n"/>
      <c r="AD531" s="241" t="n"/>
      <c r="AE531" t="n">
        <v>2.05</v>
      </c>
    </row>
    <row r="532">
      <c r="A532" s="232" t="n">
        <v>108</v>
      </c>
      <c r="B532" s="42" t="n">
        <v>108</v>
      </c>
      <c r="C532" s="118">
        <f>INDIRECT("'Закуп'!A" &amp; B532)</f>
        <v/>
      </c>
      <c r="D532" s="119">
        <f>C532*1.2</f>
        <v/>
      </c>
      <c r="E532" s="224">
        <f>INDIRECT("'Закуп'!D" &amp; A532)</f>
        <v/>
      </c>
      <c r="F532" s="231">
        <f>INDIRECT("'Закуп'!E" &amp; B532)</f>
        <v/>
      </c>
      <c r="G532" s="172">
        <f>IF(INDIRECT("'Закуп'!L" &amp; B532)="Sale","Sale","")</f>
        <v/>
      </c>
      <c r="H532" s="158">
        <f>IF(INDIRECT("'Закуп'!F" &amp; B532)=0,"",INDIRECT("'Закуп'!F" &amp; B532))</f>
        <v/>
      </c>
      <c r="I532" s="120" t="n">
        <v>50</v>
      </c>
      <c r="J532" s="121">
        <f>K532/1.2</f>
        <v/>
      </c>
      <c r="K532" s="242" t="n">
        <v>2.68</v>
      </c>
      <c r="L532" s="122">
        <f>J532-C532-(J532-C532)*0.2</f>
        <v/>
      </c>
      <c r="M532" s="123">
        <f>L532*I532</f>
        <v/>
      </c>
      <c r="N532" s="124" t="inlineStr">
        <is>
          <t xml:space="preserve">50-90 шт - </t>
        </is>
      </c>
      <c r="O532" s="47" t="inlineStr">
        <is>
          <t xml:space="preserve"> руб / шт с НДС</t>
        </is>
      </c>
      <c r="P532" s="125">
        <f>ROUND(K532,2)</f>
        <v/>
      </c>
      <c r="Q532" s="207">
        <f>CONCATENATE(N532,P532,O532,)</f>
        <v/>
      </c>
      <c r="R532" s="235">
        <f>INDIRECT("'Закуп'!k" &amp; A532)</f>
        <v/>
      </c>
      <c r="S532" s="239">
        <f>INDIRECT("'Закуп'!o" &amp; A532)</f>
        <v/>
      </c>
      <c r="T532" s="226">
        <f>INDIRECT("'Закуп'!p" &amp; A532)</f>
        <v/>
      </c>
      <c r="U532" s="235">
        <f>INDIRECT("'Закуп'!v" &amp; A532)</f>
        <v/>
      </c>
      <c r="V532" s="222">
        <f>INDIRECT("'Закуп'!w" &amp; A532)</f>
        <v/>
      </c>
      <c r="W532" s="229">
        <f>INDIRECT("'Закуп'!H" &amp; A532)</f>
        <v/>
      </c>
      <c r="X532" s="237">
        <f>INDIRECT("'Закуп'!g" &amp; A532)</f>
        <v/>
      </c>
      <c r="Y532" s="229">
        <f>INDIRECT("'Закуп'!i" &amp; A532)</f>
        <v/>
      </c>
      <c r="Z532" s="236">
        <f>INDIRECT("'Закуп'!x" &amp; A532)</f>
        <v/>
      </c>
      <c r="AA532" s="237">
        <f>INDIRECT("'Закуп'!y" &amp; A532)</f>
        <v/>
      </c>
      <c r="AB532" s="238">
        <f>INDIRECT("'Закуп'!z" &amp; A532)</f>
        <v/>
      </c>
      <c r="AC532" s="223">
        <f>SUBSTITUTE(INDEX(F:F, ROUNDUP((ROW(A531))/5,0)*5 - 3), "х", "x")</f>
        <v/>
      </c>
      <c r="AD532" s="222">
        <f>SUBSTITUTE(INDEX(F:F, ROUNDUP((ROW(A531))/5,0)*5 - 3), "х", "x") &amp; " - " &amp; SUBSTITUTE(SUBSTITUTE(INDEX(F:F, ROUNDUP((ROW(A531))/5,0)*5 - 3), "х", "*"), "x", "*") &amp; " мм"</f>
        <v/>
      </c>
      <c r="AE532" t="n">
        <v>3.98</v>
      </c>
    </row>
    <row r="533">
      <c r="B533" s="42" t="n">
        <v>108</v>
      </c>
      <c r="C533" s="118">
        <f>INDIRECT("'Закуп'!A" &amp; B533)</f>
        <v/>
      </c>
      <c r="D533" s="119">
        <f>C533*1.2</f>
        <v/>
      </c>
      <c r="G533" s="172">
        <f>IF(INDIRECT("'Закуп'!L" &amp; B533)="Sale","Sale","")</f>
        <v/>
      </c>
      <c r="H533" s="158">
        <f>IF(INDIRECT("'Закуп'!F" &amp; B533)=0,"",INDIRECT("'Закуп'!F" &amp; B533))</f>
        <v/>
      </c>
      <c r="I533" s="120" t="n">
        <v>100</v>
      </c>
      <c r="J533" s="121">
        <f>K533/1.2</f>
        <v/>
      </c>
      <c r="K533" s="242" t="n">
        <v>2.3</v>
      </c>
      <c r="L533" s="122">
        <f>J533-C533-(J533-C533)*0.2</f>
        <v/>
      </c>
      <c r="M533" s="123">
        <f>L533*I533</f>
        <v/>
      </c>
      <c r="N533" s="124" t="inlineStr">
        <is>
          <t xml:space="preserve">100-290 шт - </t>
        </is>
      </c>
      <c r="O533" s="47" t="inlineStr">
        <is>
          <t xml:space="preserve"> руб / шт с НДС</t>
        </is>
      </c>
      <c r="P533" s="125">
        <f>ROUND(K533,2)</f>
        <v/>
      </c>
      <c r="Q533" s="207">
        <f>CONCATENATE(N533,P533,O533,)</f>
        <v/>
      </c>
      <c r="R533" s="240" t="n"/>
      <c r="T533" s="241" t="n"/>
      <c r="U533" s="240" t="n"/>
      <c r="V533" s="241" t="n"/>
      <c r="Z533" s="240" t="n"/>
      <c r="AB533" s="241" t="n"/>
      <c r="AC533" s="240" t="n"/>
      <c r="AD533" s="241" t="n"/>
      <c r="AE533" t="n">
        <v>3.15</v>
      </c>
    </row>
    <row r="534">
      <c r="B534" s="42" t="n">
        <v>108</v>
      </c>
      <c r="C534" s="118">
        <f>INDIRECT("'Закуп'!A" &amp; B534)</f>
        <v/>
      </c>
      <c r="D534" s="119">
        <f>C534*1.2</f>
        <v/>
      </c>
      <c r="G534" s="172">
        <f>IF(INDIRECT("'Закуп'!L" &amp; B534)="Sale","Sale","")</f>
        <v/>
      </c>
      <c r="H534" s="158">
        <f>IF(INDIRECT("'Закуп'!F" &amp; B534)=0,"",INDIRECT("'Закуп'!F" &amp; B534))</f>
        <v/>
      </c>
      <c r="I534" s="120" t="n">
        <v>300</v>
      </c>
      <c r="J534" s="121">
        <f>K534/1.2</f>
        <v/>
      </c>
      <c r="K534" s="242" t="n">
        <v>2.17</v>
      </c>
      <c r="L534" s="122">
        <f>J534-C534-(J534-C534)*0.2</f>
        <v/>
      </c>
      <c r="M534" s="123">
        <f>L534*I534</f>
        <v/>
      </c>
      <c r="N534" s="124" t="inlineStr">
        <is>
          <t xml:space="preserve">300-490 шт - </t>
        </is>
      </c>
      <c r="O534" s="47" t="inlineStr">
        <is>
          <t xml:space="preserve"> руб / шт с НДС</t>
        </is>
      </c>
      <c r="P534" s="125">
        <f>ROUND(K534,2)</f>
        <v/>
      </c>
      <c r="Q534" s="207">
        <f>CONCATENATE(N534,P534,O534,)</f>
        <v/>
      </c>
      <c r="R534" s="240" t="n"/>
      <c r="T534" s="241" t="n"/>
      <c r="U534" s="240" t="n"/>
      <c r="V534" s="241" t="n"/>
      <c r="Z534" s="240" t="n"/>
      <c r="AB534" s="241" t="n"/>
      <c r="AC534" s="240" t="n"/>
      <c r="AD534" s="241" t="n"/>
      <c r="AE534" t="n">
        <v>2.64</v>
      </c>
    </row>
    <row r="535">
      <c r="B535" s="42" t="n">
        <v>108</v>
      </c>
      <c r="C535" s="118">
        <f>INDIRECT("'Закуп'!A" &amp; B535)</f>
        <v/>
      </c>
      <c r="D535" s="119">
        <f>C535*1.2</f>
        <v/>
      </c>
      <c r="G535" s="172">
        <f>IF(INDIRECT("'Закуп'!L" &amp; B535)="Sale","Sale","")</f>
        <v/>
      </c>
      <c r="H535" s="158">
        <f>IF(INDIRECT("'Закуп'!F" &amp; B535)=0,"",INDIRECT("'Закуп'!F" &amp; B535))</f>
        <v/>
      </c>
      <c r="I535" s="120" t="n">
        <v>500</v>
      </c>
      <c r="J535" s="121">
        <f>K535/1.2</f>
        <v/>
      </c>
      <c r="K535" s="242" t="n">
        <v>1.93</v>
      </c>
      <c r="L535" s="122">
        <f>J535-C535-(J535-C535)*0.2</f>
        <v/>
      </c>
      <c r="M535" s="123">
        <f>L535*I535</f>
        <v/>
      </c>
      <c r="N535" s="124" t="inlineStr">
        <is>
          <t xml:space="preserve">500-990 шт - </t>
        </is>
      </c>
      <c r="O535" s="47" t="inlineStr">
        <is>
          <t xml:space="preserve"> руб / шт с НДС</t>
        </is>
      </c>
      <c r="P535" s="125">
        <f>ROUND(K535,2)</f>
        <v/>
      </c>
      <c r="Q535" s="207">
        <f>CONCATENATE(N535,P535,O535,)</f>
        <v/>
      </c>
      <c r="R535" s="240" t="n"/>
      <c r="T535" s="241" t="n"/>
      <c r="U535" s="240" t="n"/>
      <c r="V535" s="241" t="n"/>
      <c r="Z535" s="240" t="n"/>
      <c r="AB535" s="241" t="n"/>
      <c r="AC535" s="240" t="n"/>
      <c r="AD535" s="241" t="n"/>
      <c r="AE535" t="n">
        <v>2.5</v>
      </c>
    </row>
    <row r="536">
      <c r="B536" s="42" t="n">
        <v>108</v>
      </c>
      <c r="C536" s="118">
        <f>INDIRECT("'Закуп'!A" &amp; B536)</f>
        <v/>
      </c>
      <c r="D536" s="119">
        <f>C536*1.2</f>
        <v/>
      </c>
      <c r="G536" s="172">
        <f>IF(INDIRECT("'Закуп'!L" &amp; B536)="Sale","Sale","")</f>
        <v/>
      </c>
      <c r="H536" s="158">
        <f>IF(INDIRECT("'Закуп'!F" &amp; B536)=0,"",INDIRECT("'Закуп'!F" &amp; B536))</f>
        <v/>
      </c>
      <c r="I536" s="120" t="n">
        <v>1000</v>
      </c>
      <c r="J536" s="121">
        <f>K536/1.2</f>
        <v/>
      </c>
      <c r="K536" s="242" t="n">
        <v>1.87</v>
      </c>
      <c r="L536" s="122">
        <f>J536-C536-(J536-C536)*0.2</f>
        <v/>
      </c>
      <c r="M536" s="123">
        <f>L536*I536</f>
        <v/>
      </c>
      <c r="N536" s="124" t="inlineStr">
        <is>
          <t xml:space="preserve">1000 + шт - </t>
        </is>
      </c>
      <c r="O536" s="47" t="inlineStr">
        <is>
          <t xml:space="preserve"> руб / шт с НДС</t>
        </is>
      </c>
      <c r="P536" s="125">
        <f>ROUND(K536,2)</f>
        <v/>
      </c>
      <c r="Q536" s="207">
        <f>CONCATENATE(N536,P536,O536,)</f>
        <v/>
      </c>
      <c r="R536" s="240" t="n"/>
      <c r="T536" s="241" t="n"/>
      <c r="U536" s="240" t="n"/>
      <c r="V536" s="241" t="n"/>
      <c r="Z536" s="240" t="n"/>
      <c r="AB536" s="241" t="n"/>
      <c r="AC536" s="240" t="n"/>
      <c r="AD536" s="241" t="n"/>
      <c r="AE536" t="n">
        <v>2.43</v>
      </c>
    </row>
    <row r="537">
      <c r="A537" s="232" t="n">
        <v>109</v>
      </c>
      <c r="B537" s="42" t="n">
        <v>109</v>
      </c>
      <c r="C537" s="118">
        <f>INDIRECT("'Закуп'!A" &amp; B537)</f>
        <v/>
      </c>
      <c r="D537" s="119">
        <f>C537*1.2</f>
        <v/>
      </c>
      <c r="E537" s="224">
        <f>INDIRECT("'Закуп'!D" &amp; A537)</f>
        <v/>
      </c>
      <c r="F537" s="231">
        <f>INDIRECT("'Закуп'!E" &amp; B537)</f>
        <v/>
      </c>
      <c r="G537" s="172">
        <f>IF(INDIRECT("'Закуп'!L" &amp; B537)="Sale","Sale","")</f>
        <v/>
      </c>
      <c r="H537" s="158">
        <f>IF(INDIRECT("'Закуп'!F" &amp; B537)=0,"",INDIRECT("'Закуп'!F" &amp; B537))</f>
        <v/>
      </c>
      <c r="I537" s="120" t="n">
        <v>50</v>
      </c>
      <c r="J537" s="121">
        <f>K537/1.2</f>
        <v/>
      </c>
      <c r="K537" s="242" t="n">
        <v>7.16</v>
      </c>
      <c r="L537" s="122">
        <f>J537-C537-(J537-C537)*0.2</f>
        <v/>
      </c>
      <c r="M537" s="123">
        <f>L537*I537</f>
        <v/>
      </c>
      <c r="N537" s="124" t="inlineStr">
        <is>
          <t xml:space="preserve">50-90 шт - </t>
        </is>
      </c>
      <c r="O537" s="47" t="inlineStr">
        <is>
          <t xml:space="preserve"> руб / шт с НДС</t>
        </is>
      </c>
      <c r="P537" s="125">
        <f>ROUND(K537,2)</f>
        <v/>
      </c>
      <c r="Q537" s="207">
        <f>CONCATENATE(N537,P537,O537,)</f>
        <v/>
      </c>
      <c r="R537" s="235">
        <f>INDIRECT("'Закуп'!k" &amp; A537)</f>
        <v/>
      </c>
      <c r="S537" s="239">
        <f>INDIRECT("'Закуп'!o" &amp; A537)</f>
        <v/>
      </c>
      <c r="T537" s="226">
        <f>INDIRECT("'Закуп'!p" &amp; A537)</f>
        <v/>
      </c>
      <c r="U537" s="235">
        <f>INDIRECT("'Закуп'!v" &amp; A537)</f>
        <v/>
      </c>
      <c r="V537" s="222">
        <f>INDIRECT("'Закуп'!w" &amp; A537)</f>
        <v/>
      </c>
      <c r="W537" s="229">
        <f>INDIRECT("'Закуп'!H" &amp; A537)</f>
        <v/>
      </c>
      <c r="X537" s="237">
        <f>INDIRECT("'Закуп'!g" &amp; A537)</f>
        <v/>
      </c>
      <c r="Y537" s="229">
        <f>INDIRECT("'Закуп'!i" &amp; A537)</f>
        <v/>
      </c>
      <c r="Z537" s="236">
        <f>INDIRECT("'Закуп'!x" &amp; A537)</f>
        <v/>
      </c>
      <c r="AA537" s="237">
        <f>INDIRECT("'Закуп'!y" &amp; A537)</f>
        <v/>
      </c>
      <c r="AB537" s="238">
        <f>INDIRECT("'Закуп'!z" &amp; A537)</f>
        <v/>
      </c>
      <c r="AC537" s="223">
        <f>SUBSTITUTE(INDEX(F:F, ROUNDUP((ROW(A536))/5,0)*5 - 3), "х", "x")</f>
        <v/>
      </c>
      <c r="AD537" s="222">
        <f>SUBSTITUTE(INDEX(F:F, ROUNDUP((ROW(A536))/5,0)*5 - 3), "х", "x") &amp; " - " &amp; SUBSTITUTE(SUBSTITUTE(INDEX(F:F, ROUNDUP((ROW(A536))/5,0)*5 - 3), "х", "*"), "x", "*") &amp; " мм"</f>
        <v/>
      </c>
      <c r="AE537" t="n">
        <v>9.869999999999999</v>
      </c>
    </row>
    <row r="538">
      <c r="B538" s="42" t="n">
        <v>109</v>
      </c>
      <c r="C538" s="118">
        <f>INDIRECT("'Закуп'!A" &amp; B538)</f>
        <v/>
      </c>
      <c r="D538" s="119">
        <f>C538*1.2</f>
        <v/>
      </c>
      <c r="G538" s="172">
        <f>IF(INDIRECT("'Закуп'!L" &amp; B538)="Sale","Sale","")</f>
        <v/>
      </c>
      <c r="H538" s="158">
        <f>IF(INDIRECT("'Закуп'!F" &amp; B538)=0,"",INDIRECT("'Закуп'!F" &amp; B538))</f>
        <v/>
      </c>
      <c r="I538" s="120" t="n">
        <v>100</v>
      </c>
      <c r="J538" s="121">
        <f>K538/1.2</f>
        <v/>
      </c>
      <c r="K538" s="242" t="n">
        <v>6.09</v>
      </c>
      <c r="L538" s="122">
        <f>J538-C538-(J538-C538)*0.2</f>
        <v/>
      </c>
      <c r="M538" s="123">
        <f>L538*I538</f>
        <v/>
      </c>
      <c r="N538" s="124" t="inlineStr">
        <is>
          <t xml:space="preserve">100-290 шт - </t>
        </is>
      </c>
      <c r="O538" s="47" t="inlineStr">
        <is>
          <t xml:space="preserve"> руб / шт с НДС</t>
        </is>
      </c>
      <c r="P538" s="125">
        <f>ROUND(K538,2)</f>
        <v/>
      </c>
      <c r="Q538" s="207">
        <f>CONCATENATE(N538,P538,O538,)</f>
        <v/>
      </c>
      <c r="R538" s="240" t="n"/>
      <c r="T538" s="241" t="n"/>
      <c r="U538" s="240" t="n"/>
      <c r="V538" s="241" t="n"/>
      <c r="Z538" s="240" t="n"/>
      <c r="AB538" s="241" t="n"/>
      <c r="AC538" s="240" t="n"/>
      <c r="AD538" s="241" t="n"/>
      <c r="AE538" t="n">
        <v>9.52</v>
      </c>
    </row>
    <row r="539">
      <c r="B539" s="42" t="n">
        <v>109</v>
      </c>
      <c r="C539" s="118">
        <f>INDIRECT("'Закуп'!A" &amp; B539)</f>
        <v/>
      </c>
      <c r="D539" s="119">
        <f>C539*1.2</f>
        <v/>
      </c>
      <c r="G539" s="172">
        <f>IF(INDIRECT("'Закуп'!L" &amp; B539)="Sale","Sale","")</f>
        <v/>
      </c>
      <c r="H539" s="158">
        <f>IF(INDIRECT("'Закуп'!F" &amp; B539)=0,"",INDIRECT("'Закуп'!F" &amp; B539))</f>
        <v/>
      </c>
      <c r="I539" s="120" t="n">
        <v>300</v>
      </c>
      <c r="J539" s="121">
        <f>K539/1.2</f>
        <v/>
      </c>
      <c r="K539" s="242" t="n">
        <v>5.73</v>
      </c>
      <c r="L539" s="122">
        <f>J539-C539-(J539-C539)*0.2</f>
        <v/>
      </c>
      <c r="M539" s="123">
        <f>L539*I539</f>
        <v/>
      </c>
      <c r="N539" s="124" t="inlineStr">
        <is>
          <t xml:space="preserve">300-490 шт - </t>
        </is>
      </c>
      <c r="O539" s="47" t="inlineStr">
        <is>
          <t xml:space="preserve"> руб / шт с НДС</t>
        </is>
      </c>
      <c r="P539" s="125">
        <f>ROUND(K539,2)</f>
        <v/>
      </c>
      <c r="Q539" s="207">
        <f>CONCATENATE(N539,P539,O539,)</f>
        <v/>
      </c>
      <c r="R539" s="240" t="n"/>
      <c r="T539" s="241" t="n"/>
      <c r="U539" s="240" t="n"/>
      <c r="V539" s="241" t="n"/>
      <c r="Z539" s="240" t="n"/>
      <c r="AB539" s="241" t="n"/>
      <c r="AC539" s="240" t="n"/>
      <c r="AD539" s="241" t="n"/>
      <c r="AE539" t="n">
        <v>9.18</v>
      </c>
    </row>
    <row r="540">
      <c r="B540" s="42" t="n">
        <v>109</v>
      </c>
      <c r="C540" s="118">
        <f>INDIRECT("'Закуп'!A" &amp; B540)</f>
        <v/>
      </c>
      <c r="D540" s="119">
        <f>C540*1.2</f>
        <v/>
      </c>
      <c r="G540" s="172">
        <f>IF(INDIRECT("'Закуп'!L" &amp; B540)="Sale","Sale","")</f>
        <v/>
      </c>
      <c r="H540" s="158">
        <f>IF(INDIRECT("'Закуп'!F" &amp; B540)=0,"",INDIRECT("'Закуп'!F" &amp; B540))</f>
        <v/>
      </c>
      <c r="I540" s="120" t="n">
        <v>500</v>
      </c>
      <c r="J540" s="121">
        <f>K540/1.2</f>
        <v/>
      </c>
      <c r="K540" s="242" t="n">
        <v>5.43</v>
      </c>
      <c r="L540" s="122">
        <f>J540-C540-(J540-C540)*0.2</f>
        <v/>
      </c>
      <c r="M540" s="123">
        <f>L540*I540</f>
        <v/>
      </c>
      <c r="N540" s="124" t="inlineStr">
        <is>
          <t xml:space="preserve">500-990 шт - </t>
        </is>
      </c>
      <c r="O540" s="47" t="inlineStr">
        <is>
          <t xml:space="preserve"> руб / шт с НДС</t>
        </is>
      </c>
      <c r="P540" s="125">
        <f>ROUND(K540,2)</f>
        <v/>
      </c>
      <c r="Q540" s="207">
        <f>CONCATENATE(N540,P540,O540,)</f>
        <v/>
      </c>
      <c r="R540" s="240" t="n"/>
      <c r="T540" s="241" t="n"/>
      <c r="U540" s="240" t="n"/>
      <c r="V540" s="241" t="n"/>
      <c r="Z540" s="240" t="n"/>
      <c r="AB540" s="241" t="n"/>
      <c r="AC540" s="240" t="n"/>
      <c r="AD540" s="241" t="n"/>
      <c r="AE540" t="n">
        <v>8.84</v>
      </c>
    </row>
    <row r="541">
      <c r="B541" s="42" t="n">
        <v>109</v>
      </c>
      <c r="C541" s="118">
        <f>INDIRECT("'Закуп'!A" &amp; B541)</f>
        <v/>
      </c>
      <c r="D541" s="119">
        <f>C541*1.2</f>
        <v/>
      </c>
      <c r="G541" s="172">
        <f>IF(INDIRECT("'Закуп'!L" &amp; B541)="Sale","Sale","")</f>
        <v/>
      </c>
      <c r="H541" s="158">
        <f>IF(INDIRECT("'Закуп'!F" &amp; B541)=0,"",INDIRECT("'Закуп'!F" &amp; B541))</f>
        <v/>
      </c>
      <c r="I541" s="120" t="n">
        <v>1000</v>
      </c>
      <c r="J541" s="121">
        <f>K541/1.2</f>
        <v/>
      </c>
      <c r="K541" s="242" t="n">
        <v>5.25</v>
      </c>
      <c r="L541" s="122">
        <f>J541-C541-(J541-C541)*0.2</f>
        <v/>
      </c>
      <c r="M541" s="123">
        <f>L541*I541</f>
        <v/>
      </c>
      <c r="N541" s="124" t="inlineStr">
        <is>
          <t xml:space="preserve">1000 + шт - </t>
        </is>
      </c>
      <c r="O541" s="47" t="inlineStr">
        <is>
          <t xml:space="preserve"> руб / шт с НДС</t>
        </is>
      </c>
      <c r="P541" s="125">
        <f>ROUND(K541,2)</f>
        <v/>
      </c>
      <c r="Q541" s="207">
        <f>CONCATENATE(N541,P541,O541,)</f>
        <v/>
      </c>
      <c r="R541" s="240" t="n"/>
      <c r="T541" s="241" t="n"/>
      <c r="U541" s="240" t="n"/>
      <c r="V541" s="241" t="n"/>
      <c r="Z541" s="240" t="n"/>
      <c r="AB541" s="241" t="n"/>
      <c r="AC541" s="240" t="n"/>
      <c r="AD541" s="241" t="n"/>
      <c r="AE541" t="n">
        <v>8.51</v>
      </c>
    </row>
    <row r="542">
      <c r="A542" s="232" t="n">
        <v>110</v>
      </c>
      <c r="B542" s="42" t="n">
        <v>110</v>
      </c>
      <c r="C542" s="118">
        <f>INDIRECT("'Закуп'!A" &amp; B542)</f>
        <v/>
      </c>
      <c r="D542" s="119">
        <f>C542*1.2</f>
        <v/>
      </c>
      <c r="E542" s="224">
        <f>INDIRECT("'Закуп'!D" &amp; A542)</f>
        <v/>
      </c>
      <c r="F542" s="231">
        <f>INDIRECT("'Закуп'!E" &amp; B542)</f>
        <v/>
      </c>
      <c r="G542" s="172">
        <f>IF(INDIRECT("'Закуп'!L" &amp; B542)="Sale","Sale","")</f>
        <v/>
      </c>
      <c r="H542" s="158">
        <f>IF(INDIRECT("'Закуп'!F" &amp; B542)=0,"",INDIRECT("'Закуп'!F" &amp; B542))</f>
        <v/>
      </c>
      <c r="I542" s="120" t="n">
        <v>50</v>
      </c>
      <c r="J542" s="121">
        <f>K542/1.2</f>
        <v/>
      </c>
      <c r="K542" s="242" t="n">
        <v>2.41</v>
      </c>
      <c r="L542" s="122">
        <f>J542-C542-(J542-C542)*0.2</f>
        <v/>
      </c>
      <c r="M542" s="123">
        <f>L542*I542</f>
        <v/>
      </c>
      <c r="N542" s="124" t="inlineStr">
        <is>
          <t xml:space="preserve">50-90 шт - </t>
        </is>
      </c>
      <c r="O542" s="47" t="inlineStr">
        <is>
          <t xml:space="preserve"> руб / шт с НДС</t>
        </is>
      </c>
      <c r="P542" s="125">
        <f>ROUND(K542,2)</f>
        <v/>
      </c>
      <c r="Q542" s="207">
        <f>CONCATENATE(N542,P542,O542,)</f>
        <v/>
      </c>
      <c r="R542" s="235">
        <f>INDIRECT("'Закуп'!k" &amp; A542)</f>
        <v/>
      </c>
      <c r="S542" s="239">
        <f>INDIRECT("'Закуп'!o" &amp; A542)</f>
        <v/>
      </c>
      <c r="T542" s="226">
        <f>INDIRECT("'Закуп'!p" &amp; A542)</f>
        <v/>
      </c>
      <c r="U542" s="235">
        <f>INDIRECT("'Закуп'!v" &amp; A542)</f>
        <v/>
      </c>
      <c r="V542" s="222">
        <f>INDIRECT("'Закуп'!w" &amp; A542)</f>
        <v/>
      </c>
      <c r="W542" s="229">
        <f>INDIRECT("'Закуп'!H" &amp; A542)</f>
        <v/>
      </c>
      <c r="X542" s="237">
        <f>INDIRECT("'Закуп'!g" &amp; A542)</f>
        <v/>
      </c>
      <c r="Y542" s="229">
        <f>INDIRECT("'Закуп'!i" &amp; A542)</f>
        <v/>
      </c>
      <c r="Z542" s="236">
        <f>INDIRECT("'Закуп'!x" &amp; A542)</f>
        <v/>
      </c>
      <c r="AA542" s="237">
        <f>INDIRECT("'Закуп'!y" &amp; A542)</f>
        <v/>
      </c>
      <c r="AB542" s="238">
        <f>INDIRECT("'Закуп'!z" &amp; A542)</f>
        <v/>
      </c>
      <c r="AC542" s="223">
        <f>SUBSTITUTE(INDEX(F:F, ROUNDUP((ROW(A541))/5,0)*5 - 3), "х", "x")</f>
        <v/>
      </c>
      <c r="AD542" s="222">
        <f>SUBSTITUTE(INDEX(F:F, ROUNDUP((ROW(A541))/5,0)*5 - 3), "х", "x") &amp; " - " &amp; SUBSTITUTE(SUBSTITUTE(INDEX(F:F, ROUNDUP((ROW(A541))/5,0)*5 - 3), "х", "*"), "x", "*") &amp; " мм"</f>
        <v/>
      </c>
      <c r="AE542" t="n">
        <v>3.67</v>
      </c>
    </row>
    <row r="543">
      <c r="B543" s="42" t="n">
        <v>110</v>
      </c>
      <c r="C543" s="118">
        <f>INDIRECT("'Закуп'!A" &amp; B543)</f>
        <v/>
      </c>
      <c r="D543" s="119">
        <f>C543*1.2</f>
        <v/>
      </c>
      <c r="G543" s="172">
        <f>IF(INDIRECT("'Закуп'!L" &amp; B543)="Sale","Sale","")</f>
        <v/>
      </c>
      <c r="H543" s="158">
        <f>IF(INDIRECT("'Закуп'!F" &amp; B543)=0,"",INDIRECT("'Закуп'!F" &amp; B543))</f>
        <v/>
      </c>
      <c r="I543" s="120" t="n">
        <v>100</v>
      </c>
      <c r="J543" s="121">
        <f>K543/1.2</f>
        <v/>
      </c>
      <c r="K543" s="242" t="n">
        <v>2.06</v>
      </c>
      <c r="L543" s="122">
        <f>J543-C543-(J543-C543)*0.2</f>
        <v/>
      </c>
      <c r="M543" s="123">
        <f>L543*I543</f>
        <v/>
      </c>
      <c r="N543" s="124" t="inlineStr">
        <is>
          <t xml:space="preserve">100-290 шт - </t>
        </is>
      </c>
      <c r="O543" s="47" t="inlineStr">
        <is>
          <t xml:space="preserve"> руб / шт с НДС</t>
        </is>
      </c>
      <c r="P543" s="125">
        <f>ROUND(K543,2)</f>
        <v/>
      </c>
      <c r="Q543" s="207">
        <f>CONCATENATE(N543,P543,O543,)</f>
        <v/>
      </c>
      <c r="R543" s="240" t="n"/>
      <c r="T543" s="241" t="n"/>
      <c r="U543" s="240" t="n"/>
      <c r="V543" s="241" t="n"/>
      <c r="Z543" s="240" t="n"/>
      <c r="AB543" s="241" t="n"/>
      <c r="AC543" s="240" t="n"/>
      <c r="AD543" s="241" t="n"/>
      <c r="AE543" t="n">
        <v>2.94</v>
      </c>
    </row>
    <row r="544">
      <c r="B544" s="42" t="n">
        <v>110</v>
      </c>
      <c r="C544" s="118">
        <f>INDIRECT("'Закуп'!A" &amp; B544)</f>
        <v/>
      </c>
      <c r="D544" s="119">
        <f>C544*1.2</f>
        <v/>
      </c>
      <c r="G544" s="172">
        <f>IF(INDIRECT("'Закуп'!L" &amp; B544)="Sale","Sale","")</f>
        <v/>
      </c>
      <c r="H544" s="158">
        <f>IF(INDIRECT("'Закуп'!F" &amp; B544)=0,"",INDIRECT("'Закуп'!F" &amp; B544))</f>
        <v/>
      </c>
      <c r="I544" s="120" t="n">
        <v>300</v>
      </c>
      <c r="J544" s="121">
        <f>K544/1.2</f>
        <v/>
      </c>
      <c r="K544" s="242" t="n">
        <v>1.94</v>
      </c>
      <c r="L544" s="122">
        <f>J544-C544-(J544-C544)*0.2</f>
        <v/>
      </c>
      <c r="M544" s="123">
        <f>L544*I544</f>
        <v/>
      </c>
      <c r="N544" s="124" t="inlineStr">
        <is>
          <t xml:space="preserve">300-490 шт - </t>
        </is>
      </c>
      <c r="O544" s="47" t="inlineStr">
        <is>
          <t xml:space="preserve"> руб / шт с НДС</t>
        </is>
      </c>
      <c r="P544" s="125">
        <f>ROUND(K544,2)</f>
        <v/>
      </c>
      <c r="Q544" s="207">
        <f>CONCATENATE(N544,P544,O544,)</f>
        <v/>
      </c>
      <c r="R544" s="240" t="n"/>
      <c r="T544" s="241" t="n"/>
      <c r="U544" s="240" t="n"/>
      <c r="V544" s="241" t="n"/>
      <c r="Z544" s="240" t="n"/>
      <c r="AB544" s="241" t="n"/>
      <c r="AC544" s="240" t="n"/>
      <c r="AD544" s="241" t="n"/>
      <c r="AE544" t="n">
        <v>2.48</v>
      </c>
    </row>
    <row r="545">
      <c r="B545" s="42" t="n">
        <v>110</v>
      </c>
      <c r="C545" s="118">
        <f>INDIRECT("'Закуп'!A" &amp; B545)</f>
        <v/>
      </c>
      <c r="D545" s="119">
        <f>C545*1.2</f>
        <v/>
      </c>
      <c r="G545" s="172">
        <f>IF(INDIRECT("'Закуп'!L" &amp; B545)="Sale","Sale","")</f>
        <v/>
      </c>
      <c r="H545" s="158">
        <f>IF(INDIRECT("'Закуп'!F" &amp; B545)=0,"",INDIRECT("'Закуп'!F" &amp; B545))</f>
        <v/>
      </c>
      <c r="I545" s="120" t="n">
        <v>500</v>
      </c>
      <c r="J545" s="121">
        <f>K545/1.2</f>
        <v/>
      </c>
      <c r="K545" s="242" t="n">
        <v>1.81</v>
      </c>
      <c r="L545" s="122">
        <f>J545-C545-(J545-C545)*0.2</f>
        <v/>
      </c>
      <c r="M545" s="123">
        <f>L545*I545</f>
        <v/>
      </c>
      <c r="N545" s="124" t="inlineStr">
        <is>
          <t xml:space="preserve">500-990 шт - </t>
        </is>
      </c>
      <c r="O545" s="47" t="inlineStr">
        <is>
          <t xml:space="preserve"> руб / шт с НДС</t>
        </is>
      </c>
      <c r="P545" s="125">
        <f>ROUND(K545,2)</f>
        <v/>
      </c>
      <c r="Q545" s="207">
        <f>CONCATENATE(N545,P545,O545,)</f>
        <v/>
      </c>
      <c r="R545" s="240" t="n"/>
      <c r="T545" s="241" t="n"/>
      <c r="U545" s="240" t="n"/>
      <c r="V545" s="241" t="n"/>
      <c r="Z545" s="240" t="n"/>
      <c r="AB545" s="241" t="n"/>
      <c r="AC545" s="240" t="n"/>
      <c r="AD545" s="241" t="n"/>
      <c r="AE545" t="n">
        <v>2.35</v>
      </c>
    </row>
    <row r="546">
      <c r="B546" s="42" t="n">
        <v>110</v>
      </c>
      <c r="C546" s="118">
        <f>INDIRECT("'Закуп'!A" &amp; B546)</f>
        <v/>
      </c>
      <c r="D546" s="119">
        <f>C546*1.2</f>
        <v/>
      </c>
      <c r="G546" s="172">
        <f>IF(INDIRECT("'Закуп'!L" &amp; B546)="Sale","Sale","")</f>
        <v/>
      </c>
      <c r="H546" s="158">
        <f>IF(INDIRECT("'Закуп'!F" &amp; B546)=0,"",INDIRECT("'Закуп'!F" &amp; B546))</f>
        <v/>
      </c>
      <c r="I546" s="120" t="n">
        <v>1000</v>
      </c>
      <c r="J546" s="121">
        <f>K546/1.2</f>
        <v/>
      </c>
      <c r="K546" s="242" t="n">
        <v>1.75</v>
      </c>
      <c r="L546" s="122">
        <f>J546-C546-(J546-C546)*0.2</f>
        <v/>
      </c>
      <c r="M546" s="123">
        <f>L546*I546</f>
        <v/>
      </c>
      <c r="N546" s="124" t="inlineStr">
        <is>
          <t xml:space="preserve">1000 + шт - </t>
        </is>
      </c>
      <c r="O546" s="47" t="inlineStr">
        <is>
          <t xml:space="preserve"> руб / шт с НДС</t>
        </is>
      </c>
      <c r="P546" s="125">
        <f>ROUND(K546,2)</f>
        <v/>
      </c>
      <c r="Q546" s="207">
        <f>CONCATENATE(N546,P546,O546,)</f>
        <v/>
      </c>
      <c r="R546" s="240" t="n"/>
      <c r="T546" s="241" t="n"/>
      <c r="U546" s="240" t="n"/>
      <c r="V546" s="241" t="n"/>
      <c r="Z546" s="240" t="n"/>
      <c r="AB546" s="241" t="n"/>
      <c r="AC546" s="240" t="n"/>
      <c r="AD546" s="241" t="n"/>
      <c r="AE546" t="n">
        <v>2.24</v>
      </c>
    </row>
    <row r="547">
      <c r="A547" s="232" t="n">
        <v>111</v>
      </c>
      <c r="B547" s="42" t="n">
        <v>111</v>
      </c>
      <c r="C547" s="118">
        <f>INDIRECT("'Закуп'!A" &amp; B547)</f>
        <v/>
      </c>
      <c r="D547" s="119">
        <f>C547*1.2</f>
        <v/>
      </c>
      <c r="E547" s="224">
        <f>INDIRECT("'Закуп'!D" &amp; A547)</f>
        <v/>
      </c>
      <c r="F547" s="231">
        <f>INDIRECT("'Закуп'!E" &amp; B547)</f>
        <v/>
      </c>
      <c r="G547" s="172">
        <f>IF(INDIRECT("'Закуп'!L" &amp; B547)="Sale","Sale","")</f>
        <v/>
      </c>
      <c r="H547" s="158">
        <f>IF(INDIRECT("'Закуп'!F" &amp; B547)=0,"",INDIRECT("'Закуп'!F" &amp; B547))</f>
        <v/>
      </c>
      <c r="I547" s="120" t="n">
        <v>50</v>
      </c>
      <c r="J547" s="121">
        <f>K547/1.2</f>
        <v/>
      </c>
      <c r="K547" s="70" t="n">
        <v>1.07</v>
      </c>
      <c r="L547" s="122">
        <f>J547-C547-(J547-C547)*0.2</f>
        <v/>
      </c>
      <c r="M547" s="123">
        <f>L547*I547</f>
        <v/>
      </c>
      <c r="N547" s="124" t="inlineStr">
        <is>
          <t xml:space="preserve">50-90 шт - </t>
        </is>
      </c>
      <c r="O547" s="47" t="inlineStr">
        <is>
          <t xml:space="preserve"> руб / шт с НДС</t>
        </is>
      </c>
      <c r="P547" s="125">
        <f>ROUND(K547,2)</f>
        <v/>
      </c>
      <c r="Q547" s="207">
        <f>CONCATENATE(N547,P547,O547,)</f>
        <v/>
      </c>
      <c r="R547" s="235">
        <f>INDIRECT("'Закуп'!k" &amp; A547)</f>
        <v/>
      </c>
      <c r="S547" s="239">
        <f>INDIRECT("'Закуп'!o" &amp; A547)</f>
        <v/>
      </c>
      <c r="T547" s="226">
        <f>INDIRECT("'Закуп'!p" &amp; A547)</f>
        <v/>
      </c>
      <c r="U547" s="235">
        <f>INDIRECT("'Закуп'!v" &amp; A547)</f>
        <v/>
      </c>
      <c r="V547" s="222">
        <f>INDIRECT("'Закуп'!w" &amp; A547)</f>
        <v/>
      </c>
      <c r="W547" s="229">
        <f>INDIRECT("'Закуп'!H" &amp; A547)</f>
        <v/>
      </c>
      <c r="X547" s="237">
        <f>INDIRECT("'Закуп'!g" &amp; A547)</f>
        <v/>
      </c>
      <c r="Y547" s="229">
        <f>INDIRECT("'Закуп'!i" &amp; A547)</f>
        <v/>
      </c>
      <c r="Z547" s="236">
        <f>INDIRECT("'Закуп'!x" &amp; A547)</f>
        <v/>
      </c>
      <c r="AA547" s="237">
        <f>INDIRECT("'Закуп'!y" &amp; A547)</f>
        <v/>
      </c>
      <c r="AB547" s="238">
        <f>INDIRECT("'Закуп'!z" &amp; A547)</f>
        <v/>
      </c>
      <c r="AC547" s="223">
        <f>SUBSTITUTE(INDEX(F:F, ROUNDUP((ROW(A546))/5,0)*5 - 3), "х", "x")</f>
        <v/>
      </c>
      <c r="AD547" s="222">
        <f>SUBSTITUTE(INDEX(F:F, ROUNDUP((ROW(A546))/5,0)*5 - 3), "х", "x") &amp; " - " &amp; SUBSTITUTE(SUBSTITUTE(INDEX(F:F, ROUNDUP((ROW(A546))/5,0)*5 - 3), "х", "*"), "x", "*") &amp; " мм"</f>
        <v/>
      </c>
    </row>
    <row r="548">
      <c r="B548" s="42" t="n">
        <v>111</v>
      </c>
      <c r="C548" s="118">
        <f>INDIRECT("'Закуп'!A" &amp; B548)</f>
        <v/>
      </c>
      <c r="D548" s="119">
        <f>C548*1.2</f>
        <v/>
      </c>
      <c r="G548" s="172">
        <f>IF(INDIRECT("'Закуп'!L" &amp; B548)="Sale","Sale","")</f>
        <v/>
      </c>
      <c r="H548" s="158">
        <f>IF(INDIRECT("'Закуп'!F" &amp; B548)=0,"",INDIRECT("'Закуп'!F" &amp; B548))</f>
        <v/>
      </c>
      <c r="I548" s="120" t="n">
        <v>100</v>
      </c>
      <c r="J548" s="121">
        <f>K548/1.2</f>
        <v/>
      </c>
      <c r="K548" s="70" t="n">
        <v>0.87</v>
      </c>
      <c r="L548" s="122">
        <f>J548-C548-(J548-C548)*0.2</f>
        <v/>
      </c>
      <c r="M548" s="123">
        <f>L548*I548</f>
        <v/>
      </c>
      <c r="N548" s="124" t="inlineStr">
        <is>
          <t xml:space="preserve">100-290 шт - </t>
        </is>
      </c>
      <c r="O548" s="47" t="inlineStr">
        <is>
          <t xml:space="preserve"> руб / шт с НДС</t>
        </is>
      </c>
      <c r="P548" s="125">
        <f>ROUND(K548,2)</f>
        <v/>
      </c>
      <c r="Q548" s="207">
        <f>CONCATENATE(N548,P548,O548,)</f>
        <v/>
      </c>
      <c r="R548" s="240" t="n"/>
      <c r="T548" s="241" t="n"/>
      <c r="U548" s="240" t="n"/>
      <c r="V548" s="241" t="n"/>
      <c r="Z548" s="240" t="n"/>
      <c r="AB548" s="241" t="n"/>
      <c r="AC548" s="240" t="n"/>
      <c r="AD548" s="241" t="n"/>
    </row>
    <row r="549">
      <c r="B549" s="42" t="n">
        <v>111</v>
      </c>
      <c r="C549" s="118">
        <f>INDIRECT("'Закуп'!A" &amp; B549)</f>
        <v/>
      </c>
      <c r="D549" s="119">
        <f>C549*1.2</f>
        <v/>
      </c>
      <c r="G549" s="172">
        <f>IF(INDIRECT("'Закуп'!L" &amp; B549)="Sale","Sale","")</f>
        <v/>
      </c>
      <c r="H549" s="158">
        <f>IF(INDIRECT("'Закуп'!F" &amp; B549)=0,"",INDIRECT("'Закуп'!F" &amp; B549))</f>
        <v/>
      </c>
      <c r="I549" s="120" t="n">
        <v>300</v>
      </c>
      <c r="J549" s="121">
        <f>K549/1.2</f>
        <v/>
      </c>
      <c r="K549" s="70" t="n">
        <v>0.68</v>
      </c>
      <c r="L549" s="122">
        <f>J549-C549-(J549-C549)*0.2</f>
        <v/>
      </c>
      <c r="M549" s="123">
        <f>L549*I549</f>
        <v/>
      </c>
      <c r="N549" s="124" t="inlineStr">
        <is>
          <t xml:space="preserve">300-490 шт - </t>
        </is>
      </c>
      <c r="O549" s="47" t="inlineStr">
        <is>
          <t xml:space="preserve"> руб / шт с НДС</t>
        </is>
      </c>
      <c r="P549" s="125">
        <f>ROUND(K549,2)</f>
        <v/>
      </c>
      <c r="Q549" s="207">
        <f>CONCATENATE(N549,P549,O549,)</f>
        <v/>
      </c>
      <c r="R549" s="240" t="n"/>
      <c r="T549" s="241" t="n"/>
      <c r="U549" s="240" t="n"/>
      <c r="V549" s="241" t="n"/>
      <c r="Z549" s="240" t="n"/>
      <c r="AB549" s="241" t="n"/>
      <c r="AC549" s="240" t="n"/>
      <c r="AD549" s="241" t="n"/>
    </row>
    <row r="550">
      <c r="B550" s="42" t="n">
        <v>111</v>
      </c>
      <c r="C550" s="118">
        <f>INDIRECT("'Закуп'!A" &amp; B550)</f>
        <v/>
      </c>
      <c r="D550" s="119">
        <f>C550*1.2</f>
        <v/>
      </c>
      <c r="G550" s="172">
        <f>IF(INDIRECT("'Закуп'!L" &amp; B550)="Sale","Sale","")</f>
        <v/>
      </c>
      <c r="H550" s="158">
        <f>IF(INDIRECT("'Закуп'!F" &amp; B550)=0,"",INDIRECT("'Закуп'!F" &amp; B550))</f>
        <v/>
      </c>
      <c r="I550" s="120" t="n">
        <v>500</v>
      </c>
      <c r="J550" s="121">
        <f>K550/1.2</f>
        <v/>
      </c>
      <c r="K550" s="70" t="n">
        <v>0.63</v>
      </c>
      <c r="L550" s="122">
        <f>J550-C550-(J550-C550)*0.2</f>
        <v/>
      </c>
      <c r="M550" s="123">
        <f>L550*I550</f>
        <v/>
      </c>
      <c r="N550" s="124" t="inlineStr">
        <is>
          <t xml:space="preserve">500-990 шт - </t>
        </is>
      </c>
      <c r="O550" s="47" t="inlineStr">
        <is>
          <t xml:space="preserve"> руб / шт с НДС</t>
        </is>
      </c>
      <c r="P550" s="125">
        <f>ROUND(K550,2)</f>
        <v/>
      </c>
      <c r="Q550" s="207">
        <f>CONCATENATE(N550,P550,O550,)</f>
        <v/>
      </c>
      <c r="R550" s="240" t="n"/>
      <c r="T550" s="241" t="n"/>
      <c r="U550" s="240" t="n"/>
      <c r="V550" s="241" t="n"/>
      <c r="Z550" s="240" t="n"/>
      <c r="AB550" s="241" t="n"/>
      <c r="AC550" s="240" t="n"/>
      <c r="AD550" s="241" t="n"/>
    </row>
    <row r="551">
      <c r="B551" s="42" t="n">
        <v>111</v>
      </c>
      <c r="C551" s="118">
        <f>INDIRECT("'Закуп'!A" &amp; B551)</f>
        <v/>
      </c>
      <c r="D551" s="119">
        <f>C551*1.2</f>
        <v/>
      </c>
      <c r="G551" s="172">
        <f>IF(INDIRECT("'Закуп'!L" &amp; B551)="Sale","Sale","")</f>
        <v/>
      </c>
      <c r="H551" s="158">
        <f>IF(INDIRECT("'Закуп'!F" &amp; B551)=0,"",INDIRECT("'Закуп'!F" &amp; B551))</f>
        <v/>
      </c>
      <c r="I551" s="120" t="n">
        <v>1000</v>
      </c>
      <c r="J551" s="121">
        <f>K551/1.2</f>
        <v/>
      </c>
      <c r="K551" s="70" t="n">
        <v>0.59</v>
      </c>
      <c r="L551" s="122">
        <f>J551-C551-(J551-C551)*0.2</f>
        <v/>
      </c>
      <c r="M551" s="123">
        <f>L551*I551</f>
        <v/>
      </c>
      <c r="N551" s="124" t="inlineStr">
        <is>
          <t xml:space="preserve">1000 + шт - </t>
        </is>
      </c>
      <c r="O551" s="47" t="inlineStr">
        <is>
          <t xml:space="preserve"> руб / шт с НДС</t>
        </is>
      </c>
      <c r="P551" s="125">
        <f>ROUND(K551,2)</f>
        <v/>
      </c>
      <c r="Q551" s="207">
        <f>CONCATENATE(N551,P551,O551,)</f>
        <v/>
      </c>
      <c r="R551" s="240" t="n"/>
      <c r="T551" s="241" t="n"/>
      <c r="U551" s="240" t="n"/>
      <c r="V551" s="241" t="n"/>
      <c r="Z551" s="240" t="n"/>
      <c r="AB551" s="241" t="n"/>
      <c r="AC551" s="240" t="n"/>
      <c r="AD551" s="241" t="n"/>
    </row>
    <row r="552">
      <c r="A552" s="232" t="n">
        <v>112</v>
      </c>
      <c r="B552" s="42" t="n">
        <v>112</v>
      </c>
      <c r="C552" s="118">
        <f>INDIRECT("'Закуп'!A" &amp; B552)</f>
        <v/>
      </c>
      <c r="D552" s="119">
        <f>C552*1.2</f>
        <v/>
      </c>
      <c r="E552" s="224">
        <f>INDIRECT("'Закуп'!D" &amp; A552)</f>
        <v/>
      </c>
      <c r="F552" s="231">
        <f>INDIRECT("'Закуп'!E" &amp; B552)</f>
        <v/>
      </c>
      <c r="G552" s="172">
        <f>IF(INDIRECT("'Закуп'!L" &amp; B552)="Sale","Sale","")</f>
        <v/>
      </c>
      <c r="H552" s="158">
        <f>IF(INDIRECT("'Закуп'!F" &amp; B552)=0,"",INDIRECT("'Закуп'!F" &amp; B552))</f>
        <v/>
      </c>
      <c r="I552" s="120" t="n">
        <v>50</v>
      </c>
      <c r="J552" s="121">
        <f>K552/1.2</f>
        <v/>
      </c>
      <c r="K552" s="242" t="n">
        <v>1.86</v>
      </c>
      <c r="L552" s="122">
        <f>J552-C552-(J552-C552)*0.2</f>
        <v/>
      </c>
      <c r="M552" s="123">
        <f>L552*I552</f>
        <v/>
      </c>
      <c r="N552" s="124" t="inlineStr">
        <is>
          <t xml:space="preserve">50-90 шт - </t>
        </is>
      </c>
      <c r="O552" s="47" t="inlineStr">
        <is>
          <t xml:space="preserve"> руб / шт с НДС</t>
        </is>
      </c>
      <c r="P552" s="125">
        <f>ROUND(K552,2)</f>
        <v/>
      </c>
      <c r="Q552" s="207">
        <f>CONCATENATE(N552,P552,O552,)</f>
        <v/>
      </c>
      <c r="R552" s="235">
        <f>INDIRECT("'Закуп'!k" &amp; A552)</f>
        <v/>
      </c>
      <c r="S552" s="239">
        <f>INDIRECT("'Закуп'!o" &amp; A552)</f>
        <v/>
      </c>
      <c r="T552" s="226">
        <f>INDIRECT("'Закуп'!p" &amp; A552)</f>
        <v/>
      </c>
      <c r="U552" s="235">
        <f>INDIRECT("'Закуп'!v" &amp; A552)</f>
        <v/>
      </c>
      <c r="V552" s="222">
        <f>INDIRECT("'Закуп'!w" &amp; A552)</f>
        <v/>
      </c>
      <c r="W552" s="229">
        <f>INDIRECT("'Закуп'!H" &amp; A552)</f>
        <v/>
      </c>
      <c r="X552" s="237">
        <f>INDIRECT("'Закуп'!g" &amp; A552)</f>
        <v/>
      </c>
      <c r="Y552" s="229">
        <f>INDIRECT("'Закуп'!i" &amp; A552)</f>
        <v/>
      </c>
      <c r="Z552" s="236">
        <f>INDIRECT("'Закуп'!x" &amp; A552)</f>
        <v/>
      </c>
      <c r="AA552" s="237">
        <f>INDIRECT("'Закуп'!y" &amp; A552)</f>
        <v/>
      </c>
      <c r="AB552" s="238">
        <f>INDIRECT("'Закуп'!z" &amp; A552)</f>
        <v/>
      </c>
      <c r="AC552" s="223">
        <f>SUBSTITUTE(INDEX(F:F, ROUNDUP((ROW(A551))/5,0)*5 - 3), "х", "x")</f>
        <v/>
      </c>
      <c r="AD552" s="222">
        <f>SUBSTITUTE(INDEX(F:F, ROUNDUP((ROW(A551))/5,0)*5 - 3), "х", "x") &amp; " - " &amp; SUBSTITUTE(SUBSTITUTE(INDEX(F:F, ROUNDUP((ROW(A551))/5,0)*5 - 3), "х", "*"), "x", "*") &amp; " мм"</f>
        <v/>
      </c>
      <c r="AE552" t="n">
        <v>2.77</v>
      </c>
    </row>
    <row r="553">
      <c r="B553" s="42" t="n">
        <v>112</v>
      </c>
      <c r="C553" s="118">
        <f>INDIRECT("'Закуп'!A" &amp; B553)</f>
        <v/>
      </c>
      <c r="D553" s="119">
        <f>C553*1.2</f>
        <v/>
      </c>
      <c r="G553" s="172">
        <f>IF(INDIRECT("'Закуп'!L" &amp; B553)="Sale","Sale","")</f>
        <v/>
      </c>
      <c r="H553" s="158">
        <f>IF(INDIRECT("'Закуп'!F" &amp; B553)=0,"",INDIRECT("'Закуп'!F" &amp; B553))</f>
        <v/>
      </c>
      <c r="I553" s="120" t="n">
        <v>100</v>
      </c>
      <c r="J553" s="121">
        <f>K553/1.2</f>
        <v/>
      </c>
      <c r="K553" s="242" t="n">
        <v>1.58</v>
      </c>
      <c r="L553" s="122">
        <f>J553-C553-(J553-C553)*0.2</f>
        <v/>
      </c>
      <c r="M553" s="123">
        <f>L553*I553</f>
        <v/>
      </c>
      <c r="N553" s="124" t="inlineStr">
        <is>
          <t xml:space="preserve">100-290 шт - </t>
        </is>
      </c>
      <c r="O553" s="47" t="inlineStr">
        <is>
          <t xml:space="preserve"> руб / шт с НДС</t>
        </is>
      </c>
      <c r="P553" s="125">
        <f>ROUND(K553,2)</f>
        <v/>
      </c>
      <c r="Q553" s="207">
        <f>CONCATENATE(N553,P553,O553,)</f>
        <v/>
      </c>
      <c r="R553" s="240" t="n"/>
      <c r="T553" s="241" t="n"/>
      <c r="U553" s="240" t="n"/>
      <c r="V553" s="241" t="n"/>
      <c r="Z553" s="240" t="n"/>
      <c r="AB553" s="241" t="n"/>
      <c r="AC553" s="240" t="n"/>
      <c r="AD553" s="241" t="n"/>
      <c r="AE553" t="n">
        <v>2.21</v>
      </c>
    </row>
    <row r="554">
      <c r="B554" s="42" t="n">
        <v>112</v>
      </c>
      <c r="C554" s="118">
        <f>INDIRECT("'Закуп'!A" &amp; B554)</f>
        <v/>
      </c>
      <c r="D554" s="119">
        <f>C554*1.2</f>
        <v/>
      </c>
      <c r="G554" s="172">
        <f>IF(INDIRECT("'Закуп'!L" &amp; B554)="Sale","Sale","")</f>
        <v/>
      </c>
      <c r="H554" s="158">
        <f>IF(INDIRECT("'Закуп'!F" &amp; B554)=0,"",INDIRECT("'Закуп'!F" &amp; B554))</f>
        <v/>
      </c>
      <c r="I554" s="120" t="n">
        <v>300</v>
      </c>
      <c r="J554" s="121">
        <f>K554/1.2</f>
        <v/>
      </c>
      <c r="K554" s="242" t="n">
        <v>1.49</v>
      </c>
      <c r="L554" s="122">
        <f>J554-C554-(J554-C554)*0.2</f>
        <v/>
      </c>
      <c r="M554" s="123">
        <f>L554*I554</f>
        <v/>
      </c>
      <c r="N554" s="124" t="inlineStr">
        <is>
          <t xml:space="preserve">300-490 шт - </t>
        </is>
      </c>
      <c r="O554" s="47" t="inlineStr">
        <is>
          <t xml:space="preserve"> руб / шт с НДС</t>
        </is>
      </c>
      <c r="P554" s="125">
        <f>ROUND(K554,2)</f>
        <v/>
      </c>
      <c r="Q554" s="207">
        <f>CONCATENATE(N554,P554,O554,)</f>
        <v/>
      </c>
      <c r="R554" s="240" t="n"/>
      <c r="T554" s="241" t="n"/>
      <c r="U554" s="240" t="n"/>
      <c r="V554" s="241" t="n"/>
      <c r="Z554" s="240" t="n"/>
      <c r="AB554" s="241" t="n"/>
      <c r="AC554" s="240" t="n"/>
      <c r="AD554" s="241" t="n"/>
      <c r="AE554" t="n">
        <v>2.02</v>
      </c>
    </row>
    <row r="555">
      <c r="B555" s="42" t="n">
        <v>112</v>
      </c>
      <c r="C555" s="118">
        <f>INDIRECT("'Закуп'!A" &amp; B555)</f>
        <v/>
      </c>
      <c r="D555" s="119">
        <f>C555*1.2</f>
        <v/>
      </c>
      <c r="G555" s="172">
        <f>IF(INDIRECT("'Закуп'!L" &amp; B555)="Sale","Sale","")</f>
        <v/>
      </c>
      <c r="H555" s="158">
        <f>IF(INDIRECT("'Закуп'!F" &amp; B555)=0,"",INDIRECT("'Закуп'!F" &amp; B555))</f>
        <v/>
      </c>
      <c r="I555" s="120" t="n">
        <v>500</v>
      </c>
      <c r="J555" s="121">
        <f>K555/1.2</f>
        <v/>
      </c>
      <c r="K555" s="242" t="n">
        <v>1.41</v>
      </c>
      <c r="L555" s="122">
        <f>J555-C555-(J555-C555)*0.2</f>
        <v/>
      </c>
      <c r="M555" s="123">
        <f>L555*I555</f>
        <v/>
      </c>
      <c r="N555" s="124" t="inlineStr">
        <is>
          <t xml:space="preserve">500-990 шт - </t>
        </is>
      </c>
      <c r="O555" s="47" t="inlineStr">
        <is>
          <t xml:space="preserve"> руб / шт с НДС</t>
        </is>
      </c>
      <c r="P555" s="125">
        <f>ROUND(K555,2)</f>
        <v/>
      </c>
      <c r="Q555" s="207">
        <f>CONCATENATE(N555,P555,O555,)</f>
        <v/>
      </c>
      <c r="R555" s="240" t="n"/>
      <c r="T555" s="241" t="n"/>
      <c r="U555" s="240" t="n"/>
      <c r="V555" s="241" t="n"/>
      <c r="Z555" s="240" t="n"/>
      <c r="AB555" s="241" t="n"/>
      <c r="AC555" s="240" t="n"/>
      <c r="AD555" s="241" t="n"/>
      <c r="AE555" t="n">
        <v>1.8</v>
      </c>
    </row>
    <row r="556">
      <c r="B556" s="42" t="n">
        <v>112</v>
      </c>
      <c r="C556" s="118">
        <f>INDIRECT("'Закуп'!A" &amp; B556)</f>
        <v/>
      </c>
      <c r="D556" s="119">
        <f>C556*1.2</f>
        <v/>
      </c>
      <c r="G556" s="172">
        <f>IF(INDIRECT("'Закуп'!L" &amp; B556)="Sale","Sale","")</f>
        <v/>
      </c>
      <c r="H556" s="158">
        <f>IF(INDIRECT("'Закуп'!F" &amp; B556)=0,"",INDIRECT("'Закуп'!F" &amp; B556))</f>
        <v/>
      </c>
      <c r="I556" s="120" t="n">
        <v>1000</v>
      </c>
      <c r="J556" s="121">
        <f>K556/1.2</f>
        <v/>
      </c>
      <c r="K556" s="242" t="n">
        <v>1.36</v>
      </c>
      <c r="L556" s="122">
        <f>J556-C556-(J556-C556)*0.2</f>
        <v/>
      </c>
      <c r="M556" s="123">
        <f>L556*I556</f>
        <v/>
      </c>
      <c r="N556" s="124" t="inlineStr">
        <is>
          <t xml:space="preserve">1000 + шт - </t>
        </is>
      </c>
      <c r="O556" s="47" t="inlineStr">
        <is>
          <t xml:space="preserve"> руб / шт с НДС</t>
        </is>
      </c>
      <c r="P556" s="125">
        <f>ROUND(K556,2)</f>
        <v/>
      </c>
      <c r="Q556" s="207">
        <f>CONCATENATE(N556,P556,O556,)</f>
        <v/>
      </c>
      <c r="R556" s="240" t="n"/>
      <c r="T556" s="241" t="n"/>
      <c r="U556" s="240" t="n"/>
      <c r="V556" s="241" t="n"/>
      <c r="Z556" s="240" t="n"/>
      <c r="AB556" s="241" t="n"/>
      <c r="AC556" s="240" t="n"/>
      <c r="AD556" s="241" t="n"/>
      <c r="AE556" t="n">
        <v>1.74</v>
      </c>
    </row>
    <row r="557">
      <c r="A557" s="232" t="n">
        <v>113</v>
      </c>
      <c r="B557" s="42" t="n">
        <v>113</v>
      </c>
      <c r="C557" s="118">
        <f>INDIRECT("'Закуп'!A" &amp; B557)</f>
        <v/>
      </c>
      <c r="D557" s="119">
        <f>C557*1.2</f>
        <v/>
      </c>
      <c r="E557" s="224">
        <f>INDIRECT("'Закуп'!D" &amp; A557)</f>
        <v/>
      </c>
      <c r="F557" s="231">
        <f>INDIRECT("'Закуп'!E" &amp; B557)</f>
        <v/>
      </c>
      <c r="G557" s="172">
        <f>IF(INDIRECT("'Закуп'!L" &amp; B557)="Sale","Sale","")</f>
        <v/>
      </c>
      <c r="H557" s="158">
        <f>IF(INDIRECT("'Закуп'!F" &amp; B557)=0,"",INDIRECT("'Закуп'!F" &amp; B557))</f>
        <v/>
      </c>
      <c r="I557" s="120" t="n">
        <v>50</v>
      </c>
      <c r="J557" s="121">
        <f>K557/1.2</f>
        <v/>
      </c>
      <c r="K557" s="242" t="n">
        <v>6.12</v>
      </c>
      <c r="L557" s="122">
        <f>J557-C557-(J557-C557)*0.2</f>
        <v/>
      </c>
      <c r="M557" s="123">
        <f>L557*I557</f>
        <v/>
      </c>
      <c r="N557" s="124" t="inlineStr">
        <is>
          <t xml:space="preserve">50-90 шт - </t>
        </is>
      </c>
      <c r="O557" s="47" t="inlineStr">
        <is>
          <t xml:space="preserve"> руб / шт с НДС</t>
        </is>
      </c>
      <c r="P557" s="125">
        <f>ROUND(K557,2)</f>
        <v/>
      </c>
      <c r="Q557" s="207">
        <f>CONCATENATE(N557,P557,O557,)</f>
        <v/>
      </c>
      <c r="R557" s="235">
        <f>INDIRECT("'Закуп'!k" &amp; A557)</f>
        <v/>
      </c>
      <c r="S557" s="239">
        <f>INDIRECT("'Закуп'!o" &amp; A557)</f>
        <v/>
      </c>
      <c r="T557" s="226">
        <f>INDIRECT("'Закуп'!p" &amp; A557)</f>
        <v/>
      </c>
      <c r="U557" s="235">
        <f>INDIRECT("'Закуп'!v" &amp; A557)</f>
        <v/>
      </c>
      <c r="V557" s="222">
        <f>INDIRECT("'Закуп'!w" &amp; A557)</f>
        <v/>
      </c>
      <c r="W557" s="229">
        <f>INDIRECT("'Закуп'!H" &amp; A557)</f>
        <v/>
      </c>
      <c r="X557" s="237">
        <f>INDIRECT("'Закуп'!g" &amp; A557)</f>
        <v/>
      </c>
      <c r="Y557" s="229">
        <f>INDIRECT("'Закуп'!i" &amp; A557)</f>
        <v/>
      </c>
      <c r="Z557" s="236">
        <f>INDIRECT("'Закуп'!x" &amp; A557)</f>
        <v/>
      </c>
      <c r="AA557" s="237">
        <f>INDIRECT("'Закуп'!y" &amp; A557)</f>
        <v/>
      </c>
      <c r="AB557" s="238">
        <f>INDIRECT("'Закуп'!z" &amp; A557)</f>
        <v/>
      </c>
      <c r="AC557" s="223">
        <f>SUBSTITUTE(INDEX(F:F, ROUNDUP((ROW(A556))/5,0)*5 - 3), "х", "x")</f>
        <v/>
      </c>
      <c r="AD557" s="222">
        <f>SUBSTITUTE(INDEX(F:F, ROUNDUP((ROW(A556))/5,0)*5 - 3), "х", "x") &amp; " - " &amp; SUBSTITUTE(SUBSTITUTE(INDEX(F:F, ROUNDUP((ROW(A556))/5,0)*5 - 3), "х", "*"), "x", "*") &amp; " мм"</f>
        <v/>
      </c>
      <c r="AE557" t="n">
        <v>9.779999999999999</v>
      </c>
    </row>
    <row r="558">
      <c r="B558" s="42" t="n">
        <v>113</v>
      </c>
      <c r="C558" s="118">
        <f>INDIRECT("'Закуп'!A" &amp; B558)</f>
        <v/>
      </c>
      <c r="D558" s="119">
        <f>C558*1.2</f>
        <v/>
      </c>
      <c r="G558" s="172">
        <f>IF(INDIRECT("'Закуп'!L" &amp; B558)="Sale","Sale","")</f>
        <v/>
      </c>
      <c r="H558" s="158">
        <f>IF(INDIRECT("'Закуп'!F" &amp; B558)=0,"",INDIRECT("'Закуп'!F" &amp; B558))</f>
        <v/>
      </c>
      <c r="I558" s="120" t="n">
        <v>100</v>
      </c>
      <c r="J558" s="121">
        <f>K558/1.2</f>
        <v/>
      </c>
      <c r="K558" s="242" t="n">
        <v>5.2</v>
      </c>
      <c r="L558" s="122">
        <f>J558-C558-(J558-C558)*0.2</f>
        <v/>
      </c>
      <c r="M558" s="123">
        <f>L558*I558</f>
        <v/>
      </c>
      <c r="N558" s="124" t="inlineStr">
        <is>
          <t xml:space="preserve">100-290 шт - </t>
        </is>
      </c>
      <c r="O558" s="47" t="inlineStr">
        <is>
          <t xml:space="preserve"> руб / шт с НДС</t>
        </is>
      </c>
      <c r="P558" s="125">
        <f>ROUND(K558,2)</f>
        <v/>
      </c>
      <c r="Q558" s="207">
        <f>CONCATENATE(N558,P558,O558,)</f>
        <v/>
      </c>
      <c r="R558" s="240" t="n"/>
      <c r="T558" s="241" t="n"/>
      <c r="U558" s="240" t="n"/>
      <c r="V558" s="241" t="n"/>
      <c r="Z558" s="240" t="n"/>
      <c r="AB558" s="241" t="n"/>
      <c r="AC558" s="240" t="n"/>
      <c r="AD558" s="241" t="n"/>
      <c r="AE558" t="n">
        <v>8.34</v>
      </c>
    </row>
    <row r="559">
      <c r="B559" s="42" t="n">
        <v>113</v>
      </c>
      <c r="C559" s="118">
        <f>INDIRECT("'Закуп'!A" &amp; B559)</f>
        <v/>
      </c>
      <c r="D559" s="119">
        <f>C559*1.2</f>
        <v/>
      </c>
      <c r="G559" s="172">
        <f>IF(INDIRECT("'Закуп'!L" &amp; B559)="Sale","Sale","")</f>
        <v/>
      </c>
      <c r="H559" s="158">
        <f>IF(INDIRECT("'Закуп'!F" &amp; B559)=0,"",INDIRECT("'Закуп'!F" &amp; B559))</f>
        <v/>
      </c>
      <c r="I559" s="120" t="n">
        <v>300</v>
      </c>
      <c r="J559" s="121">
        <f>K559/1.2</f>
        <v/>
      </c>
      <c r="K559" s="242" t="n">
        <v>4.9</v>
      </c>
      <c r="L559" s="122">
        <f>J559-C559-(J559-C559)*0.2</f>
        <v/>
      </c>
      <c r="M559" s="123">
        <f>L559*I559</f>
        <v/>
      </c>
      <c r="N559" s="124" t="inlineStr">
        <is>
          <t xml:space="preserve">300-490 шт - </t>
        </is>
      </c>
      <c r="O559" s="47" t="inlineStr">
        <is>
          <t xml:space="preserve"> руб / шт с НДС</t>
        </is>
      </c>
      <c r="P559" s="125">
        <f>ROUND(K559,2)</f>
        <v/>
      </c>
      <c r="Q559" s="207">
        <f>CONCATENATE(N559,P559,O559,)</f>
        <v/>
      </c>
      <c r="R559" s="240" t="n"/>
      <c r="T559" s="241" t="n"/>
      <c r="U559" s="240" t="n"/>
      <c r="V559" s="241" t="n"/>
      <c r="Z559" s="240" t="n"/>
      <c r="AB559" s="241" t="n"/>
      <c r="AC559" s="240" t="n"/>
      <c r="AD559" s="241" t="n"/>
      <c r="AE559" t="n">
        <v>7.64</v>
      </c>
    </row>
    <row r="560">
      <c r="B560" s="42" t="n">
        <v>113</v>
      </c>
      <c r="C560" s="118">
        <f>INDIRECT("'Закуп'!A" &amp; B560)</f>
        <v/>
      </c>
      <c r="D560" s="119">
        <f>C560*1.2</f>
        <v/>
      </c>
      <c r="G560" s="172">
        <f>IF(INDIRECT("'Закуп'!L" &amp; B560)="Sale","Sale","")</f>
        <v/>
      </c>
      <c r="H560" s="158">
        <f>IF(INDIRECT("'Закуп'!F" &amp; B560)=0,"",INDIRECT("'Закуп'!F" &amp; B560))</f>
        <v/>
      </c>
      <c r="I560" s="120" t="n">
        <v>500</v>
      </c>
      <c r="J560" s="121">
        <f>K560/1.2</f>
        <v/>
      </c>
      <c r="K560" s="242" t="n">
        <v>4.64</v>
      </c>
      <c r="L560" s="122">
        <f>J560-C560-(J560-C560)*0.2</f>
        <v/>
      </c>
      <c r="M560" s="123">
        <f>L560*I560</f>
        <v/>
      </c>
      <c r="N560" s="124" t="inlineStr">
        <is>
          <t xml:space="preserve">500-990 шт - </t>
        </is>
      </c>
      <c r="O560" s="47" t="inlineStr">
        <is>
          <t xml:space="preserve"> руб / шт с НДС</t>
        </is>
      </c>
      <c r="P560" s="125">
        <f>ROUND(K560,2)</f>
        <v/>
      </c>
      <c r="Q560" s="207">
        <f>CONCATENATE(N560,P560,O560,)</f>
        <v/>
      </c>
      <c r="R560" s="240" t="n"/>
      <c r="T560" s="241" t="n"/>
      <c r="U560" s="240" t="n"/>
      <c r="V560" s="241" t="n"/>
      <c r="Z560" s="240" t="n"/>
      <c r="AB560" s="241" t="n"/>
      <c r="AC560" s="240" t="n"/>
      <c r="AD560" s="241" t="n"/>
      <c r="AE560" t="n">
        <v>7.52</v>
      </c>
    </row>
    <row r="561">
      <c r="B561" s="42" t="n">
        <v>113</v>
      </c>
      <c r="C561" s="118">
        <f>INDIRECT("'Закуп'!A" &amp; B561)</f>
        <v/>
      </c>
      <c r="D561" s="119">
        <f>C561*1.2</f>
        <v/>
      </c>
      <c r="G561" s="172">
        <f>IF(INDIRECT("'Закуп'!L" &amp; B561)="Sale","Sale","")</f>
        <v/>
      </c>
      <c r="H561" s="158">
        <f>IF(INDIRECT("'Закуп'!F" &amp; B561)=0,"",INDIRECT("'Закуп'!F" &amp; B561))</f>
        <v/>
      </c>
      <c r="I561" s="120" t="n">
        <v>1000</v>
      </c>
      <c r="J561" s="121">
        <f>K561/1.2</f>
        <v/>
      </c>
      <c r="K561" s="242" t="n">
        <v>4.49</v>
      </c>
      <c r="L561" s="122">
        <f>J561-C561-(J561-C561)*0.2</f>
        <v/>
      </c>
      <c r="M561" s="123">
        <f>L561*I561</f>
        <v/>
      </c>
      <c r="N561" s="124" t="inlineStr">
        <is>
          <t xml:space="preserve">1000 + шт - </t>
        </is>
      </c>
      <c r="O561" s="47" t="inlineStr">
        <is>
          <t xml:space="preserve"> руб / шт с НДС</t>
        </is>
      </c>
      <c r="P561" s="125">
        <f>ROUND(K561,2)</f>
        <v/>
      </c>
      <c r="Q561" s="207">
        <f>CONCATENATE(N561,P561,O561,)</f>
        <v/>
      </c>
      <c r="R561" s="240" t="n"/>
      <c r="T561" s="241" t="n"/>
      <c r="U561" s="240" t="n"/>
      <c r="V561" s="241" t="n"/>
      <c r="Z561" s="240" t="n"/>
      <c r="AB561" s="241" t="n"/>
      <c r="AC561" s="240" t="n"/>
      <c r="AD561" s="241" t="n"/>
      <c r="AE561" t="n">
        <v>7.46</v>
      </c>
    </row>
    <row r="562">
      <c r="A562" s="232" t="n">
        <v>114</v>
      </c>
      <c r="B562" s="42" t="n">
        <v>114</v>
      </c>
      <c r="C562" s="118">
        <f>INDIRECT("'Закуп'!A" &amp; B562)</f>
        <v/>
      </c>
      <c r="D562" s="119">
        <f>C562*1.2</f>
        <v/>
      </c>
      <c r="E562" s="224">
        <f>INDIRECT("'Закуп'!D" &amp; A562)</f>
        <v/>
      </c>
      <c r="F562" s="231">
        <f>INDIRECT("'Закуп'!E" &amp; B562)</f>
        <v/>
      </c>
      <c r="G562" s="172">
        <f>IF(INDIRECT("'Закуп'!L" &amp; B562)="Sale","Sale","")</f>
        <v/>
      </c>
      <c r="H562" s="158">
        <f>IF(INDIRECT("'Закуп'!F" &amp; B562)=0,"",INDIRECT("'Закуп'!F" &amp; B562))</f>
        <v/>
      </c>
      <c r="I562" s="120" t="n">
        <v>50</v>
      </c>
      <c r="J562" s="121">
        <f>K562/1.2</f>
        <v/>
      </c>
      <c r="K562" s="242" t="n">
        <v>10.18</v>
      </c>
      <c r="L562" s="122">
        <f>J562-C562-(J562-C562)*0.2</f>
        <v/>
      </c>
      <c r="M562" s="123">
        <f>L562*I562</f>
        <v/>
      </c>
      <c r="N562" s="124" t="inlineStr">
        <is>
          <t xml:space="preserve">50-90 шт - </t>
        </is>
      </c>
      <c r="O562" s="47" t="inlineStr">
        <is>
          <t xml:space="preserve"> руб / шт с НДС</t>
        </is>
      </c>
      <c r="P562" s="125">
        <f>ROUND(K562,2)</f>
        <v/>
      </c>
      <c r="Q562" s="207">
        <f>CONCATENATE(N562,P562,O562,)</f>
        <v/>
      </c>
      <c r="R562" s="235">
        <f>INDIRECT("'Закуп'!k" &amp; A562)</f>
        <v/>
      </c>
      <c r="S562" s="239">
        <f>INDIRECT("'Закуп'!o" &amp; A562)</f>
        <v/>
      </c>
      <c r="T562" s="226">
        <f>INDIRECT("'Закуп'!p" &amp; A562)</f>
        <v/>
      </c>
      <c r="U562" s="235">
        <f>INDIRECT("'Закуп'!v" &amp; A562)</f>
        <v/>
      </c>
      <c r="V562" s="222">
        <f>INDIRECT("'Закуп'!w" &amp; A562)</f>
        <v/>
      </c>
      <c r="W562" s="229">
        <f>INDIRECT("'Закуп'!H" &amp; A562)</f>
        <v/>
      </c>
      <c r="X562" s="237">
        <f>INDIRECT("'Закуп'!g" &amp; A562)</f>
        <v/>
      </c>
      <c r="Y562" s="229">
        <f>INDIRECT("'Закуп'!i" &amp; A562)</f>
        <v/>
      </c>
      <c r="Z562" s="236">
        <f>INDIRECT("'Закуп'!x" &amp; A562)</f>
        <v/>
      </c>
      <c r="AA562" s="237">
        <f>INDIRECT("'Закуп'!y" &amp; A562)</f>
        <v/>
      </c>
      <c r="AB562" s="238">
        <f>INDIRECT("'Закуп'!z" &amp; A562)</f>
        <v/>
      </c>
      <c r="AC562" s="223">
        <f>SUBSTITUTE(INDEX(F:F, ROUNDUP((ROW(A561))/5,0)*5 - 3), "х", "x")</f>
        <v/>
      </c>
      <c r="AD562" s="222">
        <f>SUBSTITUTE(INDEX(F:F, ROUNDUP((ROW(A561))/5,0)*5 - 3), "х", "x") &amp; " - " &amp; SUBSTITUTE(SUBSTITUTE(INDEX(F:F, ROUNDUP((ROW(A561))/5,0)*5 - 3), "х", "*"), "x", "*") &amp; " мм"</f>
        <v/>
      </c>
      <c r="AE562" t="n">
        <v>16.37</v>
      </c>
    </row>
    <row r="563">
      <c r="B563" s="42" t="n">
        <v>114</v>
      </c>
      <c r="C563" s="118">
        <f>INDIRECT("'Закуп'!A" &amp; B563)</f>
        <v/>
      </c>
      <c r="D563" s="119">
        <f>C563*1.2</f>
        <v/>
      </c>
      <c r="G563" s="172">
        <f>IF(INDIRECT("'Закуп'!L" &amp; B563)="Sale","Sale","")</f>
        <v/>
      </c>
      <c r="H563" s="158">
        <f>IF(INDIRECT("'Закуп'!F" &amp; B563)=0,"",INDIRECT("'Закуп'!F" &amp; B563))</f>
        <v/>
      </c>
      <c r="I563" s="120" t="n">
        <v>100</v>
      </c>
      <c r="J563" s="121">
        <f>K563/1.2</f>
        <v/>
      </c>
      <c r="K563" s="242" t="n">
        <v>8.66</v>
      </c>
      <c r="L563" s="122">
        <f>J563-C563-(J563-C563)*0.2</f>
        <v/>
      </c>
      <c r="M563" s="123">
        <f>L563*I563</f>
        <v/>
      </c>
      <c r="N563" s="124" t="inlineStr">
        <is>
          <t xml:space="preserve">100-290 шт - </t>
        </is>
      </c>
      <c r="O563" s="47" t="inlineStr">
        <is>
          <t xml:space="preserve"> руб / шт с НДС</t>
        </is>
      </c>
      <c r="P563" s="125">
        <f>ROUND(K563,2)</f>
        <v/>
      </c>
      <c r="Q563" s="207">
        <f>CONCATENATE(N563,P563,O563,)</f>
        <v/>
      </c>
      <c r="R563" s="240" t="n"/>
      <c r="T563" s="241" t="n"/>
      <c r="U563" s="240" t="n"/>
      <c r="V563" s="241" t="n"/>
      <c r="Z563" s="240" t="n"/>
      <c r="AB563" s="241" t="n"/>
      <c r="AC563" s="240" t="n"/>
      <c r="AD563" s="241" t="n"/>
      <c r="AE563" t="n">
        <v>15.28</v>
      </c>
    </row>
    <row r="564">
      <c r="B564" s="42" t="n">
        <v>114</v>
      </c>
      <c r="C564" s="118">
        <f>INDIRECT("'Закуп'!A" &amp; B564)</f>
        <v/>
      </c>
      <c r="D564" s="119">
        <f>C564*1.2</f>
        <v/>
      </c>
      <c r="G564" s="172">
        <f>IF(INDIRECT("'Закуп'!L" &amp; B564)="Sale","Sale","")</f>
        <v/>
      </c>
      <c r="H564" s="158">
        <f>IF(INDIRECT("'Закуп'!F" &amp; B564)=0,"",INDIRECT("'Закуп'!F" &amp; B564))</f>
        <v/>
      </c>
      <c r="I564" s="120" t="n">
        <v>300</v>
      </c>
      <c r="J564" s="121">
        <f>K564/1.2</f>
        <v/>
      </c>
      <c r="K564" s="242" t="n">
        <v>8.15</v>
      </c>
      <c r="L564" s="122">
        <f>J564-C564-(J564-C564)*0.2</f>
        <v/>
      </c>
      <c r="M564" s="123">
        <f>L564*I564</f>
        <v/>
      </c>
      <c r="N564" s="124" t="inlineStr">
        <is>
          <t xml:space="preserve">300-490 шт - </t>
        </is>
      </c>
      <c r="O564" s="47" t="inlineStr">
        <is>
          <t xml:space="preserve"> руб / шт с НДС</t>
        </is>
      </c>
      <c r="P564" s="125">
        <f>ROUND(K564,2)</f>
        <v/>
      </c>
      <c r="Q564" s="207">
        <f>CONCATENATE(N564,P564,O564,)</f>
        <v/>
      </c>
      <c r="R564" s="240" t="n"/>
      <c r="T564" s="241" t="n"/>
      <c r="U564" s="240" t="n"/>
      <c r="V564" s="241" t="n"/>
      <c r="Z564" s="240" t="n"/>
      <c r="AB564" s="241" t="n"/>
      <c r="AC564" s="240" t="n"/>
      <c r="AD564" s="241" t="n"/>
      <c r="AE564" t="n">
        <v>14.72</v>
      </c>
    </row>
    <row r="565">
      <c r="B565" s="42" t="n">
        <v>114</v>
      </c>
      <c r="C565" s="118">
        <f>INDIRECT("'Закуп'!A" &amp; B565)</f>
        <v/>
      </c>
      <c r="D565" s="119">
        <f>C565*1.2</f>
        <v/>
      </c>
      <c r="G565" s="172">
        <f>IF(INDIRECT("'Закуп'!L" &amp; B565)="Sale","Sale","")</f>
        <v/>
      </c>
      <c r="H565" s="158">
        <f>IF(INDIRECT("'Закуп'!F" &amp; B565)=0,"",INDIRECT("'Закуп'!F" &amp; B565))</f>
        <v/>
      </c>
      <c r="I565" s="120" t="n">
        <v>500</v>
      </c>
      <c r="J565" s="121">
        <f>K565/1.2</f>
        <v/>
      </c>
      <c r="K565" s="242" t="n">
        <v>7.72</v>
      </c>
      <c r="L565" s="122">
        <f>J565-C565-(J565-C565)*0.2</f>
        <v/>
      </c>
      <c r="M565" s="123">
        <f>L565*I565</f>
        <v/>
      </c>
      <c r="N565" s="124" t="inlineStr">
        <is>
          <t xml:space="preserve">500-990 шт - </t>
        </is>
      </c>
      <c r="O565" s="47" t="inlineStr">
        <is>
          <t xml:space="preserve"> руб / шт с НДС</t>
        </is>
      </c>
      <c r="P565" s="125">
        <f>ROUND(K565,2)</f>
        <v/>
      </c>
      <c r="Q565" s="207">
        <f>CONCATENATE(N565,P565,O565,)</f>
        <v/>
      </c>
      <c r="R565" s="240" t="n"/>
      <c r="T565" s="241" t="n"/>
      <c r="U565" s="240" t="n"/>
      <c r="V565" s="241" t="n"/>
      <c r="Z565" s="240" t="n"/>
      <c r="AB565" s="241" t="n"/>
      <c r="AC565" s="240" t="n"/>
      <c r="AD565" s="241" t="n"/>
      <c r="AE565" t="n">
        <v>14.19</v>
      </c>
    </row>
    <row r="566">
      <c r="B566" s="42" t="n">
        <v>114</v>
      </c>
      <c r="C566" s="118">
        <f>INDIRECT("'Закуп'!A" &amp; B566)</f>
        <v/>
      </c>
      <c r="D566" s="119">
        <f>C566*1.2</f>
        <v/>
      </c>
      <c r="G566" s="172">
        <f>IF(INDIRECT("'Закуп'!L" &amp; B566)="Sale","Sale","")</f>
        <v/>
      </c>
      <c r="H566" s="158">
        <f>IF(INDIRECT("'Закуп'!F" &amp; B566)=0,"",INDIRECT("'Закуп'!F" &amp; B566))</f>
        <v/>
      </c>
      <c r="I566" s="120" t="n">
        <v>1000</v>
      </c>
      <c r="J566" s="121">
        <f>K566/1.2</f>
        <v/>
      </c>
      <c r="K566" s="242" t="n">
        <v>7.47</v>
      </c>
      <c r="L566" s="122">
        <f>J566-C566-(J566-C566)*0.2</f>
        <v/>
      </c>
      <c r="M566" s="123">
        <f>L566*I566</f>
        <v/>
      </c>
      <c r="N566" s="124" t="inlineStr">
        <is>
          <t xml:space="preserve">1000 + шт - </t>
        </is>
      </c>
      <c r="O566" s="47" t="inlineStr">
        <is>
          <t xml:space="preserve"> руб / шт с НДС</t>
        </is>
      </c>
      <c r="P566" s="125">
        <f>ROUND(K566,2)</f>
        <v/>
      </c>
      <c r="Q566" s="207">
        <f>CONCATENATE(N566,P566,O566,)</f>
        <v/>
      </c>
      <c r="R566" s="240" t="n"/>
      <c r="T566" s="241" t="n"/>
      <c r="U566" s="240" t="n"/>
      <c r="V566" s="241" t="n"/>
      <c r="Z566" s="240" t="n"/>
      <c r="AB566" s="241" t="n"/>
      <c r="AC566" s="240" t="n"/>
      <c r="AD566" s="241" t="n"/>
      <c r="AE566" t="n">
        <v>13.64</v>
      </c>
    </row>
    <row r="567">
      <c r="A567" s="232" t="n">
        <v>115</v>
      </c>
      <c r="B567" s="42" t="n">
        <v>115</v>
      </c>
      <c r="C567" s="118">
        <f>INDIRECT("'Закуп'!A" &amp; B567)</f>
        <v/>
      </c>
      <c r="D567" s="119">
        <f>C567*1.2</f>
        <v/>
      </c>
      <c r="E567" s="224">
        <f>INDIRECT("'Закуп'!D" &amp; A567)</f>
        <v/>
      </c>
      <c r="F567" s="231">
        <f>INDIRECT("'Закуп'!E" &amp; B567)</f>
        <v/>
      </c>
      <c r="G567" s="172">
        <f>IF(INDIRECT("'Закуп'!L" &amp; B567)="Sale","Sale","")</f>
        <v/>
      </c>
      <c r="H567" s="158">
        <f>IF(INDIRECT("'Закуп'!F" &amp; B567)=0,"",INDIRECT("'Закуп'!F" &amp; B567))</f>
        <v/>
      </c>
      <c r="I567" s="120" t="n">
        <v>50</v>
      </c>
      <c r="J567" s="121">
        <f>K567/1.2</f>
        <v/>
      </c>
      <c r="K567" s="242" t="n">
        <v>2.19</v>
      </c>
      <c r="L567" s="122">
        <f>J567-C567-(J567-C567)*0.2</f>
        <v/>
      </c>
      <c r="M567" s="123">
        <f>L567*I567</f>
        <v/>
      </c>
      <c r="N567" s="124" t="inlineStr">
        <is>
          <t xml:space="preserve">50-90 шт - </t>
        </is>
      </c>
      <c r="O567" s="47" t="inlineStr">
        <is>
          <t xml:space="preserve"> руб / шт с НДС</t>
        </is>
      </c>
      <c r="P567" s="125">
        <f>ROUND(K567,2)</f>
        <v/>
      </c>
      <c r="Q567" s="207">
        <f>CONCATENATE(N567,P567,O567,)</f>
        <v/>
      </c>
      <c r="R567" s="235">
        <f>INDIRECT("'Закуп'!k" &amp; A567)</f>
        <v/>
      </c>
      <c r="S567" s="239">
        <f>INDIRECT("'Закуп'!o" &amp; A567)</f>
        <v/>
      </c>
      <c r="T567" s="226">
        <f>INDIRECT("'Закуп'!p" &amp; A567)</f>
        <v/>
      </c>
      <c r="U567" s="235">
        <f>INDIRECT("'Закуп'!v" &amp; A567)</f>
        <v/>
      </c>
      <c r="V567" s="222">
        <f>INDIRECT("'Закуп'!w" &amp; A567)</f>
        <v/>
      </c>
      <c r="W567" s="229">
        <f>INDIRECT("'Закуп'!H" &amp; A567)</f>
        <v/>
      </c>
      <c r="X567" s="237">
        <f>INDIRECT("'Закуп'!g" &amp; A567)</f>
        <v/>
      </c>
      <c r="Y567" s="229">
        <f>INDIRECT("'Закуп'!i" &amp; A567)</f>
        <v/>
      </c>
      <c r="Z567" s="236">
        <f>INDIRECT("'Закуп'!x" &amp; A567)</f>
        <v/>
      </c>
      <c r="AA567" s="237">
        <f>INDIRECT("'Закуп'!y" &amp; A567)</f>
        <v/>
      </c>
      <c r="AB567" s="238">
        <f>INDIRECT("'Закуп'!z" &amp; A567)</f>
        <v/>
      </c>
      <c r="AC567" s="223">
        <f>SUBSTITUTE(INDEX(F:F, ROUNDUP((ROW(A566))/5,0)*5 - 3), "х", "x")</f>
        <v/>
      </c>
      <c r="AD567" s="222">
        <f>SUBSTITUTE(INDEX(F:F, ROUNDUP((ROW(A566))/5,0)*5 - 3), "х", "x") &amp; " - " &amp; SUBSTITUTE(SUBSTITUTE(INDEX(F:F, ROUNDUP((ROW(A566))/5,0)*5 - 3), "х", "*"), "x", "*") &amp; " мм"</f>
        <v/>
      </c>
      <c r="AE567" t="n">
        <v>3.34</v>
      </c>
    </row>
    <row r="568">
      <c r="B568" s="42" t="n">
        <v>115</v>
      </c>
      <c r="C568" s="118">
        <f>INDIRECT("'Закуп'!A" &amp; B568)</f>
        <v/>
      </c>
      <c r="D568" s="119">
        <f>C568*1.2</f>
        <v/>
      </c>
      <c r="G568" s="172">
        <f>IF(INDIRECT("'Закуп'!L" &amp; B568)="Sale","Sale","")</f>
        <v/>
      </c>
      <c r="H568" s="158">
        <f>IF(INDIRECT("'Закуп'!F" &amp; B568)=0,"",INDIRECT("'Закуп'!F" &amp; B568))</f>
        <v/>
      </c>
      <c r="I568" s="120" t="n">
        <v>100</v>
      </c>
      <c r="J568" s="121">
        <f>K568/1.2</f>
        <v/>
      </c>
      <c r="K568" s="242" t="n">
        <v>1.86</v>
      </c>
      <c r="L568" s="122">
        <f>J568-C568-(J568-C568)*0.2</f>
        <v/>
      </c>
      <c r="M568" s="123">
        <f>L568*I568</f>
        <v/>
      </c>
      <c r="N568" s="124" t="inlineStr">
        <is>
          <t xml:space="preserve">100-290 шт - </t>
        </is>
      </c>
      <c r="O568" s="47" t="inlineStr">
        <is>
          <t xml:space="preserve"> руб / шт с НДС</t>
        </is>
      </c>
      <c r="P568" s="125">
        <f>ROUND(K568,2)</f>
        <v/>
      </c>
      <c r="Q568" s="207">
        <f>CONCATENATE(N568,P568,O568,)</f>
        <v/>
      </c>
      <c r="R568" s="240" t="n"/>
      <c r="T568" s="241" t="n"/>
      <c r="U568" s="240" t="n"/>
      <c r="V568" s="241" t="n"/>
      <c r="Z568" s="240" t="n"/>
      <c r="AB568" s="241" t="n"/>
      <c r="AC568" s="240" t="n"/>
      <c r="AD568" s="241" t="n"/>
      <c r="AE568" t="n">
        <v>2.68</v>
      </c>
    </row>
    <row r="569">
      <c r="B569" s="42" t="n">
        <v>115</v>
      </c>
      <c r="C569" s="118">
        <f>INDIRECT("'Закуп'!A" &amp; B569)</f>
        <v/>
      </c>
      <c r="D569" s="119">
        <f>C569*1.2</f>
        <v/>
      </c>
      <c r="G569" s="172">
        <f>IF(INDIRECT("'Закуп'!L" &amp; B569)="Sale","Sale","")</f>
        <v/>
      </c>
      <c r="H569" s="158">
        <f>IF(INDIRECT("'Закуп'!F" &amp; B569)=0,"",INDIRECT("'Закуп'!F" &amp; B569))</f>
        <v/>
      </c>
      <c r="I569" s="120" t="n">
        <v>300</v>
      </c>
      <c r="J569" s="121">
        <f>K569/1.2</f>
        <v/>
      </c>
      <c r="K569" s="242" t="n">
        <v>1.76</v>
      </c>
      <c r="L569" s="122">
        <f>J569-C569-(J569-C569)*0.2</f>
        <v/>
      </c>
      <c r="M569" s="123">
        <f>L569*I569</f>
        <v/>
      </c>
      <c r="N569" s="124" t="inlineStr">
        <is>
          <t xml:space="preserve">300-490 шт - </t>
        </is>
      </c>
      <c r="O569" s="47" t="inlineStr">
        <is>
          <t xml:space="preserve"> руб / шт с НДС</t>
        </is>
      </c>
      <c r="P569" s="125">
        <f>ROUND(K569,2)</f>
        <v/>
      </c>
      <c r="Q569" s="207">
        <f>CONCATENATE(N569,P569,O569,)</f>
        <v/>
      </c>
      <c r="R569" s="240" t="n"/>
      <c r="T569" s="241" t="n"/>
      <c r="U569" s="240" t="n"/>
      <c r="V569" s="241" t="n"/>
      <c r="Z569" s="240" t="n"/>
      <c r="AB569" s="241" t="n"/>
      <c r="AC569" s="240" t="n"/>
      <c r="AD569" s="241" t="n"/>
      <c r="AE569" t="n">
        <v>2.41</v>
      </c>
    </row>
    <row r="570">
      <c r="B570" s="42" t="n">
        <v>115</v>
      </c>
      <c r="C570" s="118">
        <f>INDIRECT("'Закуп'!A" &amp; B570)</f>
        <v/>
      </c>
      <c r="D570" s="119">
        <f>C570*1.2</f>
        <v/>
      </c>
      <c r="G570" s="172">
        <f>IF(INDIRECT("'Закуп'!L" &amp; B570)="Sale","Sale","")</f>
        <v/>
      </c>
      <c r="H570" s="158">
        <f>IF(INDIRECT("'Закуп'!F" &amp; B570)=0,"",INDIRECT("'Закуп'!F" &amp; B570))</f>
        <v/>
      </c>
      <c r="I570" s="120" t="n">
        <v>500</v>
      </c>
      <c r="J570" s="121">
        <f>K570/1.2</f>
        <v/>
      </c>
      <c r="K570" s="242" t="n">
        <v>1.66</v>
      </c>
      <c r="L570" s="122">
        <f>J570-C570-(J570-C570)*0.2</f>
        <v/>
      </c>
      <c r="M570" s="123">
        <f>L570*I570</f>
        <v/>
      </c>
      <c r="N570" s="124" t="inlineStr">
        <is>
          <t xml:space="preserve">500-990 шт - </t>
        </is>
      </c>
      <c r="O570" s="47" t="inlineStr">
        <is>
          <t xml:space="preserve"> руб / шт с НДС</t>
        </is>
      </c>
      <c r="P570" s="125">
        <f>ROUND(K570,2)</f>
        <v/>
      </c>
      <c r="Q570" s="207">
        <f>CONCATENATE(N570,P570,O570,)</f>
        <v/>
      </c>
      <c r="R570" s="240" t="n"/>
      <c r="T570" s="241" t="n"/>
      <c r="U570" s="240" t="n"/>
      <c r="V570" s="241" t="n"/>
      <c r="Z570" s="240" t="n"/>
      <c r="AB570" s="241" t="n"/>
      <c r="AC570" s="240" t="n"/>
      <c r="AD570" s="241" t="n"/>
      <c r="AE570" t="n">
        <v>2.17</v>
      </c>
    </row>
    <row r="571">
      <c r="B571" s="42" t="n">
        <v>115</v>
      </c>
      <c r="C571" s="118">
        <f>INDIRECT("'Закуп'!A" &amp; B571)</f>
        <v/>
      </c>
      <c r="D571" s="119">
        <f>C571*1.2</f>
        <v/>
      </c>
      <c r="G571" s="172">
        <f>IF(INDIRECT("'Закуп'!L" &amp; B571)="Sale","Sale","")</f>
        <v/>
      </c>
      <c r="H571" s="158">
        <f>IF(INDIRECT("'Закуп'!F" &amp; B571)=0,"",INDIRECT("'Закуп'!F" &amp; B571))</f>
        <v/>
      </c>
      <c r="I571" s="120" t="n">
        <v>1000</v>
      </c>
      <c r="J571" s="121">
        <f>K571/1.2</f>
        <v/>
      </c>
      <c r="K571" s="242" t="n">
        <v>1.61</v>
      </c>
      <c r="L571" s="122">
        <f>J571-C571-(J571-C571)*0.2</f>
        <v/>
      </c>
      <c r="M571" s="123">
        <f>L571*I571</f>
        <v/>
      </c>
      <c r="N571" s="124" t="inlineStr">
        <is>
          <t xml:space="preserve">1000 + шт - </t>
        </is>
      </c>
      <c r="O571" s="47" t="inlineStr">
        <is>
          <t xml:space="preserve"> руб / шт с НДС</t>
        </is>
      </c>
      <c r="P571" s="125">
        <f>ROUND(K571,2)</f>
        <v/>
      </c>
      <c r="Q571" s="207">
        <f>CONCATENATE(N571,P571,O571,)</f>
        <v/>
      </c>
      <c r="R571" s="240" t="n"/>
      <c r="T571" s="241" t="n"/>
      <c r="U571" s="240" t="n"/>
      <c r="V571" s="241" t="n"/>
      <c r="Z571" s="240" t="n"/>
      <c r="AB571" s="241" t="n"/>
      <c r="AC571" s="240" t="n"/>
      <c r="AD571" s="241" t="n"/>
      <c r="AE571" t="n">
        <v>2.07</v>
      </c>
    </row>
    <row r="572">
      <c r="A572" s="232" t="n">
        <v>116</v>
      </c>
      <c r="B572" s="42" t="n">
        <v>116</v>
      </c>
      <c r="C572" s="118">
        <f>INDIRECT("'Закуп'!A" &amp; B572)</f>
        <v/>
      </c>
      <c r="D572" s="119">
        <f>C572*1.2</f>
        <v/>
      </c>
      <c r="E572" s="224">
        <f>INDIRECT("'Закуп'!D" &amp; A572)</f>
        <v/>
      </c>
      <c r="F572" s="231">
        <f>INDIRECT("'Закуп'!E" &amp; B572)</f>
        <v/>
      </c>
      <c r="G572" s="172">
        <f>IF(INDIRECT("'Закуп'!L" &amp; B572)="Sale","Sale","")</f>
        <v/>
      </c>
      <c r="H572" s="158">
        <f>IF(INDIRECT("'Закуп'!F" &amp; B572)=0,"",INDIRECT("'Закуп'!F" &amp; B572))</f>
        <v/>
      </c>
      <c r="I572" s="120" t="n">
        <v>50</v>
      </c>
      <c r="J572" s="121">
        <f>K572/1.2</f>
        <v/>
      </c>
      <c r="K572" s="242" t="n">
        <v>8.4</v>
      </c>
      <c r="L572" s="122">
        <f>J572-C572-(J572-C572)*0.2</f>
        <v/>
      </c>
      <c r="M572" s="123">
        <f>L572*I572</f>
        <v/>
      </c>
      <c r="N572" s="124" t="inlineStr">
        <is>
          <t xml:space="preserve">50-90 шт - </t>
        </is>
      </c>
      <c r="O572" s="47" t="inlineStr">
        <is>
          <t xml:space="preserve"> руб / шт с НДС</t>
        </is>
      </c>
      <c r="P572" s="125">
        <f>ROUND(K572,2)</f>
        <v/>
      </c>
      <c r="Q572" s="207">
        <f>CONCATENATE(N572,P572,O572,)</f>
        <v/>
      </c>
      <c r="R572" s="235">
        <f>INDIRECT("'Закуп'!k" &amp; A572)</f>
        <v/>
      </c>
      <c r="S572" s="239">
        <f>INDIRECT("'Закуп'!o" &amp; A572)</f>
        <v/>
      </c>
      <c r="T572" s="226">
        <f>INDIRECT("'Закуп'!p" &amp; A572)</f>
        <v/>
      </c>
      <c r="U572" s="235">
        <f>INDIRECT("'Закуп'!v" &amp; A572)</f>
        <v/>
      </c>
      <c r="V572" s="222">
        <f>INDIRECT("'Закуп'!w" &amp; A572)</f>
        <v/>
      </c>
      <c r="W572" s="229">
        <f>INDIRECT("'Закуп'!H" &amp; A572)</f>
        <v/>
      </c>
      <c r="X572" s="237">
        <f>INDIRECT("'Закуп'!g" &amp; A572)</f>
        <v/>
      </c>
      <c r="Y572" s="229">
        <f>INDIRECT("'Закуп'!i" &amp; A572)</f>
        <v/>
      </c>
      <c r="Z572" s="236">
        <f>INDIRECT("'Закуп'!x" &amp; A572)</f>
        <v/>
      </c>
      <c r="AA572" s="237">
        <f>INDIRECT("'Закуп'!y" &amp; A572)</f>
        <v/>
      </c>
      <c r="AB572" s="238">
        <f>INDIRECT("'Закуп'!z" &amp; A572)</f>
        <v/>
      </c>
      <c r="AC572" s="223">
        <f>SUBSTITUTE(INDEX(F:F, ROUNDUP((ROW(A571))/5,0)*5 - 3), "х", "x")</f>
        <v/>
      </c>
      <c r="AD572" s="222">
        <f>SUBSTITUTE(INDEX(F:F, ROUNDUP((ROW(A571))/5,0)*5 - 3), "х", "x") &amp; " - " &amp; SUBSTITUTE(SUBSTITUTE(INDEX(F:F, ROUNDUP((ROW(A571))/5,0)*5 - 3), "х", "*"), "x", "*") &amp; " мм"</f>
        <v/>
      </c>
      <c r="AE572" t="n">
        <v>11.57</v>
      </c>
    </row>
    <row r="573">
      <c r="B573" s="42" t="n">
        <v>116</v>
      </c>
      <c r="C573" s="118">
        <f>INDIRECT("'Закуп'!A" &amp; B573)</f>
        <v/>
      </c>
      <c r="D573" s="119">
        <f>C573*1.2</f>
        <v/>
      </c>
      <c r="G573" s="172">
        <f>IF(INDIRECT("'Закуп'!L" &amp; B573)="Sale","Sale","")</f>
        <v/>
      </c>
      <c r="H573" s="158">
        <f>IF(INDIRECT("'Закуп'!F" &amp; B573)=0,"",INDIRECT("'Закуп'!F" &amp; B573))</f>
        <v/>
      </c>
      <c r="I573" s="120" t="n">
        <v>100</v>
      </c>
      <c r="J573" s="121">
        <f>K573/1.2</f>
        <v/>
      </c>
      <c r="K573" s="242" t="n">
        <v>7.14</v>
      </c>
      <c r="L573" s="122">
        <f>J573-C573-(J573-C573)*0.2</f>
        <v/>
      </c>
      <c r="M573" s="123">
        <f>L573*I573</f>
        <v/>
      </c>
      <c r="N573" s="124" t="inlineStr">
        <is>
          <t xml:space="preserve">100-290 шт - </t>
        </is>
      </c>
      <c r="O573" s="47" t="inlineStr">
        <is>
          <t xml:space="preserve"> руб / шт с НДС</t>
        </is>
      </c>
      <c r="P573" s="125">
        <f>ROUND(K573,2)</f>
        <v/>
      </c>
      <c r="Q573" s="207">
        <f>CONCATENATE(N573,P573,O573,)</f>
        <v/>
      </c>
      <c r="R573" s="240" t="n"/>
      <c r="T573" s="241" t="n"/>
      <c r="U573" s="240" t="n"/>
      <c r="V573" s="241" t="n"/>
      <c r="Z573" s="240" t="n"/>
      <c r="AB573" s="241" t="n"/>
      <c r="AC573" s="240" t="n"/>
      <c r="AD573" s="241" t="n"/>
      <c r="AE573" t="n">
        <v>11.17</v>
      </c>
    </row>
    <row r="574">
      <c r="B574" s="42" t="n">
        <v>116</v>
      </c>
      <c r="C574" s="118">
        <f>INDIRECT("'Закуп'!A" &amp; B574)</f>
        <v/>
      </c>
      <c r="D574" s="119">
        <f>C574*1.2</f>
        <v/>
      </c>
      <c r="G574" s="172">
        <f>IF(INDIRECT("'Закуп'!L" &amp; B574)="Sale","Sale","")</f>
        <v/>
      </c>
      <c r="H574" s="158">
        <f>IF(INDIRECT("'Закуп'!F" &amp; B574)=0,"",INDIRECT("'Закуп'!F" &amp; B574))</f>
        <v/>
      </c>
      <c r="I574" s="120" t="n">
        <v>300</v>
      </c>
      <c r="J574" s="121">
        <f>K574/1.2</f>
        <v/>
      </c>
      <c r="K574" s="242" t="n">
        <v>6.72</v>
      </c>
      <c r="L574" s="122">
        <f>J574-C574-(J574-C574)*0.2</f>
        <v/>
      </c>
      <c r="M574" s="123">
        <f>L574*I574</f>
        <v/>
      </c>
      <c r="N574" s="124" t="inlineStr">
        <is>
          <t xml:space="preserve">300-490 шт - </t>
        </is>
      </c>
      <c r="O574" s="47" t="inlineStr">
        <is>
          <t xml:space="preserve"> руб / шт с НДС</t>
        </is>
      </c>
      <c r="P574" s="125">
        <f>ROUND(K574,2)</f>
        <v/>
      </c>
      <c r="Q574" s="207">
        <f>CONCATENATE(N574,P574,O574,)</f>
        <v/>
      </c>
      <c r="R574" s="240" t="n"/>
      <c r="T574" s="241" t="n"/>
      <c r="U574" s="240" t="n"/>
      <c r="V574" s="241" t="n"/>
      <c r="Z574" s="240" t="n"/>
      <c r="AB574" s="241" t="n"/>
      <c r="AC574" s="240" t="n"/>
      <c r="AD574" s="241" t="n"/>
      <c r="AE574" t="n">
        <v>10.77</v>
      </c>
    </row>
    <row r="575">
      <c r="B575" s="42" t="n">
        <v>116</v>
      </c>
      <c r="C575" s="118">
        <f>INDIRECT("'Закуп'!A" &amp; B575)</f>
        <v/>
      </c>
      <c r="D575" s="119">
        <f>C575*1.2</f>
        <v/>
      </c>
      <c r="G575" s="172">
        <f>IF(INDIRECT("'Закуп'!L" &amp; B575)="Sale","Sale","")</f>
        <v/>
      </c>
      <c r="H575" s="158">
        <f>IF(INDIRECT("'Закуп'!F" &amp; B575)=0,"",INDIRECT("'Закуп'!F" &amp; B575))</f>
        <v/>
      </c>
      <c r="I575" s="120" t="n">
        <v>500</v>
      </c>
      <c r="J575" s="121">
        <f>K575/1.2</f>
        <v/>
      </c>
      <c r="K575" s="242" t="n">
        <v>6.37</v>
      </c>
      <c r="L575" s="122">
        <f>J575-C575-(J575-C575)*0.2</f>
        <v/>
      </c>
      <c r="M575" s="123">
        <f>L575*I575</f>
        <v/>
      </c>
      <c r="N575" s="124" t="inlineStr">
        <is>
          <t xml:space="preserve">500-990 шт - </t>
        </is>
      </c>
      <c r="O575" s="47" t="inlineStr">
        <is>
          <t xml:space="preserve"> руб / шт с НДС</t>
        </is>
      </c>
      <c r="P575" s="125">
        <f>ROUND(K575,2)</f>
        <v/>
      </c>
      <c r="Q575" s="207">
        <f>CONCATENATE(N575,P575,O575,)</f>
        <v/>
      </c>
      <c r="R575" s="240" t="n"/>
      <c r="T575" s="241" t="n"/>
      <c r="U575" s="240" t="n"/>
      <c r="V575" s="241" t="n"/>
      <c r="Z575" s="240" t="n"/>
      <c r="AB575" s="241" t="n"/>
      <c r="AC575" s="240" t="n"/>
      <c r="AD575" s="241" t="n"/>
      <c r="AE575" t="n">
        <v>10.37</v>
      </c>
    </row>
    <row r="576">
      <c r="B576" s="42" t="n">
        <v>116</v>
      </c>
      <c r="C576" s="118">
        <f>INDIRECT("'Закуп'!A" &amp; B576)</f>
        <v/>
      </c>
      <c r="D576" s="119">
        <f>C576*1.2</f>
        <v/>
      </c>
      <c r="G576" s="172">
        <f>IF(INDIRECT("'Закуп'!L" &amp; B576)="Sale","Sale","")</f>
        <v/>
      </c>
      <c r="H576" s="158">
        <f>IF(INDIRECT("'Закуп'!F" &amp; B576)=0,"",INDIRECT("'Закуп'!F" &amp; B576))</f>
        <v/>
      </c>
      <c r="I576" s="120" t="n">
        <v>1000</v>
      </c>
      <c r="J576" s="121">
        <f>K576/1.2</f>
        <v/>
      </c>
      <c r="K576" s="242" t="n">
        <v>6.16</v>
      </c>
      <c r="L576" s="122">
        <f>J576-C576-(J576-C576)*0.2</f>
        <v/>
      </c>
      <c r="M576" s="123">
        <f>L576*I576</f>
        <v/>
      </c>
      <c r="N576" s="124" t="inlineStr">
        <is>
          <t xml:space="preserve">1000 + шт - </t>
        </is>
      </c>
      <c r="O576" s="47" t="inlineStr">
        <is>
          <t xml:space="preserve"> руб / шт с НДС</t>
        </is>
      </c>
      <c r="P576" s="125">
        <f>ROUND(K576,2)</f>
        <v/>
      </c>
      <c r="Q576" s="207">
        <f>CONCATENATE(N576,P576,O576,)</f>
        <v/>
      </c>
      <c r="R576" s="240" t="n"/>
      <c r="T576" s="241" t="n"/>
      <c r="U576" s="240" t="n"/>
      <c r="V576" s="241" t="n"/>
      <c r="Z576" s="240" t="n"/>
      <c r="AB576" s="241" t="n"/>
      <c r="AC576" s="240" t="n"/>
      <c r="AD576" s="241" t="n"/>
      <c r="AE576" t="n">
        <v>9.98</v>
      </c>
    </row>
    <row r="577">
      <c r="A577" s="232" t="n">
        <v>117</v>
      </c>
      <c r="B577" s="42" t="n">
        <v>117</v>
      </c>
      <c r="C577" s="118">
        <f>INDIRECT("'Закуп'!A" &amp; B577)</f>
        <v/>
      </c>
      <c r="D577" s="119">
        <f>C577*1.2</f>
        <v/>
      </c>
      <c r="E577" s="224">
        <f>INDIRECT("'Закуп'!D" &amp; A577)</f>
        <v/>
      </c>
      <c r="F577" s="231">
        <f>INDIRECT("'Закуп'!E" &amp; B577)</f>
        <v/>
      </c>
      <c r="G577" s="172">
        <f>IF(INDIRECT("'Закуп'!L" &amp; B577)="Sale","Sale","")</f>
        <v/>
      </c>
      <c r="H577" s="158">
        <f>IF(INDIRECT("'Закуп'!F" &amp; B577)=0,"",INDIRECT("'Закуп'!F" &amp; B577))</f>
        <v/>
      </c>
      <c r="I577" s="120" t="n">
        <v>50</v>
      </c>
      <c r="J577" s="121">
        <f>K577/1.2</f>
        <v/>
      </c>
      <c r="K577" s="242" t="n">
        <v>3.47</v>
      </c>
      <c r="L577" s="122">
        <f>J577-C577-(J577-C577)*0.2</f>
        <v/>
      </c>
      <c r="M577" s="123">
        <f>L577*I577</f>
        <v/>
      </c>
      <c r="N577" s="124" t="inlineStr">
        <is>
          <t xml:space="preserve">50-90 шт - </t>
        </is>
      </c>
      <c r="O577" s="47" t="inlineStr">
        <is>
          <t xml:space="preserve"> руб / шт с НДС</t>
        </is>
      </c>
      <c r="P577" s="125">
        <f>ROUND(K577,2)</f>
        <v/>
      </c>
      <c r="Q577" s="207">
        <f>CONCATENATE(N577,P577,O577,)</f>
        <v/>
      </c>
      <c r="R577" s="235">
        <f>INDIRECT("'Закуп'!k" &amp; A577)</f>
        <v/>
      </c>
      <c r="S577" s="239">
        <f>INDIRECT("'Закуп'!o" &amp; A577)</f>
        <v/>
      </c>
      <c r="T577" s="226">
        <f>INDIRECT("'Закуп'!p" &amp; A577)</f>
        <v/>
      </c>
      <c r="U577" s="235">
        <f>INDIRECT("'Закуп'!v" &amp; A577)</f>
        <v/>
      </c>
      <c r="V577" s="222">
        <f>INDIRECT("'Закуп'!w" &amp; A577)</f>
        <v/>
      </c>
      <c r="W577" s="229">
        <f>INDIRECT("'Закуп'!H" &amp; A577)</f>
        <v/>
      </c>
      <c r="X577" s="237">
        <f>INDIRECT("'Закуп'!g" &amp; A577)</f>
        <v/>
      </c>
      <c r="Y577" s="229">
        <f>INDIRECT("'Закуп'!i" &amp; A577)</f>
        <v/>
      </c>
      <c r="Z577" s="236">
        <f>INDIRECT("'Закуп'!x" &amp; A577)</f>
        <v/>
      </c>
      <c r="AA577" s="237">
        <f>INDIRECT("'Закуп'!y" &amp; A577)</f>
        <v/>
      </c>
      <c r="AB577" s="238">
        <f>INDIRECT("'Закуп'!z" &amp; A577)</f>
        <v/>
      </c>
      <c r="AC577" s="223">
        <f>SUBSTITUTE(INDEX(F:F, ROUNDUP((ROW(A576))/5,0)*5 - 3), "х", "x")</f>
        <v/>
      </c>
      <c r="AD577" s="222">
        <f>SUBSTITUTE(INDEX(F:F, ROUNDUP((ROW(A576))/5,0)*5 - 3), "х", "x") &amp; " - " &amp; SUBSTITUTE(SUBSTITUTE(INDEX(F:F, ROUNDUP((ROW(A576))/5,0)*5 - 3), "х", "*"), "x", "*") &amp; " мм"</f>
        <v/>
      </c>
      <c r="AE577" t="n">
        <v>4.11</v>
      </c>
    </row>
    <row r="578">
      <c r="B578" s="42" t="n">
        <v>117</v>
      </c>
      <c r="C578" s="118">
        <f>INDIRECT("'Закуп'!A" &amp; B578)</f>
        <v/>
      </c>
      <c r="D578" s="119">
        <f>C578*1.2</f>
        <v/>
      </c>
      <c r="G578" s="172">
        <f>IF(INDIRECT("'Закуп'!L" &amp; B578)="Sale","Sale","")</f>
        <v/>
      </c>
      <c r="H578" s="158">
        <f>IF(INDIRECT("'Закуп'!F" &amp; B578)=0,"",INDIRECT("'Закуп'!F" &amp; B578))</f>
        <v/>
      </c>
      <c r="I578" s="120" t="n">
        <v>100</v>
      </c>
      <c r="J578" s="121">
        <f>K578/1.2</f>
        <v/>
      </c>
      <c r="K578" s="242" t="n">
        <v>3</v>
      </c>
      <c r="L578" s="122">
        <f>J578-C578-(J578-C578)*0.2</f>
        <v/>
      </c>
      <c r="M578" s="123">
        <f>L578*I578</f>
        <v/>
      </c>
      <c r="N578" s="124" t="inlineStr">
        <is>
          <t xml:space="preserve">100-290 шт - </t>
        </is>
      </c>
      <c r="O578" s="47" t="inlineStr">
        <is>
          <t xml:space="preserve"> руб / шт с НДС</t>
        </is>
      </c>
      <c r="P578" s="125">
        <f>ROUND(K578,2)</f>
        <v/>
      </c>
      <c r="Q578" s="207">
        <f>CONCATENATE(N578,P578,O578,)</f>
        <v/>
      </c>
      <c r="R578" s="240" t="n"/>
      <c r="T578" s="241" t="n"/>
      <c r="U578" s="240" t="n"/>
      <c r="V578" s="241" t="n"/>
      <c r="Z578" s="240" t="n"/>
      <c r="AB578" s="241" t="n"/>
      <c r="AC578" s="240" t="n"/>
      <c r="AD578" s="241" t="n"/>
      <c r="AE578" t="n">
        <v>4</v>
      </c>
    </row>
    <row r="579">
      <c r="B579" s="42" t="n">
        <v>117</v>
      </c>
      <c r="C579" s="118">
        <f>INDIRECT("'Закуп'!A" &amp; B579)</f>
        <v/>
      </c>
      <c r="D579" s="119">
        <f>C579*1.2</f>
        <v/>
      </c>
      <c r="G579" s="172">
        <f>IF(INDIRECT("'Закуп'!L" &amp; B579)="Sale","Sale","")</f>
        <v/>
      </c>
      <c r="H579" s="158">
        <f>IF(INDIRECT("'Закуп'!F" &amp; B579)=0,"",INDIRECT("'Закуп'!F" &amp; B579))</f>
        <v/>
      </c>
      <c r="I579" s="120" t="n">
        <v>300</v>
      </c>
      <c r="J579" s="121">
        <f>K579/1.2</f>
        <v/>
      </c>
      <c r="K579" s="242" t="n">
        <v>2.49</v>
      </c>
      <c r="L579" s="122">
        <f>J579-C579-(J579-C579)*0.2</f>
        <v/>
      </c>
      <c r="M579" s="123">
        <f>L579*I579</f>
        <v/>
      </c>
      <c r="N579" s="124" t="inlineStr">
        <is>
          <t xml:space="preserve">300-490 шт - </t>
        </is>
      </c>
      <c r="O579" s="47" t="inlineStr">
        <is>
          <t xml:space="preserve"> руб / шт с НДС</t>
        </is>
      </c>
      <c r="P579" s="125">
        <f>ROUND(K579,2)</f>
        <v/>
      </c>
      <c r="Q579" s="207">
        <f>CONCATENATE(N579,P579,O579,)</f>
        <v/>
      </c>
      <c r="R579" s="240" t="n"/>
      <c r="T579" s="241" t="n"/>
      <c r="U579" s="240" t="n"/>
      <c r="V579" s="241" t="n"/>
      <c r="Z579" s="240" t="n"/>
      <c r="AB579" s="241" t="n"/>
      <c r="AC579" s="240" t="n"/>
      <c r="AD579" s="241" t="n"/>
      <c r="AE579" t="n">
        <v>3.34</v>
      </c>
    </row>
    <row r="580">
      <c r="B580" s="42" t="n">
        <v>117</v>
      </c>
      <c r="C580" s="118">
        <f>INDIRECT("'Закуп'!A" &amp; B580)</f>
        <v/>
      </c>
      <c r="D580" s="119">
        <f>C580*1.2</f>
        <v/>
      </c>
      <c r="G580" s="172">
        <f>IF(INDIRECT("'Закуп'!L" &amp; B580)="Sale","Sale","")</f>
        <v/>
      </c>
      <c r="H580" s="158">
        <f>IF(INDIRECT("'Закуп'!F" &amp; B580)=0,"",INDIRECT("'Закуп'!F" &amp; B580))</f>
        <v/>
      </c>
      <c r="I580" s="120" t="n">
        <v>500</v>
      </c>
      <c r="J580" s="121">
        <f>K580/1.2</f>
        <v/>
      </c>
      <c r="K580" s="242" t="n">
        <v>2.36</v>
      </c>
      <c r="L580" s="122">
        <f>J580-C580-(J580-C580)*0.2</f>
        <v/>
      </c>
      <c r="M580" s="123">
        <f>L580*I580</f>
        <v/>
      </c>
      <c r="N580" s="124" t="inlineStr">
        <is>
          <t xml:space="preserve">500-990 шт - </t>
        </is>
      </c>
      <c r="O580" s="47" t="inlineStr">
        <is>
          <t xml:space="preserve"> руб / шт с НДС</t>
        </is>
      </c>
      <c r="P580" s="125">
        <f>ROUND(K580,2)</f>
        <v/>
      </c>
      <c r="Q580" s="207">
        <f>CONCATENATE(N580,P580,O580,)</f>
        <v/>
      </c>
      <c r="R580" s="240" t="n"/>
      <c r="T580" s="241" t="n"/>
      <c r="U580" s="240" t="n"/>
      <c r="V580" s="241" t="n"/>
      <c r="Z580" s="240" t="n"/>
      <c r="AB580" s="241" t="n"/>
      <c r="AC580" s="240" t="n"/>
      <c r="AD580" s="241" t="n"/>
      <c r="AE580" t="n">
        <v>3.23</v>
      </c>
    </row>
    <row r="581">
      <c r="B581" s="42" t="n">
        <v>117</v>
      </c>
      <c r="C581" s="118">
        <f>INDIRECT("'Закуп'!A" &amp; B581)</f>
        <v/>
      </c>
      <c r="D581" s="119">
        <f>C581*1.2</f>
        <v/>
      </c>
      <c r="G581" s="172">
        <f>IF(INDIRECT("'Закуп'!L" &amp; B581)="Sale","Sale","")</f>
        <v/>
      </c>
      <c r="H581" s="158">
        <f>IF(INDIRECT("'Закуп'!F" &amp; B581)=0,"",INDIRECT("'Закуп'!F" &amp; B581))</f>
        <v/>
      </c>
      <c r="I581" s="120" t="n">
        <v>1000</v>
      </c>
      <c r="J581" s="121">
        <f>K581/1.2</f>
        <v/>
      </c>
      <c r="K581" s="242" t="n">
        <v>2.28</v>
      </c>
      <c r="L581" s="122">
        <f>J581-C581-(J581-C581)*0.2</f>
        <v/>
      </c>
      <c r="M581" s="123">
        <f>L581*I581</f>
        <v/>
      </c>
      <c r="N581" s="124" t="inlineStr">
        <is>
          <t xml:space="preserve">1000 + шт - </t>
        </is>
      </c>
      <c r="O581" s="47" t="inlineStr">
        <is>
          <t xml:space="preserve"> руб / шт с НДС</t>
        </is>
      </c>
      <c r="P581" s="125">
        <f>ROUND(K581,2)</f>
        <v/>
      </c>
      <c r="Q581" s="207">
        <f>CONCATENATE(N581,P581,O581,)</f>
        <v/>
      </c>
      <c r="R581" s="240" t="n"/>
      <c r="T581" s="241" t="n"/>
      <c r="U581" s="240" t="n"/>
      <c r="V581" s="241" t="n"/>
      <c r="Z581" s="240" t="n"/>
      <c r="AB581" s="241" t="n"/>
      <c r="AC581" s="240" t="n"/>
      <c r="AD581" s="241" t="n"/>
      <c r="AE581" t="n">
        <v>3.14</v>
      </c>
    </row>
    <row r="582">
      <c r="A582" s="232" t="n">
        <v>118</v>
      </c>
      <c r="B582" s="42" t="n">
        <v>118</v>
      </c>
      <c r="C582" s="118">
        <f>INDIRECT("'Закуп'!A" &amp; B582)</f>
        <v/>
      </c>
      <c r="D582" s="119">
        <f>C582*1.2</f>
        <v/>
      </c>
      <c r="E582" s="224">
        <f>INDIRECT("'Закуп'!D" &amp; A582)</f>
        <v/>
      </c>
      <c r="F582" s="231">
        <f>INDIRECT("'Закуп'!E" &amp; B582)</f>
        <v/>
      </c>
      <c r="G582" s="172">
        <f>IF(INDIRECT("'Закуп'!L" &amp; B582)="Sale","Sale","")</f>
        <v/>
      </c>
      <c r="H582" s="158">
        <f>IF(INDIRECT("'Закуп'!F" &amp; B582)=0,"",INDIRECT("'Закуп'!F" &amp; B582))</f>
        <v/>
      </c>
      <c r="I582" s="120" t="n">
        <v>50</v>
      </c>
      <c r="J582" s="121">
        <f>K582/1.2</f>
        <v/>
      </c>
      <c r="K582" s="70" t="n">
        <v>1.16</v>
      </c>
      <c r="L582" s="122">
        <f>J582-C582-(J582-C582)*0.2</f>
        <v/>
      </c>
      <c r="M582" s="123">
        <f>L582*I582</f>
        <v/>
      </c>
      <c r="N582" s="124" t="inlineStr">
        <is>
          <t xml:space="preserve">50-90 шт - </t>
        </is>
      </c>
      <c r="O582" s="47" t="inlineStr">
        <is>
          <t xml:space="preserve"> руб / шт с НДС</t>
        </is>
      </c>
      <c r="P582" s="125">
        <f>ROUND(K582,2)</f>
        <v/>
      </c>
      <c r="Q582" s="207">
        <f>CONCATENATE(N582,P582,O582,)</f>
        <v/>
      </c>
      <c r="R582" s="235">
        <f>INDIRECT("'Закуп'!k" &amp; A582)</f>
        <v/>
      </c>
      <c r="S582" s="239">
        <f>INDIRECT("'Закуп'!o" &amp; A582)</f>
        <v/>
      </c>
      <c r="T582" s="226">
        <f>INDIRECT("'Закуп'!p" &amp; A582)</f>
        <v/>
      </c>
      <c r="U582" s="235">
        <f>INDIRECT("'Закуп'!v" &amp; A582)</f>
        <v/>
      </c>
      <c r="V582" s="222">
        <f>INDIRECT("'Закуп'!w" &amp; A582)</f>
        <v/>
      </c>
      <c r="W582" s="229">
        <f>INDIRECT("'Закуп'!H" &amp; A582)</f>
        <v/>
      </c>
      <c r="X582" s="237">
        <f>INDIRECT("'Закуп'!g" &amp; A582)</f>
        <v/>
      </c>
      <c r="Y582" s="229">
        <f>INDIRECT("'Закуп'!i" &amp; A582)</f>
        <v/>
      </c>
      <c r="Z582" s="236">
        <f>INDIRECT("'Закуп'!x" &amp; A582)</f>
        <v/>
      </c>
      <c r="AA582" s="237">
        <f>INDIRECT("'Закуп'!y" &amp; A582)</f>
        <v/>
      </c>
      <c r="AB582" s="238">
        <f>INDIRECT("'Закуп'!z" &amp; A582)</f>
        <v/>
      </c>
      <c r="AC582" s="223">
        <f>SUBSTITUTE(INDEX(F:F, ROUNDUP((ROW(A581))/5,0)*5 - 3), "х", "x")</f>
        <v/>
      </c>
      <c r="AD582" s="222">
        <f>SUBSTITUTE(INDEX(F:F, ROUNDUP((ROW(A581))/5,0)*5 - 3), "х", "x") &amp; " - " &amp; SUBSTITUTE(SUBSTITUTE(INDEX(F:F, ROUNDUP((ROW(A581))/5,0)*5 - 3), "х", "*"), "x", "*") &amp; " мм"</f>
        <v/>
      </c>
    </row>
    <row r="583">
      <c r="B583" s="42" t="n">
        <v>118</v>
      </c>
      <c r="C583" s="118">
        <f>INDIRECT("'Закуп'!A" &amp; B583)</f>
        <v/>
      </c>
      <c r="D583" s="119">
        <f>C583*1.2</f>
        <v/>
      </c>
      <c r="G583" s="172">
        <f>IF(INDIRECT("'Закуп'!L" &amp; B583)="Sale","Sale","")</f>
        <v/>
      </c>
      <c r="H583" s="158">
        <f>IF(INDIRECT("'Закуп'!F" &amp; B583)=0,"",INDIRECT("'Закуп'!F" &amp; B583))</f>
        <v/>
      </c>
      <c r="I583" s="120" t="n">
        <v>100</v>
      </c>
      <c r="J583" s="121">
        <f>K583/1.2</f>
        <v/>
      </c>
      <c r="K583" s="70" t="n">
        <v>1.02</v>
      </c>
      <c r="L583" s="122">
        <f>J583-C583-(J583-C583)*0.2</f>
        <v/>
      </c>
      <c r="M583" s="123">
        <f>L583*I583</f>
        <v/>
      </c>
      <c r="N583" s="124" t="inlineStr">
        <is>
          <t xml:space="preserve">100-290 шт - </t>
        </is>
      </c>
      <c r="O583" s="47" t="inlineStr">
        <is>
          <t xml:space="preserve"> руб / шт с НДС</t>
        </is>
      </c>
      <c r="P583" s="125">
        <f>ROUND(K583,2)</f>
        <v/>
      </c>
      <c r="Q583" s="207">
        <f>CONCATENATE(N583,P583,O583,)</f>
        <v/>
      </c>
      <c r="R583" s="240" t="n"/>
      <c r="T583" s="241" t="n"/>
      <c r="U583" s="240" t="n"/>
      <c r="V583" s="241" t="n"/>
      <c r="Z583" s="240" t="n"/>
      <c r="AB583" s="241" t="n"/>
      <c r="AC583" s="240" t="n"/>
      <c r="AD583" s="241" t="n"/>
    </row>
    <row r="584">
      <c r="B584" s="42" t="n">
        <v>118</v>
      </c>
      <c r="C584" s="118">
        <f>INDIRECT("'Закуп'!A" &amp; B584)</f>
        <v/>
      </c>
      <c r="D584" s="119">
        <f>C584*1.2</f>
        <v/>
      </c>
      <c r="G584" s="172">
        <f>IF(INDIRECT("'Закуп'!L" &amp; B584)="Sale","Sale","")</f>
        <v/>
      </c>
      <c r="H584" s="158">
        <f>IF(INDIRECT("'Закуп'!F" &amp; B584)=0,"",INDIRECT("'Закуп'!F" &amp; B584))</f>
        <v/>
      </c>
      <c r="I584" s="120" t="n">
        <v>300</v>
      </c>
      <c r="J584" s="121">
        <f>K584/1.2</f>
        <v/>
      </c>
      <c r="K584" s="70" t="n">
        <v>0.87</v>
      </c>
      <c r="L584" s="122">
        <f>J584-C584-(J584-C584)*0.2</f>
        <v/>
      </c>
      <c r="M584" s="123">
        <f>L584*I584</f>
        <v/>
      </c>
      <c r="N584" s="124" t="inlineStr">
        <is>
          <t xml:space="preserve">300-490 шт - </t>
        </is>
      </c>
      <c r="O584" s="47" t="inlineStr">
        <is>
          <t xml:space="preserve"> руб / шт с НДС</t>
        </is>
      </c>
      <c r="P584" s="125">
        <f>ROUND(K584,2)</f>
        <v/>
      </c>
      <c r="Q584" s="207">
        <f>CONCATENATE(N584,P584,O584,)</f>
        <v/>
      </c>
      <c r="R584" s="240" t="n"/>
      <c r="T584" s="241" t="n"/>
      <c r="U584" s="240" t="n"/>
      <c r="V584" s="241" t="n"/>
      <c r="Z584" s="240" t="n"/>
      <c r="AB584" s="241" t="n"/>
      <c r="AC584" s="240" t="n"/>
      <c r="AD584" s="241" t="n"/>
    </row>
    <row r="585">
      <c r="B585" s="42" t="n">
        <v>118</v>
      </c>
      <c r="C585" s="118">
        <f>INDIRECT("'Закуп'!A" &amp; B585)</f>
        <v/>
      </c>
      <c r="D585" s="119">
        <f>C585*1.2</f>
        <v/>
      </c>
      <c r="G585" s="172">
        <f>IF(INDIRECT("'Закуп'!L" &amp; B585)="Sale","Sale","")</f>
        <v/>
      </c>
      <c r="H585" s="158">
        <f>IF(INDIRECT("'Закуп'!F" &amp; B585)=0,"",INDIRECT("'Закуп'!F" &amp; B585))</f>
        <v/>
      </c>
      <c r="I585" s="120" t="n">
        <v>500</v>
      </c>
      <c r="J585" s="121">
        <f>K585/1.2</f>
        <v/>
      </c>
      <c r="K585" s="70" t="n">
        <v>0.73</v>
      </c>
      <c r="L585" s="122">
        <f>J585-C585-(J585-C585)*0.2</f>
        <v/>
      </c>
      <c r="M585" s="123">
        <f>L585*I585</f>
        <v/>
      </c>
      <c r="N585" s="124" t="inlineStr">
        <is>
          <t xml:space="preserve">500-990 шт - </t>
        </is>
      </c>
      <c r="O585" s="47" t="inlineStr">
        <is>
          <t xml:space="preserve"> руб / шт с НДС</t>
        </is>
      </c>
      <c r="P585" s="125">
        <f>ROUND(K585,2)</f>
        <v/>
      </c>
      <c r="Q585" s="207">
        <f>CONCATENATE(N585,P585,O585,)</f>
        <v/>
      </c>
      <c r="R585" s="240" t="n"/>
      <c r="T585" s="241" t="n"/>
      <c r="U585" s="240" t="n"/>
      <c r="V585" s="241" t="n"/>
      <c r="Z585" s="240" t="n"/>
      <c r="AB585" s="241" t="n"/>
      <c r="AC585" s="240" t="n"/>
      <c r="AD585" s="241" t="n"/>
    </row>
    <row r="586">
      <c r="B586" s="42" t="n">
        <v>118</v>
      </c>
      <c r="C586" s="118">
        <f>INDIRECT("'Закуп'!A" &amp; B586)</f>
        <v/>
      </c>
      <c r="D586" s="119">
        <f>C586*1.2</f>
        <v/>
      </c>
      <c r="G586" s="172">
        <f>IF(INDIRECT("'Закуп'!L" &amp; B586)="Sale","Sale","")</f>
        <v/>
      </c>
      <c r="H586" s="158">
        <f>IF(INDIRECT("'Закуп'!F" &amp; B586)=0,"",INDIRECT("'Закуп'!F" &amp; B586))</f>
        <v/>
      </c>
      <c r="I586" s="120" t="n">
        <v>1000</v>
      </c>
      <c r="J586" s="121">
        <f>K586/1.2</f>
        <v/>
      </c>
      <c r="K586" s="70" t="n">
        <v>0.59</v>
      </c>
      <c r="L586" s="122">
        <f>J586-C586-(J586-C586)*0.2</f>
        <v/>
      </c>
      <c r="M586" s="123">
        <f>L586*I586</f>
        <v/>
      </c>
      <c r="N586" s="124" t="inlineStr">
        <is>
          <t xml:space="preserve">1000 + шт - </t>
        </is>
      </c>
      <c r="O586" s="47" t="inlineStr">
        <is>
          <t xml:space="preserve"> руб / шт с НДС</t>
        </is>
      </c>
      <c r="P586" s="125">
        <f>ROUND(K586,2)</f>
        <v/>
      </c>
      <c r="Q586" s="207">
        <f>CONCATENATE(N586,P586,O586,)</f>
        <v/>
      </c>
      <c r="R586" s="240" t="n"/>
      <c r="T586" s="241" t="n"/>
      <c r="U586" s="240" t="n"/>
      <c r="V586" s="241" t="n"/>
      <c r="Z586" s="240" t="n"/>
      <c r="AB586" s="241" t="n"/>
      <c r="AC586" s="240" t="n"/>
      <c r="AD586" s="241" t="n"/>
    </row>
    <row r="587">
      <c r="A587" s="232" t="n">
        <v>119</v>
      </c>
      <c r="B587" s="42" t="n">
        <v>119</v>
      </c>
      <c r="C587" s="118">
        <f>INDIRECT("'Закуп'!A" &amp; B587)</f>
        <v/>
      </c>
      <c r="D587" s="119">
        <f>C587*1.2</f>
        <v/>
      </c>
      <c r="E587" s="224">
        <f>INDIRECT("'Закуп'!D" &amp; A587)</f>
        <v/>
      </c>
      <c r="F587" s="231">
        <f>INDIRECT("'Закуп'!E" &amp; B587)</f>
        <v/>
      </c>
      <c r="G587" s="172">
        <f>IF(INDIRECT("'Закуп'!L" &amp; B587)="Sale","Sale","")</f>
        <v/>
      </c>
      <c r="H587" s="158">
        <f>IF(INDIRECT("'Закуп'!F" &amp; B587)=0,"",INDIRECT("'Закуп'!F" &amp; B587))</f>
        <v/>
      </c>
      <c r="I587" s="120" t="n">
        <v>50</v>
      </c>
      <c r="J587" s="121">
        <f>K587/1.2</f>
        <v/>
      </c>
      <c r="K587" s="242" t="n">
        <v>1.19</v>
      </c>
      <c r="L587" s="122">
        <f>J587-C587-(J587-C587)*0.2</f>
        <v/>
      </c>
      <c r="M587" s="123">
        <f>L587*I587</f>
        <v/>
      </c>
      <c r="N587" s="124" t="inlineStr">
        <is>
          <t xml:space="preserve">50-90 шт - </t>
        </is>
      </c>
      <c r="O587" s="47" t="inlineStr">
        <is>
          <t xml:space="preserve"> руб / шт с НДС</t>
        </is>
      </c>
      <c r="P587" s="125">
        <f>ROUND(K587,2)</f>
        <v/>
      </c>
      <c r="Q587" s="207">
        <f>CONCATENATE(N587,P587,O587,)</f>
        <v/>
      </c>
      <c r="R587" s="235">
        <f>INDIRECT("'Закуп'!k" &amp; A587)</f>
        <v/>
      </c>
      <c r="S587" s="239">
        <f>INDIRECT("'Закуп'!o" &amp; A587)</f>
        <v/>
      </c>
      <c r="T587" s="226">
        <f>INDIRECT("'Закуп'!p" &amp; A587)</f>
        <v/>
      </c>
      <c r="U587" s="235">
        <f>INDIRECT("'Закуп'!v" &amp; A587)</f>
        <v/>
      </c>
      <c r="V587" s="222">
        <f>INDIRECT("'Закуп'!w" &amp; A587)</f>
        <v/>
      </c>
      <c r="W587" s="229">
        <f>INDIRECT("'Закуп'!H" &amp; A587)</f>
        <v/>
      </c>
      <c r="X587" s="237">
        <f>INDIRECT("'Закуп'!g" &amp; A587)</f>
        <v/>
      </c>
      <c r="Y587" s="229">
        <f>INDIRECT("'Закуп'!i" &amp; A587)</f>
        <v/>
      </c>
      <c r="Z587" s="236">
        <f>INDIRECT("'Закуп'!x" &amp; A587)</f>
        <v/>
      </c>
      <c r="AA587" s="237">
        <f>INDIRECT("'Закуп'!y" &amp; A587)</f>
        <v/>
      </c>
      <c r="AB587" s="238">
        <f>INDIRECT("'Закуп'!z" &amp; A587)</f>
        <v/>
      </c>
      <c r="AC587" s="223">
        <f>SUBSTITUTE(INDEX(F:F, ROUNDUP((ROW(A586))/5,0)*5 - 3), "х", "x")</f>
        <v/>
      </c>
      <c r="AD587" s="222">
        <f>SUBSTITUTE(INDEX(F:F, ROUNDUP((ROW(A586))/5,0)*5 - 3), "х", "x") &amp; " - " &amp; SUBSTITUTE(SUBSTITUTE(INDEX(F:F, ROUNDUP((ROW(A586))/5,0)*5 - 3), "х", "*"), "x", "*") &amp; " мм"</f>
        <v/>
      </c>
      <c r="AE587" t="n">
        <v>1.58</v>
      </c>
    </row>
    <row r="588">
      <c r="B588" s="42" t="n">
        <v>119</v>
      </c>
      <c r="C588" s="118">
        <f>INDIRECT("'Закуп'!A" &amp; B588)</f>
        <v/>
      </c>
      <c r="D588" s="119">
        <f>C588*1.2</f>
        <v/>
      </c>
      <c r="G588" s="172">
        <f>IF(INDIRECT("'Закуп'!L" &amp; B588)="Sale","Sale","")</f>
        <v/>
      </c>
      <c r="H588" s="158">
        <f>IF(INDIRECT("'Закуп'!F" &amp; B588)=0,"",INDIRECT("'Закуп'!F" &amp; B588))</f>
        <v/>
      </c>
      <c r="I588" s="120" t="n">
        <v>100</v>
      </c>
      <c r="J588" s="121">
        <f>K588/1.2</f>
        <v/>
      </c>
      <c r="K588" s="242" t="n">
        <v>1.02</v>
      </c>
      <c r="L588" s="122">
        <f>J588-C588-(J588-C588)*0.2</f>
        <v/>
      </c>
      <c r="M588" s="123">
        <f>L588*I588</f>
        <v/>
      </c>
      <c r="N588" s="124" t="inlineStr">
        <is>
          <t xml:space="preserve">100-290 шт - </t>
        </is>
      </c>
      <c r="O588" s="47" t="inlineStr">
        <is>
          <t xml:space="preserve"> руб / шт с НДС</t>
        </is>
      </c>
      <c r="P588" s="125">
        <f>ROUND(K588,2)</f>
        <v/>
      </c>
      <c r="Q588" s="207">
        <f>CONCATENATE(N588,P588,O588,)</f>
        <v/>
      </c>
      <c r="R588" s="240" t="n"/>
      <c r="T588" s="241" t="n"/>
      <c r="U588" s="240" t="n"/>
      <c r="V588" s="241" t="n"/>
      <c r="Z588" s="240" t="n"/>
      <c r="AB588" s="241" t="n"/>
      <c r="AC588" s="240" t="n"/>
      <c r="AD588" s="241" t="n"/>
      <c r="AE588" t="n">
        <v>1.43</v>
      </c>
    </row>
    <row r="589">
      <c r="B589" s="42" t="n">
        <v>119</v>
      </c>
      <c r="C589" s="118">
        <f>INDIRECT("'Закуп'!A" &amp; B589)</f>
        <v/>
      </c>
      <c r="D589" s="119">
        <f>C589*1.2</f>
        <v/>
      </c>
      <c r="G589" s="172">
        <f>IF(INDIRECT("'Закуп'!L" &amp; B589)="Sale","Sale","")</f>
        <v/>
      </c>
      <c r="H589" s="158">
        <f>IF(INDIRECT("'Закуп'!F" &amp; B589)=0,"",INDIRECT("'Закуп'!F" &amp; B589))</f>
        <v/>
      </c>
      <c r="I589" s="120" t="n">
        <v>300</v>
      </c>
      <c r="J589" s="121">
        <f>K589/1.2</f>
        <v/>
      </c>
      <c r="K589" s="242" t="n">
        <v>0.96</v>
      </c>
      <c r="L589" s="122">
        <f>J589-C589-(J589-C589)*0.2</f>
        <v/>
      </c>
      <c r="M589" s="123">
        <f>L589*I589</f>
        <v/>
      </c>
      <c r="N589" s="124" t="inlineStr">
        <is>
          <t xml:space="preserve">300-490 шт - </t>
        </is>
      </c>
      <c r="O589" s="47" t="inlineStr">
        <is>
          <t xml:space="preserve"> руб / шт с НДС</t>
        </is>
      </c>
      <c r="P589" s="125">
        <f>ROUND(K589,2)</f>
        <v/>
      </c>
      <c r="Q589" s="207">
        <f>CONCATENATE(N589,P589,O589,)</f>
        <v/>
      </c>
      <c r="R589" s="240" t="n"/>
      <c r="T589" s="241" t="n"/>
      <c r="U589" s="240" t="n"/>
      <c r="V589" s="241" t="n"/>
      <c r="Z589" s="240" t="n"/>
      <c r="AB589" s="241" t="n"/>
      <c r="AC589" s="240" t="n"/>
      <c r="AD589" s="241" t="n"/>
      <c r="AE589" t="n">
        <v>1.13</v>
      </c>
    </row>
    <row r="590">
      <c r="B590" s="42" t="n">
        <v>119</v>
      </c>
      <c r="C590" s="118">
        <f>INDIRECT("'Закуп'!A" &amp; B590)</f>
        <v/>
      </c>
      <c r="D590" s="119">
        <f>C590*1.2</f>
        <v/>
      </c>
      <c r="G590" s="172">
        <f>IF(INDIRECT("'Закуп'!L" &amp; B590)="Sale","Sale","")</f>
        <v/>
      </c>
      <c r="H590" s="158">
        <f>IF(INDIRECT("'Закуп'!F" &amp; B590)=0,"",INDIRECT("'Закуп'!F" &amp; B590))</f>
        <v/>
      </c>
      <c r="I590" s="120" t="n">
        <v>500</v>
      </c>
      <c r="J590" s="121">
        <f>K590/1.2</f>
        <v/>
      </c>
      <c r="K590" s="242" t="n">
        <v>0.91</v>
      </c>
      <c r="L590" s="122">
        <f>J590-C590-(J590-C590)*0.2</f>
        <v/>
      </c>
      <c r="M590" s="123">
        <f>L590*I590</f>
        <v/>
      </c>
      <c r="N590" s="124" t="inlineStr">
        <is>
          <t xml:space="preserve">500-990 шт - </t>
        </is>
      </c>
      <c r="O590" s="47" t="inlineStr">
        <is>
          <t xml:space="preserve"> руб / шт с НДС</t>
        </is>
      </c>
      <c r="P590" s="125">
        <f>ROUND(K590,2)</f>
        <v/>
      </c>
      <c r="Q590" s="207">
        <f>CONCATENATE(N590,P590,O590,)</f>
        <v/>
      </c>
      <c r="R590" s="240" t="n"/>
      <c r="T590" s="241" t="n"/>
      <c r="U590" s="240" t="n"/>
      <c r="V590" s="241" t="n"/>
      <c r="Z590" s="240" t="n"/>
      <c r="AB590" s="241" t="n"/>
      <c r="AC590" s="240" t="n"/>
      <c r="AD590" s="241" t="n"/>
      <c r="AE590" t="n">
        <v>1.06</v>
      </c>
    </row>
    <row r="591">
      <c r="B591" s="42" t="n">
        <v>119</v>
      </c>
      <c r="C591" s="118">
        <f>INDIRECT("'Закуп'!A" &amp; B591)</f>
        <v/>
      </c>
      <c r="D591" s="119">
        <f>C591*1.2</f>
        <v/>
      </c>
      <c r="G591" s="172">
        <f>IF(INDIRECT("'Закуп'!L" &amp; B591)="Sale","Sale","")</f>
        <v/>
      </c>
      <c r="H591" s="158">
        <f>IF(INDIRECT("'Закуп'!F" &amp; B591)=0,"",INDIRECT("'Закуп'!F" &amp; B591))</f>
        <v/>
      </c>
      <c r="I591" s="120" t="n">
        <v>1000</v>
      </c>
      <c r="J591" s="121">
        <f>K591/1.2</f>
        <v/>
      </c>
      <c r="K591" s="242" t="n">
        <v>0.84</v>
      </c>
      <c r="L591" s="122">
        <f>J591-C591-(J591-C591)*0.2</f>
        <v/>
      </c>
      <c r="M591" s="123">
        <f>L591*I591</f>
        <v/>
      </c>
      <c r="N591" s="124" t="inlineStr">
        <is>
          <t xml:space="preserve">1000 + шт - </t>
        </is>
      </c>
      <c r="O591" s="47" t="inlineStr">
        <is>
          <t xml:space="preserve"> руб / шт с НДС</t>
        </is>
      </c>
      <c r="P591" s="125">
        <f>ROUND(K591,2)</f>
        <v/>
      </c>
      <c r="Q591" s="207">
        <f>CONCATENATE(N591,P591,O591,)</f>
        <v/>
      </c>
      <c r="R591" s="240" t="n"/>
      <c r="T591" s="241" t="n"/>
      <c r="U591" s="240" t="n"/>
      <c r="V591" s="241" t="n"/>
      <c r="Z591" s="240" t="n"/>
      <c r="AB591" s="241" t="n"/>
      <c r="AC591" s="240" t="n"/>
      <c r="AD591" s="241" t="n"/>
      <c r="AE591" t="n">
        <v>1.01</v>
      </c>
    </row>
    <row r="592">
      <c r="A592" s="232" t="n">
        <v>120</v>
      </c>
      <c r="B592" s="42" t="n">
        <v>120</v>
      </c>
      <c r="C592" s="118">
        <f>INDIRECT("'Закуп'!A" &amp; B592)</f>
        <v/>
      </c>
      <c r="D592" s="119">
        <f>C592*1.2</f>
        <v/>
      </c>
      <c r="E592" s="224">
        <f>INDIRECT("'Закуп'!D" &amp; A592)</f>
        <v/>
      </c>
      <c r="F592" s="231">
        <f>INDIRECT("'Закуп'!E" &amp; B592)</f>
        <v/>
      </c>
      <c r="G592" s="172">
        <f>IF(INDIRECT("'Закуп'!L" &amp; B592)="Sale","Sale","")</f>
        <v/>
      </c>
      <c r="H592" s="158">
        <f>IF(INDIRECT("'Закуп'!F" &amp; B592)=0,"",INDIRECT("'Закуп'!F" &amp; B592))</f>
        <v/>
      </c>
      <c r="I592" s="120" t="n">
        <v>50</v>
      </c>
      <c r="J592" s="121">
        <f>K592/1.2</f>
        <v/>
      </c>
      <c r="K592" s="242" t="n">
        <v>2.45</v>
      </c>
      <c r="L592" s="122">
        <f>J592-C592-(J592-C592)*0.2</f>
        <v/>
      </c>
      <c r="M592" s="123">
        <f>L592*I592</f>
        <v/>
      </c>
      <c r="N592" s="124" t="inlineStr">
        <is>
          <t xml:space="preserve">50-90 шт - </t>
        </is>
      </c>
      <c r="O592" s="47" t="inlineStr">
        <is>
          <t xml:space="preserve"> руб / шт с НДС</t>
        </is>
      </c>
      <c r="P592" s="125">
        <f>ROUND(K592,2)</f>
        <v/>
      </c>
      <c r="Q592" s="207">
        <f>CONCATENATE(N592,P592,O592,)</f>
        <v/>
      </c>
      <c r="R592" s="235">
        <f>INDIRECT("'Закуп'!k" &amp; A592)</f>
        <v/>
      </c>
      <c r="S592" s="239">
        <f>INDIRECT("'Закуп'!o" &amp; A592)</f>
        <v/>
      </c>
      <c r="T592" s="226">
        <f>INDIRECT("'Закуп'!p" &amp; A592)</f>
        <v/>
      </c>
      <c r="U592" s="235">
        <f>INDIRECT("'Закуп'!v" &amp; A592)</f>
        <v/>
      </c>
      <c r="V592" s="222">
        <f>INDIRECT("'Закуп'!w" &amp; A592)</f>
        <v/>
      </c>
      <c r="W592" s="229">
        <f>INDIRECT("'Закуп'!H" &amp; A592)</f>
        <v/>
      </c>
      <c r="X592" s="237">
        <f>INDIRECT("'Закуп'!g" &amp; A592)</f>
        <v/>
      </c>
      <c r="Y592" s="229">
        <f>INDIRECT("'Закуп'!i" &amp; A592)</f>
        <v/>
      </c>
      <c r="Z592" s="236">
        <f>INDIRECT("'Закуп'!x" &amp; A592)</f>
        <v/>
      </c>
      <c r="AA592" s="237">
        <f>INDIRECT("'Закуп'!y" &amp; A592)</f>
        <v/>
      </c>
      <c r="AB592" s="238">
        <f>INDIRECT("'Закуп'!z" &amp; A592)</f>
        <v/>
      </c>
      <c r="AC592" s="223">
        <f>SUBSTITUTE(INDEX(F:F, ROUNDUP((ROW(A591))/5,0)*5 - 3), "х", "x")</f>
        <v/>
      </c>
      <c r="AD592" s="222">
        <f>SUBSTITUTE(INDEX(F:F, ROUNDUP((ROW(A591))/5,0)*5 - 3), "х", "x") &amp; " - " &amp; SUBSTITUTE(SUBSTITUTE(INDEX(F:F, ROUNDUP((ROW(A591))/5,0)*5 - 3), "х", "*"), "x", "*") &amp; " мм"</f>
        <v/>
      </c>
      <c r="AE592" t="n">
        <v>3.62</v>
      </c>
    </row>
    <row r="593">
      <c r="B593" s="42" t="n">
        <v>120</v>
      </c>
      <c r="C593" s="118">
        <f>INDIRECT("'Закуп'!A" &amp; B593)</f>
        <v/>
      </c>
      <c r="D593" s="119">
        <f>C593*1.2</f>
        <v/>
      </c>
      <c r="G593" s="172">
        <f>IF(INDIRECT("'Закуп'!L" &amp; B593)="Sale","Sale","")</f>
        <v/>
      </c>
      <c r="H593" s="158">
        <f>IF(INDIRECT("'Закуп'!F" &amp; B593)=0,"",INDIRECT("'Закуп'!F" &amp; B593))</f>
        <v/>
      </c>
      <c r="I593" s="120" t="n">
        <v>100</v>
      </c>
      <c r="J593" s="121">
        <f>K593/1.2</f>
        <v/>
      </c>
      <c r="K593" s="242" t="n">
        <v>2.1</v>
      </c>
      <c r="L593" s="122">
        <f>J593-C593-(J593-C593)*0.2</f>
        <v/>
      </c>
      <c r="M593" s="123">
        <f>L593*I593</f>
        <v/>
      </c>
      <c r="N593" s="124" t="inlineStr">
        <is>
          <t xml:space="preserve">100-290 шт - </t>
        </is>
      </c>
      <c r="O593" s="47" t="inlineStr">
        <is>
          <t xml:space="preserve"> руб / шт с НДС</t>
        </is>
      </c>
      <c r="P593" s="125">
        <f>ROUND(K593,2)</f>
        <v/>
      </c>
      <c r="Q593" s="207">
        <f>CONCATENATE(N593,P593,O593,)</f>
        <v/>
      </c>
      <c r="R593" s="240" t="n"/>
      <c r="T593" s="241" t="n"/>
      <c r="U593" s="240" t="n"/>
      <c r="V593" s="241" t="n"/>
      <c r="Z593" s="240" t="n"/>
      <c r="AB593" s="241" t="n"/>
      <c r="AC593" s="240" t="n"/>
      <c r="AD593" s="241" t="n"/>
      <c r="AE593" t="n">
        <v>2.9</v>
      </c>
    </row>
    <row r="594">
      <c r="B594" s="42" t="n">
        <v>120</v>
      </c>
      <c r="C594" s="118">
        <f>INDIRECT("'Закуп'!A" &amp; B594)</f>
        <v/>
      </c>
      <c r="D594" s="119">
        <f>C594*1.2</f>
        <v/>
      </c>
      <c r="G594" s="172">
        <f>IF(INDIRECT("'Закуп'!L" &amp; B594)="Sale","Sale","")</f>
        <v/>
      </c>
      <c r="H594" s="158">
        <f>IF(INDIRECT("'Закуп'!F" &amp; B594)=0,"",INDIRECT("'Закуп'!F" &amp; B594))</f>
        <v/>
      </c>
      <c r="I594" s="120" t="n">
        <v>300</v>
      </c>
      <c r="J594" s="121">
        <f>K594/1.2</f>
        <v/>
      </c>
      <c r="K594" s="242" t="n">
        <v>1.98</v>
      </c>
      <c r="L594" s="122">
        <f>J594-C594-(J594-C594)*0.2</f>
        <v/>
      </c>
      <c r="M594" s="123">
        <f>L594*I594</f>
        <v/>
      </c>
      <c r="N594" s="124" t="inlineStr">
        <is>
          <t xml:space="preserve">300-490 шт - </t>
        </is>
      </c>
      <c r="O594" s="47" t="inlineStr">
        <is>
          <t xml:space="preserve"> руб / шт с НДС</t>
        </is>
      </c>
      <c r="P594" s="125">
        <f>ROUND(K594,2)</f>
        <v/>
      </c>
      <c r="Q594" s="207">
        <f>CONCATENATE(N594,P594,O594,)</f>
        <v/>
      </c>
      <c r="R594" s="240" t="n"/>
      <c r="T594" s="241" t="n"/>
      <c r="U594" s="240" t="n"/>
      <c r="V594" s="241" t="n"/>
      <c r="Z594" s="240" t="n"/>
      <c r="AB594" s="241" t="n"/>
      <c r="AC594" s="240" t="n"/>
      <c r="AD594" s="241" t="n"/>
      <c r="AE594" t="n">
        <v>2.44</v>
      </c>
    </row>
    <row r="595">
      <c r="B595" s="42" t="n">
        <v>120</v>
      </c>
      <c r="C595" s="118">
        <f>INDIRECT("'Закуп'!A" &amp; B595)</f>
        <v/>
      </c>
      <c r="D595" s="119">
        <f>C595*1.2</f>
        <v/>
      </c>
      <c r="G595" s="172">
        <f>IF(INDIRECT("'Закуп'!L" &amp; B595)="Sale","Sale","")</f>
        <v/>
      </c>
      <c r="H595" s="158">
        <f>IF(INDIRECT("'Закуп'!F" &amp; B595)=0,"",INDIRECT("'Закуп'!F" &amp; B595))</f>
        <v/>
      </c>
      <c r="I595" s="120" t="n">
        <v>500</v>
      </c>
      <c r="J595" s="121">
        <f>K595/1.2</f>
        <v/>
      </c>
      <c r="K595" s="242" t="n">
        <v>1.78</v>
      </c>
      <c r="L595" s="122">
        <f>J595-C595-(J595-C595)*0.2</f>
        <v/>
      </c>
      <c r="M595" s="123">
        <f>L595*I595</f>
        <v/>
      </c>
      <c r="N595" s="124" t="inlineStr">
        <is>
          <t xml:space="preserve">500-990 шт - </t>
        </is>
      </c>
      <c r="O595" s="47" t="inlineStr">
        <is>
          <t xml:space="preserve"> руб / шт с НДС</t>
        </is>
      </c>
      <c r="P595" s="125">
        <f>ROUND(K595,2)</f>
        <v/>
      </c>
      <c r="Q595" s="207">
        <f>CONCATENATE(N595,P595,O595,)</f>
        <v/>
      </c>
      <c r="R595" s="240" t="n"/>
      <c r="T595" s="241" t="n"/>
      <c r="U595" s="240" t="n"/>
      <c r="V595" s="241" t="n"/>
      <c r="Z595" s="240" t="n"/>
      <c r="AB595" s="241" t="n"/>
      <c r="AC595" s="240" t="n"/>
      <c r="AD595" s="241" t="n"/>
      <c r="AE595" t="n">
        <v>2.32</v>
      </c>
    </row>
    <row r="596">
      <c r="B596" s="42" t="n">
        <v>120</v>
      </c>
      <c r="C596" s="118">
        <f>INDIRECT("'Закуп'!A" &amp; B596)</f>
        <v/>
      </c>
      <c r="D596" s="119">
        <f>C596*1.2</f>
        <v/>
      </c>
      <c r="G596" s="172">
        <f>IF(INDIRECT("'Закуп'!L" &amp; B596)="Sale","Sale","")</f>
        <v/>
      </c>
      <c r="H596" s="158">
        <f>IF(INDIRECT("'Закуп'!F" &amp; B596)=0,"",INDIRECT("'Закуп'!F" &amp; B596))</f>
        <v/>
      </c>
      <c r="I596" s="120" t="n">
        <v>1000</v>
      </c>
      <c r="J596" s="121">
        <f>K596/1.2</f>
        <v/>
      </c>
      <c r="K596" s="242" t="n">
        <v>1.72</v>
      </c>
      <c r="L596" s="122">
        <f>J596-C596-(J596-C596)*0.2</f>
        <v/>
      </c>
      <c r="M596" s="123">
        <f>L596*I596</f>
        <v/>
      </c>
      <c r="N596" s="124" t="inlineStr">
        <is>
          <t xml:space="preserve">1000 + шт - </t>
        </is>
      </c>
      <c r="O596" s="47" t="inlineStr">
        <is>
          <t xml:space="preserve"> руб / шт с НДС</t>
        </is>
      </c>
      <c r="P596" s="125">
        <f>ROUND(K596,2)</f>
        <v/>
      </c>
      <c r="Q596" s="207">
        <f>CONCATENATE(N596,P596,O596,)</f>
        <v/>
      </c>
      <c r="R596" s="240" t="n"/>
      <c r="T596" s="241" t="n"/>
      <c r="U596" s="240" t="n"/>
      <c r="V596" s="241" t="n"/>
      <c r="Z596" s="240" t="n"/>
      <c r="AB596" s="241" t="n"/>
      <c r="AC596" s="240" t="n"/>
      <c r="AD596" s="241" t="n"/>
      <c r="AE596" t="n">
        <v>2.2</v>
      </c>
    </row>
    <row r="597">
      <c r="A597" s="232" t="n">
        <v>121</v>
      </c>
      <c r="B597" s="42" t="n">
        <v>121</v>
      </c>
      <c r="C597" s="118">
        <f>INDIRECT("'Закуп'!A" &amp; B597)</f>
        <v/>
      </c>
      <c r="D597" s="119">
        <f>C597*1.2</f>
        <v/>
      </c>
      <c r="E597" s="224">
        <f>INDIRECT("'Закуп'!D" &amp; A597)</f>
        <v/>
      </c>
      <c r="F597" s="231">
        <f>INDIRECT("'Закуп'!E" &amp; B597)</f>
        <v/>
      </c>
      <c r="G597" s="172">
        <f>IF(INDIRECT("'Закуп'!L" &amp; B597)="Sale","Sale","")</f>
        <v/>
      </c>
      <c r="H597" s="158">
        <f>IF(INDIRECT("'Закуп'!F" &amp; B597)=0,"",INDIRECT("'Закуп'!F" &amp; B597))</f>
        <v/>
      </c>
      <c r="I597" s="120" t="n">
        <v>50</v>
      </c>
      <c r="J597" s="121">
        <f>K597/1.2</f>
        <v/>
      </c>
      <c r="K597" s="242" t="n">
        <v>2.4</v>
      </c>
      <c r="L597" s="122">
        <f>J597-C597-(J597-C597)*0.2</f>
        <v/>
      </c>
      <c r="M597" s="123">
        <f>L597*I597</f>
        <v/>
      </c>
      <c r="N597" s="124" t="inlineStr">
        <is>
          <t xml:space="preserve">50-90 шт - </t>
        </is>
      </c>
      <c r="O597" s="47" t="inlineStr">
        <is>
          <t xml:space="preserve"> руб / шт с НДС</t>
        </is>
      </c>
      <c r="P597" s="125">
        <f>ROUND(K597,2)</f>
        <v/>
      </c>
      <c r="Q597" s="207">
        <f>CONCATENATE(N597,P597,O597,)</f>
        <v/>
      </c>
      <c r="R597" s="235">
        <f>INDIRECT("'Закуп'!k" &amp; A597)</f>
        <v/>
      </c>
      <c r="S597" s="239">
        <f>INDIRECT("'Закуп'!o" &amp; A597)</f>
        <v/>
      </c>
      <c r="T597" s="226">
        <f>INDIRECT("'Закуп'!p" &amp; A597)</f>
        <v/>
      </c>
      <c r="U597" s="235">
        <f>INDIRECT("'Закуп'!v" &amp; A597)</f>
        <v/>
      </c>
      <c r="V597" s="222">
        <f>INDIRECT("'Закуп'!w" &amp; A597)</f>
        <v/>
      </c>
      <c r="W597" s="229">
        <f>INDIRECT("'Закуп'!H" &amp; A597)</f>
        <v/>
      </c>
      <c r="X597" s="237">
        <f>INDIRECT("'Закуп'!g" &amp; A597)</f>
        <v/>
      </c>
      <c r="Y597" s="229">
        <f>INDIRECT("'Закуп'!i" &amp; A597)</f>
        <v/>
      </c>
      <c r="Z597" s="236">
        <f>INDIRECT("'Закуп'!x" &amp; A597)</f>
        <v/>
      </c>
      <c r="AA597" s="237">
        <f>INDIRECT("'Закуп'!y" &amp; A597)</f>
        <v/>
      </c>
      <c r="AB597" s="238">
        <f>INDIRECT("'Закуп'!z" &amp; A597)</f>
        <v/>
      </c>
      <c r="AC597" s="223">
        <f>SUBSTITUTE(INDEX(F:F, ROUNDUP((ROW(A596))/5,0)*5 - 3), "х", "x")</f>
        <v/>
      </c>
      <c r="AD597" s="222">
        <f>SUBSTITUTE(INDEX(F:F, ROUNDUP((ROW(A596))/5,0)*5 - 3), "х", "x") &amp; " - " &amp; SUBSTITUTE(SUBSTITUTE(INDEX(F:F, ROUNDUP((ROW(A596))/5,0)*5 - 3), "х", "*"), "x", "*") &amp; " мм"</f>
        <v/>
      </c>
      <c r="AE597" t="n">
        <v>1.77</v>
      </c>
    </row>
    <row r="598">
      <c r="B598" s="42" t="n">
        <v>121</v>
      </c>
      <c r="C598" s="118">
        <f>INDIRECT("'Закуп'!A" &amp; B598)</f>
        <v/>
      </c>
      <c r="D598" s="119">
        <f>C598*1.2</f>
        <v/>
      </c>
      <c r="G598" s="172">
        <f>IF(INDIRECT("'Закуп'!L" &amp; B598)="Sale","Sale","")</f>
        <v/>
      </c>
      <c r="H598" s="158">
        <f>IF(INDIRECT("'Закуп'!F" &amp; B598)=0,"",INDIRECT("'Закуп'!F" &amp; B598))</f>
        <v/>
      </c>
      <c r="I598" s="120" t="n">
        <v>100</v>
      </c>
      <c r="J598" s="121">
        <f>K598/1.2</f>
        <v/>
      </c>
      <c r="K598" s="242" t="n">
        <v>2.12</v>
      </c>
      <c r="L598" s="122">
        <f>J598-C598-(J598-C598)*0.2</f>
        <v/>
      </c>
      <c r="M598" s="123">
        <f>L598*I598</f>
        <v/>
      </c>
      <c r="N598" s="124" t="inlineStr">
        <is>
          <t xml:space="preserve">100-290 шт - </t>
        </is>
      </c>
      <c r="O598" s="47" t="inlineStr">
        <is>
          <t xml:space="preserve"> руб / шт с НДС</t>
        </is>
      </c>
      <c r="P598" s="125">
        <f>ROUND(K598,2)</f>
        <v/>
      </c>
      <c r="Q598" s="207">
        <f>CONCATENATE(N598,P598,O598,)</f>
        <v/>
      </c>
      <c r="R598" s="240" t="n"/>
      <c r="T598" s="241" t="n"/>
      <c r="U598" s="240" t="n"/>
      <c r="V598" s="241" t="n"/>
      <c r="Z598" s="240" t="n"/>
      <c r="AB598" s="241" t="n"/>
      <c r="AC598" s="240" t="n"/>
      <c r="AD598" s="241" t="n"/>
      <c r="AE598" t="n">
        <v>1.61</v>
      </c>
    </row>
    <row r="599">
      <c r="B599" s="42" t="n">
        <v>121</v>
      </c>
      <c r="C599" s="118">
        <f>INDIRECT("'Закуп'!A" &amp; B599)</f>
        <v/>
      </c>
      <c r="D599" s="119">
        <f>C599*1.2</f>
        <v/>
      </c>
      <c r="G599" s="172">
        <f>IF(INDIRECT("'Закуп'!L" &amp; B599)="Sale","Sale","")</f>
        <v/>
      </c>
      <c r="H599" s="158">
        <f>IF(INDIRECT("'Закуп'!F" &amp; B599)=0,"",INDIRECT("'Закуп'!F" &amp; B599))</f>
        <v/>
      </c>
      <c r="I599" s="120" t="n">
        <v>300</v>
      </c>
      <c r="J599" s="121">
        <f>K599/1.2</f>
        <v/>
      </c>
      <c r="K599" s="242" t="n">
        <v>1.83</v>
      </c>
      <c r="L599" s="122">
        <f>J599-C599-(J599-C599)*0.2</f>
        <v/>
      </c>
      <c r="M599" s="123">
        <f>L599*I599</f>
        <v/>
      </c>
      <c r="N599" s="124" t="inlineStr">
        <is>
          <t xml:space="preserve">300-490 шт - </t>
        </is>
      </c>
      <c r="O599" s="47" t="inlineStr">
        <is>
          <t xml:space="preserve"> руб / шт с НДС</t>
        </is>
      </c>
      <c r="P599" s="125">
        <f>ROUND(K599,2)</f>
        <v/>
      </c>
      <c r="Q599" s="207">
        <f>CONCATENATE(N599,P599,O599,)</f>
        <v/>
      </c>
      <c r="R599" s="240" t="n"/>
      <c r="T599" s="241" t="n"/>
      <c r="U599" s="240" t="n"/>
      <c r="V599" s="241" t="n"/>
      <c r="Z599" s="240" t="n"/>
      <c r="AB599" s="241" t="n"/>
      <c r="AC599" s="240" t="n"/>
      <c r="AD599" s="241" t="n"/>
      <c r="AE599" t="n">
        <v>1.47</v>
      </c>
    </row>
    <row r="600">
      <c r="B600" s="42" t="n">
        <v>121</v>
      </c>
      <c r="C600" s="118">
        <f>INDIRECT("'Закуп'!A" &amp; B600)</f>
        <v/>
      </c>
      <c r="D600" s="119">
        <f>C600*1.2</f>
        <v/>
      </c>
      <c r="G600" s="172">
        <f>IF(INDIRECT("'Закуп'!L" &amp; B600)="Sale","Sale","")</f>
        <v/>
      </c>
      <c r="H600" s="158">
        <f>IF(INDIRECT("'Закуп'!F" &amp; B600)=0,"",INDIRECT("'Закуп'!F" &amp; B600))</f>
        <v/>
      </c>
      <c r="I600" s="120" t="n">
        <v>500</v>
      </c>
      <c r="J600" s="121">
        <f>K600/1.2</f>
        <v/>
      </c>
      <c r="K600" s="242" t="n">
        <v>1.69</v>
      </c>
      <c r="L600" s="122">
        <f>J600-C600-(J600-C600)*0.2</f>
        <v/>
      </c>
      <c r="M600" s="123">
        <f>L600*I600</f>
        <v/>
      </c>
      <c r="N600" s="124" t="inlineStr">
        <is>
          <t xml:space="preserve">500-990 шт - </t>
        </is>
      </c>
      <c r="O600" s="47" t="inlineStr">
        <is>
          <t xml:space="preserve"> руб / шт с НДС</t>
        </is>
      </c>
      <c r="P600" s="125">
        <f>ROUND(K600,2)</f>
        <v/>
      </c>
      <c r="Q600" s="207">
        <f>CONCATENATE(N600,P600,O600,)</f>
        <v/>
      </c>
      <c r="R600" s="240" t="n"/>
      <c r="T600" s="241" t="n"/>
      <c r="U600" s="240" t="n"/>
      <c r="V600" s="241" t="n"/>
      <c r="Z600" s="240" t="n"/>
      <c r="AB600" s="241" t="n"/>
      <c r="AC600" s="240" t="n"/>
      <c r="AD600" s="241" t="n"/>
      <c r="AE600" t="n">
        <v>1.35</v>
      </c>
    </row>
    <row r="601">
      <c r="B601" s="42" t="n">
        <v>121</v>
      </c>
      <c r="C601" s="118">
        <f>INDIRECT("'Закуп'!A" &amp; B601)</f>
        <v/>
      </c>
      <c r="D601" s="119">
        <f>C601*1.2</f>
        <v/>
      </c>
      <c r="G601" s="172">
        <f>IF(INDIRECT("'Закуп'!L" &amp; B601)="Sale","Sale","")</f>
        <v/>
      </c>
      <c r="H601" s="158">
        <f>IF(INDIRECT("'Закуп'!F" &amp; B601)=0,"",INDIRECT("'Закуп'!F" &amp; B601))</f>
        <v/>
      </c>
      <c r="I601" s="120" t="n">
        <v>1000</v>
      </c>
      <c r="J601" s="121">
        <f>K601/1.2</f>
        <v/>
      </c>
      <c r="K601" s="242" t="n">
        <v>1.41</v>
      </c>
      <c r="L601" s="122">
        <f>J601-C601-(J601-C601)*0.2</f>
        <v/>
      </c>
      <c r="M601" s="123">
        <f>L601*I601</f>
        <v/>
      </c>
      <c r="N601" s="124" t="inlineStr">
        <is>
          <t xml:space="preserve">1000 + шт - </t>
        </is>
      </c>
      <c r="O601" s="47" t="inlineStr">
        <is>
          <t xml:space="preserve"> руб / шт с НДС</t>
        </is>
      </c>
      <c r="P601" s="125">
        <f>ROUND(K601,2)</f>
        <v/>
      </c>
      <c r="Q601" s="207">
        <f>CONCATENATE(N601,P601,O601,)</f>
        <v/>
      </c>
      <c r="R601" s="240" t="n"/>
      <c r="T601" s="241" t="n"/>
      <c r="U601" s="240" t="n"/>
      <c r="V601" s="241" t="n"/>
      <c r="Z601" s="240" t="n"/>
      <c r="AB601" s="241" t="n"/>
      <c r="AC601" s="240" t="n"/>
      <c r="AD601" s="241" t="n"/>
      <c r="AE601" t="n">
        <v>1.2</v>
      </c>
    </row>
    <row r="602">
      <c r="A602" s="232" t="n">
        <v>122</v>
      </c>
      <c r="B602" s="42" t="n">
        <v>122</v>
      </c>
      <c r="C602" s="118">
        <f>INDIRECT("'Закуп'!A" &amp; B602)</f>
        <v/>
      </c>
      <c r="D602" s="119">
        <f>C602*1.2</f>
        <v/>
      </c>
      <c r="E602" s="224">
        <f>INDIRECT("'Закуп'!D" &amp; A602)</f>
        <v/>
      </c>
      <c r="F602" s="231">
        <f>INDIRECT("'Закуп'!E" &amp; B602)</f>
        <v/>
      </c>
      <c r="G602" s="172">
        <f>IF(INDIRECT("'Закуп'!L" &amp; B602)="Sale","Sale","")</f>
        <v/>
      </c>
      <c r="H602" s="158">
        <f>IF(INDIRECT("'Закуп'!F" &amp; B602)=0,"",INDIRECT("'Закуп'!F" &amp; B602))</f>
        <v/>
      </c>
      <c r="I602" s="120" t="n">
        <v>50</v>
      </c>
      <c r="J602" s="121">
        <f>K602/1.2</f>
        <v/>
      </c>
      <c r="K602" s="242" t="n">
        <v>1.57</v>
      </c>
      <c r="L602" s="122">
        <f>J602-C602-(J602-C602)*0.2</f>
        <v/>
      </c>
      <c r="M602" s="123">
        <f>L602*I602</f>
        <v/>
      </c>
      <c r="N602" s="124" t="inlineStr">
        <is>
          <t xml:space="preserve">50-90 шт - </t>
        </is>
      </c>
      <c r="O602" s="47" t="inlineStr">
        <is>
          <t xml:space="preserve"> руб / шт с НДС</t>
        </is>
      </c>
      <c r="P602" s="125">
        <f>ROUND(K602,2)</f>
        <v/>
      </c>
      <c r="Q602" s="207">
        <f>CONCATENATE(N602,P602,O602,)</f>
        <v/>
      </c>
      <c r="R602" s="235">
        <f>INDIRECT("'Закуп'!k" &amp; A602)</f>
        <v/>
      </c>
      <c r="S602" s="239">
        <f>INDIRECT("'Закуп'!o" &amp; A602)</f>
        <v/>
      </c>
      <c r="T602" s="226">
        <f>INDIRECT("'Закуп'!p" &amp; A602)</f>
        <v/>
      </c>
      <c r="U602" s="235">
        <f>INDIRECT("'Закуп'!v" &amp; A602)</f>
        <v/>
      </c>
      <c r="V602" s="222">
        <f>INDIRECT("'Закуп'!w" &amp; A602)</f>
        <v/>
      </c>
      <c r="W602" s="229">
        <f>INDIRECT("'Закуп'!H" &amp; A602)</f>
        <v/>
      </c>
      <c r="X602" s="237">
        <f>INDIRECT("'Закуп'!g" &amp; A602)</f>
        <v/>
      </c>
      <c r="Y602" s="229">
        <f>INDIRECT("'Закуп'!i" &amp; A602)</f>
        <v/>
      </c>
      <c r="Z602" s="236">
        <f>INDIRECT("'Закуп'!x" &amp; A602)</f>
        <v/>
      </c>
      <c r="AA602" s="237">
        <f>INDIRECT("'Закуп'!y" &amp; A602)</f>
        <v/>
      </c>
      <c r="AB602" s="238">
        <f>INDIRECT("'Закуп'!z" &amp; A602)</f>
        <v/>
      </c>
      <c r="AC602" s="223">
        <f>SUBSTITUTE(INDEX(F:F, ROUNDUP((ROW(A601))/5,0)*5 - 3), "х", "x")</f>
        <v/>
      </c>
      <c r="AD602" s="222">
        <f>SUBSTITUTE(INDEX(F:F, ROUNDUP((ROW(A601))/5,0)*5 - 3), "х", "x") &amp; " - " &amp; SUBSTITUTE(SUBSTITUTE(INDEX(F:F, ROUNDUP((ROW(A601))/5,0)*5 - 3), "х", "*"), "x", "*") &amp; " мм"</f>
        <v/>
      </c>
      <c r="AE602" t="n">
        <v>1.29</v>
      </c>
    </row>
    <row r="603">
      <c r="B603" s="42" t="n">
        <v>122</v>
      </c>
      <c r="C603" s="118">
        <f>INDIRECT("'Закуп'!A" &amp; B603)</f>
        <v/>
      </c>
      <c r="D603" s="119">
        <f>C603*1.2</f>
        <v/>
      </c>
      <c r="G603" s="172">
        <f>IF(INDIRECT("'Закуп'!L" &amp; B603)="Sale","Sale","")</f>
        <v/>
      </c>
      <c r="H603" s="158">
        <f>IF(INDIRECT("'Закуп'!F" &amp; B603)=0,"",INDIRECT("'Закуп'!F" &amp; B603))</f>
        <v/>
      </c>
      <c r="I603" s="120" t="n">
        <v>100</v>
      </c>
      <c r="J603" s="121">
        <f>K603/1.2</f>
        <v/>
      </c>
      <c r="K603" s="242" t="n">
        <v>1.39</v>
      </c>
      <c r="L603" s="122">
        <f>J603-C603-(J603-C603)*0.2</f>
        <v/>
      </c>
      <c r="M603" s="123">
        <f>L603*I603</f>
        <v/>
      </c>
      <c r="N603" s="124" t="inlineStr">
        <is>
          <t xml:space="preserve">100-290 шт - </t>
        </is>
      </c>
      <c r="O603" s="47" t="inlineStr">
        <is>
          <t xml:space="preserve"> руб / шт с НДС</t>
        </is>
      </c>
      <c r="P603" s="125">
        <f>ROUND(K603,2)</f>
        <v/>
      </c>
      <c r="Q603" s="207">
        <f>CONCATENATE(N603,P603,O603,)</f>
        <v/>
      </c>
      <c r="R603" s="240" t="n"/>
      <c r="T603" s="241" t="n"/>
      <c r="U603" s="240" t="n"/>
      <c r="V603" s="241" t="n"/>
      <c r="Z603" s="240" t="n"/>
      <c r="AB603" s="241" t="n"/>
      <c r="AC603" s="240" t="n"/>
      <c r="AD603" s="241" t="n"/>
      <c r="AE603" t="n">
        <v>1.13</v>
      </c>
    </row>
    <row r="604">
      <c r="B604" s="42" t="n">
        <v>122</v>
      </c>
      <c r="C604" s="118">
        <f>INDIRECT("'Закуп'!A" &amp; B604)</f>
        <v/>
      </c>
      <c r="D604" s="119">
        <f>C604*1.2</f>
        <v/>
      </c>
      <c r="G604" s="172">
        <f>IF(INDIRECT("'Закуп'!L" &amp; B604)="Sale","Sale","")</f>
        <v/>
      </c>
      <c r="H604" s="158">
        <f>IF(INDIRECT("'Закуп'!F" &amp; B604)=0,"",INDIRECT("'Закуп'!F" &amp; B604))</f>
        <v/>
      </c>
      <c r="I604" s="120" t="n">
        <v>300</v>
      </c>
      <c r="J604" s="121">
        <f>K604/1.2</f>
        <v/>
      </c>
      <c r="K604" s="242" t="n">
        <v>1.2</v>
      </c>
      <c r="L604" s="122">
        <f>J604-C604-(J604-C604)*0.2</f>
        <v/>
      </c>
      <c r="M604" s="123">
        <f>L604*I604</f>
        <v/>
      </c>
      <c r="N604" s="124" t="inlineStr">
        <is>
          <t xml:space="preserve">300-490 шт - </t>
        </is>
      </c>
      <c r="O604" s="47" t="inlineStr">
        <is>
          <t xml:space="preserve"> руб / шт с НДС</t>
        </is>
      </c>
      <c r="P604" s="125">
        <f>ROUND(K604,2)</f>
        <v/>
      </c>
      <c r="Q604" s="207">
        <f>CONCATENATE(N604,P604,O604,)</f>
        <v/>
      </c>
      <c r="R604" s="240" t="n"/>
      <c r="T604" s="241" t="n"/>
      <c r="U604" s="240" t="n"/>
      <c r="V604" s="241" t="n"/>
      <c r="Z604" s="240" t="n"/>
      <c r="AB604" s="241" t="n"/>
      <c r="AC604" s="240" t="n"/>
      <c r="AD604" s="241" t="n"/>
      <c r="AE604" t="n">
        <v>0.96</v>
      </c>
    </row>
    <row r="605">
      <c r="B605" s="42" t="n">
        <v>122</v>
      </c>
      <c r="C605" s="118">
        <f>INDIRECT("'Закуп'!A" &amp; B605)</f>
        <v/>
      </c>
      <c r="D605" s="119">
        <f>C605*1.2</f>
        <v/>
      </c>
      <c r="G605" s="172">
        <f>IF(INDIRECT("'Закуп'!L" &amp; B605)="Sale","Sale","")</f>
        <v/>
      </c>
      <c r="H605" s="158">
        <f>IF(INDIRECT("'Закуп'!F" &amp; B605)=0,"",INDIRECT("'Закуп'!F" &amp; B605))</f>
        <v/>
      </c>
      <c r="I605" s="120" t="n">
        <v>500</v>
      </c>
      <c r="J605" s="121">
        <f>K605/1.2</f>
        <v/>
      </c>
      <c r="K605" s="242" t="n">
        <v>1.11</v>
      </c>
      <c r="L605" s="122">
        <f>J605-C605-(J605-C605)*0.2</f>
        <v/>
      </c>
      <c r="M605" s="123">
        <f>L605*I605</f>
        <v/>
      </c>
      <c r="N605" s="124" t="inlineStr">
        <is>
          <t xml:space="preserve">500-990 шт - </t>
        </is>
      </c>
      <c r="O605" s="47" t="inlineStr">
        <is>
          <t xml:space="preserve"> руб / шт с НДС</t>
        </is>
      </c>
      <c r="P605" s="125">
        <f>ROUND(K605,2)</f>
        <v/>
      </c>
      <c r="Q605" s="207">
        <f>CONCATENATE(N605,P605,O605,)</f>
        <v/>
      </c>
      <c r="R605" s="240" t="n"/>
      <c r="T605" s="241" t="n"/>
      <c r="U605" s="240" t="n"/>
      <c r="V605" s="241" t="n"/>
      <c r="Z605" s="240" t="n"/>
      <c r="AB605" s="241" t="n"/>
      <c r="AC605" s="240" t="n"/>
      <c r="AD605" s="241" t="n"/>
      <c r="AE605" t="n">
        <v>0.9</v>
      </c>
    </row>
    <row r="606">
      <c r="B606" s="42" t="n">
        <v>122</v>
      </c>
      <c r="C606" s="118">
        <f>INDIRECT("'Закуп'!A" &amp; B606)</f>
        <v/>
      </c>
      <c r="D606" s="119">
        <f>C606*1.2</f>
        <v/>
      </c>
      <c r="G606" s="172">
        <f>IF(INDIRECT("'Закуп'!L" &amp; B606)="Sale","Sale","")</f>
        <v/>
      </c>
      <c r="H606" s="158">
        <f>IF(INDIRECT("'Закуп'!F" &amp; B606)=0,"",INDIRECT("'Закуп'!F" &amp; B606))</f>
        <v/>
      </c>
      <c r="I606" s="120" t="n">
        <v>1000</v>
      </c>
      <c r="J606" s="121">
        <f>K606/1.2</f>
        <v/>
      </c>
      <c r="K606" s="242" t="n">
        <v>0.93</v>
      </c>
      <c r="L606" s="122">
        <f>J606-C606-(J606-C606)*0.2</f>
        <v/>
      </c>
      <c r="M606" s="123">
        <f>L606*I606</f>
        <v/>
      </c>
      <c r="N606" s="124" t="inlineStr">
        <is>
          <t xml:space="preserve">1000 + шт - </t>
        </is>
      </c>
      <c r="O606" s="47" t="inlineStr">
        <is>
          <t xml:space="preserve"> руб / шт с НДС</t>
        </is>
      </c>
      <c r="P606" s="125">
        <f>ROUND(K606,2)</f>
        <v/>
      </c>
      <c r="Q606" s="207">
        <f>CONCATENATE(N606,P606,O606,)</f>
        <v/>
      </c>
      <c r="R606" s="240" t="n"/>
      <c r="T606" s="241" t="n"/>
      <c r="U606" s="240" t="n"/>
      <c r="V606" s="241" t="n"/>
      <c r="Z606" s="240" t="n"/>
      <c r="AB606" s="241" t="n"/>
      <c r="AC606" s="240" t="n"/>
      <c r="AD606" s="241" t="n"/>
      <c r="AE606" t="n">
        <v>0.85</v>
      </c>
    </row>
    <row r="607">
      <c r="A607" s="232" t="n">
        <v>123</v>
      </c>
      <c r="B607" s="42" t="n">
        <v>123</v>
      </c>
      <c r="C607" s="118">
        <f>INDIRECT("'Закуп'!A" &amp; B607)</f>
        <v/>
      </c>
      <c r="D607" s="119">
        <f>C607*1.2</f>
        <v/>
      </c>
      <c r="E607" s="224">
        <f>INDIRECT("'Закуп'!D" &amp; A607)</f>
        <v/>
      </c>
      <c r="F607" s="231">
        <f>INDIRECT("'Закуп'!E" &amp; B607)</f>
        <v/>
      </c>
      <c r="G607" s="172">
        <f>IF(INDIRECT("'Закуп'!L" &amp; B607)="Sale","Sale","")</f>
        <v/>
      </c>
      <c r="H607" s="158">
        <f>IF(INDIRECT("'Закуп'!F" &amp; B607)=0,"",INDIRECT("'Закуп'!F" &amp; B607))</f>
        <v/>
      </c>
      <c r="I607" s="120" t="n">
        <v>50</v>
      </c>
      <c r="J607" s="121">
        <f>K607/1.2</f>
        <v/>
      </c>
      <c r="K607" s="242" t="n">
        <v>1.63</v>
      </c>
      <c r="L607" s="122">
        <f>J607-C607-(J607-C607)*0.2</f>
        <v/>
      </c>
      <c r="M607" s="123">
        <f>L607*I607</f>
        <v/>
      </c>
      <c r="N607" s="124" t="inlineStr">
        <is>
          <t xml:space="preserve">50-90 шт - </t>
        </is>
      </c>
      <c r="O607" s="47" t="inlineStr">
        <is>
          <t xml:space="preserve"> руб / шт с НДС</t>
        </is>
      </c>
      <c r="P607" s="125">
        <f>ROUND(K607,2)</f>
        <v/>
      </c>
      <c r="Q607" s="207">
        <f>CONCATENATE(N607,P607,O607,)</f>
        <v/>
      </c>
      <c r="R607" s="235">
        <f>INDIRECT("'Закуп'!k" &amp; A607)</f>
        <v/>
      </c>
      <c r="S607" s="239">
        <f>INDIRECT("'Закуп'!o" &amp; A607)</f>
        <v/>
      </c>
      <c r="T607" s="226">
        <f>INDIRECT("'Закуп'!p" &amp; A607)</f>
        <v/>
      </c>
      <c r="U607" s="235">
        <f>INDIRECT("'Закуп'!v" &amp; A607)</f>
        <v/>
      </c>
      <c r="V607" s="222">
        <f>INDIRECT("'Закуп'!w" &amp; A607)</f>
        <v/>
      </c>
      <c r="W607" s="229">
        <f>INDIRECT("'Закуп'!H" &amp; A607)</f>
        <v/>
      </c>
      <c r="X607" s="237">
        <f>INDIRECT("'Закуп'!g" &amp; A607)</f>
        <v/>
      </c>
      <c r="Y607" s="229">
        <f>INDIRECT("'Закуп'!i" &amp; A607)</f>
        <v/>
      </c>
      <c r="Z607" s="236">
        <f>INDIRECT("'Закуп'!x" &amp; A607)</f>
        <v/>
      </c>
      <c r="AA607" s="237">
        <f>INDIRECT("'Закуп'!y" &amp; A607)</f>
        <v/>
      </c>
      <c r="AB607" s="238">
        <f>INDIRECT("'Закуп'!z" &amp; A607)</f>
        <v/>
      </c>
      <c r="AC607" s="223">
        <f>SUBSTITUTE(INDEX(F:F, ROUNDUP((ROW(A606))/5,0)*5 - 3), "х", "x")</f>
        <v/>
      </c>
      <c r="AD607" s="222">
        <f>SUBSTITUTE(INDEX(F:F, ROUNDUP((ROW(A606))/5,0)*5 - 3), "х", "x") &amp; " - " &amp; SUBSTITUTE(SUBSTITUTE(INDEX(F:F, ROUNDUP((ROW(A606))/5,0)*5 - 3), "х", "*"), "x", "*") &amp; " мм"</f>
        <v/>
      </c>
      <c r="AE607" t="n">
        <v>1.33</v>
      </c>
    </row>
    <row r="608">
      <c r="B608" s="42" t="n">
        <v>123</v>
      </c>
      <c r="C608" s="118">
        <f>INDIRECT("'Закуп'!A" &amp; B608)</f>
        <v/>
      </c>
      <c r="D608" s="119">
        <f>C608*1.2</f>
        <v/>
      </c>
      <c r="G608" s="172">
        <f>IF(INDIRECT("'Закуп'!L" &amp; B608)="Sale","Sale","")</f>
        <v/>
      </c>
      <c r="H608" s="158">
        <f>IF(INDIRECT("'Закуп'!F" &amp; B608)=0,"",INDIRECT("'Закуп'!F" &amp; B608))</f>
        <v/>
      </c>
      <c r="I608" s="120" t="n">
        <v>100</v>
      </c>
      <c r="J608" s="121">
        <f>K608/1.2</f>
        <v/>
      </c>
      <c r="K608" s="242" t="n">
        <v>1.44</v>
      </c>
      <c r="L608" s="122">
        <f>J608-C608-(J608-C608)*0.2</f>
        <v/>
      </c>
      <c r="M608" s="123">
        <f>L608*I608</f>
        <v/>
      </c>
      <c r="N608" s="124" t="inlineStr">
        <is>
          <t xml:space="preserve">100-290 шт - </t>
        </is>
      </c>
      <c r="O608" s="47" t="inlineStr">
        <is>
          <t xml:space="preserve"> руб / шт с НДС</t>
        </is>
      </c>
      <c r="P608" s="125">
        <f>ROUND(K608,2)</f>
        <v/>
      </c>
      <c r="Q608" s="207">
        <f>CONCATENATE(N608,P608,O608,)</f>
        <v/>
      </c>
      <c r="R608" s="240" t="n"/>
      <c r="T608" s="241" t="n"/>
      <c r="U608" s="240" t="n"/>
      <c r="V608" s="241" t="n"/>
      <c r="Z608" s="240" t="n"/>
      <c r="AB608" s="241" t="n"/>
      <c r="AC608" s="240" t="n"/>
      <c r="AD608" s="241" t="n"/>
      <c r="AE608" t="n">
        <v>1.16</v>
      </c>
    </row>
    <row r="609">
      <c r="B609" s="42" t="n">
        <v>123</v>
      </c>
      <c r="C609" s="118">
        <f>INDIRECT("'Закуп'!A" &amp; B609)</f>
        <v/>
      </c>
      <c r="D609" s="119">
        <f>C609*1.2</f>
        <v/>
      </c>
      <c r="G609" s="172">
        <f>IF(INDIRECT("'Закуп'!L" &amp; B609)="Sale","Sale","")</f>
        <v/>
      </c>
      <c r="H609" s="158">
        <f>IF(INDIRECT("'Закуп'!F" &amp; B609)=0,"",INDIRECT("'Закуп'!F" &amp; B609))</f>
        <v/>
      </c>
      <c r="I609" s="120" t="n">
        <v>300</v>
      </c>
      <c r="J609" s="121">
        <f>K609/1.2</f>
        <v/>
      </c>
      <c r="K609" s="242" t="n">
        <v>1.25</v>
      </c>
      <c r="L609" s="122">
        <f>J609-C609-(J609-C609)*0.2</f>
        <v/>
      </c>
      <c r="M609" s="123">
        <f>L609*I609</f>
        <v/>
      </c>
      <c r="N609" s="124" t="inlineStr">
        <is>
          <t xml:space="preserve">300-490 шт - </t>
        </is>
      </c>
      <c r="O609" s="47" t="inlineStr">
        <is>
          <t xml:space="preserve"> руб / шт с НДС</t>
        </is>
      </c>
      <c r="P609" s="125">
        <f>ROUND(K609,2)</f>
        <v/>
      </c>
      <c r="Q609" s="207">
        <f>CONCATENATE(N609,P609,O609,)</f>
        <v/>
      </c>
      <c r="R609" s="240" t="n"/>
      <c r="T609" s="241" t="n"/>
      <c r="U609" s="240" t="n"/>
      <c r="V609" s="241" t="n"/>
      <c r="Z609" s="240" t="n"/>
      <c r="AB609" s="241" t="n"/>
      <c r="AC609" s="240" t="n"/>
      <c r="AD609" s="241" t="n"/>
      <c r="AE609" t="n">
        <v>0.98</v>
      </c>
    </row>
    <row r="610">
      <c r="B610" s="42" t="n">
        <v>123</v>
      </c>
      <c r="C610" s="118">
        <f>INDIRECT("'Закуп'!A" &amp; B610)</f>
        <v/>
      </c>
      <c r="D610" s="119">
        <f>C610*1.2</f>
        <v/>
      </c>
      <c r="G610" s="172">
        <f>IF(INDIRECT("'Закуп'!L" &amp; B610)="Sale","Sale","")</f>
        <v/>
      </c>
      <c r="H610" s="158">
        <f>IF(INDIRECT("'Закуп'!F" &amp; B610)=0,"",INDIRECT("'Закуп'!F" &amp; B610))</f>
        <v/>
      </c>
      <c r="I610" s="120" t="n">
        <v>500</v>
      </c>
      <c r="J610" s="121">
        <f>K610/1.2</f>
        <v/>
      </c>
      <c r="K610" s="242" t="n">
        <v>1.15</v>
      </c>
      <c r="L610" s="122">
        <f>J610-C610-(J610-C610)*0.2</f>
        <v/>
      </c>
      <c r="M610" s="123">
        <f>L610*I610</f>
        <v/>
      </c>
      <c r="N610" s="124" t="inlineStr">
        <is>
          <t xml:space="preserve">500-990 шт - </t>
        </is>
      </c>
      <c r="O610" s="47" t="inlineStr">
        <is>
          <t xml:space="preserve"> руб / шт с НДС</t>
        </is>
      </c>
      <c r="P610" s="125">
        <f>ROUND(K610,2)</f>
        <v/>
      </c>
      <c r="Q610" s="207">
        <f>CONCATENATE(N610,P610,O610,)</f>
        <v/>
      </c>
      <c r="R610" s="240" t="n"/>
      <c r="T610" s="241" t="n"/>
      <c r="U610" s="240" t="n"/>
      <c r="V610" s="241" t="n"/>
      <c r="Z610" s="240" t="n"/>
      <c r="AB610" s="241" t="n"/>
      <c r="AC610" s="240" t="n"/>
      <c r="AD610" s="241" t="n"/>
      <c r="AE610" t="n">
        <v>0.92</v>
      </c>
    </row>
    <row r="611">
      <c r="B611" s="42" t="n">
        <v>123</v>
      </c>
      <c r="C611" s="118">
        <f>INDIRECT("'Закуп'!A" &amp; B611)</f>
        <v/>
      </c>
      <c r="D611" s="119">
        <f>C611*1.2</f>
        <v/>
      </c>
      <c r="G611" s="172">
        <f>IF(INDIRECT("'Закуп'!L" &amp; B611)="Sale","Sale","")</f>
        <v/>
      </c>
      <c r="H611" s="158">
        <f>IF(INDIRECT("'Закуп'!F" &amp; B611)=0,"",INDIRECT("'Закуп'!F" &amp; B611))</f>
        <v/>
      </c>
      <c r="I611" s="120" t="n">
        <v>1000</v>
      </c>
      <c r="J611" s="121">
        <f>K611/1.2</f>
        <v/>
      </c>
      <c r="K611" s="242" t="n">
        <v>0.96</v>
      </c>
      <c r="L611" s="122">
        <f>J611-C611-(J611-C611)*0.2</f>
        <v/>
      </c>
      <c r="M611" s="123">
        <f>L611*I611</f>
        <v/>
      </c>
      <c r="N611" s="124" t="inlineStr">
        <is>
          <t xml:space="preserve">1000 + шт - </t>
        </is>
      </c>
      <c r="O611" s="47" t="inlineStr">
        <is>
          <t xml:space="preserve"> руб / шт с НДС</t>
        </is>
      </c>
      <c r="P611" s="125">
        <f>ROUND(K611,2)</f>
        <v/>
      </c>
      <c r="Q611" s="207">
        <f>CONCATENATE(N611,P611,O611,)</f>
        <v/>
      </c>
      <c r="R611" s="240" t="n"/>
      <c r="T611" s="241" t="n"/>
      <c r="U611" s="240" t="n"/>
      <c r="V611" s="241" t="n"/>
      <c r="Z611" s="240" t="n"/>
      <c r="AB611" s="241" t="n"/>
      <c r="AC611" s="240" t="n"/>
      <c r="AD611" s="241" t="n"/>
      <c r="AE611" t="n">
        <v>0.86</v>
      </c>
    </row>
    <row r="612">
      <c r="A612" s="232" t="n">
        <v>124</v>
      </c>
      <c r="B612" s="42" t="n">
        <v>124</v>
      </c>
      <c r="C612" s="118">
        <f>INDIRECT("'Закуп'!A" &amp; B612)</f>
        <v/>
      </c>
      <c r="D612" s="119">
        <f>C612*1.2</f>
        <v/>
      </c>
      <c r="E612" s="224">
        <f>INDIRECT("'Закуп'!D" &amp; A612)</f>
        <v/>
      </c>
      <c r="F612" s="231">
        <f>INDIRECT("'Закуп'!E" &amp; B612)</f>
        <v/>
      </c>
      <c r="G612" s="172">
        <f>IF(INDIRECT("'Закуп'!L" &amp; B612)="Sale","Sale","")</f>
        <v/>
      </c>
      <c r="H612" s="158">
        <f>IF(INDIRECT("'Закуп'!F" &amp; B612)=0,"",INDIRECT("'Закуп'!F" &amp; B612))</f>
        <v/>
      </c>
      <c r="I612" s="120" t="n">
        <v>50</v>
      </c>
      <c r="J612" s="121">
        <f>K612/1.2</f>
        <v/>
      </c>
      <c r="K612" s="70" t="n">
        <v>1.04</v>
      </c>
      <c r="L612" s="122">
        <f>J612-C612-(J612-C612)*0.2</f>
        <v/>
      </c>
      <c r="M612" s="123">
        <f>L612*I612</f>
        <v/>
      </c>
      <c r="N612" s="124" t="inlineStr">
        <is>
          <t xml:space="preserve">50-90 шт - </t>
        </is>
      </c>
      <c r="O612" s="47" t="inlineStr">
        <is>
          <t xml:space="preserve"> руб / шт с НДС</t>
        </is>
      </c>
      <c r="P612" s="125">
        <f>ROUND(K612,2)</f>
        <v/>
      </c>
      <c r="Q612" s="207">
        <f>CONCATENATE(N612,P612,O612,)</f>
        <v/>
      </c>
      <c r="R612" s="235">
        <f>INDIRECT("'Закуп'!k" &amp; A612)</f>
        <v/>
      </c>
      <c r="S612" s="239">
        <f>INDIRECT("'Закуп'!o" &amp; A612)</f>
        <v/>
      </c>
      <c r="T612" s="226">
        <f>INDIRECT("'Закуп'!p" &amp; A612)</f>
        <v/>
      </c>
      <c r="U612" s="235">
        <f>INDIRECT("'Закуп'!v" &amp; A612)</f>
        <v/>
      </c>
      <c r="V612" s="222">
        <f>INDIRECT("'Закуп'!w" &amp; A612)</f>
        <v/>
      </c>
      <c r="W612" s="229">
        <f>INDIRECT("'Закуп'!H" &amp; A612)</f>
        <v/>
      </c>
      <c r="X612" s="237">
        <f>INDIRECT("'Закуп'!g" &amp; A612)</f>
        <v/>
      </c>
      <c r="Y612" s="229">
        <f>INDIRECT("'Закуп'!i" &amp; A612)</f>
        <v/>
      </c>
      <c r="Z612" s="236">
        <f>INDIRECT("'Закуп'!x" &amp; A612)</f>
        <v/>
      </c>
      <c r="AA612" s="237">
        <f>INDIRECT("'Закуп'!y" &amp; A612)</f>
        <v/>
      </c>
      <c r="AB612" s="238">
        <f>INDIRECT("'Закуп'!z" &amp; A612)</f>
        <v/>
      </c>
      <c r="AC612" s="223">
        <f>SUBSTITUTE(INDEX(F:F, ROUNDUP((ROW(A611))/5,0)*5 - 3), "х", "x")</f>
        <v/>
      </c>
      <c r="AD612" s="222">
        <f>SUBSTITUTE(INDEX(F:F, ROUNDUP((ROW(A611))/5,0)*5 - 3), "х", "x") &amp; " - " &amp; SUBSTITUTE(SUBSTITUTE(INDEX(F:F, ROUNDUP((ROW(A611))/5,0)*5 - 3), "х", "*"), "x", "*") &amp; " мм"</f>
        <v/>
      </c>
    </row>
    <row r="613">
      <c r="B613" s="42" t="n">
        <v>124</v>
      </c>
      <c r="C613" s="118">
        <f>INDIRECT("'Закуп'!A" &amp; B613)</f>
        <v/>
      </c>
      <c r="D613" s="119">
        <f>C613*1.2</f>
        <v/>
      </c>
      <c r="G613" s="172">
        <f>IF(INDIRECT("'Закуп'!L" &amp; B613)="Sale","Sale","")</f>
        <v/>
      </c>
      <c r="H613" s="158">
        <f>IF(INDIRECT("'Закуп'!F" &amp; B613)=0,"",INDIRECT("'Закуп'!F" &amp; B613))</f>
        <v/>
      </c>
      <c r="I613" s="120" t="n">
        <v>100</v>
      </c>
      <c r="J613" s="121">
        <f>K613/1.2</f>
        <v/>
      </c>
      <c r="K613" s="70" t="n">
        <v>0.9399999999999999</v>
      </c>
      <c r="L613" s="122">
        <f>J613-C613-(J613-C613)*0.2</f>
        <v/>
      </c>
      <c r="M613" s="123">
        <f>L613*I613</f>
        <v/>
      </c>
      <c r="N613" s="124" t="inlineStr">
        <is>
          <t xml:space="preserve">100-290 шт - </t>
        </is>
      </c>
      <c r="O613" s="47" t="inlineStr">
        <is>
          <t xml:space="preserve"> руб / шт с НДС</t>
        </is>
      </c>
      <c r="P613" s="125">
        <f>ROUND(K613,2)</f>
        <v/>
      </c>
      <c r="Q613" s="207">
        <f>CONCATENATE(N613,P613,O613,)</f>
        <v/>
      </c>
      <c r="R613" s="240" t="n"/>
      <c r="T613" s="241" t="n"/>
      <c r="U613" s="240" t="n"/>
      <c r="V613" s="241" t="n"/>
      <c r="Z613" s="240" t="n"/>
      <c r="AB613" s="241" t="n"/>
      <c r="AC613" s="240" t="n"/>
      <c r="AD613" s="241" t="n"/>
    </row>
    <row r="614">
      <c r="B614" s="42" t="n">
        <v>124</v>
      </c>
      <c r="C614" s="118">
        <f>INDIRECT("'Закуп'!A" &amp; B614)</f>
        <v/>
      </c>
      <c r="D614" s="119">
        <f>C614*1.2</f>
        <v/>
      </c>
      <c r="G614" s="172">
        <f>IF(INDIRECT("'Закуп'!L" &amp; B614)="Sale","Sale","")</f>
        <v/>
      </c>
      <c r="H614" s="158">
        <f>IF(INDIRECT("'Закуп'!F" &amp; B614)=0,"",INDIRECT("'Закуп'!F" &amp; B614))</f>
        <v/>
      </c>
      <c r="I614" s="120" t="n">
        <v>300</v>
      </c>
      <c r="J614" s="121">
        <f>K614/1.2</f>
        <v/>
      </c>
      <c r="K614" s="70" t="n">
        <v>0.75</v>
      </c>
      <c r="L614" s="122">
        <f>J614-C614-(J614-C614)*0.2</f>
        <v/>
      </c>
      <c r="M614" s="123">
        <f>L614*I614</f>
        <v/>
      </c>
      <c r="N614" s="124" t="inlineStr">
        <is>
          <t xml:space="preserve">300-490 шт - </t>
        </is>
      </c>
      <c r="O614" s="47" t="inlineStr">
        <is>
          <t xml:space="preserve"> руб / шт с НДС</t>
        </is>
      </c>
      <c r="P614" s="125">
        <f>ROUND(K614,2)</f>
        <v/>
      </c>
      <c r="Q614" s="207">
        <f>CONCATENATE(N614,P614,O614,)</f>
        <v/>
      </c>
      <c r="R614" s="240" t="n"/>
      <c r="T614" s="241" t="n"/>
      <c r="U614" s="240" t="n"/>
      <c r="V614" s="241" t="n"/>
      <c r="Z614" s="240" t="n"/>
      <c r="AB614" s="241" t="n"/>
      <c r="AC614" s="240" t="n"/>
      <c r="AD614" s="241" t="n"/>
    </row>
    <row r="615">
      <c r="B615" s="42" t="n">
        <v>124</v>
      </c>
      <c r="C615" s="118">
        <f>INDIRECT("'Закуп'!A" &amp; B615)</f>
        <v/>
      </c>
      <c r="D615" s="119">
        <f>C615*1.2</f>
        <v/>
      </c>
      <c r="G615" s="172">
        <f>IF(INDIRECT("'Закуп'!L" &amp; B615)="Sale","Sale","")</f>
        <v/>
      </c>
      <c r="H615" s="158">
        <f>IF(INDIRECT("'Закуп'!F" &amp; B615)=0,"",INDIRECT("'Закуп'!F" &amp; B615))</f>
        <v/>
      </c>
      <c r="I615" s="120" t="n">
        <v>500</v>
      </c>
      <c r="J615" s="121">
        <f>K615/1.2</f>
        <v/>
      </c>
      <c r="K615" s="70" t="n">
        <v>0.67</v>
      </c>
      <c r="L615" s="122">
        <f>J615-C615-(J615-C615)*0.2</f>
        <v/>
      </c>
      <c r="M615" s="123">
        <f>L615*I615</f>
        <v/>
      </c>
      <c r="N615" s="124" t="inlineStr">
        <is>
          <t xml:space="preserve">500-990 шт - </t>
        </is>
      </c>
      <c r="O615" s="47" t="inlineStr">
        <is>
          <t xml:space="preserve"> руб / шт с НДС</t>
        </is>
      </c>
      <c r="P615" s="125">
        <f>ROUND(K615,2)</f>
        <v/>
      </c>
      <c r="Q615" s="207">
        <f>CONCATENATE(N615,P615,O615,)</f>
        <v/>
      </c>
      <c r="R615" s="240" t="n"/>
      <c r="T615" s="241" t="n"/>
      <c r="U615" s="240" t="n"/>
      <c r="V615" s="241" t="n"/>
      <c r="Z615" s="240" t="n"/>
      <c r="AB615" s="241" t="n"/>
      <c r="AC615" s="240" t="n"/>
      <c r="AD615" s="241" t="n"/>
    </row>
    <row r="616">
      <c r="B616" s="42" t="n">
        <v>124</v>
      </c>
      <c r="C616" s="118">
        <f>INDIRECT("'Закуп'!A" &amp; B616)</f>
        <v/>
      </c>
      <c r="D616" s="119">
        <f>C616*1.2</f>
        <v/>
      </c>
      <c r="G616" s="172">
        <f>IF(INDIRECT("'Закуп'!L" &amp; B616)="Sale","Sale","")</f>
        <v/>
      </c>
      <c r="H616" s="158">
        <f>IF(INDIRECT("'Закуп'!F" &amp; B616)=0,"",INDIRECT("'Закуп'!F" &amp; B616))</f>
        <v/>
      </c>
      <c r="I616" s="120" t="n">
        <v>1000</v>
      </c>
      <c r="J616" s="121">
        <f>K616/1.2</f>
        <v/>
      </c>
      <c r="K616" s="70" t="n">
        <v>0.52</v>
      </c>
      <c r="L616" s="122">
        <f>J616-C616-(J616-C616)*0.2</f>
        <v/>
      </c>
      <c r="M616" s="123">
        <f>L616*I616</f>
        <v/>
      </c>
      <c r="N616" s="124" t="inlineStr">
        <is>
          <t xml:space="preserve">1000 + шт - </t>
        </is>
      </c>
      <c r="O616" s="47" t="inlineStr">
        <is>
          <t xml:space="preserve"> руб / шт с НДС</t>
        </is>
      </c>
      <c r="P616" s="125">
        <f>ROUND(K616,2)</f>
        <v/>
      </c>
      <c r="Q616" s="207">
        <f>CONCATENATE(N616,P616,O616,)</f>
        <v/>
      </c>
      <c r="R616" s="240" t="n"/>
      <c r="T616" s="241" t="n"/>
      <c r="U616" s="240" t="n"/>
      <c r="V616" s="241" t="n"/>
      <c r="Z616" s="240" t="n"/>
      <c r="AB616" s="241" t="n"/>
      <c r="AC616" s="240" t="n"/>
      <c r="AD616" s="241" t="n"/>
    </row>
    <row r="617">
      <c r="A617" s="232" t="n">
        <v>125</v>
      </c>
      <c r="B617" s="42" t="n">
        <v>125</v>
      </c>
      <c r="C617" s="118">
        <f>INDIRECT("'Закуп'!A" &amp; B617)</f>
        <v/>
      </c>
      <c r="D617" s="119">
        <f>C617*1.2</f>
        <v/>
      </c>
      <c r="E617" s="224">
        <f>INDIRECT("'Закуп'!D" &amp; A617)</f>
        <v/>
      </c>
      <c r="F617" s="231">
        <f>INDIRECT("'Закуп'!E" &amp; B617)</f>
        <v/>
      </c>
      <c r="G617" s="172">
        <f>IF(INDIRECT("'Закуп'!L" &amp; B617)="Sale","Sale","")</f>
        <v/>
      </c>
      <c r="H617" s="158">
        <f>IF(INDIRECT("'Закуп'!F" &amp; B617)=0,"",INDIRECT("'Закуп'!F" &amp; B617))</f>
        <v/>
      </c>
      <c r="I617" s="120" t="n">
        <v>50</v>
      </c>
      <c r="J617" s="121">
        <f>K617/1.2</f>
        <v/>
      </c>
      <c r="K617" s="242" t="n">
        <v>1.58</v>
      </c>
      <c r="L617" s="122">
        <f>J617-C617-(J617-C617)*0.2</f>
        <v/>
      </c>
      <c r="M617" s="123">
        <f>L617*I617</f>
        <v/>
      </c>
      <c r="N617" s="124" t="inlineStr">
        <is>
          <t xml:space="preserve">50-90 шт - </t>
        </is>
      </c>
      <c r="O617" s="47" t="inlineStr">
        <is>
          <t xml:space="preserve"> руб / шт с НДС</t>
        </is>
      </c>
      <c r="P617" s="125">
        <f>ROUND(K617,2)</f>
        <v/>
      </c>
      <c r="Q617" s="207">
        <f>CONCATENATE(N617,P617,O617,)</f>
        <v/>
      </c>
      <c r="R617" s="235">
        <f>INDIRECT("'Закуп'!k" &amp; A617)</f>
        <v/>
      </c>
      <c r="S617" s="239">
        <f>INDIRECT("'Закуп'!o" &amp; A617)</f>
        <v/>
      </c>
      <c r="T617" s="226">
        <f>INDIRECT("'Закуп'!p" &amp; A617)</f>
        <v/>
      </c>
      <c r="U617" s="235">
        <f>INDIRECT("'Закуп'!v" &amp; A617)</f>
        <v/>
      </c>
      <c r="V617" s="222">
        <f>INDIRECT("'Закуп'!w" &amp; A617)</f>
        <v/>
      </c>
      <c r="W617" s="229">
        <f>INDIRECT("'Закуп'!H" &amp; A617)</f>
        <v/>
      </c>
      <c r="X617" s="237">
        <f>INDIRECT("'Закуп'!g" &amp; A617)</f>
        <v/>
      </c>
      <c r="Y617" s="229">
        <f>INDIRECT("'Закуп'!i" &amp; A617)</f>
        <v/>
      </c>
      <c r="Z617" s="236">
        <f>INDIRECT("'Закуп'!x" &amp; A617)</f>
        <v/>
      </c>
      <c r="AA617" s="237">
        <f>INDIRECT("'Закуп'!y" &amp; A617)</f>
        <v/>
      </c>
      <c r="AB617" s="238">
        <f>INDIRECT("'Закуп'!z" &amp; A617)</f>
        <v/>
      </c>
      <c r="AC617" s="223">
        <f>SUBSTITUTE(INDEX(F:F, ROUNDUP((ROW(A616))/5,0)*5 - 3), "х", "x")</f>
        <v/>
      </c>
      <c r="AD617" s="222">
        <f>SUBSTITUTE(INDEX(F:F, ROUNDUP((ROW(A616))/5,0)*5 - 3), "х", "x") &amp; " - " &amp; SUBSTITUTE(SUBSTITUTE(INDEX(F:F, ROUNDUP((ROW(A616))/5,0)*5 - 3), "х", "*"), "x", "*") &amp; " мм"</f>
        <v/>
      </c>
      <c r="AE617" t="n">
        <v>2.33</v>
      </c>
    </row>
    <row r="618">
      <c r="B618" s="42" t="n">
        <v>125</v>
      </c>
      <c r="C618" s="118">
        <f>INDIRECT("'Закуп'!A" &amp; B618)</f>
        <v/>
      </c>
      <c r="D618" s="119">
        <f>C618*1.2</f>
        <v/>
      </c>
      <c r="G618" s="172">
        <f>IF(INDIRECT("'Закуп'!L" &amp; B618)="Sale","Sale","")</f>
        <v/>
      </c>
      <c r="H618" s="158">
        <f>IF(INDIRECT("'Закуп'!F" &amp; B618)=0,"",INDIRECT("'Закуп'!F" &amp; B618))</f>
        <v/>
      </c>
      <c r="I618" s="120" t="n">
        <v>100</v>
      </c>
      <c r="J618" s="121">
        <f>K618/1.2</f>
        <v/>
      </c>
      <c r="K618" s="242" t="n">
        <v>1.34</v>
      </c>
      <c r="L618" s="122">
        <f>J618-C618-(J618-C618)*0.2</f>
        <v/>
      </c>
      <c r="M618" s="123">
        <f>L618*I618</f>
        <v/>
      </c>
      <c r="N618" s="124" t="inlineStr">
        <is>
          <t xml:space="preserve">100-290 шт - </t>
        </is>
      </c>
      <c r="O618" s="47" t="inlineStr">
        <is>
          <t xml:space="preserve"> руб / шт с НДС</t>
        </is>
      </c>
      <c r="P618" s="125">
        <f>ROUND(K618,2)</f>
        <v/>
      </c>
      <c r="Q618" s="207">
        <f>CONCATENATE(N618,P618,O618,)</f>
        <v/>
      </c>
      <c r="R618" s="240" t="n"/>
      <c r="T618" s="241" t="n"/>
      <c r="U618" s="240" t="n"/>
      <c r="V618" s="241" t="n"/>
      <c r="Z618" s="240" t="n"/>
      <c r="AB618" s="241" t="n"/>
      <c r="AC618" s="240" t="n"/>
      <c r="AD618" s="241" t="n"/>
      <c r="AE618" t="n">
        <v>1.99</v>
      </c>
    </row>
    <row r="619">
      <c r="B619" s="42" t="n">
        <v>125</v>
      </c>
      <c r="C619" s="118">
        <f>INDIRECT("'Закуп'!A" &amp; B619)</f>
        <v/>
      </c>
      <c r="D619" s="119">
        <f>C619*1.2</f>
        <v/>
      </c>
      <c r="G619" s="172">
        <f>IF(INDIRECT("'Закуп'!L" &amp; B619)="Sale","Sale","")</f>
        <v/>
      </c>
      <c r="H619" s="158">
        <f>IF(INDIRECT("'Закуп'!F" &amp; B619)=0,"",INDIRECT("'Закуп'!F" &amp; B619))</f>
        <v/>
      </c>
      <c r="I619" s="120" t="n">
        <v>300</v>
      </c>
      <c r="J619" s="121">
        <f>K619/1.2</f>
        <v/>
      </c>
      <c r="K619" s="242" t="n">
        <v>1.27</v>
      </c>
      <c r="L619" s="122">
        <f>J619-C619-(J619-C619)*0.2</f>
        <v/>
      </c>
      <c r="M619" s="123">
        <f>L619*I619</f>
        <v/>
      </c>
      <c r="N619" s="124" t="inlineStr">
        <is>
          <t xml:space="preserve">300-490 шт - </t>
        </is>
      </c>
      <c r="O619" s="47" t="inlineStr">
        <is>
          <t xml:space="preserve"> руб / шт с НДС</t>
        </is>
      </c>
      <c r="P619" s="125">
        <f>ROUND(K619,2)</f>
        <v/>
      </c>
      <c r="Q619" s="207">
        <f>CONCATENATE(N619,P619,O619,)</f>
        <v/>
      </c>
      <c r="R619" s="240" t="n"/>
      <c r="T619" s="241" t="n"/>
      <c r="U619" s="240" t="n"/>
      <c r="V619" s="241" t="n"/>
      <c r="Z619" s="240" t="n"/>
      <c r="AB619" s="241" t="n"/>
      <c r="AC619" s="240" t="n"/>
      <c r="AD619" s="241" t="n"/>
      <c r="AE619" t="n">
        <v>1.73</v>
      </c>
    </row>
    <row r="620">
      <c r="B620" s="42" t="n">
        <v>125</v>
      </c>
      <c r="C620" s="118">
        <f>INDIRECT("'Закуп'!A" &amp; B620)</f>
        <v/>
      </c>
      <c r="D620" s="119">
        <f>C620*1.2</f>
        <v/>
      </c>
      <c r="G620" s="172">
        <f>IF(INDIRECT("'Закуп'!L" &amp; B620)="Sale","Sale","")</f>
        <v/>
      </c>
      <c r="H620" s="158">
        <f>IF(INDIRECT("'Закуп'!F" &amp; B620)=0,"",INDIRECT("'Закуп'!F" &amp; B620))</f>
        <v/>
      </c>
      <c r="I620" s="120" t="n">
        <v>500</v>
      </c>
      <c r="J620" s="121">
        <f>K620/1.2</f>
        <v/>
      </c>
      <c r="K620" s="242" t="n">
        <v>1.2</v>
      </c>
      <c r="L620" s="122">
        <f>J620-C620-(J620-C620)*0.2</f>
        <v/>
      </c>
      <c r="M620" s="123">
        <f>L620*I620</f>
        <v/>
      </c>
      <c r="N620" s="124" t="inlineStr">
        <is>
          <t xml:space="preserve">500-990 шт - </t>
        </is>
      </c>
      <c r="O620" s="47" t="inlineStr">
        <is>
          <t xml:space="preserve"> руб / шт с НДС</t>
        </is>
      </c>
      <c r="P620" s="125">
        <f>ROUND(K620,2)</f>
        <v/>
      </c>
      <c r="Q620" s="207">
        <f>CONCATENATE(N620,P620,O620,)</f>
        <v/>
      </c>
      <c r="R620" s="240" t="n"/>
      <c r="T620" s="241" t="n"/>
      <c r="U620" s="240" t="n"/>
      <c r="V620" s="241" t="n"/>
      <c r="Z620" s="240" t="n"/>
      <c r="AB620" s="241" t="n"/>
      <c r="AC620" s="240" t="n"/>
      <c r="AD620" s="241" t="n"/>
      <c r="AE620" t="n">
        <v>1.55</v>
      </c>
    </row>
    <row r="621">
      <c r="B621" s="42" t="n">
        <v>125</v>
      </c>
      <c r="C621" s="118">
        <f>INDIRECT("'Закуп'!A" &amp; B621)</f>
        <v/>
      </c>
      <c r="D621" s="119">
        <f>C621*1.2</f>
        <v/>
      </c>
      <c r="G621" s="172">
        <f>IF(INDIRECT("'Закуп'!L" &amp; B621)="Sale","Sale","")</f>
        <v/>
      </c>
      <c r="H621" s="158">
        <f>IF(INDIRECT("'Закуп'!F" &amp; B621)=0,"",INDIRECT("'Закуп'!F" &amp; B621))</f>
        <v/>
      </c>
      <c r="I621" s="120" t="n">
        <v>1000</v>
      </c>
      <c r="J621" s="121">
        <f>K621/1.2</f>
        <v/>
      </c>
      <c r="K621" s="242" t="n">
        <v>1.16</v>
      </c>
      <c r="L621" s="122">
        <f>J621-C621-(J621-C621)*0.2</f>
        <v/>
      </c>
      <c r="M621" s="123">
        <f>L621*I621</f>
        <v/>
      </c>
      <c r="N621" s="124" t="inlineStr">
        <is>
          <t xml:space="preserve">1000 + шт - </t>
        </is>
      </c>
      <c r="O621" s="47" t="inlineStr">
        <is>
          <t xml:space="preserve"> руб / шт с НДС</t>
        </is>
      </c>
      <c r="P621" s="125">
        <f>ROUND(K621,2)</f>
        <v/>
      </c>
      <c r="Q621" s="207">
        <f>CONCATENATE(N621,P621,O621,)</f>
        <v/>
      </c>
      <c r="R621" s="240" t="n"/>
      <c r="T621" s="241" t="n"/>
      <c r="U621" s="240" t="n"/>
      <c r="V621" s="241" t="n"/>
      <c r="Z621" s="240" t="n"/>
      <c r="AB621" s="241" t="n"/>
      <c r="AC621" s="240" t="n"/>
      <c r="AD621" s="241" t="n"/>
      <c r="AE621" t="n">
        <v>1.48</v>
      </c>
    </row>
    <row r="622">
      <c r="A622" s="232" t="n">
        <v>126</v>
      </c>
      <c r="B622" s="42" t="n">
        <v>126</v>
      </c>
      <c r="C622" s="118">
        <f>INDIRECT("'Закуп'!A" &amp; B622)</f>
        <v/>
      </c>
      <c r="D622" s="119">
        <f>C622*1.2</f>
        <v/>
      </c>
      <c r="E622" s="224">
        <f>INDIRECT("'Закуп'!D" &amp; A622)</f>
        <v/>
      </c>
      <c r="F622" s="231">
        <f>INDIRECT("'Закуп'!E" &amp; B622)</f>
        <v/>
      </c>
      <c r="G622" s="172">
        <f>IF(INDIRECT("'Закуп'!L" &amp; B622)="Sale","Sale","")</f>
        <v/>
      </c>
      <c r="H622" s="158">
        <f>IF(INDIRECT("'Закуп'!F" &amp; B622)=0,"",INDIRECT("'Закуп'!F" &amp; B622))</f>
        <v/>
      </c>
      <c r="I622" s="120" t="n">
        <v>50</v>
      </c>
      <c r="J622" s="121">
        <f>K622/1.2</f>
        <v/>
      </c>
      <c r="K622" s="242" t="n">
        <v>2.6</v>
      </c>
      <c r="L622" s="122">
        <f>J622-C622-(J622-C622)*0.2</f>
        <v/>
      </c>
      <c r="M622" s="123">
        <f>L622*I622</f>
        <v/>
      </c>
      <c r="N622" s="124" t="inlineStr">
        <is>
          <t xml:space="preserve">50-90 шт - </t>
        </is>
      </c>
      <c r="O622" s="47" t="inlineStr">
        <is>
          <t xml:space="preserve"> руб / шт с НДС</t>
        </is>
      </c>
      <c r="P622" s="125">
        <f>ROUND(K622,2)</f>
        <v/>
      </c>
      <c r="Q622" s="207">
        <f>CONCATENATE(N622,P622,O622,)</f>
        <v/>
      </c>
      <c r="R622" s="235">
        <f>INDIRECT("'Закуп'!k" &amp; A622)</f>
        <v/>
      </c>
      <c r="S622" s="239">
        <f>INDIRECT("'Закуп'!o" &amp; A622)</f>
        <v/>
      </c>
      <c r="T622" s="226">
        <f>INDIRECT("'Закуп'!p" &amp; A622)</f>
        <v/>
      </c>
      <c r="U622" s="235">
        <f>INDIRECT("'Закуп'!v" &amp; A622)</f>
        <v/>
      </c>
      <c r="V622" s="222">
        <f>INDIRECT("'Закуп'!w" &amp; A622)</f>
        <v/>
      </c>
      <c r="W622" s="229">
        <f>INDIRECT("'Закуп'!H" &amp; A622)</f>
        <v/>
      </c>
      <c r="X622" s="237">
        <f>INDIRECT("'Закуп'!g" &amp; A622)</f>
        <v/>
      </c>
      <c r="Y622" s="229">
        <f>INDIRECT("'Закуп'!i" &amp; A622)</f>
        <v/>
      </c>
      <c r="Z622" s="236">
        <f>INDIRECT("'Закуп'!x" &amp; A622)</f>
        <v/>
      </c>
      <c r="AA622" s="237">
        <f>INDIRECT("'Закуп'!y" &amp; A622)</f>
        <v/>
      </c>
      <c r="AB622" s="238">
        <f>INDIRECT("'Закуп'!z" &amp; A622)</f>
        <v/>
      </c>
      <c r="AC622" s="223">
        <f>SUBSTITUTE(INDEX(F:F, ROUNDUP((ROW(A621))/5,0)*5 - 3), "х", "x")</f>
        <v/>
      </c>
      <c r="AD622" s="222">
        <f>SUBSTITUTE(INDEX(F:F, ROUNDUP((ROW(A621))/5,0)*5 - 3), "х", "x") &amp; " - " &amp; SUBSTITUTE(SUBSTITUTE(INDEX(F:F, ROUNDUP((ROW(A621))/5,0)*5 - 3), "х", "*"), "x", "*") &amp; " мм"</f>
        <v/>
      </c>
      <c r="AE622" t="n">
        <v>1.86</v>
      </c>
    </row>
    <row r="623">
      <c r="B623" s="42" t="n">
        <v>126</v>
      </c>
      <c r="C623" s="118">
        <f>INDIRECT("'Закуп'!A" &amp; B623)</f>
        <v/>
      </c>
      <c r="D623" s="119">
        <f>C623*1.2</f>
        <v/>
      </c>
      <c r="G623" s="172">
        <f>IF(INDIRECT("'Закуп'!L" &amp; B623)="Sale","Sale","")</f>
        <v/>
      </c>
      <c r="H623" s="158">
        <f>IF(INDIRECT("'Закуп'!F" &amp; B623)=0,"",INDIRECT("'Закуп'!F" &amp; B623))</f>
        <v/>
      </c>
      <c r="I623" s="120" t="n">
        <v>100</v>
      </c>
      <c r="J623" s="121">
        <f>K623/1.2</f>
        <v/>
      </c>
      <c r="K623" s="242" t="n">
        <v>2.3</v>
      </c>
      <c r="L623" s="122">
        <f>J623-C623-(J623-C623)*0.2</f>
        <v/>
      </c>
      <c r="M623" s="123">
        <f>L623*I623</f>
        <v/>
      </c>
      <c r="N623" s="124" t="inlineStr">
        <is>
          <t xml:space="preserve">100-290 шт - </t>
        </is>
      </c>
      <c r="O623" s="47" t="inlineStr">
        <is>
          <t xml:space="preserve"> руб / шт с НДС</t>
        </is>
      </c>
      <c r="P623" s="125">
        <f>ROUND(K623,2)</f>
        <v/>
      </c>
      <c r="Q623" s="207">
        <f>CONCATENATE(N623,P623,O623,)</f>
        <v/>
      </c>
      <c r="R623" s="240" t="n"/>
      <c r="T623" s="241" t="n"/>
      <c r="U623" s="240" t="n"/>
      <c r="V623" s="241" t="n"/>
      <c r="Z623" s="240" t="n"/>
      <c r="AB623" s="241" t="n"/>
      <c r="AC623" s="240" t="n"/>
      <c r="AD623" s="241" t="n"/>
      <c r="AE623" t="n">
        <v>1.69</v>
      </c>
    </row>
    <row r="624">
      <c r="B624" s="42" t="n">
        <v>126</v>
      </c>
      <c r="C624" s="118">
        <f>INDIRECT("'Закуп'!A" &amp; B624)</f>
        <v/>
      </c>
      <c r="D624" s="119">
        <f>C624*1.2</f>
        <v/>
      </c>
      <c r="G624" s="172">
        <f>IF(INDIRECT("'Закуп'!L" &amp; B624)="Sale","Sale","")</f>
        <v/>
      </c>
      <c r="H624" s="158">
        <f>IF(INDIRECT("'Закуп'!F" &amp; B624)=0,"",INDIRECT("'Закуп'!F" &amp; B624))</f>
        <v/>
      </c>
      <c r="I624" s="120" t="n">
        <v>300</v>
      </c>
      <c r="J624" s="121">
        <f>K624/1.2</f>
        <v/>
      </c>
      <c r="K624" s="242" t="n">
        <v>1.99</v>
      </c>
      <c r="L624" s="122">
        <f>J624-C624-(J624-C624)*0.2</f>
        <v/>
      </c>
      <c r="M624" s="123">
        <f>L624*I624</f>
        <v/>
      </c>
      <c r="N624" s="124" t="inlineStr">
        <is>
          <t xml:space="preserve">300-490 шт - </t>
        </is>
      </c>
      <c r="O624" s="47" t="inlineStr">
        <is>
          <t xml:space="preserve"> руб / шт с НДС</t>
        </is>
      </c>
      <c r="P624" s="125">
        <f>ROUND(K624,2)</f>
        <v/>
      </c>
      <c r="Q624" s="207">
        <f>CONCATENATE(N624,P624,O624,)</f>
        <v/>
      </c>
      <c r="R624" s="240" t="n"/>
      <c r="T624" s="241" t="n"/>
      <c r="U624" s="240" t="n"/>
      <c r="V624" s="241" t="n"/>
      <c r="Z624" s="240" t="n"/>
      <c r="AB624" s="241" t="n"/>
      <c r="AC624" s="240" t="n"/>
      <c r="AD624" s="241" t="n"/>
      <c r="AE624" t="n">
        <v>1.54</v>
      </c>
    </row>
    <row r="625">
      <c r="B625" s="42" t="n">
        <v>126</v>
      </c>
      <c r="C625" s="118">
        <f>INDIRECT("'Закуп'!A" &amp; B625)</f>
        <v/>
      </c>
      <c r="D625" s="119">
        <f>C625*1.2</f>
        <v/>
      </c>
      <c r="G625" s="172">
        <f>IF(INDIRECT("'Закуп'!L" &amp; B625)="Sale","Sale","")</f>
        <v/>
      </c>
      <c r="H625" s="158">
        <f>IF(INDIRECT("'Закуп'!F" &amp; B625)=0,"",INDIRECT("'Закуп'!F" &amp; B625))</f>
        <v/>
      </c>
      <c r="I625" s="120" t="n">
        <v>500</v>
      </c>
      <c r="J625" s="121">
        <f>K625/1.2</f>
        <v/>
      </c>
      <c r="K625" s="242" t="n">
        <v>1.84</v>
      </c>
      <c r="L625" s="122">
        <f>J625-C625-(J625-C625)*0.2</f>
        <v/>
      </c>
      <c r="M625" s="123">
        <f>L625*I625</f>
        <v/>
      </c>
      <c r="N625" s="124" t="inlineStr">
        <is>
          <t xml:space="preserve">500-990 шт - </t>
        </is>
      </c>
      <c r="O625" s="47" t="inlineStr">
        <is>
          <t xml:space="preserve"> руб / шт с НДС</t>
        </is>
      </c>
      <c r="P625" s="125">
        <f>ROUND(K625,2)</f>
        <v/>
      </c>
      <c r="Q625" s="207">
        <f>CONCATENATE(N625,P625,O625,)</f>
        <v/>
      </c>
      <c r="R625" s="240" t="n"/>
      <c r="T625" s="241" t="n"/>
      <c r="U625" s="240" t="n"/>
      <c r="V625" s="241" t="n"/>
      <c r="Z625" s="240" t="n"/>
      <c r="AB625" s="241" t="n"/>
      <c r="AC625" s="240" t="n"/>
      <c r="AD625" s="241" t="n"/>
      <c r="AE625" t="n">
        <v>1.42</v>
      </c>
    </row>
    <row r="626">
      <c r="B626" s="42" t="n">
        <v>126</v>
      </c>
      <c r="C626" s="118">
        <f>INDIRECT("'Закуп'!A" &amp; B626)</f>
        <v/>
      </c>
      <c r="D626" s="119">
        <f>C626*1.2</f>
        <v/>
      </c>
      <c r="G626" s="172">
        <f>IF(INDIRECT("'Закуп'!L" &amp; B626)="Sale","Sale","")</f>
        <v/>
      </c>
      <c r="H626" s="158">
        <f>IF(INDIRECT("'Закуп'!F" &amp; B626)=0,"",INDIRECT("'Закуп'!F" &amp; B626))</f>
        <v/>
      </c>
      <c r="I626" s="120" t="n">
        <v>1000</v>
      </c>
      <c r="J626" s="121">
        <f>K626/1.2</f>
        <v/>
      </c>
      <c r="K626" s="242" t="n">
        <v>1.53</v>
      </c>
      <c r="L626" s="122">
        <f>J626-C626-(J626-C626)*0.2</f>
        <v/>
      </c>
      <c r="M626" s="123">
        <f>L626*I626</f>
        <v/>
      </c>
      <c r="N626" s="124" t="inlineStr">
        <is>
          <t xml:space="preserve">1000 + шт - </t>
        </is>
      </c>
      <c r="O626" s="47" t="inlineStr">
        <is>
          <t xml:space="preserve"> руб / шт с НДС</t>
        </is>
      </c>
      <c r="P626" s="125">
        <f>ROUND(K626,2)</f>
        <v/>
      </c>
      <c r="Q626" s="207">
        <f>CONCATENATE(N626,P626,O626,)</f>
        <v/>
      </c>
      <c r="R626" s="240" t="n"/>
      <c r="T626" s="241" t="n"/>
      <c r="U626" s="240" t="n"/>
      <c r="V626" s="241" t="n"/>
      <c r="Z626" s="240" t="n"/>
      <c r="AB626" s="241" t="n"/>
      <c r="AC626" s="240" t="n"/>
      <c r="AD626" s="241" t="n"/>
      <c r="AE626" t="n">
        <v>1.26</v>
      </c>
    </row>
    <row r="627">
      <c r="A627" s="232" t="n">
        <v>127</v>
      </c>
      <c r="B627" s="42" t="n">
        <v>127</v>
      </c>
      <c r="C627" s="118">
        <f>INDIRECT("'Закуп'!A" &amp; B627)</f>
        <v/>
      </c>
      <c r="D627" s="119">
        <f>C627*1.2</f>
        <v/>
      </c>
      <c r="E627" s="224">
        <f>INDIRECT("'Закуп'!D" &amp; A627)</f>
        <v/>
      </c>
      <c r="F627" s="231">
        <f>INDIRECT("'Закуп'!E" &amp; B627)</f>
        <v/>
      </c>
      <c r="G627" s="172">
        <f>IF(INDIRECT("'Закуп'!L" &amp; B627)="Sale","Sale","")</f>
        <v/>
      </c>
      <c r="H627" s="158">
        <f>IF(INDIRECT("'Закуп'!F" &amp; B627)=0,"",INDIRECT("'Закуп'!F" &amp; B627))</f>
        <v/>
      </c>
      <c r="I627" s="120" t="n">
        <v>50</v>
      </c>
      <c r="J627" s="121">
        <f>K627/1.2</f>
        <v/>
      </c>
      <c r="K627" s="242" t="n">
        <v>3.66</v>
      </c>
      <c r="L627" s="122">
        <f>J627-C627-(J627-C627)*0.2</f>
        <v/>
      </c>
      <c r="M627" s="123">
        <f>L627*I627</f>
        <v/>
      </c>
      <c r="N627" s="124" t="inlineStr">
        <is>
          <t xml:space="preserve">50-90 шт - </t>
        </is>
      </c>
      <c r="O627" s="47" t="inlineStr">
        <is>
          <t xml:space="preserve"> руб / шт с НДС</t>
        </is>
      </c>
      <c r="P627" s="125">
        <f>ROUND(K627,2)</f>
        <v/>
      </c>
      <c r="Q627" s="207">
        <f>CONCATENATE(N627,P627,O627,)</f>
        <v/>
      </c>
      <c r="R627" s="235">
        <f>INDIRECT("'Закуп'!k" &amp; A627)</f>
        <v/>
      </c>
      <c r="S627" s="239">
        <f>INDIRECT("'Закуп'!o" &amp; A627)</f>
        <v/>
      </c>
      <c r="T627" s="226">
        <f>INDIRECT("'Закуп'!p" &amp; A627)</f>
        <v/>
      </c>
      <c r="U627" s="235">
        <f>INDIRECT("'Закуп'!v" &amp; A627)</f>
        <v/>
      </c>
      <c r="V627" s="222">
        <f>INDIRECT("'Закуп'!w" &amp; A627)</f>
        <v/>
      </c>
      <c r="W627" s="229">
        <f>INDIRECT("'Закуп'!H" &amp; A627)</f>
        <v/>
      </c>
      <c r="X627" s="237">
        <f>INDIRECT("'Закуп'!g" &amp; A627)</f>
        <v/>
      </c>
      <c r="Y627" s="229">
        <f>INDIRECT("'Закуп'!i" &amp; A627)</f>
        <v/>
      </c>
      <c r="Z627" s="236">
        <f>INDIRECT("'Закуп'!x" &amp; A627)</f>
        <v/>
      </c>
      <c r="AA627" s="237">
        <f>INDIRECT("'Закуп'!y" &amp; A627)</f>
        <v/>
      </c>
      <c r="AB627" s="238">
        <f>INDIRECT("'Закуп'!z" &amp; A627)</f>
        <v/>
      </c>
      <c r="AC627" s="223">
        <f>SUBSTITUTE(INDEX(F:F, ROUNDUP((ROW(A626))/5,0)*5 - 3), "х", "x")</f>
        <v/>
      </c>
      <c r="AD627" s="222">
        <f>SUBSTITUTE(INDEX(F:F, ROUNDUP((ROW(A626))/5,0)*5 - 3), "х", "x") &amp; " - " &amp; SUBSTITUTE(SUBSTITUTE(INDEX(F:F, ROUNDUP((ROW(A626))/5,0)*5 - 3), "х", "*"), "x", "*") &amp; " мм"</f>
        <v/>
      </c>
      <c r="AE627" t="n">
        <v>4.48</v>
      </c>
    </row>
    <row r="628">
      <c r="B628" s="42" t="n">
        <v>127</v>
      </c>
      <c r="C628" s="118">
        <f>INDIRECT("'Закуп'!A" &amp; B628)</f>
        <v/>
      </c>
      <c r="D628" s="119">
        <f>C628*1.2</f>
        <v/>
      </c>
      <c r="G628" s="172">
        <f>IF(INDIRECT("'Закуп'!L" &amp; B628)="Sale","Sale","")</f>
        <v/>
      </c>
      <c r="H628" s="158">
        <f>IF(INDIRECT("'Закуп'!F" &amp; B628)=0,"",INDIRECT("'Закуп'!F" &amp; B628))</f>
        <v/>
      </c>
      <c r="I628" s="120" t="n">
        <v>100</v>
      </c>
      <c r="J628" s="121">
        <f>K628/1.2</f>
        <v/>
      </c>
      <c r="K628" s="242" t="n">
        <v>3.16</v>
      </c>
      <c r="L628" s="122">
        <f>J628-C628-(J628-C628)*0.2</f>
        <v/>
      </c>
      <c r="M628" s="123">
        <f>L628*I628</f>
        <v/>
      </c>
      <c r="N628" s="124" t="inlineStr">
        <is>
          <t xml:space="preserve">100-290 шт - </t>
        </is>
      </c>
      <c r="O628" s="47" t="inlineStr">
        <is>
          <t xml:space="preserve"> руб / шт с НДС</t>
        </is>
      </c>
      <c r="P628" s="125">
        <f>ROUND(K628,2)</f>
        <v/>
      </c>
      <c r="Q628" s="207">
        <f>CONCATENATE(N628,P628,O628,)</f>
        <v/>
      </c>
      <c r="R628" s="240" t="n"/>
      <c r="T628" s="241" t="n"/>
      <c r="U628" s="240" t="n"/>
      <c r="V628" s="241" t="n"/>
      <c r="Z628" s="240" t="n"/>
      <c r="AB628" s="241" t="n"/>
      <c r="AC628" s="240" t="n"/>
      <c r="AD628" s="241" t="n"/>
      <c r="AE628" t="n">
        <v>4.37</v>
      </c>
    </row>
    <row r="629">
      <c r="B629" s="42" t="n">
        <v>127</v>
      </c>
      <c r="C629" s="118">
        <f>INDIRECT("'Закуп'!A" &amp; B629)</f>
        <v/>
      </c>
      <c r="D629" s="119">
        <f>C629*1.2</f>
        <v/>
      </c>
      <c r="G629" s="172">
        <f>IF(INDIRECT("'Закуп'!L" &amp; B629)="Sale","Sale","")</f>
        <v/>
      </c>
      <c r="H629" s="158">
        <f>IF(INDIRECT("'Закуп'!F" &amp; B629)=0,"",INDIRECT("'Закуп'!F" &amp; B629))</f>
        <v/>
      </c>
      <c r="I629" s="120" t="n">
        <v>300</v>
      </c>
      <c r="J629" s="121">
        <f>K629/1.2</f>
        <v/>
      </c>
      <c r="K629" s="242" t="n">
        <v>2.64</v>
      </c>
      <c r="L629" s="122">
        <f>J629-C629-(J629-C629)*0.2</f>
        <v/>
      </c>
      <c r="M629" s="123">
        <f>L629*I629</f>
        <v/>
      </c>
      <c r="N629" s="124" t="inlineStr">
        <is>
          <t xml:space="preserve">300-490 шт - </t>
        </is>
      </c>
      <c r="O629" s="47" t="inlineStr">
        <is>
          <t xml:space="preserve"> руб / шт с НДС</t>
        </is>
      </c>
      <c r="P629" s="125">
        <f>ROUND(K629,2)</f>
        <v/>
      </c>
      <c r="Q629" s="207">
        <f>CONCATENATE(N629,P629,O629,)</f>
        <v/>
      </c>
      <c r="R629" s="240" t="n"/>
      <c r="T629" s="241" t="n"/>
      <c r="U629" s="240" t="n"/>
      <c r="V629" s="241" t="n"/>
      <c r="Z629" s="240" t="n"/>
      <c r="AB629" s="241" t="n"/>
      <c r="AC629" s="240" t="n"/>
      <c r="AD629" s="241" t="n"/>
      <c r="AE629" t="n">
        <v>3.58</v>
      </c>
    </row>
    <row r="630">
      <c r="B630" s="42" t="n">
        <v>127</v>
      </c>
      <c r="C630" s="118">
        <f>INDIRECT("'Закуп'!A" &amp; B630)</f>
        <v/>
      </c>
      <c r="D630" s="119">
        <f>C630*1.2</f>
        <v/>
      </c>
      <c r="G630" s="172">
        <f>IF(INDIRECT("'Закуп'!L" &amp; B630)="Sale","Sale","")</f>
        <v/>
      </c>
      <c r="H630" s="158">
        <f>IF(INDIRECT("'Закуп'!F" &amp; B630)=0,"",INDIRECT("'Закуп'!F" &amp; B630))</f>
        <v/>
      </c>
      <c r="I630" s="120" t="n">
        <v>500</v>
      </c>
      <c r="J630" s="121">
        <f>K630/1.2</f>
        <v/>
      </c>
      <c r="K630" s="242" t="n">
        <v>2.5</v>
      </c>
      <c r="L630" s="122">
        <f>J630-C630-(J630-C630)*0.2</f>
        <v/>
      </c>
      <c r="M630" s="123">
        <f>L630*I630</f>
        <v/>
      </c>
      <c r="N630" s="124" t="inlineStr">
        <is>
          <t xml:space="preserve">500-990 шт - </t>
        </is>
      </c>
      <c r="O630" s="47" t="inlineStr">
        <is>
          <t xml:space="preserve"> руб / шт с НДС</t>
        </is>
      </c>
      <c r="P630" s="125">
        <f>ROUND(K630,2)</f>
        <v/>
      </c>
      <c r="Q630" s="207">
        <f>CONCATENATE(N630,P630,O630,)</f>
        <v/>
      </c>
      <c r="R630" s="240" t="n"/>
      <c r="T630" s="241" t="n"/>
      <c r="U630" s="240" t="n"/>
      <c r="V630" s="241" t="n"/>
      <c r="Z630" s="240" t="n"/>
      <c r="AB630" s="241" t="n"/>
      <c r="AC630" s="240" t="n"/>
      <c r="AD630" s="241" t="n"/>
      <c r="AE630" t="n">
        <v>3.53</v>
      </c>
    </row>
    <row r="631">
      <c r="B631" s="42" t="n">
        <v>127</v>
      </c>
      <c r="C631" s="118">
        <f>INDIRECT("'Закуп'!A" &amp; B631)</f>
        <v/>
      </c>
      <c r="D631" s="119">
        <f>C631*1.2</f>
        <v/>
      </c>
      <c r="G631" s="172">
        <f>IF(INDIRECT("'Закуп'!L" &amp; B631)="Sale","Sale","")</f>
        <v/>
      </c>
      <c r="H631" s="158">
        <f>IF(INDIRECT("'Закуп'!F" &amp; B631)=0,"",INDIRECT("'Закуп'!F" &amp; B631))</f>
        <v/>
      </c>
      <c r="I631" s="120" t="n">
        <v>1000</v>
      </c>
      <c r="J631" s="121">
        <f>K631/1.2</f>
        <v/>
      </c>
      <c r="K631" s="242" t="n">
        <v>2.42</v>
      </c>
      <c r="L631" s="122">
        <f>J631-C631-(J631-C631)*0.2</f>
        <v/>
      </c>
      <c r="M631" s="123">
        <f>L631*I631</f>
        <v/>
      </c>
      <c r="N631" s="124" t="inlineStr">
        <is>
          <t xml:space="preserve">1000 + шт - </t>
        </is>
      </c>
      <c r="O631" s="47" t="inlineStr">
        <is>
          <t xml:space="preserve"> руб / шт с НДС</t>
        </is>
      </c>
      <c r="P631" s="125">
        <f>ROUND(K631,2)</f>
        <v/>
      </c>
      <c r="Q631" s="207">
        <f>CONCATENATE(N631,P631,O631,)</f>
        <v/>
      </c>
      <c r="R631" s="240" t="n"/>
      <c r="T631" s="241" t="n"/>
      <c r="U631" s="240" t="n"/>
      <c r="V631" s="241" t="n"/>
      <c r="Z631" s="240" t="n"/>
      <c r="AB631" s="241" t="n"/>
      <c r="AC631" s="240" t="n"/>
      <c r="AD631" s="241" t="n"/>
      <c r="AE631" t="n">
        <v>3.41</v>
      </c>
    </row>
    <row r="632">
      <c r="A632" s="232" t="n">
        <v>128</v>
      </c>
      <c r="B632" s="42" t="n">
        <v>128</v>
      </c>
      <c r="C632" s="118">
        <f>INDIRECT("'Закуп'!A" &amp; B632)</f>
        <v/>
      </c>
      <c r="D632" s="119">
        <f>C632*1.2</f>
        <v/>
      </c>
      <c r="E632" s="224">
        <f>INDIRECT("'Закуп'!D" &amp; A632)</f>
        <v/>
      </c>
      <c r="F632" s="231">
        <f>INDIRECT("'Закуп'!E" &amp; B632)</f>
        <v/>
      </c>
      <c r="G632" s="172">
        <f>IF(INDIRECT("'Закуп'!L" &amp; B632)="Sale","Sale","")</f>
        <v/>
      </c>
      <c r="H632" s="158">
        <f>IF(INDIRECT("'Закуп'!F" &amp; B632)=0,"",INDIRECT("'Закуп'!F" &amp; B632))</f>
        <v/>
      </c>
      <c r="I632" s="120" t="n">
        <v>50</v>
      </c>
      <c r="J632" s="121">
        <f>K632/1.2</f>
        <v/>
      </c>
      <c r="K632" s="242" t="n">
        <v>1.99</v>
      </c>
      <c r="L632" s="122">
        <f>J632-C632-(J632-C632)*0.2</f>
        <v/>
      </c>
      <c r="M632" s="123">
        <f>L632*I632</f>
        <v/>
      </c>
      <c r="N632" s="124" t="inlineStr">
        <is>
          <t xml:space="preserve">50-90 шт - </t>
        </is>
      </c>
      <c r="O632" s="47" t="inlineStr">
        <is>
          <t xml:space="preserve"> руб / шт с НДС</t>
        </is>
      </c>
      <c r="P632" s="125">
        <f>ROUND(K632,2)</f>
        <v/>
      </c>
      <c r="Q632" s="207">
        <f>CONCATENATE(N632,P632,O632,)</f>
        <v/>
      </c>
      <c r="R632" s="235">
        <f>INDIRECT("'Закуп'!k" &amp; A632)</f>
        <v/>
      </c>
      <c r="S632" s="239">
        <f>INDIRECT("'Закуп'!o" &amp; A632)</f>
        <v/>
      </c>
      <c r="T632" s="226">
        <f>INDIRECT("'Закуп'!p" &amp; A632)</f>
        <v/>
      </c>
      <c r="U632" s="235">
        <f>INDIRECT("'Закуп'!v" &amp; A632)</f>
        <v/>
      </c>
      <c r="V632" s="222">
        <f>INDIRECT("'Закуп'!w" &amp; A632)</f>
        <v/>
      </c>
      <c r="W632" s="229">
        <f>INDIRECT("'Закуп'!H" &amp; A632)</f>
        <v/>
      </c>
      <c r="X632" s="237">
        <f>INDIRECT("'Закуп'!g" &amp; A632)</f>
        <v/>
      </c>
      <c r="Y632" s="229">
        <f>INDIRECT("'Закуп'!i" &amp; A632)</f>
        <v/>
      </c>
      <c r="Z632" s="236">
        <f>INDIRECT("'Закуп'!x" &amp; A632)</f>
        <v/>
      </c>
      <c r="AA632" s="237">
        <f>INDIRECT("'Закуп'!y" &amp; A632)</f>
        <v/>
      </c>
      <c r="AB632" s="238">
        <f>INDIRECT("'Закуп'!z" &amp; A632)</f>
        <v/>
      </c>
      <c r="AC632" s="223">
        <f>SUBSTITUTE(INDEX(F:F, ROUNDUP((ROW(A631))/5,0)*5 - 3), "х", "x")</f>
        <v/>
      </c>
      <c r="AD632" s="222">
        <f>SUBSTITUTE(INDEX(F:F, ROUNDUP((ROW(A631))/5,0)*5 - 3), "х", "x") &amp; " - " &amp; SUBSTITUTE(SUBSTITUTE(INDEX(F:F, ROUNDUP((ROW(A631))/5,0)*5 - 3), "х", "*"), "x", "*") &amp; " мм"</f>
        <v/>
      </c>
      <c r="AE632" t="n">
        <v>1.67</v>
      </c>
    </row>
    <row r="633">
      <c r="B633" s="42" t="n">
        <v>128</v>
      </c>
      <c r="C633" s="118">
        <f>INDIRECT("'Закуп'!A" &amp; B633)</f>
        <v/>
      </c>
      <c r="D633" s="119">
        <f>C633*1.2</f>
        <v/>
      </c>
      <c r="G633" s="172">
        <f>IF(INDIRECT("'Закуп'!L" &amp; B633)="Sale","Sale","")</f>
        <v/>
      </c>
      <c r="H633" s="158">
        <f>IF(INDIRECT("'Закуп'!F" &amp; B633)=0,"",INDIRECT("'Закуп'!F" &amp; B633))</f>
        <v/>
      </c>
      <c r="I633" s="120" t="n">
        <v>100</v>
      </c>
      <c r="J633" s="121">
        <f>K633/1.2</f>
        <v/>
      </c>
      <c r="K633" s="242" t="n">
        <v>1.76</v>
      </c>
      <c r="L633" s="122">
        <f>J633-C633-(J633-C633)*0.2</f>
        <v/>
      </c>
      <c r="M633" s="123">
        <f>L633*I633</f>
        <v/>
      </c>
      <c r="N633" s="124" t="inlineStr">
        <is>
          <t xml:space="preserve">100-290 шт - </t>
        </is>
      </c>
      <c r="O633" s="47" t="inlineStr">
        <is>
          <t xml:space="preserve"> руб / шт с НДС</t>
        </is>
      </c>
      <c r="P633" s="125">
        <f>ROUND(K633,2)</f>
        <v/>
      </c>
      <c r="Q633" s="207">
        <f>CONCATENATE(N633,P633,O633,)</f>
        <v/>
      </c>
      <c r="R633" s="240" t="n"/>
      <c r="T633" s="241" t="n"/>
      <c r="U633" s="240" t="n"/>
      <c r="V633" s="241" t="n"/>
      <c r="Z633" s="240" t="n"/>
      <c r="AB633" s="241" t="n"/>
      <c r="AC633" s="240" t="n"/>
      <c r="AD633" s="241" t="n"/>
      <c r="AE633" t="n">
        <v>1.52</v>
      </c>
    </row>
    <row r="634">
      <c r="B634" s="42" t="n">
        <v>128</v>
      </c>
      <c r="C634" s="118">
        <f>INDIRECT("'Закуп'!A" &amp; B634)</f>
        <v/>
      </c>
      <c r="D634" s="119">
        <f>C634*1.2</f>
        <v/>
      </c>
      <c r="G634" s="172">
        <f>IF(INDIRECT("'Закуп'!L" &amp; B634)="Sale","Sale","")</f>
        <v/>
      </c>
      <c r="H634" s="158">
        <f>IF(INDIRECT("'Закуп'!F" &amp; B634)=0,"",INDIRECT("'Закуп'!F" &amp; B634))</f>
        <v/>
      </c>
      <c r="I634" s="120" t="n">
        <v>300</v>
      </c>
      <c r="J634" s="121">
        <f>K634/1.2</f>
        <v/>
      </c>
      <c r="K634" s="242" t="n">
        <v>1.53</v>
      </c>
      <c r="L634" s="122">
        <f>J634-C634-(J634-C634)*0.2</f>
        <v/>
      </c>
      <c r="M634" s="123">
        <f>L634*I634</f>
        <v/>
      </c>
      <c r="N634" s="124" t="inlineStr">
        <is>
          <t xml:space="preserve">300-490 шт - </t>
        </is>
      </c>
      <c r="O634" s="47" t="inlineStr">
        <is>
          <t xml:space="preserve"> руб / шт с НДС</t>
        </is>
      </c>
      <c r="P634" s="125">
        <f>ROUND(K634,2)</f>
        <v/>
      </c>
      <c r="Q634" s="207">
        <f>CONCATENATE(N634,P634,O634,)</f>
        <v/>
      </c>
      <c r="R634" s="240" t="n"/>
      <c r="T634" s="241" t="n"/>
      <c r="U634" s="240" t="n"/>
      <c r="V634" s="241" t="n"/>
      <c r="Z634" s="240" t="n"/>
      <c r="AB634" s="241" t="n"/>
      <c r="AC634" s="240" t="n"/>
      <c r="AD634" s="241" t="n"/>
      <c r="AE634" t="n">
        <v>1.2</v>
      </c>
    </row>
    <row r="635">
      <c r="B635" s="42" t="n">
        <v>128</v>
      </c>
      <c r="C635" s="118">
        <f>INDIRECT("'Закуп'!A" &amp; B635)</f>
        <v/>
      </c>
      <c r="D635" s="119">
        <f>C635*1.2</f>
        <v/>
      </c>
      <c r="G635" s="172">
        <f>IF(INDIRECT("'Закуп'!L" &amp; B635)="Sale","Sale","")</f>
        <v/>
      </c>
      <c r="H635" s="158">
        <f>IF(INDIRECT("'Закуп'!F" &amp; B635)=0,"",INDIRECT("'Закуп'!F" &amp; B635))</f>
        <v/>
      </c>
      <c r="I635" s="120" t="n">
        <v>500</v>
      </c>
      <c r="J635" s="121">
        <f>K635/1.2</f>
        <v/>
      </c>
      <c r="K635" s="242" t="n">
        <v>1.41</v>
      </c>
      <c r="L635" s="122">
        <f>J635-C635-(J635-C635)*0.2</f>
        <v/>
      </c>
      <c r="M635" s="123">
        <f>L635*I635</f>
        <v/>
      </c>
      <c r="N635" s="124" t="inlineStr">
        <is>
          <t xml:space="preserve">500-990 шт - </t>
        </is>
      </c>
      <c r="O635" s="47" t="inlineStr">
        <is>
          <t xml:space="preserve"> руб / шт с НДС</t>
        </is>
      </c>
      <c r="P635" s="125">
        <f>ROUND(K635,2)</f>
        <v/>
      </c>
      <c r="Q635" s="207">
        <f>CONCATENATE(N635,P635,O635,)</f>
        <v/>
      </c>
      <c r="R635" s="240" t="n"/>
      <c r="T635" s="241" t="n"/>
      <c r="U635" s="240" t="n"/>
      <c r="V635" s="241" t="n"/>
      <c r="Z635" s="240" t="n"/>
      <c r="AB635" s="241" t="n"/>
      <c r="AC635" s="240" t="n"/>
      <c r="AD635" s="241" t="n"/>
      <c r="AE635" t="n">
        <v>1.12</v>
      </c>
    </row>
    <row r="636">
      <c r="B636" s="42" t="n">
        <v>128</v>
      </c>
      <c r="C636" s="118">
        <f>INDIRECT("'Закуп'!A" &amp; B636)</f>
        <v/>
      </c>
      <c r="D636" s="119">
        <f>C636*1.2</f>
        <v/>
      </c>
      <c r="G636" s="172">
        <f>IF(INDIRECT("'Закуп'!L" &amp; B636)="Sale","Sale","")</f>
        <v/>
      </c>
      <c r="H636" s="158">
        <f>IF(INDIRECT("'Закуп'!F" &amp; B636)=0,"",INDIRECT("'Закуп'!F" &amp; B636))</f>
        <v/>
      </c>
      <c r="I636" s="120" t="n">
        <v>1000</v>
      </c>
      <c r="J636" s="121">
        <f>K636/1.2</f>
        <v/>
      </c>
      <c r="K636" s="242" t="n">
        <v>1.17</v>
      </c>
      <c r="L636" s="122">
        <f>J636-C636-(J636-C636)*0.2</f>
        <v/>
      </c>
      <c r="M636" s="123">
        <f>L636*I636</f>
        <v/>
      </c>
      <c r="N636" s="124" t="inlineStr">
        <is>
          <t xml:space="preserve">1000 + шт - </t>
        </is>
      </c>
      <c r="O636" s="47" t="inlineStr">
        <is>
          <t xml:space="preserve"> руб / шт с НДС</t>
        </is>
      </c>
      <c r="P636" s="125">
        <f>ROUND(K636,2)</f>
        <v/>
      </c>
      <c r="Q636" s="207">
        <f>CONCATENATE(N636,P636,O636,)</f>
        <v/>
      </c>
      <c r="R636" s="240" t="n"/>
      <c r="T636" s="241" t="n"/>
      <c r="U636" s="240" t="n"/>
      <c r="V636" s="241" t="n"/>
      <c r="Z636" s="240" t="n"/>
      <c r="AB636" s="241" t="n"/>
      <c r="AC636" s="240" t="n"/>
      <c r="AD636" s="241" t="n"/>
      <c r="AE636" t="n">
        <v>1.06</v>
      </c>
    </row>
    <row r="637">
      <c r="A637" s="232" t="n">
        <v>129</v>
      </c>
      <c r="B637" s="42" t="n">
        <v>129</v>
      </c>
      <c r="C637" s="118">
        <f>INDIRECT("'Закуп'!A" &amp; B637)</f>
        <v/>
      </c>
      <c r="D637" s="119">
        <f>C637*1.2</f>
        <v/>
      </c>
      <c r="E637" s="224">
        <f>INDIRECT("'Закуп'!D" &amp; A637)</f>
        <v/>
      </c>
      <c r="F637" s="231">
        <f>INDIRECT("'Закуп'!E" &amp; B637)</f>
        <v/>
      </c>
      <c r="G637" s="172">
        <f>IF(INDIRECT("'Закуп'!L" &amp; B637)="Sale","Sale","")</f>
        <v/>
      </c>
      <c r="H637" s="158">
        <f>IF(INDIRECT("'Закуп'!F" &amp; B637)=0,"",INDIRECT("'Закуп'!F" &amp; B637))</f>
        <v/>
      </c>
      <c r="I637" s="120" t="n">
        <v>50</v>
      </c>
      <c r="J637" s="121">
        <f>K637/1.2</f>
        <v/>
      </c>
      <c r="K637" s="242" t="n">
        <v>1.93</v>
      </c>
      <c r="L637" s="122">
        <f>J637-C637-(J637-C637)*0.2</f>
        <v/>
      </c>
      <c r="M637" s="123">
        <f>L637*I637</f>
        <v/>
      </c>
      <c r="N637" s="124" t="inlineStr">
        <is>
          <t xml:space="preserve">50-90 шт - </t>
        </is>
      </c>
      <c r="O637" s="47" t="inlineStr">
        <is>
          <t xml:space="preserve"> руб / шт с НДС</t>
        </is>
      </c>
      <c r="P637" s="125">
        <f>ROUND(K637,2)</f>
        <v/>
      </c>
      <c r="Q637" s="207">
        <f>CONCATENATE(N637,P637,O637,)</f>
        <v/>
      </c>
      <c r="R637" s="235">
        <f>INDIRECT("'Закуп'!k" &amp; A637)</f>
        <v/>
      </c>
      <c r="S637" s="239">
        <f>INDIRECT("'Закуп'!o" &amp; A637)</f>
        <v/>
      </c>
      <c r="T637" s="226">
        <f>INDIRECT("'Закуп'!p" &amp; A637)</f>
        <v/>
      </c>
      <c r="U637" s="235">
        <f>INDIRECT("'Закуп'!v" &amp; A637)</f>
        <v/>
      </c>
      <c r="V637" s="222">
        <f>INDIRECT("'Закуп'!w" &amp; A637)</f>
        <v/>
      </c>
      <c r="W637" s="229">
        <f>INDIRECT("'Закуп'!H" &amp; A637)</f>
        <v/>
      </c>
      <c r="X637" s="237">
        <f>INDIRECT("'Закуп'!g" &amp; A637)</f>
        <v/>
      </c>
      <c r="Y637" s="229">
        <f>INDIRECT("'Закуп'!i" &amp; A637)</f>
        <v/>
      </c>
      <c r="Z637" s="236">
        <f>INDIRECT("'Закуп'!x" &amp; A637)</f>
        <v/>
      </c>
      <c r="AA637" s="237">
        <f>INDIRECT("'Закуп'!y" &amp; A637)</f>
        <v/>
      </c>
      <c r="AB637" s="238">
        <f>INDIRECT("'Закуп'!z" &amp; A637)</f>
        <v/>
      </c>
      <c r="AC637" s="223">
        <f>SUBSTITUTE(INDEX(F:F, ROUNDUP((ROW(A636))/5,0)*5 - 3), "х", "x")</f>
        <v/>
      </c>
      <c r="AD637" s="222">
        <f>SUBSTITUTE(INDEX(F:F, ROUNDUP((ROW(A636))/5,0)*5 - 3), "х", "x") &amp; " - " &amp; SUBSTITUTE(SUBSTITUTE(INDEX(F:F, ROUNDUP((ROW(A636))/5,0)*5 - 3), "х", "*"), "x", "*") &amp; " мм"</f>
        <v/>
      </c>
      <c r="AE637" t="n">
        <v>2.88</v>
      </c>
    </row>
    <row r="638">
      <c r="B638" s="42" t="n">
        <v>129</v>
      </c>
      <c r="C638" s="118">
        <f>INDIRECT("'Закуп'!A" &amp; B638)</f>
        <v/>
      </c>
      <c r="D638" s="119">
        <f>C638*1.2</f>
        <v/>
      </c>
      <c r="G638" s="172">
        <f>IF(INDIRECT("'Закуп'!L" &amp; B638)="Sale","Sale","")</f>
        <v/>
      </c>
      <c r="H638" s="158">
        <f>IF(INDIRECT("'Закуп'!F" &amp; B638)=0,"",INDIRECT("'Закуп'!F" &amp; B638))</f>
        <v/>
      </c>
      <c r="I638" s="120" t="n">
        <v>100</v>
      </c>
      <c r="J638" s="121">
        <f>K638/1.2</f>
        <v/>
      </c>
      <c r="K638" s="242" t="n">
        <v>1.64</v>
      </c>
      <c r="L638" s="122">
        <f>J638-C638-(J638-C638)*0.2</f>
        <v/>
      </c>
      <c r="M638" s="123">
        <f>L638*I638</f>
        <v/>
      </c>
      <c r="N638" s="124" t="inlineStr">
        <is>
          <t xml:space="preserve">100-290 шт - </t>
        </is>
      </c>
      <c r="O638" s="47" t="inlineStr">
        <is>
          <t xml:space="preserve"> руб / шт с НДС</t>
        </is>
      </c>
      <c r="P638" s="125">
        <f>ROUND(K638,2)</f>
        <v/>
      </c>
      <c r="Q638" s="207">
        <f>CONCATENATE(N638,P638,O638,)</f>
        <v/>
      </c>
      <c r="R638" s="240" t="n"/>
      <c r="T638" s="241" t="n"/>
      <c r="U638" s="240" t="n"/>
      <c r="V638" s="241" t="n"/>
      <c r="Z638" s="240" t="n"/>
      <c r="AB638" s="241" t="n"/>
      <c r="AC638" s="240" t="n"/>
      <c r="AD638" s="241" t="n"/>
      <c r="AE638" t="n">
        <v>2.3</v>
      </c>
    </row>
    <row r="639">
      <c r="B639" s="42" t="n">
        <v>129</v>
      </c>
      <c r="C639" s="118">
        <f>INDIRECT("'Закуп'!A" &amp; B639)</f>
        <v/>
      </c>
      <c r="D639" s="119">
        <f>C639*1.2</f>
        <v/>
      </c>
      <c r="G639" s="172">
        <f>IF(INDIRECT("'Закуп'!L" &amp; B639)="Sale","Sale","")</f>
        <v/>
      </c>
      <c r="H639" s="158">
        <f>IF(INDIRECT("'Закуп'!F" &amp; B639)=0,"",INDIRECT("'Закуп'!F" &amp; B639))</f>
        <v/>
      </c>
      <c r="I639" s="120" t="n">
        <v>300</v>
      </c>
      <c r="J639" s="121">
        <f>K639/1.2</f>
        <v/>
      </c>
      <c r="K639" s="242" t="n">
        <v>1.54</v>
      </c>
      <c r="L639" s="122">
        <f>J639-C639-(J639-C639)*0.2</f>
        <v/>
      </c>
      <c r="M639" s="123">
        <f>L639*I639</f>
        <v/>
      </c>
      <c r="N639" s="124" t="inlineStr">
        <is>
          <t xml:space="preserve">300-490 шт - </t>
        </is>
      </c>
      <c r="O639" s="47" t="inlineStr">
        <is>
          <t xml:space="preserve"> руб / шт с НДС</t>
        </is>
      </c>
      <c r="P639" s="125">
        <f>ROUND(K639,2)</f>
        <v/>
      </c>
      <c r="Q639" s="207">
        <f>CONCATENATE(N639,P639,O639,)</f>
        <v/>
      </c>
      <c r="R639" s="240" t="n"/>
      <c r="T639" s="241" t="n"/>
      <c r="U639" s="240" t="n"/>
      <c r="V639" s="241" t="n"/>
      <c r="Z639" s="240" t="n"/>
      <c r="AB639" s="241" t="n"/>
      <c r="AC639" s="240" t="n"/>
      <c r="AD639" s="241" t="n"/>
      <c r="AE639" t="n">
        <v>2.1</v>
      </c>
    </row>
    <row r="640">
      <c r="B640" s="42" t="n">
        <v>129</v>
      </c>
      <c r="C640" s="118">
        <f>INDIRECT("'Закуп'!A" &amp; B640)</f>
        <v/>
      </c>
      <c r="D640" s="119">
        <f>C640*1.2</f>
        <v/>
      </c>
      <c r="G640" s="172">
        <f>IF(INDIRECT("'Закуп'!L" &amp; B640)="Sale","Sale","")</f>
        <v/>
      </c>
      <c r="H640" s="158">
        <f>IF(INDIRECT("'Закуп'!F" &amp; B640)=0,"",INDIRECT("'Закуп'!F" &amp; B640))</f>
        <v/>
      </c>
      <c r="I640" s="120" t="n">
        <v>500</v>
      </c>
      <c r="J640" s="121">
        <f>K640/1.2</f>
        <v/>
      </c>
      <c r="K640" s="242" t="n">
        <v>1.46</v>
      </c>
      <c r="L640" s="122">
        <f>J640-C640-(J640-C640)*0.2</f>
        <v/>
      </c>
      <c r="M640" s="123">
        <f>L640*I640</f>
        <v/>
      </c>
      <c r="N640" s="124" t="inlineStr">
        <is>
          <t xml:space="preserve">500-990 шт - </t>
        </is>
      </c>
      <c r="O640" s="47" t="inlineStr">
        <is>
          <t xml:space="preserve"> руб / шт с НДС</t>
        </is>
      </c>
      <c r="P640" s="125">
        <f>ROUND(K640,2)</f>
        <v/>
      </c>
      <c r="Q640" s="207">
        <f>CONCATENATE(N640,P640,O640,)</f>
        <v/>
      </c>
      <c r="R640" s="240" t="n"/>
      <c r="T640" s="241" t="n"/>
      <c r="U640" s="240" t="n"/>
      <c r="V640" s="241" t="n"/>
      <c r="Z640" s="240" t="n"/>
      <c r="AB640" s="241" t="n"/>
      <c r="AC640" s="240" t="n"/>
      <c r="AD640" s="241" t="n"/>
      <c r="AE640" t="n">
        <v>1.87</v>
      </c>
    </row>
    <row r="641">
      <c r="B641" s="42" t="n">
        <v>129</v>
      </c>
      <c r="C641" s="118">
        <f>INDIRECT("'Закуп'!A" &amp; B641)</f>
        <v/>
      </c>
      <c r="D641" s="119">
        <f>C641*1.2</f>
        <v/>
      </c>
      <c r="G641" s="172">
        <f>IF(INDIRECT("'Закуп'!L" &amp; B641)="Sale","Sale","")</f>
        <v/>
      </c>
      <c r="H641" s="158">
        <f>IF(INDIRECT("'Закуп'!F" &amp; B641)=0,"",INDIRECT("'Закуп'!F" &amp; B641))</f>
        <v/>
      </c>
      <c r="I641" s="120" t="n">
        <v>1000</v>
      </c>
      <c r="J641" s="121">
        <f>K641/1.2</f>
        <v/>
      </c>
      <c r="K641" s="242" t="n">
        <v>1.42</v>
      </c>
      <c r="L641" s="122">
        <f>J641-C641-(J641-C641)*0.2</f>
        <v/>
      </c>
      <c r="M641" s="123">
        <f>L641*I641</f>
        <v/>
      </c>
      <c r="N641" s="124" t="inlineStr">
        <is>
          <t xml:space="preserve">1000 + шт - </t>
        </is>
      </c>
      <c r="O641" s="47" t="inlineStr">
        <is>
          <t xml:space="preserve"> руб / шт с НДС</t>
        </is>
      </c>
      <c r="P641" s="125">
        <f>ROUND(K641,2)</f>
        <v/>
      </c>
      <c r="Q641" s="207">
        <f>CONCATENATE(N641,P641,O641,)</f>
        <v/>
      </c>
      <c r="R641" s="240" t="n"/>
      <c r="T641" s="241" t="n"/>
      <c r="U641" s="240" t="n"/>
      <c r="V641" s="241" t="n"/>
      <c r="Z641" s="240" t="n"/>
      <c r="AB641" s="241" t="n"/>
      <c r="AC641" s="240" t="n"/>
      <c r="AD641" s="241" t="n"/>
      <c r="AE641" t="n">
        <v>1.79</v>
      </c>
    </row>
    <row r="642">
      <c r="A642" s="232" t="n">
        <v>130</v>
      </c>
      <c r="B642" s="42" t="n">
        <v>130</v>
      </c>
      <c r="C642" s="118">
        <f>INDIRECT("'Закуп'!A" &amp; B642)</f>
        <v/>
      </c>
      <c r="D642" s="119">
        <f>C642*1.2</f>
        <v/>
      </c>
      <c r="E642" s="224">
        <f>INDIRECT("'Закуп'!D" &amp; A642)</f>
        <v/>
      </c>
      <c r="F642" s="231">
        <f>INDIRECT("'Закуп'!E" &amp; B642)</f>
        <v/>
      </c>
      <c r="G642" s="172">
        <f>IF(INDIRECT("'Закуп'!L" &amp; B642)="Sale","Sale","")</f>
        <v/>
      </c>
      <c r="H642" s="158">
        <f>IF(INDIRECT("'Закуп'!F" &amp; B642)=0,"",INDIRECT("'Закуп'!F" &amp; B642))</f>
        <v/>
      </c>
      <c r="I642" s="120" t="n">
        <v>50</v>
      </c>
      <c r="J642" s="121">
        <f>K642/1.2</f>
        <v/>
      </c>
      <c r="K642" s="70" t="n">
        <v>1.04</v>
      </c>
      <c r="L642" s="122">
        <f>J642-C642-(J642-C642)*0.2</f>
        <v/>
      </c>
      <c r="M642" s="123">
        <f>L642*I642</f>
        <v/>
      </c>
      <c r="N642" s="124" t="inlineStr">
        <is>
          <t xml:space="preserve">50-90 шт - </t>
        </is>
      </c>
      <c r="O642" s="47" t="inlineStr">
        <is>
          <t xml:space="preserve"> руб / шт с НДС</t>
        </is>
      </c>
      <c r="P642" s="125">
        <f>ROUND(K642,2)</f>
        <v/>
      </c>
      <c r="Q642" s="207">
        <f>CONCATENATE(N642,P642,O642,)</f>
        <v/>
      </c>
      <c r="R642" s="235">
        <f>INDIRECT("'Закуп'!k" &amp; A642)</f>
        <v/>
      </c>
      <c r="S642" s="239">
        <f>INDIRECT("'Закуп'!o" &amp; A642)</f>
        <v/>
      </c>
      <c r="T642" s="226">
        <f>INDIRECT("'Закуп'!p" &amp; A642)</f>
        <v/>
      </c>
      <c r="U642" s="235">
        <f>INDIRECT("'Закуп'!v" &amp; A642)</f>
        <v/>
      </c>
      <c r="V642" s="222">
        <f>INDIRECT("'Закуп'!w" &amp; A642)</f>
        <v/>
      </c>
      <c r="W642" s="229">
        <f>INDIRECT("'Закуп'!H" &amp; A642)</f>
        <v/>
      </c>
      <c r="X642" s="237">
        <f>INDIRECT("'Закуп'!g" &amp; A642)</f>
        <v/>
      </c>
      <c r="Y642" s="229">
        <f>INDIRECT("'Закуп'!i" &amp; A642)</f>
        <v/>
      </c>
      <c r="Z642" s="236">
        <f>INDIRECT("'Закуп'!x" &amp; A642)</f>
        <v/>
      </c>
      <c r="AA642" s="237">
        <f>INDIRECT("'Закуп'!y" &amp; A642)</f>
        <v/>
      </c>
      <c r="AB642" s="238">
        <f>INDIRECT("'Закуп'!z" &amp; A642)</f>
        <v/>
      </c>
      <c r="AC642" s="223">
        <f>SUBSTITUTE(INDEX(F:F, ROUNDUP((ROW(A641))/5,0)*5 - 3), "х", "x")</f>
        <v/>
      </c>
      <c r="AD642" s="222">
        <f>SUBSTITUTE(INDEX(F:F, ROUNDUP((ROW(A641))/5,0)*5 - 3), "х", "x") &amp; " - " &amp; SUBSTITUTE(SUBSTITUTE(INDEX(F:F, ROUNDUP((ROW(A641))/5,0)*5 - 3), "х", "*"), "x", "*") &amp; " мм"</f>
        <v/>
      </c>
    </row>
    <row r="643">
      <c r="B643" s="42" t="n">
        <v>130</v>
      </c>
      <c r="C643" s="118">
        <f>INDIRECT("'Закуп'!A" &amp; B643)</f>
        <v/>
      </c>
      <c r="D643" s="119">
        <f>C643*1.2</f>
        <v/>
      </c>
      <c r="G643" s="172">
        <f>IF(INDIRECT("'Закуп'!L" &amp; B643)="Sale","Sale","")</f>
        <v/>
      </c>
      <c r="H643" s="158">
        <f>IF(INDIRECT("'Закуп'!F" &amp; B643)=0,"",INDIRECT("'Закуп'!F" &amp; B643))</f>
        <v/>
      </c>
      <c r="I643" s="120" t="n">
        <v>100</v>
      </c>
      <c r="J643" s="121">
        <f>K643/1.2</f>
        <v/>
      </c>
      <c r="K643" s="70" t="n">
        <v>0.88</v>
      </c>
      <c r="L643" s="122">
        <f>J643-C643-(J643-C643)*0.2</f>
        <v/>
      </c>
      <c r="M643" s="123">
        <f>L643*I643</f>
        <v/>
      </c>
      <c r="N643" s="124" t="inlineStr">
        <is>
          <t xml:space="preserve">100-290 шт - </t>
        </is>
      </c>
      <c r="O643" s="47" t="inlineStr">
        <is>
          <t xml:space="preserve"> руб / шт с НДС</t>
        </is>
      </c>
      <c r="P643" s="125">
        <f>ROUND(K643,2)</f>
        <v/>
      </c>
      <c r="Q643" s="207">
        <f>CONCATENATE(N643,P643,O643,)</f>
        <v/>
      </c>
      <c r="R643" s="240" t="n"/>
      <c r="T643" s="241" t="n"/>
      <c r="U643" s="240" t="n"/>
      <c r="V643" s="241" t="n"/>
      <c r="Z643" s="240" t="n"/>
      <c r="AB643" s="241" t="n"/>
      <c r="AC643" s="240" t="n"/>
      <c r="AD643" s="241" t="n"/>
    </row>
    <row r="644">
      <c r="B644" s="42" t="n">
        <v>130</v>
      </c>
      <c r="C644" s="118">
        <f>INDIRECT("'Закуп'!A" &amp; B644)</f>
        <v/>
      </c>
      <c r="D644" s="119">
        <f>C644*1.2</f>
        <v/>
      </c>
      <c r="G644" s="172">
        <f>IF(INDIRECT("'Закуп'!L" &amp; B644)="Sale","Sale","")</f>
        <v/>
      </c>
      <c r="H644" s="158">
        <f>IF(INDIRECT("'Закуп'!F" &amp; B644)=0,"",INDIRECT("'Закуп'!F" &amp; B644))</f>
        <v/>
      </c>
      <c r="I644" s="120" t="n">
        <v>300</v>
      </c>
      <c r="J644" s="121">
        <f>K644/1.2</f>
        <v/>
      </c>
      <c r="K644" s="70" t="n">
        <v>0.8</v>
      </c>
      <c r="L644" s="122">
        <f>J644-C644-(J644-C644)*0.2</f>
        <v/>
      </c>
      <c r="M644" s="123">
        <f>L644*I644</f>
        <v/>
      </c>
      <c r="N644" s="124" t="inlineStr">
        <is>
          <t xml:space="preserve">300-490 шт - </t>
        </is>
      </c>
      <c r="O644" s="47" t="inlineStr">
        <is>
          <t xml:space="preserve"> руб / шт с НДС</t>
        </is>
      </c>
      <c r="P644" s="125">
        <f>ROUND(K644,2)</f>
        <v/>
      </c>
      <c r="Q644" s="207">
        <f>CONCATENATE(N644,P644,O644,)</f>
        <v/>
      </c>
      <c r="R644" s="240" t="n"/>
      <c r="T644" s="241" t="n"/>
      <c r="U644" s="240" t="n"/>
      <c r="V644" s="241" t="n"/>
      <c r="Z644" s="240" t="n"/>
      <c r="AB644" s="241" t="n"/>
      <c r="AC644" s="240" t="n"/>
      <c r="AD644" s="241" t="n"/>
    </row>
    <row r="645">
      <c r="B645" s="42" t="n">
        <v>130</v>
      </c>
      <c r="C645" s="118">
        <f>INDIRECT("'Закуп'!A" &amp; B645)</f>
        <v/>
      </c>
      <c r="D645" s="119">
        <f>C645*1.2</f>
        <v/>
      </c>
      <c r="G645" s="172">
        <f>IF(INDIRECT("'Закуп'!L" &amp; B645)="Sale","Sale","")</f>
        <v/>
      </c>
      <c r="H645" s="158">
        <f>IF(INDIRECT("'Закуп'!F" &amp; B645)=0,"",INDIRECT("'Закуп'!F" &amp; B645))</f>
        <v/>
      </c>
      <c r="I645" s="120" t="n">
        <v>500</v>
      </c>
      <c r="J645" s="121">
        <f>K645/1.2</f>
        <v/>
      </c>
      <c r="K645" s="70" t="n">
        <v>0.73</v>
      </c>
      <c r="L645" s="122">
        <f>J645-C645-(J645-C645)*0.2</f>
        <v/>
      </c>
      <c r="M645" s="123">
        <f>L645*I645</f>
        <v/>
      </c>
      <c r="N645" s="124" t="inlineStr">
        <is>
          <t xml:space="preserve">500-990 шт - </t>
        </is>
      </c>
      <c r="O645" s="47" t="inlineStr">
        <is>
          <t xml:space="preserve"> руб / шт с НДС</t>
        </is>
      </c>
      <c r="P645" s="125">
        <f>ROUND(K645,2)</f>
        <v/>
      </c>
      <c r="Q645" s="207">
        <f>CONCATENATE(N645,P645,O645,)</f>
        <v/>
      </c>
      <c r="R645" s="240" t="n"/>
      <c r="T645" s="241" t="n"/>
      <c r="U645" s="240" t="n"/>
      <c r="V645" s="241" t="n"/>
      <c r="Z645" s="240" t="n"/>
      <c r="AB645" s="241" t="n"/>
      <c r="AC645" s="240" t="n"/>
      <c r="AD645" s="241" t="n"/>
    </row>
    <row r="646">
      <c r="B646" s="42" t="n">
        <v>130</v>
      </c>
      <c r="C646" s="118">
        <f>INDIRECT("'Закуп'!A" &amp; B646)</f>
        <v/>
      </c>
      <c r="D646" s="119">
        <f>C646*1.2</f>
        <v/>
      </c>
      <c r="G646" s="172">
        <f>IF(INDIRECT("'Закуп'!L" &amp; B646)="Sale","Sale","")</f>
        <v/>
      </c>
      <c r="H646" s="158">
        <f>IF(INDIRECT("'Закуп'!F" &amp; B646)=0,"",INDIRECT("'Закуп'!F" &amp; B646))</f>
        <v/>
      </c>
      <c r="I646" s="120" t="n">
        <v>1000</v>
      </c>
      <c r="J646" s="121">
        <f>K646/1.2</f>
        <v/>
      </c>
      <c r="K646" s="70" t="n">
        <v>0.67</v>
      </c>
      <c r="L646" s="122">
        <f>J646-C646-(J646-C646)*0.2</f>
        <v/>
      </c>
      <c r="M646" s="123">
        <f>L646*I646</f>
        <v/>
      </c>
      <c r="N646" s="124" t="inlineStr">
        <is>
          <t xml:space="preserve">1000 + шт - </t>
        </is>
      </c>
      <c r="O646" s="47" t="inlineStr">
        <is>
          <t xml:space="preserve"> руб / шт с НДС</t>
        </is>
      </c>
      <c r="P646" s="125">
        <f>ROUND(K646,2)</f>
        <v/>
      </c>
      <c r="Q646" s="207">
        <f>CONCATENATE(N646,P646,O646,)</f>
        <v/>
      </c>
      <c r="R646" s="240" t="n"/>
      <c r="T646" s="241" t="n"/>
      <c r="U646" s="240" t="n"/>
      <c r="V646" s="241" t="n"/>
      <c r="Z646" s="240" t="n"/>
      <c r="AB646" s="241" t="n"/>
      <c r="AC646" s="240" t="n"/>
      <c r="AD646" s="241" t="n"/>
    </row>
    <row r="647">
      <c r="A647" s="232" t="n">
        <v>131</v>
      </c>
      <c r="B647" s="42" t="n">
        <v>131</v>
      </c>
      <c r="C647" s="118">
        <f>INDIRECT("'Закуп'!A" &amp; B647)</f>
        <v/>
      </c>
      <c r="D647" s="119">
        <f>C647*1.2</f>
        <v/>
      </c>
      <c r="E647" s="224">
        <f>INDIRECT("'Закуп'!D" &amp; A647)</f>
        <v/>
      </c>
      <c r="F647" s="231">
        <f>INDIRECT("'Закуп'!E" &amp; B647)</f>
        <v/>
      </c>
      <c r="G647" s="172">
        <f>IF(INDIRECT("'Закуп'!L" &amp; B647)="Sale","Sale","")</f>
        <v/>
      </c>
      <c r="H647" s="158">
        <f>IF(INDIRECT("'Закуп'!F" &amp; B647)=0,"",INDIRECT("'Закуп'!F" &amp; B647))</f>
        <v/>
      </c>
      <c r="I647" s="120" t="n">
        <v>50</v>
      </c>
      <c r="J647" s="121">
        <f>K647/1.2</f>
        <v/>
      </c>
      <c r="K647" s="242" t="n">
        <v>2.67</v>
      </c>
      <c r="L647" s="122">
        <f>J647-C647-(J647-C647)*0.2</f>
        <v/>
      </c>
      <c r="M647" s="123">
        <f>L647*I647</f>
        <v/>
      </c>
      <c r="N647" s="124" t="inlineStr">
        <is>
          <t xml:space="preserve">50-90 шт - </t>
        </is>
      </c>
      <c r="O647" s="47" t="inlineStr">
        <is>
          <t xml:space="preserve"> руб / шт с НДС</t>
        </is>
      </c>
      <c r="P647" s="125">
        <f>ROUND(K647,2)</f>
        <v/>
      </c>
      <c r="Q647" s="207">
        <f>CONCATENATE(N647,P647,O647,)</f>
        <v/>
      </c>
      <c r="R647" s="235">
        <f>INDIRECT("'Закуп'!k" &amp; A647)</f>
        <v/>
      </c>
      <c r="S647" s="239">
        <f>INDIRECT("'Закуп'!o" &amp; A647)</f>
        <v/>
      </c>
      <c r="T647" s="226">
        <f>INDIRECT("'Закуп'!p" &amp; A647)</f>
        <v/>
      </c>
      <c r="U647" s="235">
        <f>INDIRECT("'Закуп'!v" &amp; A647)</f>
        <v/>
      </c>
      <c r="V647" s="222">
        <f>INDIRECT("'Закуп'!w" &amp; A647)</f>
        <v/>
      </c>
      <c r="W647" s="229">
        <f>INDIRECT("'Закуп'!H" &amp; A647)</f>
        <v/>
      </c>
      <c r="X647" s="237">
        <f>INDIRECT("'Закуп'!g" &amp; A647)</f>
        <v/>
      </c>
      <c r="Y647" s="229">
        <f>INDIRECT("'Закуп'!i" &amp; A647)</f>
        <v/>
      </c>
      <c r="Z647" s="236">
        <f>INDIRECT("'Закуп'!x" &amp; A647)</f>
        <v/>
      </c>
      <c r="AA647" s="237">
        <f>INDIRECT("'Закуп'!y" &amp; A647)</f>
        <v/>
      </c>
      <c r="AB647" s="238">
        <f>INDIRECT("'Закуп'!z" &amp; A647)</f>
        <v/>
      </c>
      <c r="AC647" s="223">
        <f>SUBSTITUTE(INDEX(F:F, ROUNDUP((ROW(A646))/5,0)*5 - 3), "х", "x")</f>
        <v/>
      </c>
      <c r="AD647" s="222">
        <f>SUBSTITUTE(INDEX(F:F, ROUNDUP((ROW(A646))/5,0)*5 - 3), "х", "x") &amp; " - " &amp; SUBSTITUTE(SUBSTITUTE(INDEX(F:F, ROUNDUP((ROW(A646))/5,0)*5 - 3), "х", "*"), "x", "*") &amp; " мм"</f>
        <v/>
      </c>
      <c r="AE647" t="n">
        <v>2.4</v>
      </c>
    </row>
    <row r="648">
      <c r="B648" s="42" t="n">
        <v>131</v>
      </c>
      <c r="C648" s="118">
        <f>INDIRECT("'Закуп'!A" &amp; B648)</f>
        <v/>
      </c>
      <c r="D648" s="119">
        <f>C648*1.2</f>
        <v/>
      </c>
      <c r="G648" s="172">
        <f>IF(INDIRECT("'Закуп'!L" &amp; B648)="Sale","Sale","")</f>
        <v/>
      </c>
      <c r="H648" s="158">
        <f>IF(INDIRECT("'Закуп'!F" &amp; B648)=0,"",INDIRECT("'Закуп'!F" &amp; B648))</f>
        <v/>
      </c>
      <c r="I648" s="120" t="n">
        <v>100</v>
      </c>
      <c r="J648" s="121">
        <f>K648/1.2</f>
        <v/>
      </c>
      <c r="K648" s="242" t="n">
        <v>2.36</v>
      </c>
      <c r="L648" s="122">
        <f>J648-C648-(J648-C648)*0.2</f>
        <v/>
      </c>
      <c r="M648" s="123">
        <f>L648*I648</f>
        <v/>
      </c>
      <c r="N648" s="124" t="inlineStr">
        <is>
          <t xml:space="preserve">100-290 шт - </t>
        </is>
      </c>
      <c r="O648" s="47" t="inlineStr">
        <is>
          <t xml:space="preserve"> руб / шт с НДС</t>
        </is>
      </c>
      <c r="P648" s="125">
        <f>ROUND(K648,2)</f>
        <v/>
      </c>
      <c r="Q648" s="207">
        <f>CONCATENATE(N648,P648,O648,)</f>
        <v/>
      </c>
      <c r="R648" s="240" t="n"/>
      <c r="T648" s="241" t="n"/>
      <c r="U648" s="240" t="n"/>
      <c r="V648" s="241" t="n"/>
      <c r="Z648" s="240" t="n"/>
      <c r="AB648" s="241" t="n"/>
      <c r="AC648" s="240" t="n"/>
      <c r="AD648" s="241" t="n"/>
      <c r="AE648" t="n">
        <v>2.18</v>
      </c>
    </row>
    <row r="649">
      <c r="B649" s="42" t="n">
        <v>131</v>
      </c>
      <c r="C649" s="118">
        <f>INDIRECT("'Закуп'!A" &amp; B649)</f>
        <v/>
      </c>
      <c r="D649" s="119">
        <f>C649*1.2</f>
        <v/>
      </c>
      <c r="G649" s="172">
        <f>IF(INDIRECT("'Закуп'!L" &amp; B649)="Sale","Sale","")</f>
        <v/>
      </c>
      <c r="H649" s="158">
        <f>IF(INDIRECT("'Закуп'!F" &amp; B649)=0,"",INDIRECT("'Закуп'!F" &amp; B649))</f>
        <v/>
      </c>
      <c r="I649" s="120" t="n">
        <v>300</v>
      </c>
      <c r="J649" s="121">
        <f>K649/1.2</f>
        <v/>
      </c>
      <c r="K649" s="242" t="n">
        <v>2.04</v>
      </c>
      <c r="L649" s="122">
        <f>J649-C649-(J649-C649)*0.2</f>
        <v/>
      </c>
      <c r="M649" s="123">
        <f>L649*I649</f>
        <v/>
      </c>
      <c r="N649" s="124" t="inlineStr">
        <is>
          <t xml:space="preserve">300-490 шт - </t>
        </is>
      </c>
      <c r="O649" s="47" t="inlineStr">
        <is>
          <t xml:space="preserve"> руб / шт с НДС</t>
        </is>
      </c>
      <c r="P649" s="125">
        <f>ROUND(K649,2)</f>
        <v/>
      </c>
      <c r="Q649" s="207">
        <f>CONCATENATE(N649,P649,O649,)</f>
        <v/>
      </c>
      <c r="R649" s="240" t="n"/>
      <c r="T649" s="241" t="n"/>
      <c r="U649" s="240" t="n"/>
      <c r="V649" s="241" t="n"/>
      <c r="Z649" s="240" t="n"/>
      <c r="AB649" s="241" t="n"/>
      <c r="AC649" s="240" t="n"/>
      <c r="AD649" s="241" t="n"/>
      <c r="AE649" t="n">
        <v>1.7</v>
      </c>
    </row>
    <row r="650">
      <c r="B650" s="42" t="n">
        <v>131</v>
      </c>
      <c r="C650" s="118">
        <f>INDIRECT("'Закуп'!A" &amp; B650)</f>
        <v/>
      </c>
      <c r="D650" s="119">
        <f>C650*1.2</f>
        <v/>
      </c>
      <c r="G650" s="172">
        <f>IF(INDIRECT("'Закуп'!L" &amp; B650)="Sale","Sale","")</f>
        <v/>
      </c>
      <c r="H650" s="158">
        <f>IF(INDIRECT("'Закуп'!F" &amp; B650)=0,"",INDIRECT("'Закуп'!F" &amp; B650))</f>
        <v/>
      </c>
      <c r="I650" s="120" t="n">
        <v>500</v>
      </c>
      <c r="J650" s="121">
        <f>K650/1.2</f>
        <v/>
      </c>
      <c r="K650" s="242" t="n">
        <v>1.89</v>
      </c>
      <c r="L650" s="122">
        <f>J650-C650-(J650-C650)*0.2</f>
        <v/>
      </c>
      <c r="M650" s="123">
        <f>L650*I650</f>
        <v/>
      </c>
      <c r="N650" s="124" t="inlineStr">
        <is>
          <t xml:space="preserve">500-990 шт - </t>
        </is>
      </c>
      <c r="O650" s="47" t="inlineStr">
        <is>
          <t xml:space="preserve"> руб / шт с НДС</t>
        </is>
      </c>
      <c r="P650" s="125">
        <f>ROUND(K650,2)</f>
        <v/>
      </c>
      <c r="Q650" s="207">
        <f>CONCATENATE(N650,P650,O650,)</f>
        <v/>
      </c>
      <c r="R650" s="240" t="n"/>
      <c r="T650" s="241" t="n"/>
      <c r="U650" s="240" t="n"/>
      <c r="V650" s="241" t="n"/>
      <c r="Z650" s="240" t="n"/>
      <c r="AB650" s="241" t="n"/>
      <c r="AC650" s="240" t="n"/>
      <c r="AD650" s="241" t="n"/>
      <c r="AE650" t="n">
        <v>1.48</v>
      </c>
    </row>
    <row r="651">
      <c r="B651" s="42" t="n">
        <v>131</v>
      </c>
      <c r="C651" s="118">
        <f>INDIRECT("'Закуп'!A" &amp; B651)</f>
        <v/>
      </c>
      <c r="D651" s="119">
        <f>C651*1.2</f>
        <v/>
      </c>
      <c r="G651" s="172">
        <f>IF(INDIRECT("'Закуп'!L" &amp; B651)="Sale","Sale","")</f>
        <v/>
      </c>
      <c r="H651" s="158">
        <f>IF(INDIRECT("'Закуп'!F" &amp; B651)=0,"",INDIRECT("'Закуп'!F" &amp; B651))</f>
        <v/>
      </c>
      <c r="I651" s="120" t="n">
        <v>1000</v>
      </c>
      <c r="J651" s="121">
        <f>K651/1.2</f>
        <v/>
      </c>
      <c r="K651" s="242" t="n">
        <v>1.57</v>
      </c>
      <c r="L651" s="122">
        <f>J651-C651-(J651-C651)*0.2</f>
        <v/>
      </c>
      <c r="M651" s="123">
        <f>L651*I651</f>
        <v/>
      </c>
      <c r="N651" s="124" t="inlineStr">
        <is>
          <t xml:space="preserve">1000 + шт - </t>
        </is>
      </c>
      <c r="O651" s="47" t="inlineStr">
        <is>
          <t xml:space="preserve"> руб / шт с НДС</t>
        </is>
      </c>
      <c r="P651" s="125">
        <f>ROUND(K651,2)</f>
        <v/>
      </c>
      <c r="Q651" s="207">
        <f>CONCATENATE(N651,P651,O651,)</f>
        <v/>
      </c>
      <c r="R651" s="240" t="n"/>
      <c r="T651" s="241" t="n"/>
      <c r="U651" s="240" t="n"/>
      <c r="V651" s="241" t="n"/>
      <c r="Z651" s="240" t="n"/>
      <c r="AB651" s="241" t="n"/>
      <c r="AC651" s="240" t="n"/>
      <c r="AD651" s="241" t="n"/>
      <c r="AE651" t="n">
        <v>1.38</v>
      </c>
    </row>
    <row r="652">
      <c r="A652" s="232" t="n">
        <v>132</v>
      </c>
      <c r="B652" s="42" t="n">
        <v>132</v>
      </c>
      <c r="C652" s="118">
        <f>INDIRECT("'Закуп'!A" &amp; B652)</f>
        <v/>
      </c>
      <c r="D652" s="119">
        <f>C652*1.2</f>
        <v/>
      </c>
      <c r="E652" s="224">
        <f>INDIRECT("'Закуп'!D" &amp; A652)</f>
        <v/>
      </c>
      <c r="F652" s="231">
        <f>INDIRECT("'Закуп'!E" &amp; B652)</f>
        <v/>
      </c>
      <c r="G652" s="172">
        <f>IF(INDIRECT("'Закуп'!L" &amp; B652)="Sale","Sale","")</f>
        <v/>
      </c>
      <c r="H652" s="158">
        <f>IF(INDIRECT("'Закуп'!F" &amp; B652)=0,"",INDIRECT("'Закуп'!F" &amp; B652))</f>
        <v/>
      </c>
      <c r="I652" s="120" t="n">
        <v>50</v>
      </c>
      <c r="J652" s="121">
        <f>K652/1.2</f>
        <v/>
      </c>
      <c r="K652" s="242" t="n">
        <v>1.85</v>
      </c>
      <c r="L652" s="122">
        <f>J652-C652-(J652-C652)*0.2</f>
        <v/>
      </c>
      <c r="M652" s="123">
        <f>L652*I652</f>
        <v/>
      </c>
      <c r="N652" s="124" t="inlineStr">
        <is>
          <t xml:space="preserve">50-90 шт - </t>
        </is>
      </c>
      <c r="O652" s="47" t="inlineStr">
        <is>
          <t xml:space="preserve"> руб / шт с НДС</t>
        </is>
      </c>
      <c r="P652" s="125">
        <f>ROUND(K652,2)</f>
        <v/>
      </c>
      <c r="Q652" s="207">
        <f>CONCATENATE(N652,P652,O652,)</f>
        <v/>
      </c>
      <c r="R652" s="235">
        <f>INDIRECT("'Закуп'!k" &amp; A652)</f>
        <v/>
      </c>
      <c r="S652" s="239">
        <f>INDIRECT("'Закуп'!o" &amp; A652)</f>
        <v/>
      </c>
      <c r="T652" s="226">
        <f>INDIRECT("'Закуп'!p" &amp; A652)</f>
        <v/>
      </c>
      <c r="U652" s="235">
        <f>INDIRECT("'Закуп'!v" &amp; A652)</f>
        <v/>
      </c>
      <c r="V652" s="222">
        <f>INDIRECT("'Закуп'!w" &amp; A652)</f>
        <v/>
      </c>
      <c r="W652" s="229">
        <f>INDIRECT("'Закуп'!H" &amp; A652)</f>
        <v/>
      </c>
      <c r="X652" s="237">
        <f>INDIRECT("'Закуп'!g" &amp; A652)</f>
        <v/>
      </c>
      <c r="Y652" s="229">
        <f>INDIRECT("'Закуп'!i" &amp; A652)</f>
        <v/>
      </c>
      <c r="Z652" s="236">
        <f>INDIRECT("'Закуп'!x" &amp; A652)</f>
        <v/>
      </c>
      <c r="AA652" s="237">
        <f>INDIRECT("'Закуп'!y" &amp; A652)</f>
        <v/>
      </c>
      <c r="AB652" s="238">
        <f>INDIRECT("'Закуп'!z" &amp; A652)</f>
        <v/>
      </c>
      <c r="AC652" s="223">
        <f>SUBSTITUTE(INDEX(F:F, ROUNDUP((ROW(A651))/5,0)*5 - 3), "х", "x")</f>
        <v/>
      </c>
      <c r="AD652" s="222">
        <f>SUBSTITUTE(INDEX(F:F, ROUNDUP((ROW(A651))/5,0)*5 - 3), "х", "x") &amp; " - " &amp; SUBSTITUTE(SUBSTITUTE(INDEX(F:F, ROUNDUP((ROW(A651))/5,0)*5 - 3), "х", "*"), "x", "*") &amp; " мм"</f>
        <v/>
      </c>
      <c r="AE652" t="n">
        <v>1.5</v>
      </c>
    </row>
    <row r="653">
      <c r="B653" s="42" t="n">
        <v>132</v>
      </c>
      <c r="C653" s="118">
        <f>INDIRECT("'Закуп'!A" &amp; B653)</f>
        <v/>
      </c>
      <c r="D653" s="119">
        <f>C653*1.2</f>
        <v/>
      </c>
      <c r="G653" s="172">
        <f>IF(INDIRECT("'Закуп'!L" &amp; B653)="Sale","Sale","")</f>
        <v/>
      </c>
      <c r="H653" s="158">
        <f>IF(INDIRECT("'Закуп'!F" &amp; B653)=0,"",INDIRECT("'Закуп'!F" &amp; B653))</f>
        <v/>
      </c>
      <c r="I653" s="120" t="n">
        <v>100</v>
      </c>
      <c r="J653" s="121">
        <f>K653/1.2</f>
        <v/>
      </c>
      <c r="K653" s="242" t="n">
        <v>1.64</v>
      </c>
      <c r="L653" s="122">
        <f>J653-C653-(J653-C653)*0.2</f>
        <v/>
      </c>
      <c r="M653" s="123">
        <f>L653*I653</f>
        <v/>
      </c>
      <c r="N653" s="124" t="inlineStr">
        <is>
          <t xml:space="preserve">100-290 шт - </t>
        </is>
      </c>
      <c r="O653" s="47" t="inlineStr">
        <is>
          <t xml:space="preserve"> руб / шт с НДС</t>
        </is>
      </c>
      <c r="P653" s="125">
        <f>ROUND(K653,2)</f>
        <v/>
      </c>
      <c r="Q653" s="207">
        <f>CONCATENATE(N653,P653,O653,)</f>
        <v/>
      </c>
      <c r="R653" s="240" t="n"/>
      <c r="T653" s="241" t="n"/>
      <c r="U653" s="240" t="n"/>
      <c r="V653" s="241" t="n"/>
      <c r="Z653" s="240" t="n"/>
      <c r="AB653" s="241" t="n"/>
      <c r="AC653" s="240" t="n"/>
      <c r="AD653" s="241" t="n"/>
      <c r="AE653" t="n">
        <v>1.36</v>
      </c>
    </row>
    <row r="654">
      <c r="B654" s="42" t="n">
        <v>132</v>
      </c>
      <c r="C654" s="118">
        <f>INDIRECT("'Закуп'!A" &amp; B654)</f>
        <v/>
      </c>
      <c r="D654" s="119">
        <f>C654*1.2</f>
        <v/>
      </c>
      <c r="G654" s="172">
        <f>IF(INDIRECT("'Закуп'!L" &amp; B654)="Sale","Sale","")</f>
        <v/>
      </c>
      <c r="H654" s="158">
        <f>IF(INDIRECT("'Закуп'!F" &amp; B654)=0,"",INDIRECT("'Закуп'!F" &amp; B654))</f>
        <v/>
      </c>
      <c r="I654" s="120" t="n">
        <v>300</v>
      </c>
      <c r="J654" s="121">
        <f>K654/1.2</f>
        <v/>
      </c>
      <c r="K654" s="242" t="n">
        <v>1.42</v>
      </c>
      <c r="L654" s="122">
        <f>J654-C654-(J654-C654)*0.2</f>
        <v/>
      </c>
      <c r="M654" s="123">
        <f>L654*I654</f>
        <v/>
      </c>
      <c r="N654" s="124" t="inlineStr">
        <is>
          <t xml:space="preserve">300-490 шт - </t>
        </is>
      </c>
      <c r="O654" s="47" t="inlineStr">
        <is>
          <t xml:space="preserve"> руб / шт с НДС</t>
        </is>
      </c>
      <c r="P654" s="125">
        <f>ROUND(K654,2)</f>
        <v/>
      </c>
      <c r="Q654" s="207">
        <f>CONCATENATE(N654,P654,O654,)</f>
        <v/>
      </c>
      <c r="R654" s="240" t="n"/>
      <c r="T654" s="241" t="n"/>
      <c r="U654" s="240" t="n"/>
      <c r="V654" s="241" t="n"/>
      <c r="Z654" s="240" t="n"/>
      <c r="AB654" s="241" t="n"/>
      <c r="AC654" s="240" t="n"/>
      <c r="AD654" s="241" t="n"/>
      <c r="AE654" t="n">
        <v>1.07</v>
      </c>
    </row>
    <row r="655">
      <c r="B655" s="42" t="n">
        <v>132</v>
      </c>
      <c r="C655" s="118">
        <f>INDIRECT("'Закуп'!A" &amp; B655)</f>
        <v/>
      </c>
      <c r="D655" s="119">
        <f>C655*1.2</f>
        <v/>
      </c>
      <c r="G655" s="172">
        <f>IF(INDIRECT("'Закуп'!L" &amp; B655)="Sale","Sale","")</f>
        <v/>
      </c>
      <c r="H655" s="158">
        <f>IF(INDIRECT("'Закуп'!F" &amp; B655)=0,"",INDIRECT("'Закуп'!F" &amp; B655))</f>
        <v/>
      </c>
      <c r="I655" s="120" t="n">
        <v>500</v>
      </c>
      <c r="J655" s="121">
        <f>K655/1.2</f>
        <v/>
      </c>
      <c r="K655" s="242" t="n">
        <v>1.31</v>
      </c>
      <c r="L655" s="122">
        <f>J655-C655-(J655-C655)*0.2</f>
        <v/>
      </c>
      <c r="M655" s="123">
        <f>L655*I655</f>
        <v/>
      </c>
      <c r="N655" s="124" t="inlineStr">
        <is>
          <t xml:space="preserve">500-990 шт - </t>
        </is>
      </c>
      <c r="O655" s="47" t="inlineStr">
        <is>
          <t xml:space="preserve"> руб / шт с НДС</t>
        </is>
      </c>
      <c r="P655" s="125">
        <f>ROUND(K655,2)</f>
        <v/>
      </c>
      <c r="Q655" s="207">
        <f>CONCATENATE(N655,P655,O655,)</f>
        <v/>
      </c>
      <c r="R655" s="240" t="n"/>
      <c r="T655" s="241" t="n"/>
      <c r="U655" s="240" t="n"/>
      <c r="V655" s="241" t="n"/>
      <c r="Z655" s="240" t="n"/>
      <c r="AB655" s="241" t="n"/>
      <c r="AC655" s="240" t="n"/>
      <c r="AD655" s="241" t="n"/>
      <c r="AE655" t="n">
        <v>1.01</v>
      </c>
    </row>
    <row r="656">
      <c r="B656" s="42" t="n">
        <v>132</v>
      </c>
      <c r="C656" s="118">
        <f>INDIRECT("'Закуп'!A" &amp; B656)</f>
        <v/>
      </c>
      <c r="D656" s="119">
        <f>C656*1.2</f>
        <v/>
      </c>
      <c r="G656" s="172">
        <f>IF(INDIRECT("'Закуп'!L" &amp; B656)="Sale","Sale","")</f>
        <v/>
      </c>
      <c r="H656" s="158">
        <f>IF(INDIRECT("'Закуп'!F" &amp; B656)=0,"",INDIRECT("'Закуп'!F" &amp; B656))</f>
        <v/>
      </c>
      <c r="I656" s="120" t="n">
        <v>1000</v>
      </c>
      <c r="J656" s="121">
        <f>K656/1.2</f>
        <v/>
      </c>
      <c r="K656" s="242" t="n">
        <v>1.09</v>
      </c>
      <c r="L656" s="122">
        <f>J656-C656-(J656-C656)*0.2</f>
        <v/>
      </c>
      <c r="M656" s="123">
        <f>L656*I656</f>
        <v/>
      </c>
      <c r="N656" s="124" t="inlineStr">
        <is>
          <t xml:space="preserve">1000 + шт - </t>
        </is>
      </c>
      <c r="O656" s="47" t="inlineStr">
        <is>
          <t xml:space="preserve"> руб / шт с НДС</t>
        </is>
      </c>
      <c r="P656" s="125">
        <f>ROUND(K656,2)</f>
        <v/>
      </c>
      <c r="Q656" s="207">
        <f>CONCATENATE(N656,P656,O656,)</f>
        <v/>
      </c>
      <c r="R656" s="240" t="n"/>
      <c r="T656" s="241" t="n"/>
      <c r="U656" s="240" t="n"/>
      <c r="V656" s="241" t="n"/>
      <c r="Z656" s="240" t="n"/>
      <c r="AB656" s="241" t="n"/>
      <c r="AC656" s="240" t="n"/>
      <c r="AD656" s="241" t="n"/>
      <c r="AE656" t="n">
        <v>0.95</v>
      </c>
    </row>
    <row r="657">
      <c r="A657" s="232" t="n">
        <v>133</v>
      </c>
      <c r="B657" s="42" t="n">
        <v>133</v>
      </c>
      <c r="C657" s="118">
        <f>INDIRECT("'Закуп'!A" &amp; B657)</f>
        <v/>
      </c>
      <c r="D657" s="119">
        <f>C657*1.2</f>
        <v/>
      </c>
      <c r="E657" s="224">
        <f>INDIRECT("'Закуп'!D" &amp; A657)</f>
        <v/>
      </c>
      <c r="F657" s="231">
        <f>INDIRECT("'Закуп'!E" &amp; B657)</f>
        <v/>
      </c>
      <c r="G657" s="172">
        <f>IF(INDIRECT("'Закуп'!L" &amp; B657)="Sale","Sale","")</f>
        <v/>
      </c>
      <c r="H657" s="158">
        <f>IF(INDIRECT("'Закуп'!F" &amp; B657)=0,"",INDIRECT("'Закуп'!F" &amp; B657))</f>
        <v/>
      </c>
      <c r="I657" s="120" t="n">
        <v>50</v>
      </c>
      <c r="J657" s="121">
        <f>K657/1.2</f>
        <v/>
      </c>
      <c r="K657" s="242" t="n">
        <v>2.37</v>
      </c>
      <c r="L657" s="122">
        <f>J657-C657-(J657-C657)*0.2</f>
        <v/>
      </c>
      <c r="M657" s="123">
        <f>L657*I657</f>
        <v/>
      </c>
      <c r="N657" s="124" t="inlineStr">
        <is>
          <t xml:space="preserve">50-90 шт - </t>
        </is>
      </c>
      <c r="O657" s="47" t="inlineStr">
        <is>
          <t xml:space="preserve"> руб / шт с НДС</t>
        </is>
      </c>
      <c r="P657" s="125">
        <f>ROUND(K657,2)</f>
        <v/>
      </c>
      <c r="Q657" s="207">
        <f>CONCATENATE(N657,P657,O657,)</f>
        <v/>
      </c>
      <c r="R657" s="235">
        <f>INDIRECT("'Закуп'!k" &amp; A657)</f>
        <v/>
      </c>
      <c r="S657" s="239">
        <f>INDIRECT("'Закуп'!o" &amp; A657)</f>
        <v/>
      </c>
      <c r="T657" s="226">
        <f>INDIRECT("'Закуп'!p" &amp; A657)</f>
        <v/>
      </c>
      <c r="U657" s="235">
        <f>INDIRECT("'Закуп'!v" &amp; A657)</f>
        <v/>
      </c>
      <c r="V657" s="222">
        <f>INDIRECT("'Закуп'!w" &amp; A657)</f>
        <v/>
      </c>
      <c r="W657" s="229">
        <f>INDIRECT("'Закуп'!H" &amp; A657)</f>
        <v/>
      </c>
      <c r="X657" s="237">
        <f>INDIRECT("'Закуп'!g" &amp; A657)</f>
        <v/>
      </c>
      <c r="Y657" s="229">
        <f>INDIRECT("'Закуп'!i" &amp; A657)</f>
        <v/>
      </c>
      <c r="Z657" s="236">
        <f>INDIRECT("'Закуп'!x" &amp; A657)</f>
        <v/>
      </c>
      <c r="AA657" s="237">
        <f>INDIRECT("'Закуп'!y" &amp; A657)</f>
        <v/>
      </c>
      <c r="AB657" s="238">
        <f>INDIRECT("'Закуп'!z" &amp; A657)</f>
        <v/>
      </c>
      <c r="AC657" s="223">
        <f>SUBSTITUTE(INDEX(F:F, ROUNDUP((ROW(A656))/5,0)*5 - 3), "х", "x")</f>
        <v/>
      </c>
      <c r="AD657" s="222">
        <f>SUBSTITUTE(INDEX(F:F, ROUNDUP((ROW(A656))/5,0)*5 - 3), "х", "x") &amp; " - " &amp; SUBSTITUTE(SUBSTITUTE(INDEX(F:F, ROUNDUP((ROW(A656))/5,0)*5 - 3), "х", "*"), "x", "*") &amp; " мм"</f>
        <v/>
      </c>
      <c r="AE657" t="n">
        <v>3.65</v>
      </c>
    </row>
    <row r="658">
      <c r="B658" s="42" t="n">
        <v>133</v>
      </c>
      <c r="C658" s="118">
        <f>INDIRECT("'Закуп'!A" &amp; B658)</f>
        <v/>
      </c>
      <c r="D658" s="119">
        <f>C658*1.2</f>
        <v/>
      </c>
      <c r="G658" s="172">
        <f>IF(INDIRECT("'Закуп'!L" &amp; B658)="Sale","Sale","")</f>
        <v/>
      </c>
      <c r="H658" s="158">
        <f>IF(INDIRECT("'Закуп'!F" &amp; B658)=0,"",INDIRECT("'Закуп'!F" &amp; B658))</f>
        <v/>
      </c>
      <c r="I658" s="120" t="n">
        <v>100</v>
      </c>
      <c r="J658" s="121">
        <f>K658/1.2</f>
        <v/>
      </c>
      <c r="K658" s="242" t="n">
        <v>2.01</v>
      </c>
      <c r="L658" s="122">
        <f>J658-C658-(J658-C658)*0.2</f>
        <v/>
      </c>
      <c r="M658" s="123">
        <f>L658*I658</f>
        <v/>
      </c>
      <c r="N658" s="124" t="inlineStr">
        <is>
          <t xml:space="preserve">100-290 шт - </t>
        </is>
      </c>
      <c r="O658" s="47" t="inlineStr">
        <is>
          <t xml:space="preserve"> руб / шт с НДС</t>
        </is>
      </c>
      <c r="P658" s="125">
        <f>ROUND(K658,2)</f>
        <v/>
      </c>
      <c r="Q658" s="207">
        <f>CONCATENATE(N658,P658,O658,)</f>
        <v/>
      </c>
      <c r="R658" s="240" t="n"/>
      <c r="T658" s="241" t="n"/>
      <c r="U658" s="240" t="n"/>
      <c r="V658" s="241" t="n"/>
      <c r="Z658" s="240" t="n"/>
      <c r="AB658" s="241" t="n"/>
      <c r="AC658" s="240" t="n"/>
      <c r="AD658" s="241" t="n"/>
      <c r="AE658" t="n">
        <v>2.92</v>
      </c>
    </row>
    <row r="659">
      <c r="B659" s="42" t="n">
        <v>133</v>
      </c>
      <c r="C659" s="118">
        <f>INDIRECT("'Закуп'!A" &amp; B659)</f>
        <v/>
      </c>
      <c r="D659" s="119">
        <f>C659*1.2</f>
        <v/>
      </c>
      <c r="G659" s="172">
        <f>IF(INDIRECT("'Закуп'!L" &amp; B659)="Sale","Sale","")</f>
        <v/>
      </c>
      <c r="H659" s="158">
        <f>IF(INDIRECT("'Закуп'!F" &amp; B659)=0,"",INDIRECT("'Закуп'!F" &amp; B659))</f>
        <v/>
      </c>
      <c r="I659" s="120" t="n">
        <v>300</v>
      </c>
      <c r="J659" s="121">
        <f>K659/1.2</f>
        <v/>
      </c>
      <c r="K659" s="242" t="n">
        <v>1.9</v>
      </c>
      <c r="L659" s="122">
        <f>J659-C659-(J659-C659)*0.2</f>
        <v/>
      </c>
      <c r="M659" s="123">
        <f>L659*I659</f>
        <v/>
      </c>
      <c r="N659" s="124" t="inlineStr">
        <is>
          <t xml:space="preserve">300-490 шт - </t>
        </is>
      </c>
      <c r="O659" s="47" t="inlineStr">
        <is>
          <t xml:space="preserve"> руб / шт с НДС</t>
        </is>
      </c>
      <c r="P659" s="125">
        <f>ROUND(K659,2)</f>
        <v/>
      </c>
      <c r="Q659" s="207">
        <f>CONCATENATE(N659,P659,O659,)</f>
        <v/>
      </c>
      <c r="R659" s="240" t="n"/>
      <c r="T659" s="241" t="n"/>
      <c r="U659" s="240" t="n"/>
      <c r="V659" s="241" t="n"/>
      <c r="Z659" s="240" t="n"/>
      <c r="AB659" s="241" t="n"/>
      <c r="AC659" s="240" t="n"/>
      <c r="AD659" s="241" t="n"/>
      <c r="AE659" t="n">
        <v>2.46</v>
      </c>
    </row>
    <row r="660">
      <c r="B660" s="42" t="n">
        <v>133</v>
      </c>
      <c r="C660" s="118">
        <f>INDIRECT("'Закуп'!A" &amp; B660)</f>
        <v/>
      </c>
      <c r="D660" s="119">
        <f>C660*1.2</f>
        <v/>
      </c>
      <c r="G660" s="172">
        <f>IF(INDIRECT("'Закуп'!L" &amp; B660)="Sale","Sale","")</f>
        <v/>
      </c>
      <c r="H660" s="158">
        <f>IF(INDIRECT("'Закуп'!F" &amp; B660)=0,"",INDIRECT("'Закуп'!F" &amp; B660))</f>
        <v/>
      </c>
      <c r="I660" s="120" t="n">
        <v>500</v>
      </c>
      <c r="J660" s="121">
        <f>K660/1.2</f>
        <v/>
      </c>
      <c r="K660" s="242" t="n">
        <v>1.8</v>
      </c>
      <c r="L660" s="122">
        <f>J660-C660-(J660-C660)*0.2</f>
        <v/>
      </c>
      <c r="M660" s="123">
        <f>L660*I660</f>
        <v/>
      </c>
      <c r="N660" s="124" t="inlineStr">
        <is>
          <t xml:space="preserve">500-990 шт - </t>
        </is>
      </c>
      <c r="O660" s="47" t="inlineStr">
        <is>
          <t xml:space="preserve"> руб / шт с НДС</t>
        </is>
      </c>
      <c r="P660" s="125">
        <f>ROUND(K660,2)</f>
        <v/>
      </c>
      <c r="Q660" s="207">
        <f>CONCATENATE(N660,P660,O660,)</f>
        <v/>
      </c>
      <c r="R660" s="240" t="n"/>
      <c r="T660" s="241" t="n"/>
      <c r="U660" s="240" t="n"/>
      <c r="V660" s="241" t="n"/>
      <c r="Z660" s="240" t="n"/>
      <c r="AB660" s="241" t="n"/>
      <c r="AC660" s="240" t="n"/>
      <c r="AD660" s="241" t="n"/>
      <c r="AE660" t="n">
        <v>2.33</v>
      </c>
    </row>
    <row r="661">
      <c r="B661" s="42" t="n">
        <v>133</v>
      </c>
      <c r="C661" s="118">
        <f>INDIRECT("'Закуп'!A" &amp; B661)</f>
        <v/>
      </c>
      <c r="D661" s="119">
        <f>C661*1.2</f>
        <v/>
      </c>
      <c r="G661" s="172">
        <f>IF(INDIRECT("'Закуп'!L" &amp; B661)="Sale","Sale","")</f>
        <v/>
      </c>
      <c r="H661" s="158">
        <f>IF(INDIRECT("'Закуп'!F" &amp; B661)=0,"",INDIRECT("'Закуп'!F" &amp; B661))</f>
        <v/>
      </c>
      <c r="I661" s="120" t="n">
        <v>1000</v>
      </c>
      <c r="J661" s="121">
        <f>K661/1.2</f>
        <v/>
      </c>
      <c r="K661" s="242" t="n">
        <v>1.74</v>
      </c>
      <c r="L661" s="122">
        <f>J661-C661-(J661-C661)*0.2</f>
        <v/>
      </c>
      <c r="M661" s="123">
        <f>L661*I661</f>
        <v/>
      </c>
      <c r="N661" s="124" t="inlineStr">
        <is>
          <t xml:space="preserve">1000 + шт - </t>
        </is>
      </c>
      <c r="O661" s="47" t="inlineStr">
        <is>
          <t xml:space="preserve"> руб / шт с НДС</t>
        </is>
      </c>
      <c r="P661" s="125">
        <f>ROUND(K661,2)</f>
        <v/>
      </c>
      <c r="Q661" s="207">
        <f>CONCATENATE(N661,P661,O661,)</f>
        <v/>
      </c>
      <c r="R661" s="240" t="n"/>
      <c r="T661" s="241" t="n"/>
      <c r="U661" s="240" t="n"/>
      <c r="V661" s="241" t="n"/>
      <c r="Z661" s="240" t="n"/>
      <c r="AB661" s="241" t="n"/>
      <c r="AC661" s="240" t="n"/>
      <c r="AD661" s="241" t="n"/>
      <c r="AE661" t="n">
        <v>2.23</v>
      </c>
    </row>
    <row r="662">
      <c r="A662" s="232" t="n">
        <v>134</v>
      </c>
      <c r="B662" s="42" t="n">
        <v>134</v>
      </c>
      <c r="C662" s="118">
        <f>INDIRECT("'Закуп'!A" &amp; B662)</f>
        <v/>
      </c>
      <c r="D662" s="119">
        <f>C662*1.2</f>
        <v/>
      </c>
      <c r="E662" s="224">
        <f>INDIRECT("'Закуп'!D" &amp; A662)</f>
        <v/>
      </c>
      <c r="F662" s="231">
        <f>INDIRECT("'Закуп'!E" &amp; B662)</f>
        <v/>
      </c>
      <c r="G662" s="172">
        <f>IF(INDIRECT("'Закуп'!L" &amp; B662)="Sale","Sale","")</f>
        <v/>
      </c>
      <c r="H662" s="158">
        <f>IF(INDIRECT("'Закуп'!F" &amp; B662)=0,"",INDIRECT("'Закуп'!F" &amp; B662))</f>
        <v/>
      </c>
      <c r="I662" s="120" t="n">
        <v>50</v>
      </c>
      <c r="J662" s="121">
        <f>K662/1.2</f>
        <v/>
      </c>
      <c r="K662" s="242" t="n">
        <v>1.83</v>
      </c>
      <c r="L662" s="122">
        <f>J662-C662-(J662-C662)*0.2</f>
        <v/>
      </c>
      <c r="M662" s="123">
        <f>L662*I662</f>
        <v/>
      </c>
      <c r="N662" s="124" t="inlineStr">
        <is>
          <t xml:space="preserve">50-90 шт - </t>
        </is>
      </c>
      <c r="O662" s="47" t="inlineStr">
        <is>
          <t xml:space="preserve"> руб / шт с НДС</t>
        </is>
      </c>
      <c r="P662" s="125">
        <f>ROUND(K662,2)</f>
        <v/>
      </c>
      <c r="Q662" s="207">
        <f>CONCATENATE(N662,P662,O662,)</f>
        <v/>
      </c>
      <c r="R662" s="235">
        <f>INDIRECT("'Закуп'!k" &amp; A662)</f>
        <v/>
      </c>
      <c r="S662" s="239">
        <f>INDIRECT("'Закуп'!o" &amp; A662)</f>
        <v/>
      </c>
      <c r="T662" s="226">
        <f>INDIRECT("'Закуп'!p" &amp; A662)</f>
        <v/>
      </c>
      <c r="U662" s="235">
        <f>INDIRECT("'Закуп'!v" &amp; A662)</f>
        <v/>
      </c>
      <c r="V662" s="222">
        <f>INDIRECT("'Закуп'!w" &amp; A662)</f>
        <v/>
      </c>
      <c r="W662" s="229">
        <f>INDIRECT("'Закуп'!H" &amp; A662)</f>
        <v/>
      </c>
      <c r="X662" s="237">
        <f>INDIRECT("'Закуп'!g" &amp; A662)</f>
        <v/>
      </c>
      <c r="Y662" s="229">
        <f>INDIRECT("'Закуп'!i" &amp; A662)</f>
        <v/>
      </c>
      <c r="Z662" s="236">
        <f>INDIRECT("'Закуп'!x" &amp; A662)</f>
        <v/>
      </c>
      <c r="AA662" s="237">
        <f>INDIRECT("'Закуп'!y" &amp; A662)</f>
        <v/>
      </c>
      <c r="AB662" s="238">
        <f>INDIRECT("'Закуп'!z" &amp; A662)</f>
        <v/>
      </c>
      <c r="AC662" s="223">
        <f>SUBSTITUTE(INDEX(F:F, ROUNDUP((ROW(A661))/5,0)*5 - 3), "х", "x")</f>
        <v/>
      </c>
      <c r="AD662" s="222">
        <f>SUBSTITUTE(INDEX(F:F, ROUNDUP((ROW(A661))/5,0)*5 - 3), "х", "x") &amp; " - " &amp; SUBSTITUTE(SUBSTITUTE(INDEX(F:F, ROUNDUP((ROW(A661))/5,0)*5 - 3), "х", "*"), "x", "*") &amp; " мм"</f>
        <v/>
      </c>
      <c r="AE662" t="n">
        <v>2.75</v>
      </c>
    </row>
    <row r="663">
      <c r="B663" s="42" t="n">
        <v>134</v>
      </c>
      <c r="C663" s="118">
        <f>INDIRECT("'Закуп'!A" &amp; B663)</f>
        <v/>
      </c>
      <c r="D663" s="119">
        <f>C663*1.2</f>
        <v/>
      </c>
      <c r="G663" s="172">
        <f>IF(INDIRECT("'Закуп'!L" &amp; B663)="Sale","Sale","")</f>
        <v/>
      </c>
      <c r="H663" s="158">
        <f>IF(INDIRECT("'Закуп'!F" &amp; B663)=0,"",INDIRECT("'Закуп'!F" &amp; B663))</f>
        <v/>
      </c>
      <c r="I663" s="120" t="n">
        <v>100</v>
      </c>
      <c r="J663" s="121">
        <f>K663/1.2</f>
        <v/>
      </c>
      <c r="K663" s="242" t="n">
        <v>1.56</v>
      </c>
      <c r="L663" s="122">
        <f>J663-C663-(J663-C663)*0.2</f>
        <v/>
      </c>
      <c r="M663" s="123">
        <f>L663*I663</f>
        <v/>
      </c>
      <c r="N663" s="124" t="inlineStr">
        <is>
          <t xml:space="preserve">100-290 шт - </t>
        </is>
      </c>
      <c r="O663" s="47" t="inlineStr">
        <is>
          <t xml:space="preserve"> руб / шт с НДС</t>
        </is>
      </c>
      <c r="P663" s="125">
        <f>ROUND(K663,2)</f>
        <v/>
      </c>
      <c r="Q663" s="207">
        <f>CONCATENATE(N663,P663,O663,)</f>
        <v/>
      </c>
      <c r="R663" s="240" t="n"/>
      <c r="T663" s="241" t="n"/>
      <c r="U663" s="240" t="n"/>
      <c r="V663" s="241" t="n"/>
      <c r="Z663" s="240" t="n"/>
      <c r="AB663" s="241" t="n"/>
      <c r="AC663" s="240" t="n"/>
      <c r="AD663" s="241" t="n"/>
      <c r="AE663" t="n">
        <v>2.19</v>
      </c>
    </row>
    <row r="664">
      <c r="B664" s="42" t="n">
        <v>134</v>
      </c>
      <c r="C664" s="118">
        <f>INDIRECT("'Закуп'!A" &amp; B664)</f>
        <v/>
      </c>
      <c r="D664" s="119">
        <f>C664*1.2</f>
        <v/>
      </c>
      <c r="G664" s="172">
        <f>IF(INDIRECT("'Закуп'!L" &amp; B664)="Sale","Sale","")</f>
        <v/>
      </c>
      <c r="H664" s="158">
        <f>IF(INDIRECT("'Закуп'!F" &amp; B664)=0,"",INDIRECT("'Закуп'!F" &amp; B664))</f>
        <v/>
      </c>
      <c r="I664" s="120" t="n">
        <v>300</v>
      </c>
      <c r="J664" s="121">
        <f>K664/1.2</f>
        <v/>
      </c>
      <c r="K664" s="242" t="n">
        <v>1.47</v>
      </c>
      <c r="L664" s="122">
        <f>J664-C664-(J664-C664)*0.2</f>
        <v/>
      </c>
      <c r="M664" s="123">
        <f>L664*I664</f>
        <v/>
      </c>
      <c r="N664" s="124" t="inlineStr">
        <is>
          <t xml:space="preserve">300-490 шт - </t>
        </is>
      </c>
      <c r="O664" s="47" t="inlineStr">
        <is>
          <t xml:space="preserve"> руб / шт с НДС</t>
        </is>
      </c>
      <c r="P664" s="125">
        <f>ROUND(K664,2)</f>
        <v/>
      </c>
      <c r="Q664" s="207">
        <f>CONCATENATE(N664,P664,O664,)</f>
        <v/>
      </c>
      <c r="R664" s="240" t="n"/>
      <c r="T664" s="241" t="n"/>
      <c r="U664" s="240" t="n"/>
      <c r="V664" s="241" t="n"/>
      <c r="Z664" s="240" t="n"/>
      <c r="AB664" s="241" t="n"/>
      <c r="AC664" s="240" t="n"/>
      <c r="AD664" s="241" t="n"/>
      <c r="AE664" t="n">
        <v>2</v>
      </c>
    </row>
    <row r="665">
      <c r="B665" s="42" t="n">
        <v>134</v>
      </c>
      <c r="C665" s="118">
        <f>INDIRECT("'Закуп'!A" &amp; B665)</f>
        <v/>
      </c>
      <c r="D665" s="119">
        <f>C665*1.2</f>
        <v/>
      </c>
      <c r="G665" s="172">
        <f>IF(INDIRECT("'Закуп'!L" &amp; B665)="Sale","Sale","")</f>
        <v/>
      </c>
      <c r="H665" s="158">
        <f>IF(INDIRECT("'Закуп'!F" &amp; B665)=0,"",INDIRECT("'Закуп'!F" &amp; B665))</f>
        <v/>
      </c>
      <c r="I665" s="120" t="n">
        <v>500</v>
      </c>
      <c r="J665" s="121">
        <f>K665/1.2</f>
        <v/>
      </c>
      <c r="K665" s="242" t="n">
        <v>1.39</v>
      </c>
      <c r="L665" s="122">
        <f>J665-C665-(J665-C665)*0.2</f>
        <v/>
      </c>
      <c r="M665" s="123">
        <f>L665*I665</f>
        <v/>
      </c>
      <c r="N665" s="124" t="inlineStr">
        <is>
          <t xml:space="preserve">500-990 шт - </t>
        </is>
      </c>
      <c r="O665" s="47" t="inlineStr">
        <is>
          <t xml:space="preserve"> руб / шт с НДС</t>
        </is>
      </c>
      <c r="P665" s="125">
        <f>ROUND(K665,2)</f>
        <v/>
      </c>
      <c r="Q665" s="207">
        <f>CONCATENATE(N665,P665,O665,)</f>
        <v/>
      </c>
      <c r="R665" s="240" t="n"/>
      <c r="T665" s="241" t="n"/>
      <c r="U665" s="240" t="n"/>
      <c r="V665" s="241" t="n"/>
      <c r="Z665" s="240" t="n"/>
      <c r="AB665" s="241" t="n"/>
      <c r="AC665" s="240" t="n"/>
      <c r="AD665" s="241" t="n"/>
      <c r="AE665" t="n">
        <v>1.79</v>
      </c>
    </row>
    <row r="666">
      <c r="B666" s="42" t="n">
        <v>134</v>
      </c>
      <c r="C666" s="118">
        <f>INDIRECT("'Закуп'!A" &amp; B666)</f>
        <v/>
      </c>
      <c r="D666" s="119">
        <f>C666*1.2</f>
        <v/>
      </c>
      <c r="G666" s="172">
        <f>IF(INDIRECT("'Закуп'!L" &amp; B666)="Sale","Sale","")</f>
        <v/>
      </c>
      <c r="H666" s="158">
        <f>IF(INDIRECT("'Закуп'!F" &amp; B666)=0,"",INDIRECT("'Закуп'!F" &amp; B666))</f>
        <v/>
      </c>
      <c r="I666" s="120" t="n">
        <v>1000</v>
      </c>
      <c r="J666" s="121">
        <f>K666/1.2</f>
        <v/>
      </c>
      <c r="K666" s="242" t="n">
        <v>1.34</v>
      </c>
      <c r="L666" s="122">
        <f>J666-C666-(J666-C666)*0.2</f>
        <v/>
      </c>
      <c r="M666" s="123">
        <f>L666*I666</f>
        <v/>
      </c>
      <c r="N666" s="124" t="inlineStr">
        <is>
          <t xml:space="preserve">1000 + шт - </t>
        </is>
      </c>
      <c r="O666" s="47" t="inlineStr">
        <is>
          <t xml:space="preserve"> руб / шт с НДС</t>
        </is>
      </c>
      <c r="P666" s="125">
        <f>ROUND(K666,2)</f>
        <v/>
      </c>
      <c r="Q666" s="207">
        <f>CONCATENATE(N666,P666,O666,)</f>
        <v/>
      </c>
      <c r="R666" s="240" t="n"/>
      <c r="T666" s="241" t="n"/>
      <c r="U666" s="240" t="n"/>
      <c r="V666" s="241" t="n"/>
      <c r="Z666" s="240" t="n"/>
      <c r="AB666" s="241" t="n"/>
      <c r="AC666" s="240" t="n"/>
      <c r="AD666" s="241" t="n"/>
      <c r="AE666" t="n">
        <v>1.73</v>
      </c>
    </row>
    <row r="667">
      <c r="A667" s="232" t="n">
        <v>135</v>
      </c>
      <c r="B667" s="42" t="n">
        <v>135</v>
      </c>
      <c r="C667" s="118">
        <f>INDIRECT("'Закуп'!A" &amp; B667)</f>
        <v/>
      </c>
      <c r="D667" s="119">
        <f>C667*1.2</f>
        <v/>
      </c>
      <c r="E667" s="224">
        <f>INDIRECT("'Закуп'!D" &amp; A667)</f>
        <v/>
      </c>
      <c r="F667" s="231">
        <f>INDIRECT("'Закуп'!E" &amp; B667)</f>
        <v/>
      </c>
      <c r="G667" s="172">
        <f>IF(INDIRECT("'Закуп'!L" &amp; B667)="Sale","Sale","")</f>
        <v/>
      </c>
      <c r="H667" s="158">
        <f>IF(INDIRECT("'Закуп'!F" &amp; B667)=0,"",INDIRECT("'Закуп'!F" &amp; B667))</f>
        <v/>
      </c>
      <c r="I667" s="120" t="n">
        <v>50</v>
      </c>
      <c r="J667" s="121">
        <f>K667/1.2</f>
        <v/>
      </c>
      <c r="K667" s="242" t="n">
        <v>2.2</v>
      </c>
      <c r="L667" s="122">
        <f>J667-C667-(J667-C667)*0.2</f>
        <v/>
      </c>
      <c r="M667" s="123">
        <f>L667*I667</f>
        <v/>
      </c>
      <c r="N667" s="124" t="inlineStr">
        <is>
          <t xml:space="preserve">50-90 шт - </t>
        </is>
      </c>
      <c r="O667" s="47" t="inlineStr">
        <is>
          <t xml:space="preserve"> руб / шт с НДС</t>
        </is>
      </c>
      <c r="P667" s="125">
        <f>ROUND(K667,2)</f>
        <v/>
      </c>
      <c r="Q667" s="207">
        <f>CONCATENATE(N667,P667,O667,)</f>
        <v/>
      </c>
      <c r="R667" s="235">
        <f>INDIRECT("'Закуп'!k" &amp; A667)</f>
        <v/>
      </c>
      <c r="S667" s="239">
        <f>INDIRECT("'Закуп'!o" &amp; A667)</f>
        <v/>
      </c>
      <c r="T667" s="226">
        <f>INDIRECT("'Закуп'!p" &amp; A667)</f>
        <v/>
      </c>
      <c r="U667" s="235">
        <f>INDIRECT("'Закуп'!v" &amp; A667)</f>
        <v/>
      </c>
      <c r="V667" s="222">
        <f>INDIRECT("'Закуп'!w" &amp; A667)</f>
        <v/>
      </c>
      <c r="W667" s="229">
        <f>INDIRECT("'Закуп'!H" &amp; A667)</f>
        <v/>
      </c>
      <c r="X667" s="237">
        <f>INDIRECT("'Закуп'!g" &amp; A667)</f>
        <v/>
      </c>
      <c r="Y667" s="229">
        <f>INDIRECT("'Закуп'!i" &amp; A667)</f>
        <v/>
      </c>
      <c r="Z667" s="236">
        <f>INDIRECT("'Закуп'!x" &amp; A667)</f>
        <v/>
      </c>
      <c r="AA667" s="237">
        <f>INDIRECT("'Закуп'!y" &amp; A667)</f>
        <v/>
      </c>
      <c r="AB667" s="238">
        <f>INDIRECT("'Закуп'!z" &amp; A667)</f>
        <v/>
      </c>
      <c r="AC667" s="223">
        <f>SUBSTITUTE(INDEX(F:F, ROUNDUP((ROW(A666))/5,0)*5 - 3), "х", "x")</f>
        <v/>
      </c>
      <c r="AD667" s="222">
        <f>SUBSTITUTE(INDEX(F:F, ROUNDUP((ROW(A666))/5,0)*5 - 3), "х", "x") &amp; " - " &amp; SUBSTITUTE(SUBSTITUTE(INDEX(F:F, ROUNDUP((ROW(A666))/5,0)*5 - 3), "х", "*"), "x", "*") &amp; " мм"</f>
        <v/>
      </c>
      <c r="AE667" t="n">
        <v>3.21</v>
      </c>
    </row>
    <row r="668">
      <c r="B668" s="42" t="n">
        <v>135</v>
      </c>
      <c r="C668" s="118">
        <f>INDIRECT("'Закуп'!A" &amp; B668)</f>
        <v/>
      </c>
      <c r="D668" s="119">
        <f>C668*1.2</f>
        <v/>
      </c>
      <c r="G668" s="172">
        <f>IF(INDIRECT("'Закуп'!L" &amp; B668)="Sale","Sale","")</f>
        <v/>
      </c>
      <c r="H668" s="158">
        <f>IF(INDIRECT("'Закуп'!F" &amp; B668)=0,"",INDIRECT("'Закуп'!F" &amp; B668))</f>
        <v/>
      </c>
      <c r="I668" s="120" t="n">
        <v>100</v>
      </c>
      <c r="J668" s="121">
        <f>K668/1.2</f>
        <v/>
      </c>
      <c r="K668" s="242" t="n">
        <v>1.88</v>
      </c>
      <c r="L668" s="122">
        <f>J668-C668-(J668-C668)*0.2</f>
        <v/>
      </c>
      <c r="M668" s="123">
        <f>L668*I668</f>
        <v/>
      </c>
      <c r="N668" s="124" t="inlineStr">
        <is>
          <t xml:space="preserve">100-290 шт - </t>
        </is>
      </c>
      <c r="O668" s="47" t="inlineStr">
        <is>
          <t xml:space="preserve"> руб / шт с НДС</t>
        </is>
      </c>
      <c r="P668" s="125">
        <f>ROUND(K668,2)</f>
        <v/>
      </c>
      <c r="Q668" s="207">
        <f>CONCATENATE(N668,P668,O668,)</f>
        <v/>
      </c>
      <c r="R668" s="240" t="n"/>
      <c r="T668" s="241" t="n"/>
      <c r="U668" s="240" t="n"/>
      <c r="V668" s="241" t="n"/>
      <c r="Z668" s="240" t="n"/>
      <c r="AB668" s="241" t="n"/>
      <c r="AC668" s="240" t="n"/>
      <c r="AD668" s="241" t="n"/>
      <c r="AE668" t="n">
        <v>2.57</v>
      </c>
    </row>
    <row r="669">
      <c r="B669" s="42" t="n">
        <v>135</v>
      </c>
      <c r="C669" s="118">
        <f>INDIRECT("'Закуп'!A" &amp; B669)</f>
        <v/>
      </c>
      <c r="D669" s="119">
        <f>C669*1.2</f>
        <v/>
      </c>
      <c r="G669" s="172">
        <f>IF(INDIRECT("'Закуп'!L" &amp; B669)="Sale","Sale","")</f>
        <v/>
      </c>
      <c r="H669" s="158">
        <f>IF(INDIRECT("'Закуп'!F" &amp; B669)=0,"",INDIRECT("'Закуп'!F" &amp; B669))</f>
        <v/>
      </c>
      <c r="I669" s="120" t="n">
        <v>300</v>
      </c>
      <c r="J669" s="121">
        <f>K669/1.2</f>
        <v/>
      </c>
      <c r="K669" s="242" t="n">
        <v>1.78</v>
      </c>
      <c r="L669" s="122">
        <f>J669-C669-(J669-C669)*0.2</f>
        <v/>
      </c>
      <c r="M669" s="123">
        <f>L669*I669</f>
        <v/>
      </c>
      <c r="N669" s="124" t="inlineStr">
        <is>
          <t xml:space="preserve">300-490 шт - </t>
        </is>
      </c>
      <c r="O669" s="47" t="inlineStr">
        <is>
          <t xml:space="preserve"> руб / шт с НДС</t>
        </is>
      </c>
      <c r="P669" s="125">
        <f>ROUND(K669,2)</f>
        <v/>
      </c>
      <c r="Q669" s="207">
        <f>CONCATENATE(N669,P669,O669,)</f>
        <v/>
      </c>
      <c r="R669" s="240" t="n"/>
      <c r="T669" s="241" t="n"/>
      <c r="U669" s="240" t="n"/>
      <c r="V669" s="241" t="n"/>
      <c r="Z669" s="240" t="n"/>
      <c r="AB669" s="241" t="n"/>
      <c r="AC669" s="240" t="n"/>
      <c r="AD669" s="241" t="n"/>
      <c r="AE669" t="n">
        <v>2.31</v>
      </c>
    </row>
    <row r="670">
      <c r="B670" s="42" t="n">
        <v>135</v>
      </c>
      <c r="C670" s="118">
        <f>INDIRECT("'Закуп'!A" &amp; B670)</f>
        <v/>
      </c>
      <c r="D670" s="119">
        <f>C670*1.2</f>
        <v/>
      </c>
      <c r="G670" s="172">
        <f>IF(INDIRECT("'Закуп'!L" &amp; B670)="Sale","Sale","")</f>
        <v/>
      </c>
      <c r="H670" s="158">
        <f>IF(INDIRECT("'Закуп'!F" &amp; B670)=0,"",INDIRECT("'Закуп'!F" &amp; B670))</f>
        <v/>
      </c>
      <c r="I670" s="120" t="n">
        <v>500</v>
      </c>
      <c r="J670" s="121">
        <f>K670/1.2</f>
        <v/>
      </c>
      <c r="K670" s="242" t="n">
        <v>1.6</v>
      </c>
      <c r="L670" s="122">
        <f>J670-C670-(J670-C670)*0.2</f>
        <v/>
      </c>
      <c r="M670" s="123">
        <f>L670*I670</f>
        <v/>
      </c>
      <c r="N670" s="124" t="inlineStr">
        <is>
          <t xml:space="preserve">500-990 шт - </t>
        </is>
      </c>
      <c r="O670" s="47" t="inlineStr">
        <is>
          <t xml:space="preserve"> руб / шт с НДС</t>
        </is>
      </c>
      <c r="P670" s="125">
        <f>ROUND(K670,2)</f>
        <v/>
      </c>
      <c r="Q670" s="207">
        <f>CONCATENATE(N670,P670,O670,)</f>
        <v/>
      </c>
      <c r="R670" s="240" t="n"/>
      <c r="T670" s="241" t="n"/>
      <c r="U670" s="240" t="n"/>
      <c r="V670" s="241" t="n"/>
      <c r="Z670" s="240" t="n"/>
      <c r="AB670" s="241" t="n"/>
      <c r="AC670" s="240" t="n"/>
      <c r="AD670" s="241" t="n"/>
      <c r="AE670" t="n">
        <v>2.09</v>
      </c>
    </row>
    <row r="671">
      <c r="B671" s="42" t="n">
        <v>135</v>
      </c>
      <c r="C671" s="118">
        <f>INDIRECT("'Закуп'!A" &amp; B671)</f>
        <v/>
      </c>
      <c r="D671" s="119">
        <f>C671*1.2</f>
        <v/>
      </c>
      <c r="G671" s="172">
        <f>IF(INDIRECT("'Закуп'!L" &amp; B671)="Sale","Sale","")</f>
        <v/>
      </c>
      <c r="H671" s="158">
        <f>IF(INDIRECT("'Закуп'!F" &amp; B671)=0,"",INDIRECT("'Закуп'!F" &amp; B671))</f>
        <v/>
      </c>
      <c r="I671" s="120" t="n">
        <v>1000</v>
      </c>
      <c r="J671" s="121">
        <f>K671/1.2</f>
        <v/>
      </c>
      <c r="K671" s="242" t="n">
        <v>1.55</v>
      </c>
      <c r="L671" s="122">
        <f>J671-C671-(J671-C671)*0.2</f>
        <v/>
      </c>
      <c r="M671" s="123">
        <f>L671*I671</f>
        <v/>
      </c>
      <c r="N671" s="124" t="inlineStr">
        <is>
          <t xml:space="preserve">1000 + шт - </t>
        </is>
      </c>
      <c r="O671" s="47" t="inlineStr">
        <is>
          <t xml:space="preserve"> руб / шт с НДС</t>
        </is>
      </c>
      <c r="P671" s="125">
        <f>ROUND(K671,2)</f>
        <v/>
      </c>
      <c r="Q671" s="207">
        <f>CONCATENATE(N671,P671,O671,)</f>
        <v/>
      </c>
      <c r="R671" s="240" t="n"/>
      <c r="T671" s="241" t="n"/>
      <c r="U671" s="240" t="n"/>
      <c r="V671" s="241" t="n"/>
      <c r="Z671" s="240" t="n"/>
      <c r="AB671" s="241" t="n"/>
      <c r="AC671" s="240" t="n"/>
      <c r="AD671" s="241" t="n"/>
      <c r="AE671" t="n">
        <v>1.99</v>
      </c>
    </row>
    <row r="672">
      <c r="A672" s="232" t="n">
        <v>136</v>
      </c>
      <c r="B672" s="42" t="n">
        <v>136</v>
      </c>
      <c r="C672" s="118">
        <f>INDIRECT("'Закуп'!A" &amp; B672)</f>
        <v/>
      </c>
      <c r="D672" s="119">
        <f>C672*1.2</f>
        <v/>
      </c>
      <c r="E672" s="224">
        <f>INDIRECT("'Закуп'!D" &amp; A672)</f>
        <v/>
      </c>
      <c r="F672" s="231">
        <f>INDIRECT("'Закуп'!E" &amp; B672)</f>
        <v/>
      </c>
      <c r="G672" s="172">
        <f>IF(INDIRECT("'Закуп'!L" &amp; B672)="Sale","Sale","")</f>
        <v/>
      </c>
      <c r="H672" s="158">
        <f>IF(INDIRECT("'Закуп'!F" &amp; B672)=0,"",INDIRECT("'Закуп'!F" &amp; B672))</f>
        <v/>
      </c>
      <c r="I672" s="120" t="n">
        <v>50</v>
      </c>
      <c r="J672" s="121">
        <f>K672/1.2</f>
        <v/>
      </c>
      <c r="K672" s="242" t="n">
        <v>1.9</v>
      </c>
      <c r="L672" s="122">
        <f>J672-C672-(J672-C672)*0.2</f>
        <v/>
      </c>
      <c r="M672" s="123">
        <f>L672*I672</f>
        <v/>
      </c>
      <c r="N672" s="124" t="inlineStr">
        <is>
          <t xml:space="preserve">50-90 шт - </t>
        </is>
      </c>
      <c r="O672" s="47" t="inlineStr">
        <is>
          <t xml:space="preserve"> руб / шт с НДС</t>
        </is>
      </c>
      <c r="P672" s="125">
        <f>ROUND(K672,2)</f>
        <v/>
      </c>
      <c r="Q672" s="207">
        <f>CONCATENATE(N672,P672,O672,)</f>
        <v/>
      </c>
      <c r="R672" s="235">
        <f>INDIRECT("'Закуп'!k" &amp; A672)</f>
        <v/>
      </c>
      <c r="S672" s="239">
        <f>INDIRECT("'Закуп'!o" &amp; A672)</f>
        <v/>
      </c>
      <c r="T672" s="226">
        <f>INDIRECT("'Закуп'!p" &amp; A672)</f>
        <v/>
      </c>
      <c r="U672" s="235">
        <f>INDIRECT("'Закуп'!v" &amp; A672)</f>
        <v/>
      </c>
      <c r="V672" s="222">
        <f>INDIRECT("'Закуп'!w" &amp; A672)</f>
        <v/>
      </c>
      <c r="W672" s="229">
        <f>INDIRECT("'Закуп'!H" &amp; A672)</f>
        <v/>
      </c>
      <c r="X672" s="237">
        <f>INDIRECT("'Закуп'!g" &amp; A672)</f>
        <v/>
      </c>
      <c r="Y672" s="229">
        <f>INDIRECT("'Закуп'!i" &amp; A672)</f>
        <v/>
      </c>
      <c r="Z672" s="236">
        <f>INDIRECT("'Закуп'!x" &amp; A672)</f>
        <v/>
      </c>
      <c r="AA672" s="237">
        <f>INDIRECT("'Закуп'!y" &amp; A672)</f>
        <v/>
      </c>
      <c r="AB672" s="238">
        <f>INDIRECT("'Закуп'!z" &amp; A672)</f>
        <v/>
      </c>
      <c r="AC672" s="223">
        <f>SUBSTITUTE(INDEX(F:F, ROUNDUP((ROW(A671))/5,0)*5 - 3), "х", "x")</f>
        <v/>
      </c>
      <c r="AD672" s="222">
        <f>SUBSTITUTE(INDEX(F:F, ROUNDUP((ROW(A671))/5,0)*5 - 3), "х", "x") &amp; " - " &amp; SUBSTITUTE(SUBSTITUTE(INDEX(F:F, ROUNDUP((ROW(A671))/5,0)*5 - 3), "х", "*"), "x", "*") &amp; " мм"</f>
        <v/>
      </c>
      <c r="AE672" t="n">
        <v>1.53</v>
      </c>
    </row>
    <row r="673">
      <c r="B673" s="42" t="n">
        <v>136</v>
      </c>
      <c r="C673" s="118">
        <f>INDIRECT("'Закуп'!A" &amp; B673)</f>
        <v/>
      </c>
      <c r="D673" s="119">
        <f>C673*1.2</f>
        <v/>
      </c>
      <c r="G673" s="172">
        <f>IF(INDIRECT("'Закуп'!L" &amp; B673)="Sale","Sale","")</f>
        <v/>
      </c>
      <c r="H673" s="158">
        <f>IF(INDIRECT("'Закуп'!F" &amp; B673)=0,"",INDIRECT("'Закуп'!F" &amp; B673))</f>
        <v/>
      </c>
      <c r="I673" s="120" t="n">
        <v>100</v>
      </c>
      <c r="J673" s="121">
        <f>K673/1.2</f>
        <v/>
      </c>
      <c r="K673" s="242" t="n">
        <v>1.68</v>
      </c>
      <c r="L673" s="122">
        <f>J673-C673-(J673-C673)*0.2</f>
        <v/>
      </c>
      <c r="M673" s="123">
        <f>L673*I673</f>
        <v/>
      </c>
      <c r="N673" s="124" t="inlineStr">
        <is>
          <t xml:space="preserve">100-290 шт - </t>
        </is>
      </c>
      <c r="O673" s="47" t="inlineStr">
        <is>
          <t xml:space="preserve"> руб / шт с НДС</t>
        </is>
      </c>
      <c r="P673" s="125">
        <f>ROUND(K673,2)</f>
        <v/>
      </c>
      <c r="Q673" s="207">
        <f>CONCATENATE(N673,P673,O673,)</f>
        <v/>
      </c>
      <c r="R673" s="240" t="n"/>
      <c r="T673" s="241" t="n"/>
      <c r="U673" s="240" t="n"/>
      <c r="V673" s="241" t="n"/>
      <c r="Z673" s="240" t="n"/>
      <c r="AB673" s="241" t="n"/>
      <c r="AC673" s="240" t="n"/>
      <c r="AD673" s="241" t="n"/>
      <c r="AE673" t="n">
        <v>1.39</v>
      </c>
    </row>
    <row r="674">
      <c r="B674" s="42" t="n">
        <v>136</v>
      </c>
      <c r="C674" s="118">
        <f>INDIRECT("'Закуп'!A" &amp; B674)</f>
        <v/>
      </c>
      <c r="D674" s="119">
        <f>C674*1.2</f>
        <v/>
      </c>
      <c r="G674" s="172">
        <f>IF(INDIRECT("'Закуп'!L" &amp; B674)="Sale","Sale","")</f>
        <v/>
      </c>
      <c r="H674" s="158">
        <f>IF(INDIRECT("'Закуп'!F" &amp; B674)=0,"",INDIRECT("'Закуп'!F" &amp; B674))</f>
        <v/>
      </c>
      <c r="I674" s="120" t="n">
        <v>300</v>
      </c>
      <c r="J674" s="121">
        <f>K674/1.2</f>
        <v/>
      </c>
      <c r="K674" s="242" t="n">
        <v>1.45</v>
      </c>
      <c r="L674" s="122">
        <f>J674-C674-(J674-C674)*0.2</f>
        <v/>
      </c>
      <c r="M674" s="123">
        <f>L674*I674</f>
        <v/>
      </c>
      <c r="N674" s="124" t="inlineStr">
        <is>
          <t xml:space="preserve">300-490 шт - </t>
        </is>
      </c>
      <c r="O674" s="47" t="inlineStr">
        <is>
          <t xml:space="preserve"> руб / шт с НДС</t>
        </is>
      </c>
      <c r="P674" s="125">
        <f>ROUND(K674,2)</f>
        <v/>
      </c>
      <c r="Q674" s="207">
        <f>CONCATENATE(N674,P674,O674,)</f>
        <v/>
      </c>
      <c r="R674" s="240" t="n"/>
      <c r="T674" s="241" t="n"/>
      <c r="U674" s="240" t="n"/>
      <c r="V674" s="241" t="n"/>
      <c r="Z674" s="240" t="n"/>
      <c r="AB674" s="241" t="n"/>
      <c r="AC674" s="240" t="n"/>
      <c r="AD674" s="241" t="n"/>
      <c r="AE674" t="n">
        <v>1.09</v>
      </c>
    </row>
    <row r="675">
      <c r="B675" s="42" t="n">
        <v>136</v>
      </c>
      <c r="C675" s="118">
        <f>INDIRECT("'Закуп'!A" &amp; B675)</f>
        <v/>
      </c>
      <c r="D675" s="119">
        <f>C675*1.2</f>
        <v/>
      </c>
      <c r="G675" s="172">
        <f>IF(INDIRECT("'Закуп'!L" &amp; B675)="Sale","Sale","")</f>
        <v/>
      </c>
      <c r="H675" s="158">
        <f>IF(INDIRECT("'Закуп'!F" &amp; B675)=0,"",INDIRECT("'Закуп'!F" &amp; B675))</f>
        <v/>
      </c>
      <c r="I675" s="120" t="n">
        <v>500</v>
      </c>
      <c r="J675" s="121">
        <f>K675/1.2</f>
        <v/>
      </c>
      <c r="K675" s="242" t="n">
        <v>1.34</v>
      </c>
      <c r="L675" s="122">
        <f>J675-C675-(J675-C675)*0.2</f>
        <v/>
      </c>
      <c r="M675" s="123">
        <f>L675*I675</f>
        <v/>
      </c>
      <c r="N675" s="124" t="inlineStr">
        <is>
          <t xml:space="preserve">500-990 шт - </t>
        </is>
      </c>
      <c r="O675" s="47" t="inlineStr">
        <is>
          <t xml:space="preserve"> руб / шт с НДС</t>
        </is>
      </c>
      <c r="P675" s="125">
        <f>ROUND(K675,2)</f>
        <v/>
      </c>
      <c r="Q675" s="207">
        <f>CONCATENATE(N675,P675,O675,)</f>
        <v/>
      </c>
      <c r="R675" s="240" t="n"/>
      <c r="T675" s="241" t="n"/>
      <c r="U675" s="240" t="n"/>
      <c r="V675" s="241" t="n"/>
      <c r="Z675" s="240" t="n"/>
      <c r="AB675" s="241" t="n"/>
      <c r="AC675" s="240" t="n"/>
      <c r="AD675" s="241" t="n"/>
      <c r="AE675" t="n">
        <v>1.03</v>
      </c>
    </row>
    <row r="676">
      <c r="B676" s="42" t="n">
        <v>136</v>
      </c>
      <c r="C676" s="118">
        <f>INDIRECT("'Закуп'!A" &amp; B676)</f>
        <v/>
      </c>
      <c r="D676" s="119">
        <f>C676*1.2</f>
        <v/>
      </c>
      <c r="G676" s="172">
        <f>IF(INDIRECT("'Закуп'!L" &amp; B676)="Sale","Sale","")</f>
        <v/>
      </c>
      <c r="H676" s="158">
        <f>IF(INDIRECT("'Закуп'!F" &amp; B676)=0,"",INDIRECT("'Закуп'!F" &amp; B676))</f>
        <v/>
      </c>
      <c r="I676" s="120" t="n">
        <v>1000</v>
      </c>
      <c r="J676" s="121">
        <f>K676/1.2</f>
        <v/>
      </c>
      <c r="K676" s="242" t="n">
        <v>1.12</v>
      </c>
      <c r="L676" s="122">
        <f>J676-C676-(J676-C676)*0.2</f>
        <v/>
      </c>
      <c r="M676" s="123">
        <f>L676*I676</f>
        <v/>
      </c>
      <c r="N676" s="124" t="inlineStr">
        <is>
          <t xml:space="preserve">1000 + шт - </t>
        </is>
      </c>
      <c r="O676" s="47" t="inlineStr">
        <is>
          <t xml:space="preserve"> руб / шт с НДС</t>
        </is>
      </c>
      <c r="P676" s="125">
        <f>ROUND(K676,2)</f>
        <v/>
      </c>
      <c r="Q676" s="207">
        <f>CONCATENATE(N676,P676,O676,)</f>
        <v/>
      </c>
      <c r="R676" s="240" t="n"/>
      <c r="T676" s="241" t="n"/>
      <c r="U676" s="240" t="n"/>
      <c r="V676" s="241" t="n"/>
      <c r="Z676" s="240" t="n"/>
      <c r="AB676" s="241" t="n"/>
      <c r="AC676" s="240" t="n"/>
      <c r="AD676" s="241" t="n"/>
      <c r="AE676" t="n">
        <v>0.97</v>
      </c>
    </row>
    <row r="677">
      <c r="A677" s="232" t="n">
        <v>137</v>
      </c>
      <c r="B677" s="42" t="n">
        <v>137</v>
      </c>
      <c r="C677" s="118">
        <f>INDIRECT("'Закуп'!A" &amp; B677)</f>
        <v/>
      </c>
      <c r="D677" s="119">
        <f>C677*1.2</f>
        <v/>
      </c>
      <c r="E677" s="224">
        <f>INDIRECT("'Закуп'!D" &amp; A677)</f>
        <v/>
      </c>
      <c r="F677" s="231">
        <f>INDIRECT("'Закуп'!E" &amp; B677)</f>
        <v/>
      </c>
      <c r="G677" s="172">
        <f>IF(INDIRECT("'Закуп'!L" &amp; B677)="Sale","Sale","")</f>
        <v/>
      </c>
      <c r="H677" s="158">
        <f>IF(INDIRECT("'Закуп'!F" &amp; B677)=0,"",INDIRECT("'Закуп'!F" &amp; B677))</f>
        <v/>
      </c>
      <c r="I677" s="120" t="n">
        <v>50</v>
      </c>
      <c r="J677" s="121">
        <f>K677/1.2</f>
        <v/>
      </c>
      <c r="K677" s="242" t="n">
        <v>1.31</v>
      </c>
      <c r="L677" s="122">
        <f>J677-C677-(J677-C677)*0.2</f>
        <v/>
      </c>
      <c r="M677" s="123">
        <f>L677*I677</f>
        <v/>
      </c>
      <c r="N677" s="124" t="inlineStr">
        <is>
          <t xml:space="preserve">50-90 шт - </t>
        </is>
      </c>
      <c r="O677" s="47" t="inlineStr">
        <is>
          <t xml:space="preserve"> руб / шт с НДС</t>
        </is>
      </c>
      <c r="P677" s="125">
        <f>ROUND(K677,2)</f>
        <v/>
      </c>
      <c r="Q677" s="207">
        <f>CONCATENATE(N677,P677,O677,)</f>
        <v/>
      </c>
      <c r="R677" s="235">
        <f>INDIRECT("'Закуп'!k" &amp; A677)</f>
        <v/>
      </c>
      <c r="S677" s="239">
        <f>INDIRECT("'Закуп'!o" &amp; A677)</f>
        <v/>
      </c>
      <c r="T677" s="226">
        <f>INDIRECT("'Закуп'!p" &amp; A677)</f>
        <v/>
      </c>
      <c r="U677" s="235">
        <f>INDIRECT("'Закуп'!v" &amp; A677)</f>
        <v/>
      </c>
      <c r="V677" s="222">
        <f>INDIRECT("'Закуп'!w" &amp; A677)</f>
        <v/>
      </c>
      <c r="W677" s="229">
        <f>INDIRECT("'Закуп'!H" &amp; A677)</f>
        <v/>
      </c>
      <c r="X677" s="237">
        <f>INDIRECT("'Закуп'!g" &amp; A677)</f>
        <v/>
      </c>
      <c r="Y677" s="229">
        <f>INDIRECT("'Закуп'!i" &amp; A677)</f>
        <v/>
      </c>
      <c r="Z677" s="236">
        <f>INDIRECT("'Закуп'!x" &amp; A677)</f>
        <v/>
      </c>
      <c r="AA677" s="237">
        <f>INDIRECT("'Закуп'!y" &amp; A677)</f>
        <v/>
      </c>
      <c r="AB677" s="238">
        <f>INDIRECT("'Закуп'!z" &amp; A677)</f>
        <v/>
      </c>
      <c r="AC677" s="223">
        <f>SUBSTITUTE(INDEX(F:F, ROUNDUP((ROW(A676))/5,0)*5 - 3), "х", "x")</f>
        <v/>
      </c>
      <c r="AD677" s="222">
        <f>SUBSTITUTE(INDEX(F:F, ROUNDUP((ROW(A676))/5,0)*5 - 3), "х", "x") &amp; " - " &amp; SUBSTITUTE(SUBSTITUTE(INDEX(F:F, ROUNDUP((ROW(A676))/5,0)*5 - 3), "х", "*"), "x", "*") &amp; " мм"</f>
        <v/>
      </c>
      <c r="AE677" t="n">
        <v>1.77</v>
      </c>
    </row>
    <row r="678">
      <c r="B678" s="42" t="n">
        <v>137</v>
      </c>
      <c r="C678" s="118">
        <f>INDIRECT("'Закуп'!A" &amp; B678)</f>
        <v/>
      </c>
      <c r="D678" s="119">
        <f>C678*1.2</f>
        <v/>
      </c>
      <c r="G678" s="172">
        <f>IF(INDIRECT("'Закуп'!L" &amp; B678)="Sale","Sale","")</f>
        <v/>
      </c>
      <c r="H678" s="158">
        <f>IF(INDIRECT("'Закуп'!F" &amp; B678)=0,"",INDIRECT("'Закуп'!F" &amp; B678))</f>
        <v/>
      </c>
      <c r="I678" s="120" t="n">
        <v>100</v>
      </c>
      <c r="J678" s="121">
        <f>K678/1.2</f>
        <v/>
      </c>
      <c r="K678" s="242" t="n">
        <v>1.12</v>
      </c>
      <c r="L678" s="122">
        <f>J678-C678-(J678-C678)*0.2</f>
        <v/>
      </c>
      <c r="M678" s="123">
        <f>L678*I678</f>
        <v/>
      </c>
      <c r="N678" s="124" t="inlineStr">
        <is>
          <t xml:space="preserve">100-290 шт - </t>
        </is>
      </c>
      <c r="O678" s="47" t="inlineStr">
        <is>
          <t xml:space="preserve"> руб / шт с НДС</t>
        </is>
      </c>
      <c r="P678" s="125">
        <f>ROUND(K678,2)</f>
        <v/>
      </c>
      <c r="Q678" s="207">
        <f>CONCATENATE(N678,P678,O678,)</f>
        <v/>
      </c>
      <c r="R678" s="240" t="n"/>
      <c r="T678" s="241" t="n"/>
      <c r="U678" s="240" t="n"/>
      <c r="V678" s="241" t="n"/>
      <c r="Z678" s="240" t="n"/>
      <c r="AB678" s="241" t="n"/>
      <c r="AC678" s="240" t="n"/>
      <c r="AD678" s="241" t="n"/>
      <c r="AE678" t="n">
        <v>1.61</v>
      </c>
    </row>
    <row r="679">
      <c r="B679" s="42" t="n">
        <v>137</v>
      </c>
      <c r="C679" s="118">
        <f>INDIRECT("'Закуп'!A" &amp; B679)</f>
        <v/>
      </c>
      <c r="D679" s="119">
        <f>C679*1.2</f>
        <v/>
      </c>
      <c r="G679" s="172">
        <f>IF(INDIRECT("'Закуп'!L" &amp; B679)="Sale","Sale","")</f>
        <v/>
      </c>
      <c r="H679" s="158">
        <f>IF(INDIRECT("'Закуп'!F" &amp; B679)=0,"",INDIRECT("'Закуп'!F" &amp; B679))</f>
        <v/>
      </c>
      <c r="I679" s="120" t="n">
        <v>300</v>
      </c>
      <c r="J679" s="121">
        <f>K679/1.2</f>
        <v/>
      </c>
      <c r="K679" s="242" t="n">
        <v>1.05</v>
      </c>
      <c r="L679" s="122">
        <f>J679-C679-(J679-C679)*0.2</f>
        <v/>
      </c>
      <c r="M679" s="123">
        <f>L679*I679</f>
        <v/>
      </c>
      <c r="N679" s="124" t="inlineStr">
        <is>
          <t xml:space="preserve">300-490 шт - </t>
        </is>
      </c>
      <c r="O679" s="47" t="inlineStr">
        <is>
          <t xml:space="preserve"> руб / шт с НДС</t>
        </is>
      </c>
      <c r="P679" s="125">
        <f>ROUND(K679,2)</f>
        <v/>
      </c>
      <c r="Q679" s="207">
        <f>CONCATENATE(N679,P679,O679,)</f>
        <v/>
      </c>
      <c r="R679" s="240" t="n"/>
      <c r="T679" s="241" t="n"/>
      <c r="U679" s="240" t="n"/>
      <c r="V679" s="241" t="n"/>
      <c r="Z679" s="240" t="n"/>
      <c r="AB679" s="241" t="n"/>
      <c r="AC679" s="240" t="n"/>
      <c r="AD679" s="241" t="n"/>
      <c r="AE679" t="n">
        <v>1.47</v>
      </c>
    </row>
    <row r="680">
      <c r="B680" s="42" t="n">
        <v>137</v>
      </c>
      <c r="C680" s="118">
        <f>INDIRECT("'Закуп'!A" &amp; B680)</f>
        <v/>
      </c>
      <c r="D680" s="119">
        <f>C680*1.2</f>
        <v/>
      </c>
      <c r="G680" s="172">
        <f>IF(INDIRECT("'Закуп'!L" &amp; B680)="Sale","Sale","")</f>
        <v/>
      </c>
      <c r="H680" s="158">
        <f>IF(INDIRECT("'Закуп'!F" &amp; B680)=0,"",INDIRECT("'Закуп'!F" &amp; B680))</f>
        <v/>
      </c>
      <c r="I680" s="120" t="n">
        <v>500</v>
      </c>
      <c r="J680" s="121">
        <f>K680/1.2</f>
        <v/>
      </c>
      <c r="K680" s="242" t="n">
        <v>1</v>
      </c>
      <c r="L680" s="122">
        <f>J680-C680-(J680-C680)*0.2</f>
        <v/>
      </c>
      <c r="M680" s="123">
        <f>L680*I680</f>
        <v/>
      </c>
      <c r="N680" s="124" t="inlineStr">
        <is>
          <t xml:space="preserve">500-990 шт - </t>
        </is>
      </c>
      <c r="O680" s="47" t="inlineStr">
        <is>
          <t xml:space="preserve"> руб / шт с НДС</t>
        </is>
      </c>
      <c r="P680" s="125">
        <f>ROUND(K680,2)</f>
        <v/>
      </c>
      <c r="Q680" s="207">
        <f>CONCATENATE(N680,P680,O680,)</f>
        <v/>
      </c>
      <c r="R680" s="240" t="n"/>
      <c r="T680" s="241" t="n"/>
      <c r="U680" s="240" t="n"/>
      <c r="V680" s="241" t="n"/>
      <c r="Z680" s="240" t="n"/>
      <c r="AB680" s="241" t="n"/>
      <c r="AC680" s="240" t="n"/>
      <c r="AD680" s="241" t="n"/>
      <c r="AE680" t="n">
        <v>1.35</v>
      </c>
    </row>
    <row r="681">
      <c r="B681" s="42" t="n">
        <v>137</v>
      </c>
      <c r="C681" s="118">
        <f>INDIRECT("'Закуп'!A" &amp; B681)</f>
        <v/>
      </c>
      <c r="D681" s="119">
        <f>C681*1.2</f>
        <v/>
      </c>
      <c r="G681" s="172">
        <f>IF(INDIRECT("'Закуп'!L" &amp; B681)="Sale","Sale","")</f>
        <v/>
      </c>
      <c r="H681" s="158">
        <f>IF(INDIRECT("'Закуп'!F" &amp; B681)=0,"",INDIRECT("'Закуп'!F" &amp; B681))</f>
        <v/>
      </c>
      <c r="I681" s="120" t="n">
        <v>1000</v>
      </c>
      <c r="J681" s="121">
        <f>K681/1.2</f>
        <v/>
      </c>
      <c r="K681" s="242" t="n">
        <v>0.95</v>
      </c>
      <c r="L681" s="122">
        <f>J681-C681-(J681-C681)*0.2</f>
        <v/>
      </c>
      <c r="M681" s="123">
        <f>L681*I681</f>
        <v/>
      </c>
      <c r="N681" s="124" t="inlineStr">
        <is>
          <t xml:space="preserve">1000 + шт - </t>
        </is>
      </c>
      <c r="O681" s="47" t="inlineStr">
        <is>
          <t xml:space="preserve"> руб / шт с НДС</t>
        </is>
      </c>
      <c r="P681" s="125">
        <f>ROUND(K681,2)</f>
        <v/>
      </c>
      <c r="Q681" s="207">
        <f>CONCATENATE(N681,P681,O681,)</f>
        <v/>
      </c>
      <c r="R681" s="240" t="n"/>
      <c r="T681" s="241" t="n"/>
      <c r="U681" s="240" t="n"/>
      <c r="V681" s="241" t="n"/>
      <c r="Z681" s="240" t="n"/>
      <c r="AB681" s="241" t="n"/>
      <c r="AC681" s="240" t="n"/>
      <c r="AD681" s="241" t="n"/>
      <c r="AE681" t="n">
        <v>1.2</v>
      </c>
    </row>
    <row r="682">
      <c r="A682" s="232" t="n">
        <v>138</v>
      </c>
      <c r="B682" s="42" t="n">
        <v>138</v>
      </c>
      <c r="C682" s="118">
        <f>INDIRECT("'Закуп'!A" &amp; B682)</f>
        <v/>
      </c>
      <c r="D682" s="119">
        <f>C682*1.2</f>
        <v/>
      </c>
      <c r="E682" s="224">
        <f>INDIRECT("'Закуп'!D" &amp; A682)</f>
        <v/>
      </c>
      <c r="F682" s="231">
        <f>INDIRECT("'Закуп'!E" &amp; B682)</f>
        <v/>
      </c>
      <c r="G682" s="172">
        <f>IF(INDIRECT("'Закуп'!L" &amp; B682)="Sale","Sale","")</f>
        <v/>
      </c>
      <c r="H682" s="158">
        <f>IF(INDIRECT("'Закуп'!F" &amp; B682)=0,"",INDIRECT("'Закуп'!F" &amp; B682))</f>
        <v/>
      </c>
      <c r="I682" s="120" t="n">
        <v>50</v>
      </c>
      <c r="J682" s="121">
        <f>K682/1.2</f>
        <v/>
      </c>
      <c r="K682" s="242" t="n">
        <v>2.99</v>
      </c>
      <c r="L682" s="122">
        <f>J682-C682-(J682-C682)*0.2</f>
        <v/>
      </c>
      <c r="M682" s="123">
        <f>L682*I682</f>
        <v/>
      </c>
      <c r="N682" s="124" t="inlineStr">
        <is>
          <t xml:space="preserve">50-90 шт - </t>
        </is>
      </c>
      <c r="O682" s="47" t="inlineStr">
        <is>
          <t xml:space="preserve"> руб / шт с НДС</t>
        </is>
      </c>
      <c r="P682" s="125">
        <f>ROUND(K682,2)</f>
        <v/>
      </c>
      <c r="Q682" s="207">
        <f>CONCATENATE(N682,P682,O682,)</f>
        <v/>
      </c>
      <c r="R682" s="235">
        <f>INDIRECT("'Закуп'!k" &amp; A682)</f>
        <v/>
      </c>
      <c r="S682" s="239">
        <f>INDIRECT("'Закуп'!o" &amp; A682)</f>
        <v/>
      </c>
      <c r="T682" s="226">
        <f>INDIRECT("'Закуп'!p" &amp; A682)</f>
        <v/>
      </c>
      <c r="U682" s="235">
        <f>INDIRECT("'Закуп'!v" &amp; A682)</f>
        <v/>
      </c>
      <c r="V682" s="222">
        <f>INDIRECT("'Закуп'!w" &amp; A682)</f>
        <v/>
      </c>
      <c r="W682" s="229">
        <f>INDIRECT("'Закуп'!H" &amp; A682)</f>
        <v/>
      </c>
      <c r="X682" s="237">
        <f>INDIRECT("'Закуп'!g" &amp; A682)</f>
        <v/>
      </c>
      <c r="Y682" s="229">
        <f>INDIRECT("'Закуп'!i" &amp; A682)</f>
        <v/>
      </c>
      <c r="Z682" s="236">
        <f>INDIRECT("'Закуп'!x" &amp; A682)</f>
        <v/>
      </c>
      <c r="AA682" s="237">
        <f>INDIRECT("'Закуп'!y" &amp; A682)</f>
        <v/>
      </c>
      <c r="AB682" s="238">
        <f>INDIRECT("'Закуп'!z" &amp; A682)</f>
        <v/>
      </c>
      <c r="AC682" s="223">
        <f>SUBSTITUTE(INDEX(F:F, ROUNDUP((ROW(A681))/5,0)*5 - 3), "х", "x")</f>
        <v/>
      </c>
      <c r="AD682" s="222">
        <f>SUBSTITUTE(INDEX(F:F, ROUNDUP((ROW(A681))/5,0)*5 - 3), "х", "x") &amp; " - " &amp; SUBSTITUTE(SUBSTITUTE(INDEX(F:F, ROUNDUP((ROW(A681))/5,0)*5 - 3), "х", "*"), "x", "*") &amp; " мм"</f>
        <v/>
      </c>
      <c r="AE682" t="n">
        <v>4.24</v>
      </c>
    </row>
    <row r="683">
      <c r="B683" s="42" t="n">
        <v>138</v>
      </c>
      <c r="C683" s="118">
        <f>INDIRECT("'Закуп'!A" &amp; B683)</f>
        <v/>
      </c>
      <c r="D683" s="119">
        <f>C683*1.2</f>
        <v/>
      </c>
      <c r="G683" s="172">
        <f>IF(INDIRECT("'Закуп'!L" &amp; B683)="Sale","Sale","")</f>
        <v/>
      </c>
      <c r="H683" s="158">
        <f>IF(INDIRECT("'Закуп'!F" &amp; B683)=0,"",INDIRECT("'Закуп'!F" &amp; B683))</f>
        <v/>
      </c>
      <c r="I683" s="120" t="n">
        <v>100</v>
      </c>
      <c r="J683" s="121">
        <f>K683/1.2</f>
        <v/>
      </c>
      <c r="K683" s="242" t="n">
        <v>2.58</v>
      </c>
      <c r="L683" s="122">
        <f>J683-C683-(J683-C683)*0.2</f>
        <v/>
      </c>
      <c r="M683" s="123">
        <f>L683*I683</f>
        <v/>
      </c>
      <c r="N683" s="124" t="inlineStr">
        <is>
          <t xml:space="preserve">100-290 шт - </t>
        </is>
      </c>
      <c r="O683" s="47" t="inlineStr">
        <is>
          <t xml:space="preserve"> руб / шт с НДС</t>
        </is>
      </c>
      <c r="P683" s="125">
        <f>ROUND(K683,2)</f>
        <v/>
      </c>
      <c r="Q683" s="207">
        <f>CONCATENATE(N683,P683,O683,)</f>
        <v/>
      </c>
      <c r="R683" s="240" t="n"/>
      <c r="T683" s="241" t="n"/>
      <c r="U683" s="240" t="n"/>
      <c r="V683" s="241" t="n"/>
      <c r="Z683" s="240" t="n"/>
      <c r="AB683" s="241" t="n"/>
      <c r="AC683" s="240" t="n"/>
      <c r="AD683" s="241" t="n"/>
      <c r="AE683" t="n">
        <v>3.35</v>
      </c>
    </row>
    <row r="684">
      <c r="B684" s="42" t="n">
        <v>138</v>
      </c>
      <c r="C684" s="118">
        <f>INDIRECT("'Закуп'!A" &amp; B684)</f>
        <v/>
      </c>
      <c r="D684" s="119">
        <f>C684*1.2</f>
        <v/>
      </c>
      <c r="G684" s="172">
        <f>IF(INDIRECT("'Закуп'!L" &amp; B684)="Sale","Sale","")</f>
        <v/>
      </c>
      <c r="H684" s="158">
        <f>IF(INDIRECT("'Закуп'!F" &amp; B684)=0,"",INDIRECT("'Закуп'!F" &amp; B684))</f>
        <v/>
      </c>
      <c r="I684" s="120" t="n">
        <v>300</v>
      </c>
      <c r="J684" s="121">
        <f>K684/1.2</f>
        <v/>
      </c>
      <c r="K684" s="242" t="n">
        <v>2.44</v>
      </c>
      <c r="L684" s="122">
        <f>J684-C684-(J684-C684)*0.2</f>
        <v/>
      </c>
      <c r="M684" s="123">
        <f>L684*I684</f>
        <v/>
      </c>
      <c r="N684" s="124" t="inlineStr">
        <is>
          <t xml:space="preserve">300-490 шт - </t>
        </is>
      </c>
      <c r="O684" s="47" t="inlineStr">
        <is>
          <t xml:space="preserve"> руб / шт с НДС</t>
        </is>
      </c>
      <c r="P684" s="125">
        <f>ROUND(K684,2)</f>
        <v/>
      </c>
      <c r="Q684" s="207">
        <f>CONCATENATE(N684,P684,O684,)</f>
        <v/>
      </c>
      <c r="R684" s="240" t="n"/>
      <c r="T684" s="241" t="n"/>
      <c r="U684" s="240" t="n"/>
      <c r="V684" s="241" t="n"/>
      <c r="Z684" s="240" t="n"/>
      <c r="AB684" s="241" t="n"/>
      <c r="AC684" s="240" t="n"/>
      <c r="AD684" s="241" t="n"/>
      <c r="AE684" t="n">
        <v>2.81</v>
      </c>
    </row>
    <row r="685">
      <c r="B685" s="42" t="n">
        <v>138</v>
      </c>
      <c r="C685" s="118">
        <f>INDIRECT("'Закуп'!A" &amp; B685)</f>
        <v/>
      </c>
      <c r="D685" s="119">
        <f>C685*1.2</f>
        <v/>
      </c>
      <c r="G685" s="172">
        <f>IF(INDIRECT("'Закуп'!L" &amp; B685)="Sale","Sale","")</f>
        <v/>
      </c>
      <c r="H685" s="158">
        <f>IF(INDIRECT("'Закуп'!F" &amp; B685)=0,"",INDIRECT("'Закуп'!F" &amp; B685))</f>
        <v/>
      </c>
      <c r="I685" s="120" t="n">
        <v>500</v>
      </c>
      <c r="J685" s="121">
        <f>K685/1.2</f>
        <v/>
      </c>
      <c r="K685" s="242" t="n">
        <v>2.06</v>
      </c>
      <c r="L685" s="122">
        <f>J685-C685-(J685-C685)*0.2</f>
        <v/>
      </c>
      <c r="M685" s="123">
        <f>L685*I685</f>
        <v/>
      </c>
      <c r="N685" s="124" t="inlineStr">
        <is>
          <t xml:space="preserve">500-990 шт - </t>
        </is>
      </c>
      <c r="O685" s="47" t="inlineStr">
        <is>
          <t xml:space="preserve"> руб / шт с НДС</t>
        </is>
      </c>
      <c r="P685" s="125">
        <f>ROUND(K685,2)</f>
        <v/>
      </c>
      <c r="Q685" s="207">
        <f>CONCATENATE(N685,P685,O685,)</f>
        <v/>
      </c>
      <c r="R685" s="240" t="n"/>
      <c r="T685" s="241" t="n"/>
      <c r="U685" s="240" t="n"/>
      <c r="V685" s="241" t="n"/>
      <c r="Z685" s="240" t="n"/>
      <c r="AB685" s="241" t="n"/>
      <c r="AC685" s="240" t="n"/>
      <c r="AD685" s="241" t="n"/>
      <c r="AE685" t="n">
        <v>2.66</v>
      </c>
    </row>
    <row r="686">
      <c r="B686" s="42" t="n">
        <v>138</v>
      </c>
      <c r="C686" s="118">
        <f>INDIRECT("'Закуп'!A" &amp; B686)</f>
        <v/>
      </c>
      <c r="D686" s="119">
        <f>C686*1.2</f>
        <v/>
      </c>
      <c r="G686" s="172">
        <f>IF(INDIRECT("'Закуп'!L" &amp; B686)="Sale","Sale","")</f>
        <v/>
      </c>
      <c r="H686" s="158">
        <f>IF(INDIRECT("'Закуп'!F" &amp; B686)=0,"",INDIRECT("'Закуп'!F" &amp; B686))</f>
        <v/>
      </c>
      <c r="I686" s="120" t="n">
        <v>1000</v>
      </c>
      <c r="J686" s="121">
        <f>K686/1.2</f>
        <v/>
      </c>
      <c r="K686" s="242" t="n">
        <v>1.99</v>
      </c>
      <c r="L686" s="122">
        <f>J686-C686-(J686-C686)*0.2</f>
        <v/>
      </c>
      <c r="M686" s="123">
        <f>L686*I686</f>
        <v/>
      </c>
      <c r="N686" s="124" t="inlineStr">
        <is>
          <t xml:space="preserve">1000 + шт - </t>
        </is>
      </c>
      <c r="O686" s="47" t="inlineStr">
        <is>
          <t xml:space="preserve"> руб / шт с НДС</t>
        </is>
      </c>
      <c r="P686" s="125">
        <f>ROUND(K686,2)</f>
        <v/>
      </c>
      <c r="Q686" s="207">
        <f>CONCATENATE(N686,P686,O686,)</f>
        <v/>
      </c>
      <c r="R686" s="240" t="n"/>
      <c r="T686" s="241" t="n"/>
      <c r="U686" s="240" t="n"/>
      <c r="V686" s="241" t="n"/>
      <c r="Z686" s="240" t="n"/>
      <c r="AB686" s="241" t="n"/>
      <c r="AC686" s="240" t="n"/>
      <c r="AD686" s="241" t="n"/>
      <c r="AE686" t="n">
        <v>2.59</v>
      </c>
    </row>
    <row r="687">
      <c r="A687" s="232" t="n">
        <v>139</v>
      </c>
      <c r="B687" s="42" t="n">
        <v>139</v>
      </c>
      <c r="C687" s="118">
        <f>INDIRECT("'Закуп'!A" &amp; B687)</f>
        <v/>
      </c>
      <c r="D687" s="119">
        <f>C687*1.2</f>
        <v/>
      </c>
      <c r="E687" s="224">
        <f>INDIRECT("'Закуп'!D" &amp; A687)</f>
        <v/>
      </c>
      <c r="F687" s="231">
        <f>INDIRECT("'Закуп'!E" &amp; B687)</f>
        <v/>
      </c>
      <c r="G687" s="172">
        <f>IF(INDIRECT("'Закуп'!L" &amp; B687)="Sale","Sale","")</f>
        <v/>
      </c>
      <c r="H687" s="158">
        <f>IF(INDIRECT("'Закуп'!F" &amp; B687)=0,"",INDIRECT("'Закуп'!F" &amp; B687))</f>
        <v/>
      </c>
      <c r="I687" s="120" t="n">
        <v>50</v>
      </c>
      <c r="J687" s="121">
        <f>K687/1.2</f>
        <v/>
      </c>
      <c r="K687" s="242" t="n">
        <v>3.33</v>
      </c>
      <c r="L687" s="122">
        <f>J687-C687-(J687-C687)*0.2</f>
        <v/>
      </c>
      <c r="M687" s="123">
        <f>L687*I687</f>
        <v/>
      </c>
      <c r="N687" s="124" t="inlineStr">
        <is>
          <t xml:space="preserve">50-90 шт - </t>
        </is>
      </c>
      <c r="O687" s="47" t="inlineStr">
        <is>
          <t xml:space="preserve"> руб / шт с НДС</t>
        </is>
      </c>
      <c r="P687" s="125">
        <f>ROUND(K687,2)</f>
        <v/>
      </c>
      <c r="Q687" s="207">
        <f>CONCATENATE(N687,P687,O687,)</f>
        <v/>
      </c>
      <c r="R687" s="235">
        <f>INDIRECT("'Закуп'!k" &amp; A687)</f>
        <v/>
      </c>
      <c r="S687" s="239">
        <f>INDIRECT("'Закуп'!o" &amp; A687)</f>
        <v/>
      </c>
      <c r="T687" s="226">
        <f>INDIRECT("'Закуп'!p" &amp; A687)</f>
        <v/>
      </c>
      <c r="U687" s="235">
        <f>INDIRECT("'Закуп'!v" &amp; A687)</f>
        <v/>
      </c>
      <c r="V687" s="222">
        <f>INDIRECT("'Закуп'!w" &amp; A687)</f>
        <v/>
      </c>
      <c r="W687" s="229">
        <f>INDIRECT("'Закуп'!H" &amp; A687)</f>
        <v/>
      </c>
      <c r="X687" s="237">
        <f>INDIRECT("'Закуп'!g" &amp; A687)</f>
        <v/>
      </c>
      <c r="Y687" s="229">
        <f>INDIRECT("'Закуп'!i" &amp; A687)</f>
        <v/>
      </c>
      <c r="Z687" s="236">
        <f>INDIRECT("'Закуп'!x" &amp; A687)</f>
        <v/>
      </c>
      <c r="AA687" s="237">
        <f>INDIRECT("'Закуп'!y" &amp; A687)</f>
        <v/>
      </c>
      <c r="AB687" s="238">
        <f>INDIRECT("'Закуп'!z" &amp; A687)</f>
        <v/>
      </c>
      <c r="AC687" s="223">
        <f>SUBSTITUTE(INDEX(F:F, ROUNDUP((ROW(A686))/5,0)*5 - 3), "х", "x")</f>
        <v/>
      </c>
      <c r="AD687" s="222">
        <f>SUBSTITUTE(INDEX(F:F, ROUNDUP((ROW(A686))/5,0)*5 - 3), "х", "x") &amp; " - " &amp; SUBSTITUTE(SUBSTITUTE(INDEX(F:F, ROUNDUP((ROW(A686))/5,0)*5 - 3), "х", "*"), "x", "*") &amp; " мм"</f>
        <v/>
      </c>
      <c r="AE687" t="n">
        <v>4.58</v>
      </c>
    </row>
    <row r="688">
      <c r="B688" s="42" t="n">
        <v>139</v>
      </c>
      <c r="C688" s="118">
        <f>INDIRECT("'Закуп'!A" &amp; B688)</f>
        <v/>
      </c>
      <c r="D688" s="119">
        <f>C688*1.2</f>
        <v/>
      </c>
      <c r="G688" s="172">
        <f>IF(INDIRECT("'Закуп'!L" &amp; B688)="Sale","Sale","")</f>
        <v/>
      </c>
      <c r="H688" s="158">
        <f>IF(INDIRECT("'Закуп'!F" &amp; B688)=0,"",INDIRECT("'Закуп'!F" &amp; B688))</f>
        <v/>
      </c>
      <c r="I688" s="120" t="n">
        <v>100</v>
      </c>
      <c r="J688" s="121">
        <f>K688/1.2</f>
        <v/>
      </c>
      <c r="K688" s="242" t="n">
        <v>2.83</v>
      </c>
      <c r="L688" s="122">
        <f>J688-C688-(J688-C688)*0.2</f>
        <v/>
      </c>
      <c r="M688" s="123">
        <f>L688*I688</f>
        <v/>
      </c>
      <c r="N688" s="124" t="inlineStr">
        <is>
          <t xml:space="preserve">100-290 шт - </t>
        </is>
      </c>
      <c r="O688" s="47" t="inlineStr">
        <is>
          <t xml:space="preserve"> руб / шт с НДС</t>
        </is>
      </c>
      <c r="P688" s="125">
        <f>ROUND(K688,2)</f>
        <v/>
      </c>
      <c r="Q688" s="207">
        <f>CONCATENATE(N688,P688,O688,)</f>
        <v/>
      </c>
      <c r="R688" s="240" t="n"/>
      <c r="T688" s="241" t="n"/>
      <c r="U688" s="240" t="n"/>
      <c r="V688" s="241" t="n"/>
      <c r="Z688" s="240" t="n"/>
      <c r="AB688" s="241" t="n"/>
      <c r="AC688" s="240" t="n"/>
      <c r="AD688" s="241" t="n"/>
      <c r="AE688" t="n">
        <v>4.46</v>
      </c>
    </row>
    <row r="689">
      <c r="B689" s="42" t="n">
        <v>139</v>
      </c>
      <c r="C689" s="118">
        <f>INDIRECT("'Закуп'!A" &amp; B689)</f>
        <v/>
      </c>
      <c r="D689" s="119">
        <f>C689*1.2</f>
        <v/>
      </c>
      <c r="G689" s="172">
        <f>IF(INDIRECT("'Закуп'!L" &amp; B689)="Sale","Sale","")</f>
        <v/>
      </c>
      <c r="H689" s="158">
        <f>IF(INDIRECT("'Закуп'!F" &amp; B689)=0,"",INDIRECT("'Закуп'!F" &amp; B689))</f>
        <v/>
      </c>
      <c r="I689" s="120" t="n">
        <v>300</v>
      </c>
      <c r="J689" s="121">
        <f>K689/1.2</f>
        <v/>
      </c>
      <c r="K689" s="242" t="n">
        <v>2.63</v>
      </c>
      <c r="L689" s="122">
        <f>J689-C689-(J689-C689)*0.2</f>
        <v/>
      </c>
      <c r="M689" s="123">
        <f>L689*I689</f>
        <v/>
      </c>
      <c r="N689" s="124" t="inlineStr">
        <is>
          <t xml:space="preserve">300-490 шт - </t>
        </is>
      </c>
      <c r="O689" s="47" t="inlineStr">
        <is>
          <t xml:space="preserve"> руб / шт с НДС</t>
        </is>
      </c>
      <c r="P689" s="125">
        <f>ROUND(K689,2)</f>
        <v/>
      </c>
      <c r="Q689" s="207">
        <f>CONCATENATE(N689,P689,O689,)</f>
        <v/>
      </c>
      <c r="R689" s="240" t="n"/>
      <c r="T689" s="241" t="n"/>
      <c r="U689" s="240" t="n"/>
      <c r="V689" s="241" t="n"/>
      <c r="Z689" s="240" t="n"/>
      <c r="AB689" s="241" t="n"/>
      <c r="AC689" s="240" t="n"/>
      <c r="AD689" s="241" t="n"/>
      <c r="AE689" t="n">
        <v>3.67</v>
      </c>
    </row>
    <row r="690">
      <c r="B690" s="42" t="n">
        <v>139</v>
      </c>
      <c r="C690" s="118">
        <f>INDIRECT("'Закуп'!A" &amp; B690)</f>
        <v/>
      </c>
      <c r="D690" s="119">
        <f>C690*1.2</f>
        <v/>
      </c>
      <c r="G690" s="172">
        <f>IF(INDIRECT("'Закуп'!L" &amp; B690)="Sale","Sale","")</f>
        <v/>
      </c>
      <c r="H690" s="158">
        <f>IF(INDIRECT("'Закуп'!F" &amp; B690)=0,"",INDIRECT("'Закуп'!F" &amp; B690))</f>
        <v/>
      </c>
      <c r="I690" s="120" t="n">
        <v>500</v>
      </c>
      <c r="J690" s="121">
        <f>K690/1.2</f>
        <v/>
      </c>
      <c r="K690" s="242" t="n">
        <v>2.49</v>
      </c>
      <c r="L690" s="122">
        <f>J690-C690-(J690-C690)*0.2</f>
        <v/>
      </c>
      <c r="M690" s="123">
        <f>L690*I690</f>
        <v/>
      </c>
      <c r="N690" s="124" t="inlineStr">
        <is>
          <t xml:space="preserve">500-990 шт - </t>
        </is>
      </c>
      <c r="O690" s="47" t="inlineStr">
        <is>
          <t xml:space="preserve"> руб / шт с НДС</t>
        </is>
      </c>
      <c r="P690" s="125">
        <f>ROUND(K690,2)</f>
        <v/>
      </c>
      <c r="Q690" s="207">
        <f>CONCATENATE(N690,P690,O690,)</f>
        <v/>
      </c>
      <c r="R690" s="240" t="n"/>
      <c r="T690" s="241" t="n"/>
      <c r="U690" s="240" t="n"/>
      <c r="V690" s="241" t="n"/>
      <c r="Z690" s="240" t="n"/>
      <c r="AB690" s="241" t="n"/>
      <c r="AC690" s="240" t="n"/>
      <c r="AD690" s="241" t="n"/>
      <c r="AE690" t="n">
        <v>3.61</v>
      </c>
    </row>
    <row r="691">
      <c r="B691" s="42" t="n">
        <v>139</v>
      </c>
      <c r="C691" s="118">
        <f>INDIRECT("'Закуп'!A" &amp; B691)</f>
        <v/>
      </c>
      <c r="D691" s="119">
        <f>C691*1.2</f>
        <v/>
      </c>
      <c r="G691" s="172">
        <f>IF(INDIRECT("'Закуп'!L" &amp; B691)="Sale","Sale","")</f>
        <v/>
      </c>
      <c r="H691" s="158">
        <f>IF(INDIRECT("'Закуп'!F" &amp; B691)=0,"",INDIRECT("'Закуп'!F" &amp; B691))</f>
        <v/>
      </c>
      <c r="I691" s="120" t="n">
        <v>1000</v>
      </c>
      <c r="J691" s="121">
        <f>K691/1.2</f>
        <v/>
      </c>
      <c r="K691" s="242" t="n">
        <v>2.41</v>
      </c>
      <c r="L691" s="122">
        <f>J691-C691-(J691-C691)*0.2</f>
        <v/>
      </c>
      <c r="M691" s="123">
        <f>L691*I691</f>
        <v/>
      </c>
      <c r="N691" s="124" t="inlineStr">
        <is>
          <t xml:space="preserve">1000 + шт - </t>
        </is>
      </c>
      <c r="O691" s="47" t="inlineStr">
        <is>
          <t xml:space="preserve"> руб / шт с НДС</t>
        </is>
      </c>
      <c r="P691" s="125">
        <f>ROUND(K691,2)</f>
        <v/>
      </c>
      <c r="Q691" s="207">
        <f>CONCATENATE(N691,P691,O691,)</f>
        <v/>
      </c>
      <c r="R691" s="240" t="n"/>
      <c r="T691" s="241" t="n"/>
      <c r="U691" s="240" t="n"/>
      <c r="V691" s="241" t="n"/>
      <c r="Z691" s="240" t="n"/>
      <c r="AB691" s="241" t="n"/>
      <c r="AC691" s="240" t="n"/>
      <c r="AD691" s="241" t="n"/>
      <c r="AE691" t="n">
        <v>3.49</v>
      </c>
    </row>
    <row r="692">
      <c r="A692" s="232" t="n">
        <v>140</v>
      </c>
      <c r="B692" s="42" t="n">
        <v>140</v>
      </c>
      <c r="C692" s="118">
        <f>INDIRECT("'Закуп'!A" &amp; B692)</f>
        <v/>
      </c>
      <c r="D692" s="119">
        <f>C692*1.2</f>
        <v/>
      </c>
      <c r="E692" s="224">
        <f>INDIRECT("'Закуп'!D" &amp; A692)</f>
        <v/>
      </c>
      <c r="F692" s="231">
        <f>INDIRECT("'Закуп'!E" &amp; B692)</f>
        <v/>
      </c>
      <c r="G692" s="172">
        <f>IF(INDIRECT("'Закуп'!L" &amp; B692)="Sale","Sale","")</f>
        <v/>
      </c>
      <c r="H692" s="158">
        <f>IF(INDIRECT("'Закуп'!F" &amp; B692)=0,"",INDIRECT("'Закуп'!F" &amp; B692))</f>
        <v/>
      </c>
      <c r="I692" s="120" t="n">
        <v>50</v>
      </c>
      <c r="J692" s="121">
        <f>K692/1.2</f>
        <v/>
      </c>
      <c r="K692" s="242" t="n">
        <v>2.35</v>
      </c>
      <c r="L692" s="122">
        <f>J692-C692-(J692-C692)*0.2</f>
        <v/>
      </c>
      <c r="M692" s="123">
        <f>L692*I692</f>
        <v/>
      </c>
      <c r="N692" s="124" t="inlineStr">
        <is>
          <t xml:space="preserve">50-90 шт - </t>
        </is>
      </c>
      <c r="O692" s="47" t="inlineStr">
        <is>
          <t xml:space="preserve"> руб / шт с НДС</t>
        </is>
      </c>
      <c r="P692" s="125">
        <f>ROUND(K692,2)</f>
        <v/>
      </c>
      <c r="Q692" s="207">
        <f>CONCATENATE(N692,P692,O692,)</f>
        <v/>
      </c>
      <c r="R692" s="235">
        <f>INDIRECT("'Закуп'!k" &amp; A692)</f>
        <v/>
      </c>
      <c r="S692" s="239">
        <f>INDIRECT("'Закуп'!o" &amp; A692)</f>
        <v/>
      </c>
      <c r="T692" s="226">
        <f>INDIRECT("'Закуп'!p" &amp; A692)</f>
        <v/>
      </c>
      <c r="U692" s="235">
        <f>INDIRECT("'Закуп'!v" &amp; A692)</f>
        <v/>
      </c>
      <c r="V692" s="222">
        <f>INDIRECT("'Закуп'!w" &amp; A692)</f>
        <v/>
      </c>
      <c r="W692" s="229">
        <f>INDIRECT("'Закуп'!H" &amp; A692)</f>
        <v/>
      </c>
      <c r="X692" s="237">
        <f>INDIRECT("'Закуп'!g" &amp; A692)</f>
        <v/>
      </c>
      <c r="Y692" s="229">
        <f>INDIRECT("'Закуп'!i" &amp; A692)</f>
        <v/>
      </c>
      <c r="Z692" s="236">
        <f>INDIRECT("'Закуп'!x" &amp; A692)</f>
        <v/>
      </c>
      <c r="AA692" s="237">
        <f>INDIRECT("'Закуп'!y" &amp; A692)</f>
        <v/>
      </c>
      <c r="AB692" s="238">
        <f>INDIRECT("'Закуп'!z" &amp; A692)</f>
        <v/>
      </c>
      <c r="AC692" s="223">
        <f>SUBSTITUTE(INDEX(F:F, ROUNDUP((ROW(A691))/5,0)*5 - 3), "х", "x")</f>
        <v/>
      </c>
      <c r="AD692" s="222">
        <f>SUBSTITUTE(INDEX(F:F, ROUNDUP((ROW(A691))/5,0)*5 - 3), "х", "x") &amp; " - " &amp; SUBSTITUTE(SUBSTITUTE(INDEX(F:F, ROUNDUP((ROW(A691))/5,0)*5 - 3), "х", "*"), "x", "*") &amp; " мм"</f>
        <v/>
      </c>
      <c r="AE692" t="n">
        <v>3.36</v>
      </c>
    </row>
    <row r="693">
      <c r="B693" s="42" t="n">
        <v>140</v>
      </c>
      <c r="C693" s="118">
        <f>INDIRECT("'Закуп'!A" &amp; B693)</f>
        <v/>
      </c>
      <c r="D693" s="119">
        <f>C693*1.2</f>
        <v/>
      </c>
      <c r="G693" s="172">
        <f>IF(INDIRECT("'Закуп'!L" &amp; B693)="Sale","Sale","")</f>
        <v/>
      </c>
      <c r="H693" s="158">
        <f>IF(INDIRECT("'Закуп'!F" &amp; B693)=0,"",INDIRECT("'Закуп'!F" &amp; B693))</f>
        <v/>
      </c>
      <c r="I693" s="120" t="n">
        <v>100</v>
      </c>
      <c r="J693" s="121">
        <f>K693/1.2</f>
        <v/>
      </c>
      <c r="K693" s="242" t="n">
        <v>2.02</v>
      </c>
      <c r="L693" s="122">
        <f>J693-C693-(J693-C693)*0.2</f>
        <v/>
      </c>
      <c r="M693" s="123">
        <f>L693*I693</f>
        <v/>
      </c>
      <c r="N693" s="124" t="inlineStr">
        <is>
          <t xml:space="preserve">100-290 шт - </t>
        </is>
      </c>
      <c r="O693" s="47" t="inlineStr">
        <is>
          <t xml:space="preserve"> руб / шт с НДС</t>
        </is>
      </c>
      <c r="P693" s="125">
        <f>ROUND(K693,2)</f>
        <v/>
      </c>
      <c r="Q693" s="207">
        <f>CONCATENATE(N693,P693,O693,)</f>
        <v/>
      </c>
      <c r="R693" s="240" t="n"/>
      <c r="T693" s="241" t="n"/>
      <c r="U693" s="240" t="n"/>
      <c r="V693" s="241" t="n"/>
      <c r="Z693" s="240" t="n"/>
      <c r="AB693" s="241" t="n"/>
      <c r="AC693" s="240" t="n"/>
      <c r="AD693" s="241" t="n"/>
      <c r="AE693" t="n">
        <v>2.7</v>
      </c>
    </row>
    <row r="694">
      <c r="B694" s="42" t="n">
        <v>140</v>
      </c>
      <c r="C694" s="118">
        <f>INDIRECT("'Закуп'!A" &amp; B694)</f>
        <v/>
      </c>
      <c r="D694" s="119">
        <f>C694*1.2</f>
        <v/>
      </c>
      <c r="G694" s="172">
        <f>IF(INDIRECT("'Закуп'!L" &amp; B694)="Sale","Sale","")</f>
        <v/>
      </c>
      <c r="H694" s="158">
        <f>IF(INDIRECT("'Закуп'!F" &amp; B694)=0,"",INDIRECT("'Закуп'!F" &amp; B694))</f>
        <v/>
      </c>
      <c r="I694" s="120" t="n">
        <v>300</v>
      </c>
      <c r="J694" s="121">
        <f>K694/1.2</f>
        <v/>
      </c>
      <c r="K694" s="242" t="n">
        <v>1.91</v>
      </c>
      <c r="L694" s="122">
        <f>J694-C694-(J694-C694)*0.2</f>
        <v/>
      </c>
      <c r="M694" s="123">
        <f>L694*I694</f>
        <v/>
      </c>
      <c r="N694" s="124" t="inlineStr">
        <is>
          <t xml:space="preserve">300-490 шт - </t>
        </is>
      </c>
      <c r="O694" s="47" t="inlineStr">
        <is>
          <t xml:space="preserve"> руб / шт с НДС</t>
        </is>
      </c>
      <c r="P694" s="125">
        <f>ROUND(K694,2)</f>
        <v/>
      </c>
      <c r="Q694" s="207">
        <f>CONCATENATE(N694,P694,O694,)</f>
        <v/>
      </c>
      <c r="R694" s="240" t="n"/>
      <c r="T694" s="241" t="n"/>
      <c r="U694" s="240" t="n"/>
      <c r="V694" s="241" t="n"/>
      <c r="Z694" s="240" t="n"/>
      <c r="AB694" s="241" t="n"/>
      <c r="AC694" s="240" t="n"/>
      <c r="AD694" s="241" t="n"/>
      <c r="AE694" t="n">
        <v>2.42</v>
      </c>
    </row>
    <row r="695">
      <c r="B695" s="42" t="n">
        <v>140</v>
      </c>
      <c r="C695" s="118">
        <f>INDIRECT("'Закуп'!A" &amp; B695)</f>
        <v/>
      </c>
      <c r="D695" s="119">
        <f>C695*1.2</f>
        <v/>
      </c>
      <c r="G695" s="172">
        <f>IF(INDIRECT("'Закуп'!L" &amp; B695)="Sale","Sale","")</f>
        <v/>
      </c>
      <c r="H695" s="158">
        <f>IF(INDIRECT("'Закуп'!F" &amp; B695)=0,"",INDIRECT("'Закуп'!F" &amp; B695))</f>
        <v/>
      </c>
      <c r="I695" s="120" t="n">
        <v>500</v>
      </c>
      <c r="J695" s="121">
        <f>K695/1.2</f>
        <v/>
      </c>
      <c r="K695" s="242" t="n">
        <v>1.68</v>
      </c>
      <c r="L695" s="122">
        <f>J695-C695-(J695-C695)*0.2</f>
        <v/>
      </c>
      <c r="M695" s="123">
        <f>L695*I695</f>
        <v/>
      </c>
      <c r="N695" s="124" t="inlineStr">
        <is>
          <t xml:space="preserve">500-990 шт - </t>
        </is>
      </c>
      <c r="O695" s="47" t="inlineStr">
        <is>
          <t xml:space="preserve"> руб / шт с НДС</t>
        </is>
      </c>
      <c r="P695" s="125">
        <f>ROUND(K695,2)</f>
        <v/>
      </c>
      <c r="Q695" s="207">
        <f>CONCATENATE(N695,P695,O695,)</f>
        <v/>
      </c>
      <c r="R695" s="240" t="n"/>
      <c r="T695" s="241" t="n"/>
      <c r="U695" s="240" t="n"/>
      <c r="V695" s="241" t="n"/>
      <c r="Z695" s="240" t="n"/>
      <c r="AB695" s="241" t="n"/>
      <c r="AC695" s="240" t="n"/>
      <c r="AD695" s="241" t="n"/>
      <c r="AE695" t="n">
        <v>2.18</v>
      </c>
    </row>
    <row r="696">
      <c r="B696" s="42" t="n">
        <v>140</v>
      </c>
      <c r="C696" s="118">
        <f>INDIRECT("'Закуп'!A" &amp; B696)</f>
        <v/>
      </c>
      <c r="D696" s="119">
        <f>C696*1.2</f>
        <v/>
      </c>
      <c r="G696" s="172">
        <f>IF(INDIRECT("'Закуп'!L" &amp; B696)="Sale","Sale","")</f>
        <v/>
      </c>
      <c r="H696" s="158">
        <f>IF(INDIRECT("'Закуп'!F" &amp; B696)=0,"",INDIRECT("'Закуп'!F" &amp; B696))</f>
        <v/>
      </c>
      <c r="I696" s="120" t="n">
        <v>1000</v>
      </c>
      <c r="J696" s="121">
        <f>K696/1.2</f>
        <v/>
      </c>
      <c r="K696" s="242" t="n">
        <v>1.63</v>
      </c>
      <c r="L696" s="122">
        <f>J696-C696-(J696-C696)*0.2</f>
        <v/>
      </c>
      <c r="M696" s="123">
        <f>L696*I696</f>
        <v/>
      </c>
      <c r="N696" s="124" t="inlineStr">
        <is>
          <t xml:space="preserve">1000 + шт - </t>
        </is>
      </c>
      <c r="O696" s="47" t="inlineStr">
        <is>
          <t xml:space="preserve"> руб / шт с НДС</t>
        </is>
      </c>
      <c r="P696" s="125">
        <f>ROUND(K696,2)</f>
        <v/>
      </c>
      <c r="Q696" s="207">
        <f>CONCATENATE(N696,P696,O696,)</f>
        <v/>
      </c>
      <c r="R696" s="240" t="n"/>
      <c r="T696" s="241" t="n"/>
      <c r="U696" s="240" t="n"/>
      <c r="V696" s="241" t="n"/>
      <c r="Z696" s="240" t="n"/>
      <c r="AB696" s="241" t="n"/>
      <c r="AC696" s="240" t="n"/>
      <c r="AD696" s="241" t="n"/>
      <c r="AE696" t="n">
        <v>2.09</v>
      </c>
    </row>
    <row r="697">
      <c r="A697" s="232" t="n">
        <v>141</v>
      </c>
      <c r="B697" s="42" t="n">
        <v>141</v>
      </c>
      <c r="C697" s="118">
        <f>INDIRECT("'Закуп'!A" &amp; B697)</f>
        <v/>
      </c>
      <c r="D697" s="119">
        <f>C697*1.2</f>
        <v/>
      </c>
      <c r="E697" s="224">
        <f>INDIRECT("'Закуп'!D" &amp; A697)</f>
        <v/>
      </c>
      <c r="F697" s="231">
        <f>INDIRECT("'Закуп'!E" &amp; B697)</f>
        <v/>
      </c>
      <c r="G697" s="172">
        <f>IF(INDIRECT("'Закуп'!L" &amp; B697)="Sale","Sale","")</f>
        <v/>
      </c>
      <c r="H697" s="158">
        <f>IF(INDIRECT("'Закуп'!F" &amp; B697)=0,"",INDIRECT("'Закуп'!F" &amp; B697))</f>
        <v/>
      </c>
      <c r="I697" s="120" t="n">
        <v>50</v>
      </c>
      <c r="J697" s="121">
        <f>K697/1.2</f>
        <v/>
      </c>
      <c r="K697" s="70" t="n">
        <v>0.98</v>
      </c>
      <c r="L697" s="122">
        <f>J697-C697-(J697-C697)*0.2</f>
        <v/>
      </c>
      <c r="M697" s="123">
        <f>L697*I697</f>
        <v/>
      </c>
      <c r="N697" s="124" t="inlineStr">
        <is>
          <t xml:space="preserve">50-90 шт - </t>
        </is>
      </c>
      <c r="O697" s="47" t="inlineStr">
        <is>
          <t xml:space="preserve"> руб / шт с НДС</t>
        </is>
      </c>
      <c r="P697" s="125">
        <f>ROUND(K697,2)</f>
        <v/>
      </c>
      <c r="Q697" s="207">
        <f>CONCATENATE(N697,P697,O697,)</f>
        <v/>
      </c>
      <c r="R697" s="235">
        <f>INDIRECT("'Закуп'!k" &amp; A697)</f>
        <v/>
      </c>
      <c r="S697" s="239">
        <f>INDIRECT("'Закуп'!o" &amp; A697)</f>
        <v/>
      </c>
      <c r="T697" s="226">
        <f>INDIRECT("'Закуп'!p" &amp; A697)</f>
        <v/>
      </c>
      <c r="U697" s="235">
        <f>INDIRECT("'Закуп'!v" &amp; A697)</f>
        <v/>
      </c>
      <c r="V697" s="222">
        <f>INDIRECT("'Закуп'!w" &amp; A697)</f>
        <v/>
      </c>
      <c r="W697" s="229">
        <f>INDIRECT("'Закуп'!H" &amp; A697)</f>
        <v/>
      </c>
      <c r="X697" s="237">
        <f>INDIRECT("'Закуп'!g" &amp; A697)</f>
        <v/>
      </c>
      <c r="Y697" s="229">
        <f>INDIRECT("'Закуп'!i" &amp; A697)</f>
        <v/>
      </c>
      <c r="Z697" s="236">
        <f>INDIRECT("'Закуп'!x" &amp; A697)</f>
        <v/>
      </c>
      <c r="AA697" s="237">
        <f>INDIRECT("'Закуп'!y" &amp; A697)</f>
        <v/>
      </c>
      <c r="AB697" s="238">
        <f>INDIRECT("'Закуп'!z" &amp; A697)</f>
        <v/>
      </c>
      <c r="AC697" s="223">
        <f>SUBSTITUTE(INDEX(F:F, ROUNDUP((ROW(A696))/5,0)*5 - 3), "х", "x")</f>
        <v/>
      </c>
      <c r="AD697" s="222">
        <f>SUBSTITUTE(INDEX(F:F, ROUNDUP((ROW(A696))/5,0)*5 - 3), "х", "x") &amp; " - " &amp; SUBSTITUTE(SUBSTITUTE(INDEX(F:F, ROUNDUP((ROW(A696))/5,0)*5 - 3), "х", "*"), "x", "*") &amp; " мм"</f>
        <v/>
      </c>
    </row>
    <row r="698">
      <c r="B698" s="42" t="n">
        <v>141</v>
      </c>
      <c r="C698" s="118">
        <f>INDIRECT("'Закуп'!A" &amp; B698)</f>
        <v/>
      </c>
      <c r="D698" s="119">
        <f>C698*1.2</f>
        <v/>
      </c>
      <c r="G698" s="172">
        <f>IF(INDIRECT("'Закуп'!L" &amp; B698)="Sale","Sale","")</f>
        <v/>
      </c>
      <c r="H698" s="158">
        <f>IF(INDIRECT("'Закуп'!F" &amp; B698)=0,"",INDIRECT("'Закуп'!F" &amp; B698))</f>
        <v/>
      </c>
      <c r="I698" s="120" t="n">
        <v>100</v>
      </c>
      <c r="J698" s="121">
        <f>K698/1.2</f>
        <v/>
      </c>
      <c r="K698" s="70" t="n">
        <v>0.86</v>
      </c>
      <c r="L698" s="122">
        <f>J698-C698-(J698-C698)*0.2</f>
        <v/>
      </c>
      <c r="M698" s="123">
        <f>L698*I698</f>
        <v/>
      </c>
      <c r="N698" s="124" t="inlineStr">
        <is>
          <t xml:space="preserve">100-290 шт - </t>
        </is>
      </c>
      <c r="O698" s="47" t="inlineStr">
        <is>
          <t xml:space="preserve"> руб / шт с НДС</t>
        </is>
      </c>
      <c r="P698" s="125">
        <f>ROUND(K698,2)</f>
        <v/>
      </c>
      <c r="Q698" s="207">
        <f>CONCATENATE(N698,P698,O698,)</f>
        <v/>
      </c>
      <c r="R698" s="240" t="n"/>
      <c r="T698" s="241" t="n"/>
      <c r="U698" s="240" t="n"/>
      <c r="V698" s="241" t="n"/>
      <c r="Z698" s="240" t="n"/>
      <c r="AB698" s="241" t="n"/>
      <c r="AC698" s="240" t="n"/>
      <c r="AD698" s="241" t="n"/>
    </row>
    <row r="699">
      <c r="B699" s="42" t="n">
        <v>141</v>
      </c>
      <c r="C699" s="118">
        <f>INDIRECT("'Закуп'!A" &amp; B699)</f>
        <v/>
      </c>
      <c r="D699" s="119">
        <f>C699*1.2</f>
        <v/>
      </c>
      <c r="G699" s="172">
        <f>IF(INDIRECT("'Закуп'!L" &amp; B699)="Sale","Sale","")</f>
        <v/>
      </c>
      <c r="H699" s="158">
        <f>IF(INDIRECT("'Закуп'!F" &amp; B699)=0,"",INDIRECT("'Закуп'!F" &amp; B699))</f>
        <v/>
      </c>
      <c r="I699" s="120" t="n">
        <v>300</v>
      </c>
      <c r="J699" s="121">
        <f>K699/1.2</f>
        <v/>
      </c>
      <c r="K699" s="70" t="n">
        <v>0.74</v>
      </c>
      <c r="L699" s="122">
        <f>J699-C699-(J699-C699)*0.2</f>
        <v/>
      </c>
      <c r="M699" s="123">
        <f>L699*I699</f>
        <v/>
      </c>
      <c r="N699" s="124" t="inlineStr">
        <is>
          <t xml:space="preserve">300-490 шт - </t>
        </is>
      </c>
      <c r="O699" s="47" t="inlineStr">
        <is>
          <t xml:space="preserve"> руб / шт с НДС</t>
        </is>
      </c>
      <c r="P699" s="125">
        <f>ROUND(K699,2)</f>
        <v/>
      </c>
      <c r="Q699" s="207">
        <f>CONCATENATE(N699,P699,O699,)</f>
        <v/>
      </c>
      <c r="R699" s="240" t="n"/>
      <c r="T699" s="241" t="n"/>
      <c r="U699" s="240" t="n"/>
      <c r="V699" s="241" t="n"/>
      <c r="Z699" s="240" t="n"/>
      <c r="AB699" s="241" t="n"/>
      <c r="AC699" s="240" t="n"/>
      <c r="AD699" s="241" t="n"/>
    </row>
    <row r="700">
      <c r="B700" s="42" t="n">
        <v>141</v>
      </c>
      <c r="C700" s="118">
        <f>INDIRECT("'Закуп'!A" &amp; B700)</f>
        <v/>
      </c>
      <c r="D700" s="119">
        <f>C700*1.2</f>
        <v/>
      </c>
      <c r="G700" s="172">
        <f>IF(INDIRECT("'Закуп'!L" &amp; B700)="Sale","Sale","")</f>
        <v/>
      </c>
      <c r="H700" s="158">
        <f>IF(INDIRECT("'Закуп'!F" &amp; B700)=0,"",INDIRECT("'Закуп'!F" &amp; B700))</f>
        <v/>
      </c>
      <c r="I700" s="120" t="n">
        <v>500</v>
      </c>
      <c r="J700" s="121">
        <f>K700/1.2</f>
        <v/>
      </c>
      <c r="K700" s="70" t="n">
        <v>0.67</v>
      </c>
      <c r="L700" s="122">
        <f>J700-C700-(J700-C700)*0.2</f>
        <v/>
      </c>
      <c r="M700" s="123">
        <f>L700*I700</f>
        <v/>
      </c>
      <c r="N700" s="124" t="inlineStr">
        <is>
          <t xml:space="preserve">500-990 шт - </t>
        </is>
      </c>
      <c r="O700" s="47" t="inlineStr">
        <is>
          <t xml:space="preserve"> руб / шт с НДС</t>
        </is>
      </c>
      <c r="P700" s="125">
        <f>ROUND(K700,2)</f>
        <v/>
      </c>
      <c r="Q700" s="207">
        <f>CONCATENATE(N700,P700,O700,)</f>
        <v/>
      </c>
      <c r="R700" s="240" t="n"/>
      <c r="T700" s="241" t="n"/>
      <c r="U700" s="240" t="n"/>
      <c r="V700" s="241" t="n"/>
      <c r="Z700" s="240" t="n"/>
      <c r="AB700" s="241" t="n"/>
      <c r="AC700" s="240" t="n"/>
      <c r="AD700" s="241" t="n"/>
    </row>
    <row r="701">
      <c r="B701" s="42" t="n">
        <v>141</v>
      </c>
      <c r="C701" s="118">
        <f>INDIRECT("'Закуп'!A" &amp; B701)</f>
        <v/>
      </c>
      <c r="D701" s="119">
        <f>C701*1.2</f>
        <v/>
      </c>
      <c r="G701" s="172">
        <f>IF(INDIRECT("'Закуп'!L" &amp; B701)="Sale","Sale","")</f>
        <v/>
      </c>
      <c r="H701" s="158">
        <f>IF(INDIRECT("'Закуп'!F" &amp; B701)=0,"",INDIRECT("'Закуп'!F" &amp; B701))</f>
        <v/>
      </c>
      <c r="I701" s="120" t="n">
        <v>1000</v>
      </c>
      <c r="J701" s="121">
        <f>K701/1.2</f>
        <v/>
      </c>
      <c r="K701" s="70" t="n">
        <v>0.59</v>
      </c>
      <c r="L701" s="122">
        <f>J701-C701-(J701-C701)*0.2</f>
        <v/>
      </c>
      <c r="M701" s="123">
        <f>L701*I701</f>
        <v/>
      </c>
      <c r="N701" s="124" t="inlineStr">
        <is>
          <t xml:space="preserve">1000 + шт - </t>
        </is>
      </c>
      <c r="O701" s="47" t="inlineStr">
        <is>
          <t xml:space="preserve"> руб / шт с НДС</t>
        </is>
      </c>
      <c r="P701" s="125">
        <f>ROUND(K701,2)</f>
        <v/>
      </c>
      <c r="Q701" s="207">
        <f>CONCATENATE(N701,P701,O701,)</f>
        <v/>
      </c>
      <c r="R701" s="240" t="n"/>
      <c r="T701" s="241" t="n"/>
      <c r="U701" s="240" t="n"/>
      <c r="V701" s="241" t="n"/>
      <c r="Z701" s="240" t="n"/>
      <c r="AB701" s="241" t="n"/>
      <c r="AC701" s="240" t="n"/>
      <c r="AD701" s="241" t="n"/>
    </row>
    <row r="702">
      <c r="A702" s="232" t="n">
        <v>142</v>
      </c>
      <c r="B702" s="42" t="n">
        <v>142</v>
      </c>
      <c r="C702" s="118">
        <f>INDIRECT("'Закуп'!A" &amp; B702)</f>
        <v/>
      </c>
      <c r="D702" s="119">
        <f>C702*1.2</f>
        <v/>
      </c>
      <c r="E702" s="224">
        <f>INDIRECT("'Закуп'!D" &amp; A702)</f>
        <v/>
      </c>
      <c r="F702" s="231">
        <f>INDIRECT("'Закуп'!E" &amp; B702)</f>
        <v/>
      </c>
      <c r="G702" s="172">
        <f>IF(INDIRECT("'Закуп'!L" &amp; B702)="Sale","Sale","")</f>
        <v/>
      </c>
      <c r="H702" s="158">
        <f>IF(INDIRECT("'Закуп'!F" &amp; B702)=0,"",INDIRECT("'Закуп'!F" &amp; B702))</f>
        <v/>
      </c>
      <c r="I702" s="120" t="n">
        <v>50</v>
      </c>
      <c r="J702" s="121">
        <f>K702/1.2</f>
        <v/>
      </c>
      <c r="K702" s="70" t="n">
        <v>1.17</v>
      </c>
      <c r="L702" s="122">
        <f>J702-C702-(J702-C702)*0.2</f>
        <v/>
      </c>
      <c r="M702" s="123">
        <f>L702*I702</f>
        <v/>
      </c>
      <c r="N702" s="124" t="inlineStr">
        <is>
          <t xml:space="preserve">50-90 шт - </t>
        </is>
      </c>
      <c r="O702" s="47" t="inlineStr">
        <is>
          <t xml:space="preserve"> руб / шт с НДС</t>
        </is>
      </c>
      <c r="P702" s="125">
        <f>ROUND(K702,2)</f>
        <v/>
      </c>
      <c r="Q702" s="207">
        <f>CONCATENATE(N702,P702,O702,)</f>
        <v/>
      </c>
      <c r="R702" s="235">
        <f>INDIRECT("'Закуп'!k" &amp; A702)</f>
        <v/>
      </c>
      <c r="S702" s="239">
        <f>INDIRECT("'Закуп'!o" &amp; A702)</f>
        <v/>
      </c>
      <c r="T702" s="226">
        <f>INDIRECT("'Закуп'!p" &amp; A702)</f>
        <v/>
      </c>
      <c r="U702" s="235">
        <f>INDIRECT("'Закуп'!v" &amp; A702)</f>
        <v/>
      </c>
      <c r="V702" s="222">
        <f>INDIRECT("'Закуп'!w" &amp; A702)</f>
        <v/>
      </c>
      <c r="W702" s="229">
        <f>INDIRECT("'Закуп'!H" &amp; A702)</f>
        <v/>
      </c>
      <c r="X702" s="237">
        <f>INDIRECT("'Закуп'!g" &amp; A702)</f>
        <v/>
      </c>
      <c r="Y702" s="229">
        <f>INDIRECT("'Закуп'!i" &amp; A702)</f>
        <v/>
      </c>
      <c r="Z702" s="236">
        <f>INDIRECT("'Закуп'!x" &amp; A702)</f>
        <v/>
      </c>
      <c r="AA702" s="237">
        <f>INDIRECT("'Закуп'!y" &amp; A702)</f>
        <v/>
      </c>
      <c r="AB702" s="238">
        <f>INDIRECT("'Закуп'!z" &amp; A702)</f>
        <v/>
      </c>
      <c r="AC702" s="223">
        <f>SUBSTITUTE(INDEX(F:F, ROUNDUP((ROW(A701))/5,0)*5 - 3), "х", "x")</f>
        <v/>
      </c>
      <c r="AD702" s="222">
        <f>SUBSTITUTE(INDEX(F:F, ROUNDUP((ROW(A701))/5,0)*5 - 3), "х", "x") &amp; " - " &amp; SUBSTITUTE(SUBSTITUTE(INDEX(F:F, ROUNDUP((ROW(A701))/5,0)*5 - 3), "х", "*"), "x", "*") &amp; " мм"</f>
        <v/>
      </c>
    </row>
    <row r="703">
      <c r="B703" s="42" t="n">
        <v>142</v>
      </c>
      <c r="C703" s="118">
        <f>INDIRECT("'Закуп'!A" &amp; B703)</f>
        <v/>
      </c>
      <c r="D703" s="119">
        <f>C703*1.2</f>
        <v/>
      </c>
      <c r="G703" s="172">
        <f>IF(INDIRECT("'Закуп'!L" &amp; B703)="Sale","Sale","")</f>
        <v/>
      </c>
      <c r="H703" s="158">
        <f>IF(INDIRECT("'Закуп'!F" &amp; B703)=0,"",INDIRECT("'Закуп'!F" &amp; B703))</f>
        <v/>
      </c>
      <c r="I703" s="120" t="n">
        <v>100</v>
      </c>
      <c r="J703" s="121">
        <f>K703/1.2</f>
        <v/>
      </c>
      <c r="K703" s="70" t="n">
        <v>0.97</v>
      </c>
      <c r="L703" s="122">
        <f>J703-C703-(J703-C703)*0.2</f>
        <v/>
      </c>
      <c r="M703" s="123">
        <f>L703*I703</f>
        <v/>
      </c>
      <c r="N703" s="124" t="inlineStr">
        <is>
          <t xml:space="preserve">100-290 шт - </t>
        </is>
      </c>
      <c r="O703" s="47" t="inlineStr">
        <is>
          <t xml:space="preserve"> руб / шт с НДС</t>
        </is>
      </c>
      <c r="P703" s="125">
        <f>ROUND(K703,2)</f>
        <v/>
      </c>
      <c r="Q703" s="207">
        <f>CONCATENATE(N703,P703,O703,)</f>
        <v/>
      </c>
      <c r="R703" s="240" t="n"/>
      <c r="T703" s="241" t="n"/>
      <c r="U703" s="240" t="n"/>
      <c r="V703" s="241" t="n"/>
      <c r="Z703" s="240" t="n"/>
      <c r="AB703" s="241" t="n"/>
      <c r="AC703" s="240" t="n"/>
      <c r="AD703" s="241" t="n"/>
    </row>
    <row r="704">
      <c r="B704" s="42" t="n">
        <v>142</v>
      </c>
      <c r="C704" s="118">
        <f>INDIRECT("'Закуп'!A" &amp; B704)</f>
        <v/>
      </c>
      <c r="D704" s="119">
        <f>C704*1.2</f>
        <v/>
      </c>
      <c r="G704" s="172">
        <f>IF(INDIRECT("'Закуп'!L" &amp; B704)="Sale","Sale","")</f>
        <v/>
      </c>
      <c r="H704" s="158">
        <f>IF(INDIRECT("'Закуп'!F" &amp; B704)=0,"",INDIRECT("'Закуп'!F" &amp; B704))</f>
        <v/>
      </c>
      <c r="I704" s="120" t="n">
        <v>300</v>
      </c>
      <c r="J704" s="121">
        <f>K704/1.2</f>
        <v/>
      </c>
      <c r="K704" s="70" t="n">
        <v>0.89</v>
      </c>
      <c r="L704" s="122">
        <f>J704-C704-(J704-C704)*0.2</f>
        <v/>
      </c>
      <c r="M704" s="123">
        <f>L704*I704</f>
        <v/>
      </c>
      <c r="N704" s="124" t="inlineStr">
        <is>
          <t xml:space="preserve">300-490 шт - </t>
        </is>
      </c>
      <c r="O704" s="47" t="inlineStr">
        <is>
          <t xml:space="preserve"> руб / шт с НДС</t>
        </is>
      </c>
      <c r="P704" s="125">
        <f>ROUND(K704,2)</f>
        <v/>
      </c>
      <c r="Q704" s="207">
        <f>CONCATENATE(N704,P704,O704,)</f>
        <v/>
      </c>
      <c r="R704" s="240" t="n"/>
      <c r="T704" s="241" t="n"/>
      <c r="U704" s="240" t="n"/>
      <c r="V704" s="241" t="n"/>
      <c r="Z704" s="240" t="n"/>
      <c r="AB704" s="241" t="n"/>
      <c r="AC704" s="240" t="n"/>
      <c r="AD704" s="241" t="n"/>
    </row>
    <row r="705">
      <c r="B705" s="42" t="n">
        <v>142</v>
      </c>
      <c r="C705" s="118">
        <f>INDIRECT("'Закуп'!A" &amp; B705)</f>
        <v/>
      </c>
      <c r="D705" s="119">
        <f>C705*1.2</f>
        <v/>
      </c>
      <c r="G705" s="172">
        <f>IF(INDIRECT("'Закуп'!L" &amp; B705)="Sale","Sale","")</f>
        <v/>
      </c>
      <c r="H705" s="158">
        <f>IF(INDIRECT("'Закуп'!F" &amp; B705)=0,"",INDIRECT("'Закуп'!F" &amp; B705))</f>
        <v/>
      </c>
      <c r="I705" s="120" t="n">
        <v>500</v>
      </c>
      <c r="J705" s="121">
        <f>K705/1.2</f>
        <v/>
      </c>
      <c r="K705" s="70" t="n">
        <v>0.8100000000000001</v>
      </c>
      <c r="L705" s="122">
        <f>J705-C705-(J705-C705)*0.2</f>
        <v/>
      </c>
      <c r="M705" s="123">
        <f>L705*I705</f>
        <v/>
      </c>
      <c r="N705" s="124" t="inlineStr">
        <is>
          <t xml:space="preserve">500-990 шт - </t>
        </is>
      </c>
      <c r="O705" s="47" t="inlineStr">
        <is>
          <t xml:space="preserve"> руб / шт с НДС</t>
        </is>
      </c>
      <c r="P705" s="125">
        <f>ROUND(K705,2)</f>
        <v/>
      </c>
      <c r="Q705" s="207">
        <f>CONCATENATE(N705,P705,O705,)</f>
        <v/>
      </c>
      <c r="R705" s="240" t="n"/>
      <c r="T705" s="241" t="n"/>
      <c r="U705" s="240" t="n"/>
      <c r="V705" s="241" t="n"/>
      <c r="Z705" s="240" t="n"/>
      <c r="AB705" s="241" t="n"/>
      <c r="AC705" s="240" t="n"/>
      <c r="AD705" s="241" t="n"/>
    </row>
    <row r="706">
      <c r="B706" s="42" t="n">
        <v>142</v>
      </c>
      <c r="C706" s="118">
        <f>INDIRECT("'Закуп'!A" &amp; B706)</f>
        <v/>
      </c>
      <c r="D706" s="119">
        <f>C706*1.2</f>
        <v/>
      </c>
      <c r="G706" s="172">
        <f>IF(INDIRECT("'Закуп'!L" &amp; B706)="Sale","Sale","")</f>
        <v/>
      </c>
      <c r="H706" s="158">
        <f>IF(INDIRECT("'Закуп'!F" &amp; B706)=0,"",INDIRECT("'Закуп'!F" &amp; B706))</f>
        <v/>
      </c>
      <c r="I706" s="120" t="n">
        <v>1000</v>
      </c>
      <c r="J706" s="121">
        <f>K706/1.2</f>
        <v/>
      </c>
      <c r="K706" s="70" t="n">
        <v>0.76</v>
      </c>
      <c r="L706" s="122">
        <f>J706-C706-(J706-C706)*0.2</f>
        <v/>
      </c>
      <c r="M706" s="123">
        <f>L706*I706</f>
        <v/>
      </c>
      <c r="N706" s="124" t="inlineStr">
        <is>
          <t xml:space="preserve">1000 + шт - </t>
        </is>
      </c>
      <c r="O706" s="47" t="inlineStr">
        <is>
          <t xml:space="preserve"> руб / шт с НДС</t>
        </is>
      </c>
      <c r="P706" s="125">
        <f>ROUND(K706,2)</f>
        <v/>
      </c>
      <c r="Q706" s="207">
        <f>CONCATENATE(N706,P706,O706,)</f>
        <v/>
      </c>
      <c r="R706" s="240" t="n"/>
      <c r="T706" s="241" t="n"/>
      <c r="U706" s="240" t="n"/>
      <c r="V706" s="241" t="n"/>
      <c r="Z706" s="240" t="n"/>
      <c r="AB706" s="241" t="n"/>
      <c r="AC706" s="240" t="n"/>
      <c r="AD706" s="241" t="n"/>
    </row>
    <row r="707">
      <c r="A707" s="232" t="n">
        <v>143</v>
      </c>
      <c r="B707" s="42" t="n">
        <v>143</v>
      </c>
      <c r="C707" s="118">
        <f>INDIRECT("'Закуп'!A" &amp; B707)</f>
        <v/>
      </c>
      <c r="D707" s="119">
        <f>C707*1.2</f>
        <v/>
      </c>
      <c r="E707" s="224">
        <f>INDIRECT("'Закуп'!D" &amp; A707)</f>
        <v/>
      </c>
      <c r="F707" s="231">
        <f>INDIRECT("'Закуп'!E" &amp; B707)</f>
        <v/>
      </c>
      <c r="G707" s="172">
        <f>IF(INDIRECT("'Закуп'!L" &amp; B707)="Sale","Sale","")</f>
        <v/>
      </c>
      <c r="H707" s="158">
        <f>IF(INDIRECT("'Закуп'!F" &amp; B707)=0,"",INDIRECT("'Закуп'!F" &amp; B707))</f>
        <v/>
      </c>
      <c r="I707" s="120" t="n">
        <v>50</v>
      </c>
      <c r="J707" s="121">
        <f>K707/1.2</f>
        <v/>
      </c>
      <c r="K707" s="242" t="n">
        <v>2.03</v>
      </c>
      <c r="L707" s="122">
        <f>J707-C707-(J707-C707)*0.2</f>
        <v/>
      </c>
      <c r="M707" s="123">
        <f>L707*I707</f>
        <v/>
      </c>
      <c r="N707" s="124" t="inlineStr">
        <is>
          <t xml:space="preserve">50-90 шт - </t>
        </is>
      </c>
      <c r="O707" s="47" t="inlineStr">
        <is>
          <t xml:space="preserve"> руб / шт с НДС</t>
        </is>
      </c>
      <c r="P707" s="125">
        <f>ROUND(K707,2)</f>
        <v/>
      </c>
      <c r="Q707" s="207">
        <f>CONCATENATE(N707,P707,O707,)</f>
        <v/>
      </c>
      <c r="R707" s="235">
        <f>INDIRECT("'Закуп'!k" &amp; A707)</f>
        <v/>
      </c>
      <c r="S707" s="239">
        <f>INDIRECT("'Закуп'!o" &amp; A707)</f>
        <v/>
      </c>
      <c r="T707" s="226">
        <f>INDIRECT("'Закуп'!p" &amp; A707)</f>
        <v/>
      </c>
      <c r="U707" s="235">
        <f>INDIRECT("'Закуп'!v" &amp; A707)</f>
        <v/>
      </c>
      <c r="V707" s="222">
        <f>INDIRECT("'Закуп'!w" &amp; A707)</f>
        <v/>
      </c>
      <c r="W707" s="229">
        <f>INDIRECT("'Закуп'!H" &amp; A707)</f>
        <v/>
      </c>
      <c r="X707" s="237">
        <f>INDIRECT("'Закуп'!g" &amp; A707)</f>
        <v/>
      </c>
      <c r="Y707" s="229">
        <f>INDIRECT("'Закуп'!i" &amp; A707)</f>
        <v/>
      </c>
      <c r="Z707" s="236">
        <f>INDIRECT("'Закуп'!x" &amp; A707)</f>
        <v/>
      </c>
      <c r="AA707" s="237">
        <f>INDIRECT("'Закуп'!y" &amp; A707)</f>
        <v/>
      </c>
      <c r="AB707" s="238">
        <f>INDIRECT("'Закуп'!z" &amp; A707)</f>
        <v/>
      </c>
      <c r="AC707" s="223">
        <f>SUBSTITUTE(INDEX(F:F, ROUNDUP((ROW(A706))/5,0)*5 - 3), "х", "x")</f>
        <v/>
      </c>
      <c r="AD707" s="222">
        <f>SUBSTITUTE(INDEX(F:F, ROUNDUP((ROW(A706))/5,0)*5 - 3), "х", "x") &amp; " - " &amp; SUBSTITUTE(SUBSTITUTE(INDEX(F:F, ROUNDUP((ROW(A706))/5,0)*5 - 3), "х", "*"), "x", "*") &amp; " мм"</f>
        <v/>
      </c>
      <c r="AE707" t="n">
        <v>2.93</v>
      </c>
    </row>
    <row r="708">
      <c r="B708" s="42" t="n">
        <v>143</v>
      </c>
      <c r="C708" s="118">
        <f>INDIRECT("'Закуп'!A" &amp; B708)</f>
        <v/>
      </c>
      <c r="D708" s="119">
        <f>C708*1.2</f>
        <v/>
      </c>
      <c r="G708" s="172">
        <f>IF(INDIRECT("'Закуп'!L" &amp; B708)="Sale","Sale","")</f>
        <v/>
      </c>
      <c r="H708" s="158">
        <f>IF(INDIRECT("'Закуп'!F" &amp; B708)=0,"",INDIRECT("'Закуп'!F" &amp; B708))</f>
        <v/>
      </c>
      <c r="I708" s="120" t="n">
        <v>100</v>
      </c>
      <c r="J708" s="121">
        <f>K708/1.2</f>
        <v/>
      </c>
      <c r="K708" s="242" t="n">
        <v>1.74</v>
      </c>
      <c r="L708" s="122">
        <f>J708-C708-(J708-C708)*0.2</f>
        <v/>
      </c>
      <c r="M708" s="123">
        <f>L708*I708</f>
        <v/>
      </c>
      <c r="N708" s="124" t="inlineStr">
        <is>
          <t xml:space="preserve">100-290 шт - </t>
        </is>
      </c>
      <c r="O708" s="47" t="inlineStr">
        <is>
          <t xml:space="preserve"> руб / шт с НДС</t>
        </is>
      </c>
      <c r="P708" s="125">
        <f>ROUND(K708,2)</f>
        <v/>
      </c>
      <c r="Q708" s="207">
        <f>CONCATENATE(N708,P708,O708,)</f>
        <v/>
      </c>
      <c r="R708" s="240" t="n"/>
      <c r="T708" s="241" t="n"/>
      <c r="U708" s="240" t="n"/>
      <c r="V708" s="241" t="n"/>
      <c r="Z708" s="240" t="n"/>
      <c r="AB708" s="241" t="n"/>
      <c r="AC708" s="240" t="n"/>
      <c r="AD708" s="241" t="n"/>
      <c r="AE708" t="n">
        <v>2.34</v>
      </c>
    </row>
    <row r="709">
      <c r="B709" s="42" t="n">
        <v>143</v>
      </c>
      <c r="C709" s="118">
        <f>INDIRECT("'Закуп'!A" &amp; B709)</f>
        <v/>
      </c>
      <c r="D709" s="119">
        <f>C709*1.2</f>
        <v/>
      </c>
      <c r="G709" s="172">
        <f>IF(INDIRECT("'Закуп'!L" &amp; B709)="Sale","Sale","")</f>
        <v/>
      </c>
      <c r="H709" s="158">
        <f>IF(INDIRECT("'Закуп'!F" &amp; B709)=0,"",INDIRECT("'Закуп'!F" &amp; B709))</f>
        <v/>
      </c>
      <c r="I709" s="120" t="n">
        <v>300</v>
      </c>
      <c r="J709" s="121">
        <f>K709/1.2</f>
        <v/>
      </c>
      <c r="K709" s="242" t="n">
        <v>1.64</v>
      </c>
      <c r="L709" s="122">
        <f>J709-C709-(J709-C709)*0.2</f>
        <v/>
      </c>
      <c r="M709" s="123">
        <f>L709*I709</f>
        <v/>
      </c>
      <c r="N709" s="124" t="inlineStr">
        <is>
          <t xml:space="preserve">300-490 шт - </t>
        </is>
      </c>
      <c r="O709" s="47" t="inlineStr">
        <is>
          <t xml:space="preserve"> руб / шт с НДС</t>
        </is>
      </c>
      <c r="P709" s="125">
        <f>ROUND(K709,2)</f>
        <v/>
      </c>
      <c r="Q709" s="207">
        <f>CONCATENATE(N709,P709,O709,)</f>
        <v/>
      </c>
      <c r="R709" s="240" t="n"/>
      <c r="T709" s="241" t="n"/>
      <c r="U709" s="240" t="n"/>
      <c r="V709" s="241" t="n"/>
      <c r="Z709" s="240" t="n"/>
      <c r="AB709" s="241" t="n"/>
      <c r="AC709" s="240" t="n"/>
      <c r="AD709" s="241" t="n"/>
      <c r="AE709" t="n">
        <v>2.14</v>
      </c>
    </row>
    <row r="710">
      <c r="B710" s="42" t="n">
        <v>143</v>
      </c>
      <c r="C710" s="118">
        <f>INDIRECT("'Закуп'!A" &amp; B710)</f>
        <v/>
      </c>
      <c r="D710" s="119">
        <f>C710*1.2</f>
        <v/>
      </c>
      <c r="G710" s="172">
        <f>IF(INDIRECT("'Закуп'!L" &amp; B710)="Sale","Sale","")</f>
        <v/>
      </c>
      <c r="H710" s="158">
        <f>IF(INDIRECT("'Закуп'!F" &amp; B710)=0,"",INDIRECT("'Закуп'!F" &amp; B710))</f>
        <v/>
      </c>
      <c r="I710" s="120" t="n">
        <v>500</v>
      </c>
      <c r="J710" s="121">
        <f>K710/1.2</f>
        <v/>
      </c>
      <c r="K710" s="242" t="n">
        <v>1.48</v>
      </c>
      <c r="L710" s="122">
        <f>J710-C710-(J710-C710)*0.2</f>
        <v/>
      </c>
      <c r="M710" s="123">
        <f>L710*I710</f>
        <v/>
      </c>
      <c r="N710" s="124" t="inlineStr">
        <is>
          <t xml:space="preserve">500-990 шт - </t>
        </is>
      </c>
      <c r="O710" s="47" t="inlineStr">
        <is>
          <t xml:space="preserve"> руб / шт с НДС</t>
        </is>
      </c>
      <c r="P710" s="125">
        <f>ROUND(K710,2)</f>
        <v/>
      </c>
      <c r="Q710" s="207">
        <f>CONCATENATE(N710,P710,O710,)</f>
        <v/>
      </c>
      <c r="R710" s="240" t="n"/>
      <c r="T710" s="241" t="n"/>
      <c r="U710" s="240" t="n"/>
      <c r="V710" s="241" t="n"/>
      <c r="Z710" s="240" t="n"/>
      <c r="AB710" s="241" t="n"/>
      <c r="AC710" s="240" t="n"/>
      <c r="AD710" s="241" t="n"/>
      <c r="AE710" t="n">
        <v>1.9</v>
      </c>
    </row>
    <row r="711">
      <c r="B711" s="42" t="n">
        <v>143</v>
      </c>
      <c r="C711" s="118">
        <f>INDIRECT("'Закуп'!A" &amp; B711)</f>
        <v/>
      </c>
      <c r="D711" s="119">
        <f>C711*1.2</f>
        <v/>
      </c>
      <c r="G711" s="172">
        <f>IF(INDIRECT("'Закуп'!L" &amp; B711)="Sale","Sale","")</f>
        <v/>
      </c>
      <c r="H711" s="158">
        <f>IF(INDIRECT("'Закуп'!F" &amp; B711)=0,"",INDIRECT("'Закуп'!F" &amp; B711))</f>
        <v/>
      </c>
      <c r="I711" s="120" t="n">
        <v>1000</v>
      </c>
      <c r="J711" s="121">
        <f>K711/1.2</f>
        <v/>
      </c>
      <c r="K711" s="242" t="n">
        <v>1.43</v>
      </c>
      <c r="L711" s="122">
        <f>J711-C711-(J711-C711)*0.2</f>
        <v/>
      </c>
      <c r="M711" s="123">
        <f>L711*I711</f>
        <v/>
      </c>
      <c r="N711" s="124" t="inlineStr">
        <is>
          <t xml:space="preserve">1000 + шт - </t>
        </is>
      </c>
      <c r="O711" s="47" t="inlineStr">
        <is>
          <t xml:space="preserve"> руб / шт с НДС</t>
        </is>
      </c>
      <c r="P711" s="125">
        <f>ROUND(K711,2)</f>
        <v/>
      </c>
      <c r="Q711" s="207">
        <f>CONCATENATE(N711,P711,O711,)</f>
        <v/>
      </c>
      <c r="R711" s="240" t="n"/>
      <c r="T711" s="241" t="n"/>
      <c r="U711" s="240" t="n"/>
      <c r="V711" s="241" t="n"/>
      <c r="Z711" s="240" t="n"/>
      <c r="AB711" s="241" t="n"/>
      <c r="AC711" s="240" t="n"/>
      <c r="AD711" s="241" t="n"/>
      <c r="AE711" t="n">
        <v>1.82</v>
      </c>
    </row>
    <row r="712">
      <c r="A712" s="232" t="n">
        <v>144</v>
      </c>
      <c r="B712" s="42" t="n">
        <v>144</v>
      </c>
      <c r="C712" s="118">
        <f>INDIRECT("'Закуп'!A" &amp; B712)</f>
        <v/>
      </c>
      <c r="D712" s="119">
        <f>C712*1.2</f>
        <v/>
      </c>
      <c r="E712" s="224">
        <f>INDIRECT("'Закуп'!D" &amp; A712)</f>
        <v/>
      </c>
      <c r="F712" s="231">
        <f>INDIRECT("'Закуп'!E" &amp; B712)</f>
        <v/>
      </c>
      <c r="G712" s="172">
        <f>IF(INDIRECT("'Закуп'!L" &amp; B712)="Sale","Sale","")</f>
        <v/>
      </c>
      <c r="H712" s="158">
        <f>IF(INDIRECT("'Закуп'!F" &amp; B712)=0,"",INDIRECT("'Закуп'!F" &amp; B712))</f>
        <v/>
      </c>
      <c r="I712" s="120" t="n">
        <v>50</v>
      </c>
      <c r="J712" s="121">
        <f>K712/1.2</f>
        <v/>
      </c>
      <c r="K712" s="242" t="n">
        <v>2.44</v>
      </c>
      <c r="L712" s="122">
        <f>J712-C712-(J712-C712)*0.2</f>
        <v/>
      </c>
      <c r="M712" s="123">
        <f>L712*I712</f>
        <v/>
      </c>
      <c r="N712" s="124" t="inlineStr">
        <is>
          <t xml:space="preserve">50-90 шт - </t>
        </is>
      </c>
      <c r="O712" s="47" t="inlineStr">
        <is>
          <t xml:space="preserve"> руб / шт с НДС</t>
        </is>
      </c>
      <c r="P712" s="125">
        <f>ROUND(K712,2)</f>
        <v/>
      </c>
      <c r="Q712" s="207">
        <f>CONCATENATE(N712,P712,O712,)</f>
        <v/>
      </c>
      <c r="R712" s="235">
        <f>INDIRECT("'Закуп'!k" &amp; A712)</f>
        <v/>
      </c>
      <c r="S712" s="239">
        <f>INDIRECT("'Закуп'!o" &amp; A712)</f>
        <v/>
      </c>
      <c r="T712" s="226">
        <f>INDIRECT("'Закуп'!p" &amp; A712)</f>
        <v/>
      </c>
      <c r="U712" s="235">
        <f>INDIRECT("'Закуп'!v" &amp; A712)</f>
        <v/>
      </c>
      <c r="V712" s="222">
        <f>INDIRECT("'Закуп'!w" &amp; A712)</f>
        <v/>
      </c>
      <c r="W712" s="229">
        <f>INDIRECT("'Закуп'!H" &amp; A712)</f>
        <v/>
      </c>
      <c r="X712" s="237">
        <f>INDIRECT("'Закуп'!g" &amp; A712)</f>
        <v/>
      </c>
      <c r="Y712" s="229">
        <f>INDIRECT("'Закуп'!i" &amp; A712)</f>
        <v/>
      </c>
      <c r="Z712" s="236">
        <f>INDIRECT("'Закуп'!x" &amp; A712)</f>
        <v/>
      </c>
      <c r="AA712" s="237">
        <f>INDIRECT("'Закуп'!y" &amp; A712)</f>
        <v/>
      </c>
      <c r="AB712" s="238">
        <f>INDIRECT("'Закуп'!z" &amp; A712)</f>
        <v/>
      </c>
      <c r="AC712" s="223">
        <f>SUBSTITUTE(INDEX(F:F, ROUNDUP((ROW(A711))/5,0)*5 - 3), "х", "x")</f>
        <v/>
      </c>
      <c r="AD712" s="222">
        <f>SUBSTITUTE(INDEX(F:F, ROUNDUP((ROW(A711))/5,0)*5 - 3), "х", "x") &amp; " - " &amp; SUBSTITUTE(SUBSTITUTE(INDEX(F:F, ROUNDUP((ROW(A711))/5,0)*5 - 3), "х", "*"), "x", "*") &amp; " мм"</f>
        <v/>
      </c>
      <c r="AE712" t="n">
        <v>3.45</v>
      </c>
    </row>
    <row r="713">
      <c r="B713" s="42" t="n">
        <v>144</v>
      </c>
      <c r="C713" s="118">
        <f>INDIRECT("'Закуп'!A" &amp; B713)</f>
        <v/>
      </c>
      <c r="D713" s="119">
        <f>C713*1.2</f>
        <v/>
      </c>
      <c r="G713" s="172">
        <f>IF(INDIRECT("'Закуп'!L" &amp; B713)="Sale","Sale","")</f>
        <v/>
      </c>
      <c r="H713" s="158">
        <f>IF(INDIRECT("'Закуп'!F" &amp; B713)=0,"",INDIRECT("'Закуп'!F" &amp; B713))</f>
        <v/>
      </c>
      <c r="I713" s="120" t="n">
        <v>100</v>
      </c>
      <c r="J713" s="121">
        <f>K713/1.2</f>
        <v/>
      </c>
      <c r="K713" s="242" t="n">
        <v>2.1</v>
      </c>
      <c r="L713" s="122">
        <f>J713-C713-(J713-C713)*0.2</f>
        <v/>
      </c>
      <c r="M713" s="123">
        <f>L713*I713</f>
        <v/>
      </c>
      <c r="N713" s="124" t="inlineStr">
        <is>
          <t xml:space="preserve">100-290 шт - </t>
        </is>
      </c>
      <c r="O713" s="47" t="inlineStr">
        <is>
          <t xml:space="preserve"> руб / шт с НДС</t>
        </is>
      </c>
      <c r="P713" s="125">
        <f>ROUND(K713,2)</f>
        <v/>
      </c>
      <c r="Q713" s="207">
        <f>CONCATENATE(N713,P713,O713,)</f>
        <v/>
      </c>
      <c r="R713" s="240" t="n"/>
      <c r="T713" s="241" t="n"/>
      <c r="U713" s="240" t="n"/>
      <c r="V713" s="241" t="n"/>
      <c r="Z713" s="240" t="n"/>
      <c r="AB713" s="241" t="n"/>
      <c r="AC713" s="240" t="n"/>
      <c r="AD713" s="241" t="n"/>
      <c r="AE713" t="n">
        <v>2.75</v>
      </c>
    </row>
    <row r="714">
      <c r="B714" s="42" t="n">
        <v>144</v>
      </c>
      <c r="C714" s="118">
        <f>INDIRECT("'Закуп'!A" &amp; B714)</f>
        <v/>
      </c>
      <c r="D714" s="119">
        <f>C714*1.2</f>
        <v/>
      </c>
      <c r="G714" s="172">
        <f>IF(INDIRECT("'Закуп'!L" &amp; B714)="Sale","Sale","")</f>
        <v/>
      </c>
      <c r="H714" s="158">
        <f>IF(INDIRECT("'Закуп'!F" &amp; B714)=0,"",INDIRECT("'Закуп'!F" &amp; B714))</f>
        <v/>
      </c>
      <c r="I714" s="120" t="n">
        <v>300</v>
      </c>
      <c r="J714" s="121">
        <f>K714/1.2</f>
        <v/>
      </c>
      <c r="K714" s="242" t="n">
        <v>1.98</v>
      </c>
      <c r="L714" s="122">
        <f>J714-C714-(J714-C714)*0.2</f>
        <v/>
      </c>
      <c r="M714" s="123">
        <f>L714*I714</f>
        <v/>
      </c>
      <c r="N714" s="124" t="inlineStr">
        <is>
          <t xml:space="preserve">300-490 шт - </t>
        </is>
      </c>
      <c r="O714" s="47" t="inlineStr">
        <is>
          <t xml:space="preserve"> руб / шт с НДС</t>
        </is>
      </c>
      <c r="P714" s="125">
        <f>ROUND(K714,2)</f>
        <v/>
      </c>
      <c r="Q714" s="207">
        <f>CONCATENATE(N714,P714,O714,)</f>
        <v/>
      </c>
      <c r="R714" s="240" t="n"/>
      <c r="T714" s="241" t="n"/>
      <c r="U714" s="240" t="n"/>
      <c r="V714" s="241" t="n"/>
      <c r="Z714" s="240" t="n"/>
      <c r="AB714" s="241" t="n"/>
      <c r="AC714" s="240" t="n"/>
      <c r="AD714" s="241" t="n"/>
      <c r="AE714" t="n">
        <v>2.48</v>
      </c>
    </row>
    <row r="715">
      <c r="B715" s="42" t="n">
        <v>144</v>
      </c>
      <c r="C715" s="118">
        <f>INDIRECT("'Закуп'!A" &amp; B715)</f>
        <v/>
      </c>
      <c r="D715" s="119">
        <f>C715*1.2</f>
        <v/>
      </c>
      <c r="G715" s="172">
        <f>IF(INDIRECT("'Закуп'!L" &amp; B715)="Sale","Sale","")</f>
        <v/>
      </c>
      <c r="H715" s="158">
        <f>IF(INDIRECT("'Закуп'!F" &amp; B715)=0,"",INDIRECT("'Закуп'!F" &amp; B715))</f>
        <v/>
      </c>
      <c r="I715" s="120" t="n">
        <v>500</v>
      </c>
      <c r="J715" s="121">
        <f>K715/1.2</f>
        <v/>
      </c>
      <c r="K715" s="242" t="n">
        <v>1.72</v>
      </c>
      <c r="L715" s="122">
        <f>J715-C715-(J715-C715)*0.2</f>
        <v/>
      </c>
      <c r="M715" s="123">
        <f>L715*I715</f>
        <v/>
      </c>
      <c r="N715" s="124" t="inlineStr">
        <is>
          <t xml:space="preserve">500-990 шт - </t>
        </is>
      </c>
      <c r="O715" s="47" t="inlineStr">
        <is>
          <t xml:space="preserve"> руб / шт с НДС</t>
        </is>
      </c>
      <c r="P715" s="125">
        <f>ROUND(K715,2)</f>
        <v/>
      </c>
      <c r="Q715" s="207">
        <f>CONCATENATE(N715,P715,O715,)</f>
        <v/>
      </c>
      <c r="R715" s="240" t="n"/>
      <c r="T715" s="241" t="n"/>
      <c r="U715" s="240" t="n"/>
      <c r="V715" s="241" t="n"/>
      <c r="Z715" s="240" t="n"/>
      <c r="AB715" s="241" t="n"/>
      <c r="AC715" s="240" t="n"/>
      <c r="AD715" s="241" t="n"/>
      <c r="AE715" t="n">
        <v>2.24</v>
      </c>
    </row>
    <row r="716">
      <c r="B716" s="42" t="n">
        <v>144</v>
      </c>
      <c r="C716" s="118">
        <f>INDIRECT("'Закуп'!A" &amp; B716)</f>
        <v/>
      </c>
      <c r="D716" s="119">
        <f>C716*1.2</f>
        <v/>
      </c>
      <c r="G716" s="172">
        <f>IF(INDIRECT("'Закуп'!L" &amp; B716)="Sale","Sale","")</f>
        <v/>
      </c>
      <c r="H716" s="158">
        <f>IF(INDIRECT("'Закуп'!F" &amp; B716)=0,"",INDIRECT("'Закуп'!F" &amp; B716))</f>
        <v/>
      </c>
      <c r="I716" s="120" t="n">
        <v>1000</v>
      </c>
      <c r="J716" s="121">
        <f>K716/1.2</f>
        <v/>
      </c>
      <c r="K716" s="242" t="n">
        <v>1.67</v>
      </c>
      <c r="L716" s="122">
        <f>J716-C716-(J716-C716)*0.2</f>
        <v/>
      </c>
      <c r="M716" s="123">
        <f>L716*I716</f>
        <v/>
      </c>
      <c r="N716" s="124" t="inlineStr">
        <is>
          <t xml:space="preserve">1000 + шт - </t>
        </is>
      </c>
      <c r="O716" s="47" t="inlineStr">
        <is>
          <t xml:space="preserve"> руб / шт с НДС</t>
        </is>
      </c>
      <c r="P716" s="125">
        <f>ROUND(K716,2)</f>
        <v/>
      </c>
      <c r="Q716" s="207">
        <f>CONCATENATE(N716,P716,O716,)</f>
        <v/>
      </c>
      <c r="R716" s="240" t="n"/>
      <c r="T716" s="241" t="n"/>
      <c r="U716" s="240" t="n"/>
      <c r="V716" s="241" t="n"/>
      <c r="Z716" s="240" t="n"/>
      <c r="AB716" s="241" t="n"/>
      <c r="AC716" s="240" t="n"/>
      <c r="AD716" s="241" t="n"/>
      <c r="AE716" t="n">
        <v>2.13</v>
      </c>
    </row>
    <row r="717">
      <c r="A717" s="232" t="n">
        <v>145</v>
      </c>
      <c r="B717" s="42" t="n">
        <v>145</v>
      </c>
      <c r="C717" s="118">
        <f>INDIRECT("'Закуп'!A" &amp; B717)</f>
        <v/>
      </c>
      <c r="D717" s="119">
        <f>C717*1.2</f>
        <v/>
      </c>
      <c r="E717" s="224">
        <f>INDIRECT("'Закуп'!D" &amp; A717)</f>
        <v/>
      </c>
      <c r="F717" s="231">
        <f>INDIRECT("'Закуп'!E" &amp; B717)</f>
        <v/>
      </c>
      <c r="G717" s="172">
        <f>IF(INDIRECT("'Закуп'!L" &amp; B717)="Sale","Sale","")</f>
        <v/>
      </c>
      <c r="H717" s="158">
        <f>IF(INDIRECT("'Закуп'!F" &amp; B717)=0,"",INDIRECT("'Закуп'!F" &amp; B717))</f>
        <v/>
      </c>
      <c r="I717" s="120" t="n">
        <v>50</v>
      </c>
      <c r="J717" s="121">
        <f>K717/1.2</f>
        <v/>
      </c>
      <c r="K717" s="242" t="n">
        <v>1.99</v>
      </c>
      <c r="L717" s="122">
        <f>J717-C717-(J717-C717)*0.2</f>
        <v/>
      </c>
      <c r="M717" s="123">
        <f>L717*I717</f>
        <v/>
      </c>
      <c r="N717" s="124" t="inlineStr">
        <is>
          <t xml:space="preserve">50-90 шт - </t>
        </is>
      </c>
      <c r="O717" s="47" t="inlineStr">
        <is>
          <t xml:space="preserve"> руб / шт с НДС</t>
        </is>
      </c>
      <c r="P717" s="125">
        <f>ROUND(K717,2)</f>
        <v/>
      </c>
      <c r="Q717" s="207">
        <f>CONCATENATE(N717,P717,O717,)</f>
        <v/>
      </c>
      <c r="R717" s="235">
        <f>INDIRECT("'Закуп'!k" &amp; A717)</f>
        <v/>
      </c>
      <c r="S717" s="239">
        <f>INDIRECT("'Закуп'!o" &amp; A717)</f>
        <v/>
      </c>
      <c r="T717" s="226">
        <f>INDIRECT("'Закуп'!p" &amp; A717)</f>
        <v/>
      </c>
      <c r="U717" s="235">
        <f>INDIRECT("'Закуп'!v" &amp; A717)</f>
        <v/>
      </c>
      <c r="V717" s="222">
        <f>INDIRECT("'Закуп'!w" &amp; A717)</f>
        <v/>
      </c>
      <c r="W717" s="229">
        <f>INDIRECT("'Закуп'!H" &amp; A717)</f>
        <v/>
      </c>
      <c r="X717" s="237">
        <f>INDIRECT("'Закуп'!g" &amp; A717)</f>
        <v/>
      </c>
      <c r="Y717" s="229">
        <f>INDIRECT("'Закуп'!i" &amp; A717)</f>
        <v/>
      </c>
      <c r="Z717" s="236">
        <f>INDIRECT("'Закуп'!x" &amp; A717)</f>
        <v/>
      </c>
      <c r="AA717" s="237">
        <f>INDIRECT("'Закуп'!y" &amp; A717)</f>
        <v/>
      </c>
      <c r="AB717" s="238">
        <f>INDIRECT("'Закуп'!z" &amp; A717)</f>
        <v/>
      </c>
      <c r="AC717" s="223">
        <f>SUBSTITUTE(INDEX(F:F, ROUNDUP((ROW(A716))/5,0)*5 - 3), "х", "x")</f>
        <v/>
      </c>
      <c r="AD717" s="222">
        <f>SUBSTITUTE(INDEX(F:F, ROUNDUP((ROW(A716))/5,0)*5 - 3), "х", "x") &amp; " - " &amp; SUBSTITUTE(SUBSTITUTE(INDEX(F:F, ROUNDUP((ROW(A716))/5,0)*5 - 3), "х", "*"), "x", "*") &amp; " мм"</f>
        <v/>
      </c>
      <c r="AE717" t="n">
        <v>2.95</v>
      </c>
    </row>
    <row r="718">
      <c r="B718" s="42" t="n">
        <v>145</v>
      </c>
      <c r="C718" s="118">
        <f>INDIRECT("'Закуп'!A" &amp; B718)</f>
        <v/>
      </c>
      <c r="D718" s="119">
        <f>C718*1.2</f>
        <v/>
      </c>
      <c r="G718" s="172">
        <f>IF(INDIRECT("'Закуп'!L" &amp; B718)="Sale","Sale","")</f>
        <v/>
      </c>
      <c r="H718" s="158">
        <f>IF(INDIRECT("'Закуп'!F" &amp; B718)=0,"",INDIRECT("'Закуп'!F" &amp; B718))</f>
        <v/>
      </c>
      <c r="I718" s="120" t="n">
        <v>100</v>
      </c>
      <c r="J718" s="121">
        <f>K718/1.2</f>
        <v/>
      </c>
      <c r="K718" s="242" t="n">
        <v>1.69</v>
      </c>
      <c r="L718" s="122">
        <f>J718-C718-(J718-C718)*0.2</f>
        <v/>
      </c>
      <c r="M718" s="123">
        <f>L718*I718</f>
        <v/>
      </c>
      <c r="N718" s="124" t="inlineStr">
        <is>
          <t xml:space="preserve">100-290 шт - </t>
        </is>
      </c>
      <c r="O718" s="47" t="inlineStr">
        <is>
          <t xml:space="preserve"> руб / шт с НДС</t>
        </is>
      </c>
      <c r="P718" s="125">
        <f>ROUND(K718,2)</f>
        <v/>
      </c>
      <c r="Q718" s="207">
        <f>CONCATENATE(N718,P718,O718,)</f>
        <v/>
      </c>
      <c r="R718" s="240" t="n"/>
      <c r="T718" s="241" t="n"/>
      <c r="U718" s="240" t="n"/>
      <c r="V718" s="241" t="n"/>
      <c r="Z718" s="240" t="n"/>
      <c r="AB718" s="241" t="n"/>
      <c r="AC718" s="240" t="n"/>
      <c r="AD718" s="241" t="n"/>
      <c r="AE718" t="n">
        <v>2.36</v>
      </c>
    </row>
    <row r="719">
      <c r="B719" s="42" t="n">
        <v>145</v>
      </c>
      <c r="C719" s="118">
        <f>INDIRECT("'Закуп'!A" &amp; B719)</f>
        <v/>
      </c>
      <c r="D719" s="119">
        <f>C719*1.2</f>
        <v/>
      </c>
      <c r="G719" s="172">
        <f>IF(INDIRECT("'Закуп'!L" &amp; B719)="Sale","Sale","")</f>
        <v/>
      </c>
      <c r="H719" s="158">
        <f>IF(INDIRECT("'Закуп'!F" &amp; B719)=0,"",INDIRECT("'Закуп'!F" &amp; B719))</f>
        <v/>
      </c>
      <c r="I719" s="120" t="n">
        <v>300</v>
      </c>
      <c r="J719" s="121">
        <f>K719/1.2</f>
        <v/>
      </c>
      <c r="K719" s="242" t="n">
        <v>1.59</v>
      </c>
      <c r="L719" s="122">
        <f>J719-C719-(J719-C719)*0.2</f>
        <v/>
      </c>
      <c r="M719" s="123">
        <f>L719*I719</f>
        <v/>
      </c>
      <c r="N719" s="124" t="inlineStr">
        <is>
          <t xml:space="preserve">300-490 шт - </t>
        </is>
      </c>
      <c r="O719" s="47" t="inlineStr">
        <is>
          <t xml:space="preserve"> руб / шт с НДС</t>
        </is>
      </c>
      <c r="P719" s="125">
        <f>ROUND(K719,2)</f>
        <v/>
      </c>
      <c r="Q719" s="207">
        <f>CONCATENATE(N719,P719,O719,)</f>
        <v/>
      </c>
      <c r="R719" s="240" t="n"/>
      <c r="T719" s="241" t="n"/>
      <c r="U719" s="240" t="n"/>
      <c r="V719" s="241" t="n"/>
      <c r="Z719" s="240" t="n"/>
      <c r="AB719" s="241" t="n"/>
      <c r="AC719" s="240" t="n"/>
      <c r="AD719" s="241" t="n"/>
      <c r="AE719" t="n">
        <v>2.15</v>
      </c>
    </row>
    <row r="720">
      <c r="B720" s="42" t="n">
        <v>145</v>
      </c>
      <c r="C720" s="118">
        <f>INDIRECT("'Закуп'!A" &amp; B720)</f>
        <v/>
      </c>
      <c r="D720" s="119">
        <f>C720*1.2</f>
        <v/>
      </c>
      <c r="G720" s="172">
        <f>IF(INDIRECT("'Закуп'!L" &amp; B720)="Sale","Sale","")</f>
        <v/>
      </c>
      <c r="H720" s="158">
        <f>IF(INDIRECT("'Закуп'!F" &amp; B720)=0,"",INDIRECT("'Закуп'!F" &amp; B720))</f>
        <v/>
      </c>
      <c r="I720" s="120" t="n">
        <v>500</v>
      </c>
      <c r="J720" s="121">
        <f>K720/1.2</f>
        <v/>
      </c>
      <c r="K720" s="242" t="n">
        <v>1.51</v>
      </c>
      <c r="L720" s="122">
        <f>J720-C720-(J720-C720)*0.2</f>
        <v/>
      </c>
      <c r="M720" s="123">
        <f>L720*I720</f>
        <v/>
      </c>
      <c r="N720" s="124" t="inlineStr">
        <is>
          <t xml:space="preserve">500-990 шт - </t>
        </is>
      </c>
      <c r="O720" s="47" t="inlineStr">
        <is>
          <t xml:space="preserve"> руб / шт с НДС</t>
        </is>
      </c>
      <c r="P720" s="125">
        <f>ROUND(K720,2)</f>
        <v/>
      </c>
      <c r="Q720" s="207">
        <f>CONCATENATE(N720,P720,O720,)</f>
        <v/>
      </c>
      <c r="R720" s="240" t="n"/>
      <c r="T720" s="241" t="n"/>
      <c r="U720" s="240" t="n"/>
      <c r="V720" s="241" t="n"/>
      <c r="Z720" s="240" t="n"/>
      <c r="AB720" s="241" t="n"/>
      <c r="AC720" s="240" t="n"/>
      <c r="AD720" s="241" t="n"/>
      <c r="AE720" t="n">
        <v>1.92</v>
      </c>
    </row>
    <row r="721">
      <c r="B721" s="42" t="n">
        <v>145</v>
      </c>
      <c r="C721" s="118">
        <f>INDIRECT("'Закуп'!A" &amp; B721)</f>
        <v/>
      </c>
      <c r="D721" s="119">
        <f>C721*1.2</f>
        <v/>
      </c>
      <c r="G721" s="172">
        <f>IF(INDIRECT("'Закуп'!L" &amp; B721)="Sale","Sale","")</f>
        <v/>
      </c>
      <c r="H721" s="158">
        <f>IF(INDIRECT("'Закуп'!F" &amp; B721)=0,"",INDIRECT("'Закуп'!F" &amp; B721))</f>
        <v/>
      </c>
      <c r="I721" s="120" t="n">
        <v>1000</v>
      </c>
      <c r="J721" s="121">
        <f>K721/1.2</f>
        <v/>
      </c>
      <c r="K721" s="242" t="n">
        <v>1.46</v>
      </c>
      <c r="L721" s="122">
        <f>J721-C721-(J721-C721)*0.2</f>
        <v/>
      </c>
      <c r="M721" s="123">
        <f>L721*I721</f>
        <v/>
      </c>
      <c r="N721" s="124" t="inlineStr">
        <is>
          <t xml:space="preserve">1000 + шт - </t>
        </is>
      </c>
      <c r="O721" s="47" t="inlineStr">
        <is>
          <t xml:space="preserve"> руб / шт с НДС</t>
        </is>
      </c>
      <c r="P721" s="125">
        <f>ROUND(K721,2)</f>
        <v/>
      </c>
      <c r="Q721" s="207">
        <f>CONCATENATE(N721,P721,O721,)</f>
        <v/>
      </c>
      <c r="R721" s="240" t="n"/>
      <c r="T721" s="241" t="n"/>
      <c r="U721" s="240" t="n"/>
      <c r="V721" s="241" t="n"/>
      <c r="Z721" s="240" t="n"/>
      <c r="AB721" s="241" t="n"/>
      <c r="AC721" s="240" t="n"/>
      <c r="AD721" s="241" t="n"/>
      <c r="AE721" t="n">
        <v>1.83</v>
      </c>
    </row>
    <row r="722">
      <c r="A722" s="232" t="n">
        <v>146</v>
      </c>
      <c r="B722" s="42" t="n">
        <v>146</v>
      </c>
      <c r="C722" s="118">
        <f>INDIRECT("'Закуп'!A" &amp; B722)</f>
        <v/>
      </c>
      <c r="D722" s="119">
        <f>C722*1.2</f>
        <v/>
      </c>
      <c r="E722" s="224">
        <f>INDIRECT("'Закуп'!D" &amp; A722)</f>
        <v/>
      </c>
      <c r="F722" s="231">
        <f>INDIRECT("'Закуп'!E" &amp; B722)</f>
        <v/>
      </c>
      <c r="G722" s="172">
        <f>IF(INDIRECT("'Закуп'!L" &amp; B722)="Sale","Sale","")</f>
        <v/>
      </c>
      <c r="H722" s="158">
        <f>IF(INDIRECT("'Закуп'!F" &amp; B722)=0,"",INDIRECT("'Закуп'!F" &amp; B722))</f>
        <v/>
      </c>
      <c r="I722" s="120" t="n">
        <v>50</v>
      </c>
      <c r="J722" s="121">
        <f>K722/1.2</f>
        <v/>
      </c>
      <c r="K722" s="242" t="n">
        <v>1.99</v>
      </c>
      <c r="L722" s="122">
        <f>J722-C722-(J722-C722)*0.2</f>
        <v/>
      </c>
      <c r="M722" s="123">
        <f>L722*I722</f>
        <v/>
      </c>
      <c r="N722" s="124" t="inlineStr">
        <is>
          <t xml:space="preserve">50-90 шт - </t>
        </is>
      </c>
      <c r="O722" s="47" t="inlineStr">
        <is>
          <t xml:space="preserve"> руб / шт с НДС</t>
        </is>
      </c>
      <c r="P722" s="125">
        <f>ROUND(K722,2)</f>
        <v/>
      </c>
      <c r="Q722" s="207">
        <f>CONCATENATE(N722,P722,O722,)</f>
        <v/>
      </c>
      <c r="R722" s="235">
        <f>INDIRECT("'Закуп'!k" &amp; A722)</f>
        <v/>
      </c>
      <c r="S722" s="239">
        <f>INDIRECT("'Закуп'!o" &amp; A722)</f>
        <v/>
      </c>
      <c r="T722" s="226">
        <f>INDIRECT("'Закуп'!p" &amp; A722)</f>
        <v/>
      </c>
      <c r="U722" s="235">
        <f>INDIRECT("'Закуп'!v" &amp; A722)</f>
        <v/>
      </c>
      <c r="V722" s="222">
        <f>INDIRECT("'Закуп'!w" &amp; A722)</f>
        <v/>
      </c>
      <c r="W722" s="229">
        <f>INDIRECT("'Закуп'!H" &amp; A722)</f>
        <v/>
      </c>
      <c r="X722" s="237">
        <f>INDIRECT("'Закуп'!g" &amp; A722)</f>
        <v/>
      </c>
      <c r="Y722" s="229">
        <f>INDIRECT("'Закуп'!i" &amp; A722)</f>
        <v/>
      </c>
      <c r="Z722" s="236">
        <f>INDIRECT("'Закуп'!x" &amp; A722)</f>
        <v/>
      </c>
      <c r="AA722" s="237">
        <f>INDIRECT("'Закуп'!y" &amp; A722)</f>
        <v/>
      </c>
      <c r="AB722" s="238">
        <f>INDIRECT("'Закуп'!z" &amp; A722)</f>
        <v/>
      </c>
      <c r="AC722" s="223">
        <f>SUBSTITUTE(INDEX(F:F, ROUNDUP((ROW(A721))/5,0)*5 - 3), "х", "x")</f>
        <v/>
      </c>
      <c r="AD722" s="222">
        <f>SUBSTITUTE(INDEX(F:F, ROUNDUP((ROW(A721))/5,0)*5 - 3), "х", "x") &amp; " - " &amp; SUBSTITUTE(SUBSTITUTE(INDEX(F:F, ROUNDUP((ROW(A721))/5,0)*5 - 3), "х", "*"), "x", "*") &amp; " мм"</f>
        <v/>
      </c>
      <c r="AE722" t="n">
        <v>1.67</v>
      </c>
    </row>
    <row r="723">
      <c r="B723" s="42" t="n">
        <v>146</v>
      </c>
      <c r="C723" s="118">
        <f>INDIRECT("'Закуп'!A" &amp; B723)</f>
        <v/>
      </c>
      <c r="D723" s="119">
        <f>C723*1.2</f>
        <v/>
      </c>
      <c r="G723" s="172">
        <f>IF(INDIRECT("'Закуп'!L" &amp; B723)="Sale","Sale","")</f>
        <v/>
      </c>
      <c r="H723" s="158">
        <f>IF(INDIRECT("'Закуп'!F" &amp; B723)=0,"",INDIRECT("'Закуп'!F" &amp; B723))</f>
        <v/>
      </c>
      <c r="I723" s="120" t="n">
        <v>100</v>
      </c>
      <c r="J723" s="121">
        <f>K723/1.2</f>
        <v/>
      </c>
      <c r="K723" s="242" t="n">
        <v>1.75</v>
      </c>
      <c r="L723" s="122">
        <f>J723-C723-(J723-C723)*0.2</f>
        <v/>
      </c>
      <c r="M723" s="123">
        <f>L723*I723</f>
        <v/>
      </c>
      <c r="N723" s="124" t="inlineStr">
        <is>
          <t xml:space="preserve">100-290 шт - </t>
        </is>
      </c>
      <c r="O723" s="47" t="inlineStr">
        <is>
          <t xml:space="preserve"> руб / шт с НДС</t>
        </is>
      </c>
      <c r="P723" s="125">
        <f>ROUND(K723,2)</f>
        <v/>
      </c>
      <c r="Q723" s="207">
        <f>CONCATENATE(N723,P723,O723,)</f>
        <v/>
      </c>
      <c r="R723" s="240" t="n"/>
      <c r="T723" s="241" t="n"/>
      <c r="U723" s="240" t="n"/>
      <c r="V723" s="241" t="n"/>
      <c r="Z723" s="240" t="n"/>
      <c r="AB723" s="241" t="n"/>
      <c r="AC723" s="240" t="n"/>
      <c r="AD723" s="241" t="n"/>
      <c r="AE723" t="n">
        <v>1.52</v>
      </c>
    </row>
    <row r="724">
      <c r="B724" s="42" t="n">
        <v>146</v>
      </c>
      <c r="C724" s="118">
        <f>INDIRECT("'Закуп'!A" &amp; B724)</f>
        <v/>
      </c>
      <c r="D724" s="119">
        <f>C724*1.2</f>
        <v/>
      </c>
      <c r="G724" s="172">
        <f>IF(INDIRECT("'Закуп'!L" &amp; B724)="Sale","Sale","")</f>
        <v/>
      </c>
      <c r="H724" s="158">
        <f>IF(INDIRECT("'Закуп'!F" &amp; B724)=0,"",INDIRECT("'Закуп'!F" &amp; B724))</f>
        <v/>
      </c>
      <c r="I724" s="120" t="n">
        <v>300</v>
      </c>
      <c r="J724" s="121">
        <f>K724/1.2</f>
        <v/>
      </c>
      <c r="K724" s="242" t="n">
        <v>1.52</v>
      </c>
      <c r="L724" s="122">
        <f>J724-C724-(J724-C724)*0.2</f>
        <v/>
      </c>
      <c r="M724" s="123">
        <f>L724*I724</f>
        <v/>
      </c>
      <c r="N724" s="124" t="inlineStr">
        <is>
          <t xml:space="preserve">300-490 шт - </t>
        </is>
      </c>
      <c r="O724" s="47" t="inlineStr">
        <is>
          <t xml:space="preserve"> руб / шт с НДС</t>
        </is>
      </c>
      <c r="P724" s="125">
        <f>ROUND(K724,2)</f>
        <v/>
      </c>
      <c r="Q724" s="207">
        <f>CONCATENATE(N724,P724,O724,)</f>
        <v/>
      </c>
      <c r="R724" s="240" t="n"/>
      <c r="T724" s="241" t="n"/>
      <c r="U724" s="240" t="n"/>
      <c r="V724" s="241" t="n"/>
      <c r="Z724" s="240" t="n"/>
      <c r="AB724" s="241" t="n"/>
      <c r="AC724" s="240" t="n"/>
      <c r="AD724" s="241" t="n"/>
      <c r="AE724" t="n">
        <v>1.2</v>
      </c>
    </row>
    <row r="725">
      <c r="B725" s="42" t="n">
        <v>146</v>
      </c>
      <c r="C725" s="118">
        <f>INDIRECT("'Закуп'!A" &amp; B725)</f>
        <v/>
      </c>
      <c r="D725" s="119">
        <f>C725*1.2</f>
        <v/>
      </c>
      <c r="G725" s="172">
        <f>IF(INDIRECT("'Закуп'!L" &amp; B725)="Sale","Sale","")</f>
        <v/>
      </c>
      <c r="H725" s="158">
        <f>IF(INDIRECT("'Закуп'!F" &amp; B725)=0,"",INDIRECT("'Закуп'!F" &amp; B725))</f>
        <v/>
      </c>
      <c r="I725" s="120" t="n">
        <v>500</v>
      </c>
      <c r="J725" s="121">
        <f>K725/1.2</f>
        <v/>
      </c>
      <c r="K725" s="242" t="n">
        <v>1.4</v>
      </c>
      <c r="L725" s="122">
        <f>J725-C725-(J725-C725)*0.2</f>
        <v/>
      </c>
      <c r="M725" s="123">
        <f>L725*I725</f>
        <v/>
      </c>
      <c r="N725" s="124" t="inlineStr">
        <is>
          <t xml:space="preserve">500-990 шт - </t>
        </is>
      </c>
      <c r="O725" s="47" t="inlineStr">
        <is>
          <t xml:space="preserve"> руб / шт с НДС</t>
        </is>
      </c>
      <c r="P725" s="125">
        <f>ROUND(K725,2)</f>
        <v/>
      </c>
      <c r="Q725" s="207">
        <f>CONCATENATE(N725,P725,O725,)</f>
        <v/>
      </c>
      <c r="R725" s="240" t="n"/>
      <c r="T725" s="241" t="n"/>
      <c r="U725" s="240" t="n"/>
      <c r="V725" s="241" t="n"/>
      <c r="Z725" s="240" t="n"/>
      <c r="AB725" s="241" t="n"/>
      <c r="AC725" s="240" t="n"/>
      <c r="AD725" s="241" t="n"/>
      <c r="AE725" t="n">
        <v>1.12</v>
      </c>
    </row>
    <row r="726">
      <c r="B726" s="42" t="n">
        <v>146</v>
      </c>
      <c r="C726" s="118">
        <f>INDIRECT("'Закуп'!A" &amp; B726)</f>
        <v/>
      </c>
      <c r="D726" s="119">
        <f>C726*1.2</f>
        <v/>
      </c>
      <c r="G726" s="172">
        <f>IF(INDIRECT("'Закуп'!L" &amp; B726)="Sale","Sale","")</f>
        <v/>
      </c>
      <c r="H726" s="158">
        <f>IF(INDIRECT("'Закуп'!F" &amp; B726)=0,"",INDIRECT("'Закуп'!F" &amp; B726))</f>
        <v/>
      </c>
      <c r="I726" s="120" t="n">
        <v>1000</v>
      </c>
      <c r="J726" s="121">
        <f>K726/1.2</f>
        <v/>
      </c>
      <c r="K726" s="242" t="n">
        <v>1.17</v>
      </c>
      <c r="L726" s="122">
        <f>J726-C726-(J726-C726)*0.2</f>
        <v/>
      </c>
      <c r="M726" s="123">
        <f>L726*I726</f>
        <v/>
      </c>
      <c r="N726" s="124" t="inlineStr">
        <is>
          <t xml:space="preserve">1000 + шт - </t>
        </is>
      </c>
      <c r="O726" s="47" t="inlineStr">
        <is>
          <t xml:space="preserve"> руб / шт с НДС</t>
        </is>
      </c>
      <c r="P726" s="125">
        <f>ROUND(K726,2)</f>
        <v/>
      </c>
      <c r="Q726" s="207">
        <f>CONCATENATE(N726,P726,O726,)</f>
        <v/>
      </c>
      <c r="R726" s="240" t="n"/>
      <c r="T726" s="241" t="n"/>
      <c r="U726" s="240" t="n"/>
      <c r="V726" s="241" t="n"/>
      <c r="Z726" s="240" t="n"/>
      <c r="AB726" s="241" t="n"/>
      <c r="AC726" s="240" t="n"/>
      <c r="AD726" s="241" t="n"/>
      <c r="AE726" t="n">
        <v>1.06</v>
      </c>
    </row>
    <row r="727">
      <c r="A727" s="232" t="n">
        <v>147</v>
      </c>
      <c r="B727" s="42" t="n">
        <v>147</v>
      </c>
      <c r="C727" s="118">
        <f>INDIRECT("'Закуп'!A" &amp; B727)</f>
        <v/>
      </c>
      <c r="D727" s="119">
        <f>C727*1.2</f>
        <v/>
      </c>
      <c r="E727" s="224">
        <f>INDIRECT("'Закуп'!D" &amp; A727)</f>
        <v/>
      </c>
      <c r="F727" s="231">
        <f>INDIRECT("'Закуп'!E" &amp; B727)</f>
        <v/>
      </c>
      <c r="G727" s="172">
        <f>IF(INDIRECT("'Закуп'!L" &amp; B727)="Sale","Sale","")</f>
        <v/>
      </c>
      <c r="H727" s="158">
        <f>IF(INDIRECT("'Закуп'!F" &amp; B727)=0,"",INDIRECT("'Закуп'!F" &amp; B727))</f>
        <v/>
      </c>
      <c r="I727" s="120" t="n">
        <v>50</v>
      </c>
      <c r="J727" s="121">
        <f>K727/1.2</f>
        <v/>
      </c>
      <c r="K727" s="242" t="n">
        <v>1.1</v>
      </c>
      <c r="L727" s="122">
        <f>J727-C727-(J727-C727)*0.2</f>
        <v/>
      </c>
      <c r="M727" s="123">
        <f>L727*I727</f>
        <v/>
      </c>
      <c r="N727" s="124" t="inlineStr">
        <is>
          <t xml:space="preserve">50-90 шт - </t>
        </is>
      </c>
      <c r="O727" s="47" t="inlineStr">
        <is>
          <t xml:space="preserve"> руб / шт с НДС</t>
        </is>
      </c>
      <c r="P727" s="125">
        <f>ROUND(K727,2)</f>
        <v/>
      </c>
      <c r="Q727" s="207">
        <f>CONCATENATE(N727,P727,O727,)</f>
        <v/>
      </c>
      <c r="R727" s="235">
        <f>INDIRECT("'Закуп'!k" &amp; A727)</f>
        <v/>
      </c>
      <c r="S727" s="239">
        <f>INDIRECT("'Закуп'!o" &amp; A727)</f>
        <v/>
      </c>
      <c r="T727" s="226">
        <f>INDIRECT("'Закуп'!p" &amp; A727)</f>
        <v/>
      </c>
      <c r="U727" s="235">
        <f>INDIRECT("'Закуп'!v" &amp; A727)</f>
        <v/>
      </c>
      <c r="V727" s="222">
        <f>INDIRECT("'Закуп'!w" &amp; A727)</f>
        <v/>
      </c>
      <c r="W727" s="229">
        <f>INDIRECT("'Закуп'!H" &amp; A727)</f>
        <v/>
      </c>
      <c r="X727" s="237">
        <f>INDIRECT("'Закуп'!g" &amp; A727)</f>
        <v/>
      </c>
      <c r="Y727" s="229">
        <f>INDIRECT("'Закуп'!i" &amp; A727)</f>
        <v/>
      </c>
      <c r="Z727" s="236">
        <f>INDIRECT("'Закуп'!x" &amp; A727)</f>
        <v/>
      </c>
      <c r="AA727" s="237">
        <f>INDIRECT("'Закуп'!y" &amp; A727)</f>
        <v/>
      </c>
      <c r="AB727" s="238">
        <f>INDIRECT("'Закуп'!z" &amp; A727)</f>
        <v/>
      </c>
      <c r="AC727" s="223">
        <f>SUBSTITUTE(INDEX(F:F, ROUNDUP((ROW(A726))/5,0)*5 - 3), "х", "x")</f>
        <v/>
      </c>
      <c r="AD727" s="222">
        <f>SUBSTITUTE(INDEX(F:F, ROUNDUP((ROW(A726))/5,0)*5 - 3), "х", "x") &amp; " - " &amp; SUBSTITUTE(SUBSTITUTE(INDEX(F:F, ROUNDUP((ROW(A726))/5,0)*5 - 3), "х", "*"), "x", "*") &amp; " мм"</f>
        <v/>
      </c>
      <c r="AE727" t="n">
        <v>1.69</v>
      </c>
    </row>
    <row r="728">
      <c r="B728" s="42" t="n">
        <v>147</v>
      </c>
      <c r="C728" s="118">
        <f>INDIRECT("'Закуп'!A" &amp; B728)</f>
        <v/>
      </c>
      <c r="D728" s="119">
        <f>C728*1.2</f>
        <v/>
      </c>
      <c r="G728" s="172">
        <f>IF(INDIRECT("'Закуп'!L" &amp; B728)="Sale","Sale","")</f>
        <v/>
      </c>
      <c r="H728" s="158">
        <f>IF(INDIRECT("'Закуп'!F" &amp; B728)=0,"",INDIRECT("'Закуп'!F" &amp; B728))</f>
        <v/>
      </c>
      <c r="I728" s="120" t="n">
        <v>100</v>
      </c>
      <c r="J728" s="121">
        <f>K728/1.2</f>
        <v/>
      </c>
      <c r="K728" s="242" t="n">
        <v>0.9399999999999999</v>
      </c>
      <c r="L728" s="122">
        <f>J728-C728-(J728-C728)*0.2</f>
        <v/>
      </c>
      <c r="M728" s="123">
        <f>L728*I728</f>
        <v/>
      </c>
      <c r="N728" s="124" t="inlineStr">
        <is>
          <t xml:space="preserve">100-290 шт - </t>
        </is>
      </c>
      <c r="O728" s="47" t="inlineStr">
        <is>
          <t xml:space="preserve"> руб / шт с НДС</t>
        </is>
      </c>
      <c r="P728" s="125">
        <f>ROUND(K728,2)</f>
        <v/>
      </c>
      <c r="Q728" s="207">
        <f>CONCATENATE(N728,P728,O728,)</f>
        <v/>
      </c>
      <c r="R728" s="240" t="n"/>
      <c r="T728" s="241" t="n"/>
      <c r="U728" s="240" t="n"/>
      <c r="V728" s="241" t="n"/>
      <c r="Z728" s="240" t="n"/>
      <c r="AB728" s="241" t="n"/>
      <c r="AC728" s="240" t="n"/>
      <c r="AD728" s="241" t="n"/>
      <c r="AE728" t="n">
        <v>1.54</v>
      </c>
    </row>
    <row r="729">
      <c r="B729" s="42" t="n">
        <v>147</v>
      </c>
      <c r="C729" s="118">
        <f>INDIRECT("'Закуп'!A" &amp; B729)</f>
        <v/>
      </c>
      <c r="D729" s="119">
        <f>C729*1.2</f>
        <v/>
      </c>
      <c r="G729" s="172">
        <f>IF(INDIRECT("'Закуп'!L" &amp; B729)="Sale","Sale","")</f>
        <v/>
      </c>
      <c r="H729" s="158">
        <f>IF(INDIRECT("'Закуп'!F" &amp; B729)=0,"",INDIRECT("'Закуп'!F" &amp; B729))</f>
        <v/>
      </c>
      <c r="I729" s="120" t="n">
        <v>300</v>
      </c>
      <c r="J729" s="121">
        <f>K729/1.2</f>
        <v/>
      </c>
      <c r="K729" s="242" t="n">
        <v>0.89</v>
      </c>
      <c r="L729" s="122">
        <f>J729-C729-(J729-C729)*0.2</f>
        <v/>
      </c>
      <c r="M729" s="123">
        <f>L729*I729</f>
        <v/>
      </c>
      <c r="N729" s="124" t="inlineStr">
        <is>
          <t xml:space="preserve">300-490 шт - </t>
        </is>
      </c>
      <c r="O729" s="47" t="inlineStr">
        <is>
          <t xml:space="preserve"> руб / шт с НДС</t>
        </is>
      </c>
      <c r="P729" s="125">
        <f>ROUND(K729,2)</f>
        <v/>
      </c>
      <c r="Q729" s="207">
        <f>CONCATENATE(N729,P729,O729,)</f>
        <v/>
      </c>
      <c r="R729" s="240" t="n"/>
      <c r="T729" s="241" t="n"/>
      <c r="U729" s="240" t="n"/>
      <c r="V729" s="241" t="n"/>
      <c r="Z729" s="240" t="n"/>
      <c r="AB729" s="241" t="n"/>
      <c r="AC729" s="240" t="n"/>
      <c r="AD729" s="241" t="n"/>
      <c r="AE729" t="n">
        <v>1.22</v>
      </c>
    </row>
    <row r="730">
      <c r="B730" s="42" t="n">
        <v>147</v>
      </c>
      <c r="C730" s="118">
        <f>INDIRECT("'Закуп'!A" &amp; B730)</f>
        <v/>
      </c>
      <c r="D730" s="119">
        <f>C730*1.2</f>
        <v/>
      </c>
      <c r="G730" s="172">
        <f>IF(INDIRECT("'Закуп'!L" &amp; B730)="Sale","Sale","")</f>
        <v/>
      </c>
      <c r="H730" s="158">
        <f>IF(INDIRECT("'Закуп'!F" &amp; B730)=0,"",INDIRECT("'Закуп'!F" &amp; B730))</f>
        <v/>
      </c>
      <c r="I730" s="120" t="n">
        <v>500</v>
      </c>
      <c r="J730" s="121">
        <f>K730/1.2</f>
        <v/>
      </c>
      <c r="K730" s="242" t="n">
        <v>0.85</v>
      </c>
      <c r="L730" s="122">
        <f>J730-C730-(J730-C730)*0.2</f>
        <v/>
      </c>
      <c r="M730" s="123">
        <f>L730*I730</f>
        <v/>
      </c>
      <c r="N730" s="124" t="inlineStr">
        <is>
          <t xml:space="preserve">500-990 шт - </t>
        </is>
      </c>
      <c r="O730" s="47" t="inlineStr">
        <is>
          <t xml:space="preserve"> руб / шт с НДС</t>
        </is>
      </c>
      <c r="P730" s="125">
        <f>ROUND(K730,2)</f>
        <v/>
      </c>
      <c r="Q730" s="207">
        <f>CONCATENATE(N730,P730,O730,)</f>
        <v/>
      </c>
      <c r="R730" s="240" t="n"/>
      <c r="T730" s="241" t="n"/>
      <c r="U730" s="240" t="n"/>
      <c r="V730" s="241" t="n"/>
      <c r="Z730" s="240" t="n"/>
      <c r="AB730" s="241" t="n"/>
      <c r="AC730" s="240" t="n"/>
      <c r="AD730" s="241" t="n"/>
      <c r="AE730" t="n">
        <v>1.14</v>
      </c>
    </row>
    <row r="731">
      <c r="B731" s="42" t="n">
        <v>147</v>
      </c>
      <c r="C731" s="118">
        <f>INDIRECT("'Закуп'!A" &amp; B731)</f>
        <v/>
      </c>
      <c r="D731" s="119">
        <f>C731*1.2</f>
        <v/>
      </c>
      <c r="G731" s="172">
        <f>IF(INDIRECT("'Закуп'!L" &amp; B731)="Sale","Sale","")</f>
        <v/>
      </c>
      <c r="H731" s="158">
        <f>IF(INDIRECT("'Закуп'!F" &amp; B731)=0,"",INDIRECT("'Закуп'!F" &amp; B731))</f>
        <v/>
      </c>
      <c r="I731" s="120" t="n">
        <v>1000</v>
      </c>
      <c r="J731" s="121">
        <f>K731/1.2</f>
        <v/>
      </c>
      <c r="K731" s="242" t="n">
        <v>0.76</v>
      </c>
      <c r="L731" s="122">
        <f>J731-C731-(J731-C731)*0.2</f>
        <v/>
      </c>
      <c r="M731" s="123">
        <f>L731*I731</f>
        <v/>
      </c>
      <c r="N731" s="124" t="inlineStr">
        <is>
          <t xml:space="preserve">1000 + шт - </t>
        </is>
      </c>
      <c r="O731" s="47" t="inlineStr">
        <is>
          <t xml:space="preserve"> руб / шт с НДС</t>
        </is>
      </c>
      <c r="P731" s="125">
        <f>ROUND(K731,2)</f>
        <v/>
      </c>
      <c r="Q731" s="207">
        <f>CONCATENATE(N731,P731,O731,)</f>
        <v/>
      </c>
      <c r="R731" s="240" t="n"/>
      <c r="T731" s="241" t="n"/>
      <c r="U731" s="240" t="n"/>
      <c r="V731" s="241" t="n"/>
      <c r="Z731" s="240" t="n"/>
      <c r="AB731" s="241" t="n"/>
      <c r="AC731" s="240" t="n"/>
      <c r="AD731" s="241" t="n"/>
      <c r="AE731" t="n">
        <v>1.01</v>
      </c>
    </row>
    <row r="732">
      <c r="A732" s="232" t="n">
        <v>148</v>
      </c>
      <c r="B732" s="42" t="n">
        <v>148</v>
      </c>
      <c r="C732" s="118">
        <f>INDIRECT("'Закуп'!A" &amp; B732)</f>
        <v/>
      </c>
      <c r="D732" s="119">
        <f>C732*1.2</f>
        <v/>
      </c>
      <c r="E732" s="224">
        <f>INDIRECT("'Закуп'!D" &amp; A732)</f>
        <v/>
      </c>
      <c r="F732" s="231">
        <f>INDIRECT("'Закуп'!E" &amp; B732)</f>
        <v/>
      </c>
      <c r="G732" s="172">
        <f>IF(INDIRECT("'Закуп'!L" &amp; B732)="Sale","Sale","")</f>
        <v/>
      </c>
      <c r="H732" s="158">
        <f>IF(INDIRECT("'Закуп'!F" &amp; B732)=0,"",INDIRECT("'Закуп'!F" &amp; B732))</f>
        <v/>
      </c>
      <c r="I732" s="120" t="n">
        <v>50</v>
      </c>
      <c r="J732" s="121">
        <f>K732/1.2</f>
        <v/>
      </c>
      <c r="K732" s="242" t="n">
        <v>2</v>
      </c>
      <c r="L732" s="122">
        <f>J732-C732-(J732-C732)*0.2</f>
        <v/>
      </c>
      <c r="M732" s="123">
        <f>L732*I732</f>
        <v/>
      </c>
      <c r="N732" s="124" t="inlineStr">
        <is>
          <t xml:space="preserve">50-90 шт - </t>
        </is>
      </c>
      <c r="O732" s="47" t="inlineStr">
        <is>
          <t xml:space="preserve"> руб / шт с НДС</t>
        </is>
      </c>
      <c r="P732" s="125">
        <f>ROUND(K732,2)</f>
        <v/>
      </c>
      <c r="Q732" s="207">
        <f>CONCATENATE(N732,P732,O732,)</f>
        <v/>
      </c>
      <c r="R732" s="235">
        <f>INDIRECT("'Закуп'!k" &amp; A732)</f>
        <v/>
      </c>
      <c r="S732" s="239">
        <f>INDIRECT("'Закуп'!o" &amp; A732)</f>
        <v/>
      </c>
      <c r="T732" s="226">
        <f>INDIRECT("'Закуп'!p" &amp; A732)</f>
        <v/>
      </c>
      <c r="U732" s="235">
        <f>INDIRECT("'Закуп'!v" &amp; A732)</f>
        <v/>
      </c>
      <c r="V732" s="222">
        <f>INDIRECT("'Закуп'!w" &amp; A732)</f>
        <v/>
      </c>
      <c r="W732" s="229">
        <f>INDIRECT("'Закуп'!H" &amp; A732)</f>
        <v/>
      </c>
      <c r="X732" s="237">
        <f>INDIRECT("'Закуп'!g" &amp; A732)</f>
        <v/>
      </c>
      <c r="Y732" s="229">
        <f>INDIRECT("'Закуп'!i" &amp; A732)</f>
        <v/>
      </c>
      <c r="Z732" s="236">
        <f>INDIRECT("'Закуп'!x" &amp; A732)</f>
        <v/>
      </c>
      <c r="AA732" s="237">
        <f>INDIRECT("'Закуп'!y" &amp; A732)</f>
        <v/>
      </c>
      <c r="AB732" s="238">
        <f>INDIRECT("'Закуп'!z" &amp; A732)</f>
        <v/>
      </c>
      <c r="AC732" s="223">
        <f>SUBSTITUTE(INDEX(F:F, ROUNDUP((ROW(A731))/5,0)*5 - 3), "х", "x")</f>
        <v/>
      </c>
      <c r="AD732" s="222">
        <f>SUBSTITUTE(INDEX(F:F, ROUNDUP((ROW(A731))/5,0)*5 - 3), "х", "x") &amp; " - " &amp; SUBSTITUTE(SUBSTITUTE(INDEX(F:F, ROUNDUP((ROW(A731))/5,0)*5 - 3), "х", "*"), "x", "*") &amp; " мм"</f>
        <v/>
      </c>
      <c r="AE732" t="n">
        <v>2.62</v>
      </c>
    </row>
    <row r="733">
      <c r="B733" s="42" t="n">
        <v>148</v>
      </c>
      <c r="C733" s="118">
        <f>INDIRECT("'Закуп'!A" &amp; B733)</f>
        <v/>
      </c>
      <c r="D733" s="119">
        <f>C733*1.2</f>
        <v/>
      </c>
      <c r="G733" s="172">
        <f>IF(INDIRECT("'Закуп'!L" &amp; B733)="Sale","Sale","")</f>
        <v/>
      </c>
      <c r="H733" s="158">
        <f>IF(INDIRECT("'Закуп'!F" &amp; B733)=0,"",INDIRECT("'Закуп'!F" &amp; B733))</f>
        <v/>
      </c>
      <c r="I733" s="120" t="n">
        <v>100</v>
      </c>
      <c r="J733" s="121">
        <f>K733/1.2</f>
        <v/>
      </c>
      <c r="K733" s="242" t="n">
        <v>1.74</v>
      </c>
      <c r="L733" s="122">
        <f>J733-C733-(J733-C733)*0.2</f>
        <v/>
      </c>
      <c r="M733" s="123">
        <f>L733*I733</f>
        <v/>
      </c>
      <c r="N733" s="124" t="inlineStr">
        <is>
          <t xml:space="preserve">100-290 шт - </t>
        </is>
      </c>
      <c r="O733" s="47" t="inlineStr">
        <is>
          <t xml:space="preserve"> руб / шт с НДС</t>
        </is>
      </c>
      <c r="P733" s="125">
        <f>ROUND(K733,2)</f>
        <v/>
      </c>
      <c r="Q733" s="207">
        <f>CONCATENATE(N733,P733,O733,)</f>
        <v/>
      </c>
      <c r="R733" s="240" t="n"/>
      <c r="T733" s="241" t="n"/>
      <c r="U733" s="240" t="n"/>
      <c r="V733" s="241" t="n"/>
      <c r="Z733" s="240" t="n"/>
      <c r="AB733" s="241" t="n"/>
      <c r="AC733" s="240" t="n"/>
      <c r="AD733" s="241" t="n"/>
      <c r="AE733" t="n">
        <v>2.1</v>
      </c>
    </row>
    <row r="734">
      <c r="B734" s="42" t="n">
        <v>148</v>
      </c>
      <c r="C734" s="118">
        <f>INDIRECT("'Закуп'!A" &amp; B734)</f>
        <v/>
      </c>
      <c r="D734" s="119">
        <f>C734*1.2</f>
        <v/>
      </c>
      <c r="G734" s="172">
        <f>IF(INDIRECT("'Закуп'!L" &amp; B734)="Sale","Sale","")</f>
        <v/>
      </c>
      <c r="H734" s="158">
        <f>IF(INDIRECT("'Закуп'!F" &amp; B734)=0,"",INDIRECT("'Закуп'!F" &amp; B734))</f>
        <v/>
      </c>
      <c r="I734" s="120" t="n">
        <v>300</v>
      </c>
      <c r="J734" s="121">
        <f>K734/1.2</f>
        <v/>
      </c>
      <c r="K734" s="242" t="n">
        <v>1.64</v>
      </c>
      <c r="L734" s="122">
        <f>J734-C734-(J734-C734)*0.2</f>
        <v/>
      </c>
      <c r="M734" s="123">
        <f>L734*I734</f>
        <v/>
      </c>
      <c r="N734" s="124" t="inlineStr">
        <is>
          <t xml:space="preserve">300-490 шт - </t>
        </is>
      </c>
      <c r="O734" s="47" t="inlineStr">
        <is>
          <t xml:space="preserve"> руб / шт с НДС</t>
        </is>
      </c>
      <c r="P734" s="125">
        <f>ROUND(K734,2)</f>
        <v/>
      </c>
      <c r="Q734" s="207">
        <f>CONCATENATE(N734,P734,O734,)</f>
        <v/>
      </c>
      <c r="R734" s="240" t="n"/>
      <c r="T734" s="241" t="n"/>
      <c r="U734" s="240" t="n"/>
      <c r="V734" s="241" t="n"/>
      <c r="Z734" s="240" t="n"/>
      <c r="AB734" s="241" t="n"/>
      <c r="AC734" s="240" t="n"/>
      <c r="AD734" s="241" t="n"/>
      <c r="AE734" t="n">
        <v>1.92</v>
      </c>
    </row>
    <row r="735">
      <c r="B735" s="42" t="n">
        <v>148</v>
      </c>
      <c r="C735" s="118">
        <f>INDIRECT("'Закуп'!A" &amp; B735)</f>
        <v/>
      </c>
      <c r="D735" s="119">
        <f>C735*1.2</f>
        <v/>
      </c>
      <c r="G735" s="172">
        <f>IF(INDIRECT("'Закуп'!L" &amp; B735)="Sale","Sale","")</f>
        <v/>
      </c>
      <c r="H735" s="158">
        <f>IF(INDIRECT("'Закуп'!F" &amp; B735)=0,"",INDIRECT("'Закуп'!F" &amp; B735))</f>
        <v/>
      </c>
      <c r="I735" s="120" t="n">
        <v>500</v>
      </c>
      <c r="J735" s="121">
        <f>K735/1.2</f>
        <v/>
      </c>
      <c r="K735" s="242" t="n">
        <v>1.33</v>
      </c>
      <c r="L735" s="122">
        <f>J735-C735-(J735-C735)*0.2</f>
        <v/>
      </c>
      <c r="M735" s="123">
        <f>L735*I735</f>
        <v/>
      </c>
      <c r="N735" s="124" t="inlineStr">
        <is>
          <t xml:space="preserve">500-990 шт - </t>
        </is>
      </c>
      <c r="O735" s="47" t="inlineStr">
        <is>
          <t xml:space="preserve"> руб / шт с НДС</t>
        </is>
      </c>
      <c r="P735" s="125">
        <f>ROUND(K735,2)</f>
        <v/>
      </c>
      <c r="Q735" s="207">
        <f>CONCATENATE(N735,P735,O735,)</f>
        <v/>
      </c>
      <c r="R735" s="240" t="n"/>
      <c r="T735" s="241" t="n"/>
      <c r="U735" s="240" t="n"/>
      <c r="V735" s="241" t="n"/>
      <c r="Z735" s="240" t="n"/>
      <c r="AB735" s="241" t="n"/>
      <c r="AC735" s="240" t="n"/>
      <c r="AD735" s="241" t="n"/>
      <c r="AE735" t="n">
        <v>1.7</v>
      </c>
    </row>
    <row r="736">
      <c r="B736" s="42" t="n">
        <v>148</v>
      </c>
      <c r="C736" s="118">
        <f>INDIRECT("'Закуп'!A" &amp; B736)</f>
        <v/>
      </c>
      <c r="D736" s="119">
        <f>C736*1.2</f>
        <v/>
      </c>
      <c r="G736" s="172">
        <f>IF(INDIRECT("'Закуп'!L" &amp; B736)="Sale","Sale","")</f>
        <v/>
      </c>
      <c r="H736" s="158">
        <f>IF(INDIRECT("'Закуп'!F" &amp; B736)=0,"",INDIRECT("'Закуп'!F" &amp; B736))</f>
        <v/>
      </c>
      <c r="I736" s="120" t="n">
        <v>1000</v>
      </c>
      <c r="J736" s="121">
        <f>K736/1.2</f>
        <v/>
      </c>
      <c r="K736" s="242" t="n">
        <v>1.29</v>
      </c>
      <c r="L736" s="122">
        <f>J736-C736-(J736-C736)*0.2</f>
        <v/>
      </c>
      <c r="M736" s="123">
        <f>L736*I736</f>
        <v/>
      </c>
      <c r="N736" s="124" t="inlineStr">
        <is>
          <t xml:space="preserve">1000 + шт - </t>
        </is>
      </c>
      <c r="O736" s="47" t="inlineStr">
        <is>
          <t xml:space="preserve"> руб / шт с НДС</t>
        </is>
      </c>
      <c r="P736" s="125">
        <f>ROUND(K736,2)</f>
        <v/>
      </c>
      <c r="Q736" s="207">
        <f>CONCATENATE(N736,P736,O736,)</f>
        <v/>
      </c>
      <c r="R736" s="240" t="n"/>
      <c r="T736" s="241" t="n"/>
      <c r="U736" s="240" t="n"/>
      <c r="V736" s="241" t="n"/>
      <c r="Z736" s="240" t="n"/>
      <c r="AB736" s="241" t="n"/>
      <c r="AC736" s="240" t="n"/>
      <c r="AD736" s="241" t="n"/>
      <c r="AE736" t="n">
        <v>1.65</v>
      </c>
    </row>
    <row r="737" ht="42.9" customHeight="1" s="55">
      <c r="A737" s="232" t="n">
        <v>149</v>
      </c>
      <c r="B737" s="42" t="n">
        <v>149</v>
      </c>
      <c r="C737" s="118">
        <f>INDIRECT("'Закуп'!A" &amp; B737)</f>
        <v/>
      </c>
      <c r="D737" s="119">
        <f>C737*1.2</f>
        <v/>
      </c>
      <c r="E737" s="224">
        <f>INDIRECT("'Закуп'!D" &amp; A737)</f>
        <v/>
      </c>
      <c r="F737" s="231">
        <f>INDIRECT("'Закуп'!E" &amp; B737)</f>
        <v/>
      </c>
      <c r="G737" s="172">
        <f>IF(INDIRECT("'Закуп'!L" &amp; B737)="Sale","Sale","")</f>
        <v/>
      </c>
      <c r="H737" s="158">
        <f>IF(INDIRECT("'Закуп'!F" &amp; B737)=0,"",INDIRECT("'Закуп'!F" &amp; B737))</f>
        <v/>
      </c>
      <c r="I737" s="120" t="n">
        <v>50</v>
      </c>
      <c r="J737" s="121">
        <f>K737/1.2</f>
        <v/>
      </c>
      <c r="K737" s="242" t="n">
        <v>3.73</v>
      </c>
      <c r="L737" s="122">
        <f>J737-C737-(J737-C737)*0.2</f>
        <v/>
      </c>
      <c r="M737" s="123">
        <f>L737*I737</f>
        <v/>
      </c>
      <c r="N737" s="124" t="inlineStr">
        <is>
          <t xml:space="preserve">50-90 шт - </t>
        </is>
      </c>
      <c r="O737" s="47" t="inlineStr">
        <is>
          <t xml:space="preserve"> руб / шт с НДС</t>
        </is>
      </c>
      <c r="P737" s="125">
        <f>ROUND(K737,2)</f>
        <v/>
      </c>
      <c r="Q737" s="207">
        <f>CONCATENATE(N737,P737,O737,)</f>
        <v/>
      </c>
      <c r="R737" s="235">
        <f>INDIRECT("'Закуп'!k" &amp; A737)</f>
        <v/>
      </c>
      <c r="S737" s="239">
        <f>INDIRECT("'Закуп'!o" &amp; A737)</f>
        <v/>
      </c>
      <c r="T737" s="226">
        <f>INDIRECT("'Закуп'!p" &amp; A737)</f>
        <v/>
      </c>
      <c r="U737" s="235">
        <f>INDIRECT("'Закуп'!v" &amp; A737)</f>
        <v/>
      </c>
      <c r="V737" s="222">
        <f>INDIRECT("'Закуп'!w" &amp; A737)</f>
        <v/>
      </c>
      <c r="W737" s="229">
        <f>INDIRECT("'Закуп'!H" &amp; A737)</f>
        <v/>
      </c>
      <c r="X737" s="237">
        <f>INDIRECT("'Закуп'!g" &amp; A737)</f>
        <v/>
      </c>
      <c r="Y737" s="229">
        <f>INDIRECT("'Закуп'!i" &amp; A737)</f>
        <v/>
      </c>
      <c r="Z737" s="236">
        <f>INDIRECT("'Закуп'!x" &amp; A737)</f>
        <v/>
      </c>
      <c r="AA737" s="237">
        <f>INDIRECT("'Закуп'!y" &amp; A737)</f>
        <v/>
      </c>
      <c r="AB737" s="238">
        <f>INDIRECT("'Закуп'!z" &amp; A737)</f>
        <v/>
      </c>
      <c r="AC737" s="223">
        <f>SUBSTITUTE(INDEX(F:F, ROUNDUP((ROW(A736))/5,0)*5 - 3), "х", "x")</f>
        <v/>
      </c>
      <c r="AD737" s="222">
        <f>SUBSTITUTE(INDEX(F:F, ROUNDUP((ROW(A736))/5,0)*5 - 3), "х", "x") &amp; " - " &amp; SUBSTITUTE(SUBSTITUTE(INDEX(F:F, ROUNDUP((ROW(A736))/5,0)*5 - 3), "х", "*"), "x", "*") &amp; " мм"</f>
        <v/>
      </c>
      <c r="AE737" t="n">
        <v>5.03</v>
      </c>
    </row>
    <row r="738" ht="42.9" customHeight="1" s="55">
      <c r="B738" s="42" t="n">
        <v>149</v>
      </c>
      <c r="C738" s="118">
        <f>INDIRECT("'Закуп'!A" &amp; B738)</f>
        <v/>
      </c>
      <c r="D738" s="119">
        <f>C738*1.2</f>
        <v/>
      </c>
      <c r="G738" s="172">
        <f>IF(INDIRECT("'Закуп'!L" &amp; B738)="Sale","Sale","")</f>
        <v/>
      </c>
      <c r="H738" s="158">
        <f>IF(INDIRECT("'Закуп'!F" &amp; B738)=0,"",INDIRECT("'Закуп'!F" &amp; B738))</f>
        <v/>
      </c>
      <c r="I738" s="120" t="n">
        <v>100</v>
      </c>
      <c r="J738" s="121">
        <f>K738/1.2</f>
        <v/>
      </c>
      <c r="K738" s="242" t="n">
        <v>3.18</v>
      </c>
      <c r="L738" s="122">
        <f>J738-C738-(J738-C738)*0.2</f>
        <v/>
      </c>
      <c r="M738" s="123">
        <f>L738*I738</f>
        <v/>
      </c>
      <c r="N738" s="124" t="inlineStr">
        <is>
          <t xml:space="preserve">100-290 шт - </t>
        </is>
      </c>
      <c r="O738" s="47" t="inlineStr">
        <is>
          <t xml:space="preserve"> руб / шт с НДС</t>
        </is>
      </c>
      <c r="P738" s="125">
        <f>ROUND(K738,2)</f>
        <v/>
      </c>
      <c r="Q738" s="207">
        <f>CONCATENATE(N738,P738,O738,)</f>
        <v/>
      </c>
      <c r="R738" s="240" t="n"/>
      <c r="T738" s="241" t="n"/>
      <c r="U738" s="240" t="n"/>
      <c r="V738" s="241" t="n"/>
      <c r="Z738" s="240" t="n"/>
      <c r="AB738" s="241" t="n"/>
      <c r="AC738" s="240" t="n"/>
      <c r="AD738" s="241" t="n"/>
      <c r="AE738" t="n">
        <v>4.65</v>
      </c>
    </row>
    <row r="739" ht="42.9" customHeight="1" s="55">
      <c r="B739" s="42" t="n">
        <v>149</v>
      </c>
      <c r="C739" s="118">
        <f>INDIRECT("'Закуп'!A" &amp; B739)</f>
        <v/>
      </c>
      <c r="D739" s="119">
        <f>C739*1.2</f>
        <v/>
      </c>
      <c r="G739" s="172">
        <f>IF(INDIRECT("'Закуп'!L" &amp; B739)="Sale","Sale","")</f>
        <v/>
      </c>
      <c r="H739" s="158">
        <f>IF(INDIRECT("'Закуп'!F" &amp; B739)=0,"",INDIRECT("'Закуп'!F" &amp; B739))</f>
        <v/>
      </c>
      <c r="I739" s="120" t="n">
        <v>300</v>
      </c>
      <c r="J739" s="121">
        <f>K739/1.2</f>
        <v/>
      </c>
      <c r="K739" s="242" t="n">
        <v>2.89</v>
      </c>
      <c r="L739" s="122">
        <f>J739-C739-(J739-C739)*0.2</f>
        <v/>
      </c>
      <c r="M739" s="123">
        <f>L739*I739</f>
        <v/>
      </c>
      <c r="N739" s="124" t="inlineStr">
        <is>
          <t xml:space="preserve">300-490 шт - </t>
        </is>
      </c>
      <c r="O739" s="47" t="inlineStr">
        <is>
          <t xml:space="preserve"> руб / шт с НДС</t>
        </is>
      </c>
      <c r="P739" s="125">
        <f>ROUND(K739,2)</f>
        <v/>
      </c>
      <c r="Q739" s="207">
        <f>CONCATENATE(N739,P739,O739,)</f>
        <v/>
      </c>
      <c r="R739" s="240" t="n"/>
      <c r="T739" s="241" t="n"/>
      <c r="U739" s="240" t="n"/>
      <c r="V739" s="241" t="n"/>
      <c r="Z739" s="240" t="n"/>
      <c r="AB739" s="241" t="n"/>
      <c r="AC739" s="240" t="n"/>
      <c r="AD739" s="241" t="n"/>
      <c r="AE739" t="n">
        <v>3.96</v>
      </c>
    </row>
    <row r="740" ht="42.9" customHeight="1" s="55">
      <c r="B740" s="42" t="n">
        <v>149</v>
      </c>
      <c r="C740" s="118">
        <f>INDIRECT("'Закуп'!A" &amp; B740)</f>
        <v/>
      </c>
      <c r="D740" s="119">
        <f>C740*1.2</f>
        <v/>
      </c>
      <c r="G740" s="172">
        <f>IF(INDIRECT("'Закуп'!L" &amp; B740)="Sale","Sale","")</f>
        <v/>
      </c>
      <c r="H740" s="158">
        <f>IF(INDIRECT("'Закуп'!F" &amp; B740)=0,"",INDIRECT("'Закуп'!F" &amp; B740))</f>
        <v/>
      </c>
      <c r="I740" s="120" t="n">
        <v>500</v>
      </c>
      <c r="J740" s="121">
        <f>K740/1.2</f>
        <v/>
      </c>
      <c r="K740" s="242" t="n">
        <v>2.74</v>
      </c>
      <c r="L740" s="122">
        <f>J740-C740-(J740-C740)*0.2</f>
        <v/>
      </c>
      <c r="M740" s="123">
        <f>L740*I740</f>
        <v/>
      </c>
      <c r="N740" s="124" t="inlineStr">
        <is>
          <t xml:space="preserve">500-990 шт - </t>
        </is>
      </c>
      <c r="O740" s="47" t="inlineStr">
        <is>
          <t xml:space="preserve"> руб / шт с НДС</t>
        </is>
      </c>
      <c r="P740" s="125">
        <f>ROUND(K740,2)</f>
        <v/>
      </c>
      <c r="Q740" s="207">
        <f>CONCATENATE(N740,P740,O740,)</f>
        <v/>
      </c>
      <c r="R740" s="240" t="n"/>
      <c r="T740" s="241" t="n"/>
      <c r="U740" s="240" t="n"/>
      <c r="V740" s="241" t="n"/>
      <c r="Z740" s="240" t="n"/>
      <c r="AB740" s="241" t="n"/>
      <c r="AC740" s="240" t="n"/>
      <c r="AD740" s="241" t="n"/>
      <c r="AE740" t="n">
        <v>3.84</v>
      </c>
    </row>
    <row r="741" ht="42.9" customHeight="1" s="55">
      <c r="B741" s="42" t="n">
        <v>149</v>
      </c>
      <c r="C741" s="118">
        <f>INDIRECT("'Закуп'!A" &amp; B741)</f>
        <v/>
      </c>
      <c r="D741" s="119">
        <f>C741*1.2</f>
        <v/>
      </c>
      <c r="G741" s="172">
        <f>IF(INDIRECT("'Закуп'!L" &amp; B741)="Sale","Sale","")</f>
        <v/>
      </c>
      <c r="H741" s="158">
        <f>IF(INDIRECT("'Закуп'!F" &amp; B741)=0,"",INDIRECT("'Закуп'!F" &amp; B741))</f>
        <v/>
      </c>
      <c r="I741" s="120" t="n">
        <v>1000</v>
      </c>
      <c r="J741" s="121">
        <f>K741/1.2</f>
        <v/>
      </c>
      <c r="K741" s="242" t="n">
        <v>2.65</v>
      </c>
      <c r="L741" s="122">
        <f>J741-C741-(J741-C741)*0.2</f>
        <v/>
      </c>
      <c r="M741" s="123">
        <f>L741*I741</f>
        <v/>
      </c>
      <c r="N741" s="124" t="inlineStr">
        <is>
          <t xml:space="preserve">1000 + шт - </t>
        </is>
      </c>
      <c r="O741" s="47" t="inlineStr">
        <is>
          <t xml:space="preserve"> руб / шт с НДС</t>
        </is>
      </c>
      <c r="P741" s="125">
        <f>ROUND(K741,2)</f>
        <v/>
      </c>
      <c r="Q741" s="207">
        <f>CONCATENATE(N741,P741,O741,)</f>
        <v/>
      </c>
      <c r="R741" s="240" t="n"/>
      <c r="T741" s="241" t="n"/>
      <c r="U741" s="240" t="n"/>
      <c r="V741" s="241" t="n"/>
      <c r="Z741" s="240" t="n"/>
      <c r="AB741" s="241" t="n"/>
      <c r="AC741" s="240" t="n"/>
      <c r="AD741" s="241" t="n"/>
      <c r="AE741" t="n">
        <v>3.78</v>
      </c>
    </row>
    <row r="742">
      <c r="A742" s="232" t="n">
        <v>150</v>
      </c>
      <c r="B742" s="42" t="n">
        <v>150</v>
      </c>
      <c r="C742" s="118">
        <f>INDIRECT("'Закуп'!A" &amp; B742)</f>
        <v/>
      </c>
      <c r="D742" s="119">
        <f>C742*1.2</f>
        <v/>
      </c>
      <c r="E742" s="224">
        <f>INDIRECT("'Закуп'!D" &amp; A742)</f>
        <v/>
      </c>
      <c r="F742" s="231">
        <f>INDIRECT("'Закуп'!E" &amp; B742)</f>
        <v/>
      </c>
      <c r="G742" s="172">
        <f>IF(INDIRECT("'Закуп'!L" &amp; B742)="Sale","Sale","")</f>
        <v/>
      </c>
      <c r="H742" s="158">
        <f>IF(INDIRECT("'Закуп'!F" &amp; B742)=0,"",INDIRECT("'Закуп'!F" &amp; B742))</f>
        <v/>
      </c>
      <c r="I742" s="120" t="n">
        <v>50</v>
      </c>
      <c r="J742" s="121">
        <f>K742/1.2</f>
        <v/>
      </c>
      <c r="K742" s="242" t="n">
        <v>1.46</v>
      </c>
      <c r="L742" s="122">
        <f>J742-C742-(J742-C742)*0.2</f>
        <v/>
      </c>
      <c r="M742" s="123">
        <f>L742*I742</f>
        <v/>
      </c>
      <c r="N742" s="124" t="inlineStr">
        <is>
          <t xml:space="preserve">50-90 шт - </t>
        </is>
      </c>
      <c r="O742" s="47" t="inlineStr">
        <is>
          <t xml:space="preserve"> руб / шт с НДС</t>
        </is>
      </c>
      <c r="P742" s="125">
        <f>ROUND(K742,2)</f>
        <v/>
      </c>
      <c r="Q742" s="207">
        <f>CONCATENATE(N742,P742,O742,)</f>
        <v/>
      </c>
      <c r="R742" s="235">
        <f>INDIRECT("'Закуп'!k" &amp; A742)</f>
        <v/>
      </c>
      <c r="S742" s="239">
        <f>INDIRECT("'Закуп'!o" &amp; A742)</f>
        <v/>
      </c>
      <c r="T742" s="226">
        <f>INDIRECT("'Закуп'!p" &amp; A742)</f>
        <v/>
      </c>
      <c r="U742" s="235">
        <f>INDIRECT("'Закуп'!v" &amp; A742)</f>
        <v/>
      </c>
      <c r="V742" s="222">
        <f>INDIRECT("'Закуп'!w" &amp; A742)</f>
        <v/>
      </c>
      <c r="W742" s="229">
        <f>INDIRECT("'Закуп'!H" &amp; A742)</f>
        <v/>
      </c>
      <c r="X742" s="237">
        <f>INDIRECT("'Закуп'!g" &amp; A742)</f>
        <v/>
      </c>
      <c r="Y742" s="229">
        <f>INDIRECT("'Закуп'!i" &amp; A742)</f>
        <v/>
      </c>
      <c r="Z742" s="236">
        <f>INDIRECT("'Закуп'!x" &amp; A742)</f>
        <v/>
      </c>
      <c r="AA742" s="237">
        <f>INDIRECT("'Закуп'!y" &amp; A742)</f>
        <v/>
      </c>
      <c r="AB742" s="238">
        <f>INDIRECT("'Закуп'!z" &amp; A742)</f>
        <v/>
      </c>
      <c r="AC742" s="223">
        <f>SUBSTITUTE(INDEX(F:F, ROUNDUP((ROW(A741))/5,0)*5 - 3), "х", "x")</f>
        <v/>
      </c>
      <c r="AD742" s="222">
        <f>SUBSTITUTE(INDEX(F:F, ROUNDUP((ROW(A741))/5,0)*5 - 3), "х", "x") &amp; " - " &amp; SUBSTITUTE(SUBSTITUTE(INDEX(F:F, ROUNDUP((ROW(A741))/5,0)*5 - 3), "х", "*"), "x", "*") &amp; " мм"</f>
        <v/>
      </c>
      <c r="AE742" t="n">
        <v>2.31</v>
      </c>
    </row>
    <row r="743">
      <c r="B743" s="42" t="n">
        <v>150</v>
      </c>
      <c r="C743" s="118">
        <f>INDIRECT("'Закуп'!A" &amp; B743)</f>
        <v/>
      </c>
      <c r="D743" s="119">
        <f>C743*1.2</f>
        <v/>
      </c>
      <c r="G743" s="172">
        <f>IF(INDIRECT("'Закуп'!L" &amp; B743)="Sale","Sale","")</f>
        <v/>
      </c>
      <c r="H743" s="158">
        <f>IF(INDIRECT("'Закуп'!F" &amp; B743)=0,"",INDIRECT("'Закуп'!F" &amp; B743))</f>
        <v/>
      </c>
      <c r="I743" s="120" t="n">
        <v>100</v>
      </c>
      <c r="J743" s="121">
        <f>K743/1.2</f>
        <v/>
      </c>
      <c r="K743" s="242" t="n">
        <v>1.24</v>
      </c>
      <c r="L743" s="122">
        <f>J743-C743-(J743-C743)*0.2</f>
        <v/>
      </c>
      <c r="M743" s="123">
        <f>L743*I743</f>
        <v/>
      </c>
      <c r="N743" s="124" t="inlineStr">
        <is>
          <t xml:space="preserve">100-290 шт - </t>
        </is>
      </c>
      <c r="O743" s="47" t="inlineStr">
        <is>
          <t xml:space="preserve"> руб / шт с НДС</t>
        </is>
      </c>
      <c r="P743" s="125">
        <f>ROUND(K743,2)</f>
        <v/>
      </c>
      <c r="Q743" s="207">
        <f>CONCATENATE(N743,P743,O743,)</f>
        <v/>
      </c>
      <c r="R743" s="240" t="n"/>
      <c r="T743" s="241" t="n"/>
      <c r="U743" s="240" t="n"/>
      <c r="V743" s="241" t="n"/>
      <c r="Z743" s="240" t="n"/>
      <c r="AB743" s="241" t="n"/>
      <c r="AC743" s="240" t="n"/>
      <c r="AD743" s="241" t="n"/>
      <c r="AE743" t="n">
        <v>2.11</v>
      </c>
    </row>
    <row r="744">
      <c r="B744" s="42" t="n">
        <v>150</v>
      </c>
      <c r="C744" s="118">
        <f>INDIRECT("'Закуп'!A" &amp; B744)</f>
        <v/>
      </c>
      <c r="D744" s="119">
        <f>C744*1.2</f>
        <v/>
      </c>
      <c r="G744" s="172">
        <f>IF(INDIRECT("'Закуп'!L" &amp; B744)="Sale","Sale","")</f>
        <v/>
      </c>
      <c r="H744" s="158">
        <f>IF(INDIRECT("'Закуп'!F" &amp; B744)=0,"",INDIRECT("'Закуп'!F" &amp; B744))</f>
        <v/>
      </c>
      <c r="I744" s="120" t="n">
        <v>300</v>
      </c>
      <c r="J744" s="121">
        <f>K744/1.2</f>
        <v/>
      </c>
      <c r="K744" s="242" t="n">
        <v>1.17</v>
      </c>
      <c r="L744" s="122">
        <f>J744-C744-(J744-C744)*0.2</f>
        <v/>
      </c>
      <c r="M744" s="123">
        <f>L744*I744</f>
        <v/>
      </c>
      <c r="N744" s="124" t="inlineStr">
        <is>
          <t xml:space="preserve">300-490 шт - </t>
        </is>
      </c>
      <c r="O744" s="47" t="inlineStr">
        <is>
          <t xml:space="preserve"> руб / шт с НДС</t>
        </is>
      </c>
      <c r="P744" s="125">
        <f>ROUND(K744,2)</f>
        <v/>
      </c>
      <c r="Q744" s="207">
        <f>CONCATENATE(N744,P744,O744,)</f>
        <v/>
      </c>
      <c r="R744" s="240" t="n"/>
      <c r="T744" s="241" t="n"/>
      <c r="U744" s="240" t="n"/>
      <c r="V744" s="241" t="n"/>
      <c r="Z744" s="240" t="n"/>
      <c r="AB744" s="241" t="n"/>
      <c r="AC744" s="240" t="n"/>
      <c r="AD744" s="241" t="n"/>
      <c r="AE744" t="n">
        <v>1.65</v>
      </c>
    </row>
    <row r="745">
      <c r="B745" s="42" t="n">
        <v>150</v>
      </c>
      <c r="C745" s="118">
        <f>INDIRECT("'Закуп'!A" &amp; B745)</f>
        <v/>
      </c>
      <c r="D745" s="119">
        <f>C745*1.2</f>
        <v/>
      </c>
      <c r="G745" s="172">
        <f>IF(INDIRECT("'Закуп'!L" &amp; B745)="Sale","Sale","")</f>
        <v/>
      </c>
      <c r="H745" s="158">
        <f>IF(INDIRECT("'Закуп'!F" &amp; B745)=0,"",INDIRECT("'Закуп'!F" &amp; B745))</f>
        <v/>
      </c>
      <c r="I745" s="120" t="n">
        <v>500</v>
      </c>
      <c r="J745" s="121">
        <f>K745/1.2</f>
        <v/>
      </c>
      <c r="K745" s="242" t="n">
        <v>1.11</v>
      </c>
      <c r="L745" s="122">
        <f>J745-C745-(J745-C745)*0.2</f>
        <v/>
      </c>
      <c r="M745" s="123">
        <f>L745*I745</f>
        <v/>
      </c>
      <c r="N745" s="124" t="inlineStr">
        <is>
          <t xml:space="preserve">500-990 шт - </t>
        </is>
      </c>
      <c r="O745" s="47" t="inlineStr">
        <is>
          <t xml:space="preserve"> руб / шт с НДС</t>
        </is>
      </c>
      <c r="P745" s="125">
        <f>ROUND(K745,2)</f>
        <v/>
      </c>
      <c r="Q745" s="207">
        <f>CONCATENATE(N745,P745,O745,)</f>
        <v/>
      </c>
      <c r="R745" s="240" t="n"/>
      <c r="T745" s="241" t="n"/>
      <c r="U745" s="240" t="n"/>
      <c r="V745" s="241" t="n"/>
      <c r="Z745" s="240" t="n"/>
      <c r="AB745" s="241" t="n"/>
      <c r="AC745" s="240" t="n"/>
      <c r="AD745" s="241" t="n"/>
      <c r="AE745" t="n">
        <v>1.42</v>
      </c>
    </row>
    <row r="746">
      <c r="B746" s="42" t="n">
        <v>150</v>
      </c>
      <c r="C746" s="118">
        <f>INDIRECT("'Закуп'!A" &amp; B746)</f>
        <v/>
      </c>
      <c r="D746" s="119">
        <f>C746*1.2</f>
        <v/>
      </c>
      <c r="G746" s="172">
        <f>IF(INDIRECT("'Закуп'!L" &amp; B746)="Sale","Sale","")</f>
        <v/>
      </c>
      <c r="H746" s="158">
        <f>IF(INDIRECT("'Закуп'!F" &amp; B746)=0,"",INDIRECT("'Закуп'!F" &amp; B746))</f>
        <v/>
      </c>
      <c r="I746" s="120" t="n">
        <v>1000</v>
      </c>
      <c r="J746" s="121">
        <f>K746/1.2</f>
        <v/>
      </c>
      <c r="K746" s="242" t="n">
        <v>1.07</v>
      </c>
      <c r="L746" s="122">
        <f>J746-C746-(J746-C746)*0.2</f>
        <v/>
      </c>
      <c r="M746" s="123">
        <f>L746*I746</f>
        <v/>
      </c>
      <c r="N746" s="124" t="inlineStr">
        <is>
          <t xml:space="preserve">1000 + шт - </t>
        </is>
      </c>
      <c r="O746" s="47" t="inlineStr">
        <is>
          <t xml:space="preserve"> руб / шт с НДС</t>
        </is>
      </c>
      <c r="P746" s="125">
        <f>ROUND(K746,2)</f>
        <v/>
      </c>
      <c r="Q746" s="207">
        <f>CONCATENATE(N746,P746,O746,)</f>
        <v/>
      </c>
      <c r="R746" s="240" t="n"/>
      <c r="T746" s="241" t="n"/>
      <c r="U746" s="240" t="n"/>
      <c r="V746" s="241" t="n"/>
      <c r="Z746" s="240" t="n"/>
      <c r="AB746" s="241" t="n"/>
      <c r="AC746" s="240" t="n"/>
      <c r="AD746" s="241" t="n"/>
      <c r="AE746" t="n">
        <v>1.33</v>
      </c>
    </row>
    <row r="747">
      <c r="A747" s="232" t="n">
        <v>151</v>
      </c>
      <c r="B747" s="42" t="n">
        <v>151</v>
      </c>
      <c r="C747" s="118">
        <f>INDIRECT("'Закуп'!A" &amp; B747)</f>
        <v/>
      </c>
      <c r="D747" s="119">
        <f>C747*1.2</f>
        <v/>
      </c>
      <c r="E747" s="224">
        <f>INDIRECT("'Закуп'!D" &amp; A747)</f>
        <v/>
      </c>
      <c r="F747" s="231">
        <f>INDIRECT("'Закуп'!E" &amp; B747)</f>
        <v/>
      </c>
      <c r="G747" s="172">
        <f>IF(INDIRECT("'Закуп'!L" &amp; B747)="Sale","Sale","")</f>
        <v/>
      </c>
      <c r="H747" s="158">
        <f>IF(INDIRECT("'Закуп'!F" &amp; B747)=0,"",INDIRECT("'Закуп'!F" &amp; B747))</f>
        <v/>
      </c>
      <c r="I747" s="120" t="n">
        <v>50</v>
      </c>
      <c r="J747" s="121">
        <f>K747/1.2</f>
        <v/>
      </c>
      <c r="K747" s="70" t="n">
        <v>1.12</v>
      </c>
      <c r="L747" s="122">
        <f>J747-C747-(J747-C747)*0.2</f>
        <v/>
      </c>
      <c r="M747" s="123">
        <f>L747*I747</f>
        <v/>
      </c>
      <c r="N747" s="124" t="inlineStr">
        <is>
          <t xml:space="preserve">50-90 шт - </t>
        </is>
      </c>
      <c r="O747" s="47" t="inlineStr">
        <is>
          <t xml:space="preserve"> руб / шт с НДС</t>
        </is>
      </c>
      <c r="P747" s="125">
        <f>ROUND(K747,2)</f>
        <v/>
      </c>
      <c r="Q747" s="207">
        <f>CONCATENATE(N747,P747,O747,)</f>
        <v/>
      </c>
      <c r="R747" s="235">
        <f>INDIRECT("'Закуп'!k" &amp; A747)</f>
        <v/>
      </c>
      <c r="S747" s="239">
        <f>INDIRECT("'Закуп'!o" &amp; A747)</f>
        <v/>
      </c>
      <c r="T747" s="226">
        <f>INDIRECT("'Закуп'!p" &amp; A747)</f>
        <v/>
      </c>
      <c r="U747" s="235">
        <f>INDIRECT("'Закуп'!v" &amp; A747)</f>
        <v/>
      </c>
      <c r="V747" s="222">
        <f>INDIRECT("'Закуп'!w" &amp; A747)</f>
        <v/>
      </c>
      <c r="W747" s="229">
        <f>INDIRECT("'Закуп'!H" &amp; A747)</f>
        <v/>
      </c>
      <c r="X747" s="237">
        <f>INDIRECT("'Закуп'!g" &amp; A747)</f>
        <v/>
      </c>
      <c r="Y747" s="229">
        <f>INDIRECT("'Закуп'!i" &amp; A747)</f>
        <v/>
      </c>
      <c r="Z747" s="236">
        <f>INDIRECT("'Закуп'!x" &amp; A747)</f>
        <v/>
      </c>
      <c r="AA747" s="237">
        <f>INDIRECT("'Закуп'!y" &amp; A747)</f>
        <v/>
      </c>
      <c r="AB747" s="238">
        <f>INDIRECT("'Закуп'!z" &amp; A747)</f>
        <v/>
      </c>
      <c r="AC747" s="223">
        <f>SUBSTITUTE(INDEX(F:F, ROUNDUP((ROW(A746))/5,0)*5 - 3), "х", "x")</f>
        <v/>
      </c>
      <c r="AD747" s="222">
        <f>SUBSTITUTE(INDEX(F:F, ROUNDUP((ROW(A746))/5,0)*5 - 3), "х", "x") &amp; " - " &amp; SUBSTITUTE(SUBSTITUTE(INDEX(F:F, ROUNDUP((ROW(A746))/5,0)*5 - 3), "х", "*"), "x", "*") &amp; " мм"</f>
        <v/>
      </c>
    </row>
    <row r="748">
      <c r="B748" s="42" t="n">
        <v>151</v>
      </c>
      <c r="C748" s="118">
        <f>INDIRECT("'Закуп'!A" &amp; B748)</f>
        <v/>
      </c>
      <c r="D748" s="119">
        <f>C748*1.2</f>
        <v/>
      </c>
      <c r="G748" s="172">
        <f>IF(INDIRECT("'Закуп'!L" &amp; B748)="Sale","Sale","")</f>
        <v/>
      </c>
      <c r="H748" s="158">
        <f>IF(INDIRECT("'Закуп'!F" &amp; B748)=0,"",INDIRECT("'Закуп'!F" &amp; B748))</f>
        <v/>
      </c>
      <c r="I748" s="120" t="n">
        <v>100</v>
      </c>
      <c r="J748" s="121">
        <f>K748/1.2</f>
        <v/>
      </c>
      <c r="K748" s="70" t="n">
        <v>0.93</v>
      </c>
      <c r="L748" s="122">
        <f>J748-C748-(J748-C748)*0.2</f>
        <v/>
      </c>
      <c r="M748" s="123">
        <f>L748*I748</f>
        <v/>
      </c>
      <c r="N748" s="124" t="inlineStr">
        <is>
          <t xml:space="preserve">100-290 шт - </t>
        </is>
      </c>
      <c r="O748" s="47" t="inlineStr">
        <is>
          <t xml:space="preserve"> руб / шт с НДС</t>
        </is>
      </c>
      <c r="P748" s="125">
        <f>ROUND(K748,2)</f>
        <v/>
      </c>
      <c r="Q748" s="207">
        <f>CONCATENATE(N748,P748,O748,)</f>
        <v/>
      </c>
      <c r="R748" s="240" t="n"/>
      <c r="T748" s="241" t="n"/>
      <c r="U748" s="240" t="n"/>
      <c r="V748" s="241" t="n"/>
      <c r="Z748" s="240" t="n"/>
      <c r="AB748" s="241" t="n"/>
      <c r="AC748" s="240" t="n"/>
      <c r="AD748" s="241" t="n"/>
    </row>
    <row r="749">
      <c r="B749" s="42" t="n">
        <v>151</v>
      </c>
      <c r="C749" s="118">
        <f>INDIRECT("'Закуп'!A" &amp; B749)</f>
        <v/>
      </c>
      <c r="D749" s="119">
        <f>C749*1.2</f>
        <v/>
      </c>
      <c r="G749" s="172">
        <f>IF(INDIRECT("'Закуп'!L" &amp; B749)="Sale","Sale","")</f>
        <v/>
      </c>
      <c r="H749" s="158">
        <f>IF(INDIRECT("'Закуп'!F" &amp; B749)=0,"",INDIRECT("'Закуп'!F" &amp; B749))</f>
        <v/>
      </c>
      <c r="I749" s="120" t="n">
        <v>300</v>
      </c>
      <c r="J749" s="121">
        <f>K749/1.2</f>
        <v/>
      </c>
      <c r="K749" s="70" t="n">
        <v>0.8100000000000001</v>
      </c>
      <c r="L749" s="122">
        <f>J749-C749-(J749-C749)*0.2</f>
        <v/>
      </c>
      <c r="M749" s="123">
        <f>L749*I749</f>
        <v/>
      </c>
      <c r="N749" s="124" t="inlineStr">
        <is>
          <t xml:space="preserve">300-490 шт - </t>
        </is>
      </c>
      <c r="O749" s="47" t="inlineStr">
        <is>
          <t xml:space="preserve"> руб / шт с НДС</t>
        </is>
      </c>
      <c r="P749" s="125">
        <f>ROUND(K749,2)</f>
        <v/>
      </c>
      <c r="Q749" s="207">
        <f>CONCATENATE(N749,P749,O749,)</f>
        <v/>
      </c>
      <c r="R749" s="240" t="n"/>
      <c r="T749" s="241" t="n"/>
      <c r="U749" s="240" t="n"/>
      <c r="V749" s="241" t="n"/>
      <c r="Z749" s="240" t="n"/>
      <c r="AB749" s="241" t="n"/>
      <c r="AC749" s="240" t="n"/>
      <c r="AD749" s="241" t="n"/>
    </row>
    <row r="750">
      <c r="B750" s="42" t="n">
        <v>151</v>
      </c>
      <c r="C750" s="118">
        <f>INDIRECT("'Закуп'!A" &amp; B750)</f>
        <v/>
      </c>
      <c r="D750" s="119">
        <f>C750*1.2</f>
        <v/>
      </c>
      <c r="G750" s="172">
        <f>IF(INDIRECT("'Закуп'!L" &amp; B750)="Sale","Sale","")</f>
        <v/>
      </c>
      <c r="H750" s="158">
        <f>IF(INDIRECT("'Закуп'!F" &amp; B750)=0,"",INDIRECT("'Закуп'!F" &amp; B750))</f>
        <v/>
      </c>
      <c r="I750" s="120" t="n">
        <v>500</v>
      </c>
      <c r="J750" s="121">
        <f>K750/1.2</f>
        <v/>
      </c>
      <c r="K750" s="70" t="n">
        <v>0.73</v>
      </c>
      <c r="L750" s="122">
        <f>J750-C750-(J750-C750)*0.2</f>
        <v/>
      </c>
      <c r="M750" s="123">
        <f>L750*I750</f>
        <v/>
      </c>
      <c r="N750" s="124" t="inlineStr">
        <is>
          <t xml:space="preserve">500-990 шт - </t>
        </is>
      </c>
      <c r="O750" s="47" t="inlineStr">
        <is>
          <t xml:space="preserve"> руб / шт с НДС</t>
        </is>
      </c>
      <c r="P750" s="125">
        <f>ROUND(K750,2)</f>
        <v/>
      </c>
      <c r="Q750" s="207">
        <f>CONCATENATE(N750,P750,O750,)</f>
        <v/>
      </c>
      <c r="R750" s="240" t="n"/>
      <c r="T750" s="241" t="n"/>
      <c r="U750" s="240" t="n"/>
      <c r="V750" s="241" t="n"/>
      <c r="Z750" s="240" t="n"/>
      <c r="AB750" s="241" t="n"/>
      <c r="AC750" s="240" t="n"/>
      <c r="AD750" s="241" t="n"/>
    </row>
    <row r="751">
      <c r="B751" s="42" t="n">
        <v>151</v>
      </c>
      <c r="C751" s="118">
        <f>INDIRECT("'Закуп'!A" &amp; B751)</f>
        <v/>
      </c>
      <c r="D751" s="119">
        <f>C751*1.2</f>
        <v/>
      </c>
      <c r="G751" s="172">
        <f>IF(INDIRECT("'Закуп'!L" &amp; B751)="Sale","Sale","")</f>
        <v/>
      </c>
      <c r="H751" s="158">
        <f>IF(INDIRECT("'Закуп'!F" &amp; B751)=0,"",INDIRECT("'Закуп'!F" &amp; B751))</f>
        <v/>
      </c>
      <c r="I751" s="120" t="n">
        <v>1000</v>
      </c>
      <c r="J751" s="121">
        <f>K751/1.2</f>
        <v/>
      </c>
      <c r="K751" s="70" t="n">
        <v>0.65</v>
      </c>
      <c r="L751" s="122">
        <f>J751-C751-(J751-C751)*0.2</f>
        <v/>
      </c>
      <c r="M751" s="123">
        <f>L751*I751</f>
        <v/>
      </c>
      <c r="N751" s="124" t="inlineStr">
        <is>
          <t xml:space="preserve">1000 + шт - </t>
        </is>
      </c>
      <c r="O751" s="47" t="inlineStr">
        <is>
          <t xml:space="preserve"> руб / шт с НДС</t>
        </is>
      </c>
      <c r="P751" s="125">
        <f>ROUND(K751,2)</f>
        <v/>
      </c>
      <c r="Q751" s="207">
        <f>CONCATENATE(N751,P751,O751,)</f>
        <v/>
      </c>
      <c r="R751" s="240" t="n"/>
      <c r="T751" s="241" t="n"/>
      <c r="U751" s="240" t="n"/>
      <c r="V751" s="241" t="n"/>
      <c r="Z751" s="240" t="n"/>
      <c r="AB751" s="241" t="n"/>
      <c r="AC751" s="240" t="n"/>
      <c r="AD751" s="241" t="n"/>
    </row>
    <row r="752">
      <c r="A752" s="232" t="n">
        <v>152</v>
      </c>
      <c r="B752" s="42" t="n">
        <v>152</v>
      </c>
      <c r="C752" s="118">
        <f>INDIRECT("'Закуп'!A" &amp; B752)</f>
        <v/>
      </c>
      <c r="D752" s="119">
        <f>C752*1.2</f>
        <v/>
      </c>
      <c r="E752" s="224">
        <f>INDIRECT("'Закуп'!D" &amp; A752)</f>
        <v/>
      </c>
      <c r="F752" s="231">
        <f>INDIRECT("'Закуп'!E" &amp; B752)</f>
        <v/>
      </c>
      <c r="G752" s="172">
        <f>IF(INDIRECT("'Закуп'!L" &amp; B752)="Sale","Sale","")</f>
        <v/>
      </c>
      <c r="H752" s="158">
        <f>IF(INDIRECT("'Закуп'!F" &amp; B752)=0,"",INDIRECT("'Закуп'!F" &amp; B752))</f>
        <v/>
      </c>
      <c r="I752" s="120" t="n">
        <v>50</v>
      </c>
      <c r="J752" s="121">
        <f>K752/1.2</f>
        <v/>
      </c>
      <c r="K752" s="242" t="n">
        <v>3.18</v>
      </c>
      <c r="L752" s="122">
        <f>J752-C752-(J752-C752)*0.2</f>
        <v/>
      </c>
      <c r="M752" s="123">
        <f>L752*I752</f>
        <v/>
      </c>
      <c r="N752" s="124" t="inlineStr">
        <is>
          <t xml:space="preserve">50-90 шт - </t>
        </is>
      </c>
      <c r="O752" s="47" t="inlineStr">
        <is>
          <t xml:space="preserve"> руб / шт с НДС</t>
        </is>
      </c>
      <c r="P752" s="125">
        <f>ROUND(K752,2)</f>
        <v/>
      </c>
      <c r="Q752" s="207">
        <f>CONCATENATE(N752,P752,O752,)</f>
        <v/>
      </c>
      <c r="R752" s="235">
        <f>INDIRECT("'Закуп'!k" &amp; A752)</f>
        <v/>
      </c>
      <c r="S752" s="239">
        <f>INDIRECT("'Закуп'!o" &amp; A752)</f>
        <v/>
      </c>
      <c r="T752" s="226">
        <f>INDIRECT("'Закуп'!p" &amp; A752)</f>
        <v/>
      </c>
      <c r="U752" s="235">
        <f>INDIRECT("'Закуп'!v" &amp; A752)</f>
        <v/>
      </c>
      <c r="V752" s="222">
        <f>INDIRECT("'Закуп'!w" &amp; A752)</f>
        <v/>
      </c>
      <c r="W752" s="229">
        <f>INDIRECT("'Закуп'!H" &amp; A752)</f>
        <v/>
      </c>
      <c r="X752" s="237">
        <f>INDIRECT("'Закуп'!g" &amp; A752)</f>
        <v/>
      </c>
      <c r="Y752" s="229">
        <f>INDIRECT("'Закуп'!i" &amp; A752)</f>
        <v/>
      </c>
      <c r="Z752" s="236">
        <f>INDIRECT("'Закуп'!x" &amp; A752)</f>
        <v/>
      </c>
      <c r="AA752" s="237">
        <f>INDIRECT("'Закуп'!y" &amp; A752)</f>
        <v/>
      </c>
      <c r="AB752" s="238">
        <f>INDIRECT("'Закуп'!z" &amp; A752)</f>
        <v/>
      </c>
      <c r="AC752" s="223">
        <f>SUBSTITUTE(INDEX(F:F, ROUNDUP((ROW(A751))/5,0)*5 - 3), "х", "x")</f>
        <v/>
      </c>
      <c r="AD752" s="222">
        <f>SUBSTITUTE(INDEX(F:F, ROUNDUP((ROW(A751))/5,0)*5 - 3), "х", "x") &amp; " - " &amp; SUBSTITUTE(SUBSTITUTE(INDEX(F:F, ROUNDUP((ROW(A751))/5,0)*5 - 3), "х", "*"), "x", "*") &amp; " мм"</f>
        <v/>
      </c>
      <c r="AE752" t="n">
        <v>4.49</v>
      </c>
    </row>
    <row r="753">
      <c r="B753" s="42" t="n">
        <v>152</v>
      </c>
      <c r="C753" s="118">
        <f>INDIRECT("'Закуп'!A" &amp; B753)</f>
        <v/>
      </c>
      <c r="D753" s="119">
        <f>C753*1.2</f>
        <v/>
      </c>
      <c r="G753" s="172">
        <f>IF(INDIRECT("'Закуп'!L" &amp; B753)="Sale","Sale","")</f>
        <v/>
      </c>
      <c r="H753" s="158">
        <f>IF(INDIRECT("'Закуп'!F" &amp; B753)=0,"",INDIRECT("'Закуп'!F" &amp; B753))</f>
        <v/>
      </c>
      <c r="I753" s="120" t="n">
        <v>100</v>
      </c>
      <c r="J753" s="121">
        <f>K753/1.2</f>
        <v/>
      </c>
      <c r="K753" s="242" t="n">
        <v>2.77</v>
      </c>
      <c r="L753" s="122">
        <f>J753-C753-(J753-C753)*0.2</f>
        <v/>
      </c>
      <c r="M753" s="123">
        <f>L753*I753</f>
        <v/>
      </c>
      <c r="N753" s="124" t="inlineStr">
        <is>
          <t xml:space="preserve">100-290 шт - </t>
        </is>
      </c>
      <c r="O753" s="47" t="inlineStr">
        <is>
          <t xml:space="preserve"> руб / шт с НДС</t>
        </is>
      </c>
      <c r="P753" s="125">
        <f>ROUND(K753,2)</f>
        <v/>
      </c>
      <c r="Q753" s="207">
        <f>CONCATENATE(N753,P753,O753,)</f>
        <v/>
      </c>
      <c r="R753" s="240" t="n"/>
      <c r="T753" s="241" t="n"/>
      <c r="U753" s="240" t="n"/>
      <c r="V753" s="241" t="n"/>
      <c r="Z753" s="240" t="n"/>
      <c r="AB753" s="241" t="n"/>
      <c r="AC753" s="240" t="n"/>
      <c r="AD753" s="241" t="n"/>
      <c r="AE753" t="n">
        <v>3.55</v>
      </c>
    </row>
    <row r="754">
      <c r="B754" s="42" t="n">
        <v>152</v>
      </c>
      <c r="C754" s="118">
        <f>INDIRECT("'Закуп'!A" &amp; B754)</f>
        <v/>
      </c>
      <c r="D754" s="119">
        <f>C754*1.2</f>
        <v/>
      </c>
      <c r="G754" s="172">
        <f>IF(INDIRECT("'Закуп'!L" &amp; B754)="Sale","Sale","")</f>
        <v/>
      </c>
      <c r="H754" s="158">
        <f>IF(INDIRECT("'Закуп'!F" &amp; B754)=0,"",INDIRECT("'Закуп'!F" &amp; B754))</f>
        <v/>
      </c>
      <c r="I754" s="120" t="n">
        <v>300</v>
      </c>
      <c r="J754" s="121">
        <f>K754/1.2</f>
        <v/>
      </c>
      <c r="K754" s="242" t="n">
        <v>2.18</v>
      </c>
      <c r="L754" s="122">
        <f>J754-C754-(J754-C754)*0.2</f>
        <v/>
      </c>
      <c r="M754" s="123">
        <f>L754*I754</f>
        <v/>
      </c>
      <c r="N754" s="124" t="inlineStr">
        <is>
          <t xml:space="preserve">300-490 шт - </t>
        </is>
      </c>
      <c r="O754" s="47" t="inlineStr">
        <is>
          <t xml:space="preserve"> руб / шт с НДС</t>
        </is>
      </c>
      <c r="P754" s="125">
        <f>ROUND(K754,2)</f>
        <v/>
      </c>
      <c r="Q754" s="207">
        <f>CONCATENATE(N754,P754,O754,)</f>
        <v/>
      </c>
      <c r="R754" s="240" t="n"/>
      <c r="T754" s="241" t="n"/>
      <c r="U754" s="240" t="n"/>
      <c r="V754" s="241" t="n"/>
      <c r="Z754" s="240" t="n"/>
      <c r="AB754" s="241" t="n"/>
      <c r="AC754" s="240" t="n"/>
      <c r="AD754" s="241" t="n"/>
      <c r="AE754" t="n">
        <v>2.92</v>
      </c>
    </row>
    <row r="755">
      <c r="B755" s="42" t="n">
        <v>152</v>
      </c>
      <c r="C755" s="118">
        <f>INDIRECT("'Закуп'!A" &amp; B755)</f>
        <v/>
      </c>
      <c r="D755" s="119">
        <f>C755*1.2</f>
        <v/>
      </c>
      <c r="G755" s="172">
        <f>IF(INDIRECT("'Закуп'!L" &amp; B755)="Sale","Sale","")</f>
        <v/>
      </c>
      <c r="H755" s="158">
        <f>IF(INDIRECT("'Закуп'!F" &amp; B755)=0,"",INDIRECT("'Закуп'!F" &amp; B755))</f>
        <v/>
      </c>
      <c r="I755" s="120" t="n">
        <v>500</v>
      </c>
      <c r="J755" s="121">
        <f>K755/1.2</f>
        <v/>
      </c>
      <c r="K755" s="242" t="n">
        <v>2.06</v>
      </c>
      <c r="L755" s="122">
        <f>J755-C755-(J755-C755)*0.2</f>
        <v/>
      </c>
      <c r="M755" s="123">
        <f>L755*I755</f>
        <v/>
      </c>
      <c r="N755" s="124" t="inlineStr">
        <is>
          <t xml:space="preserve">500-990 шт - </t>
        </is>
      </c>
      <c r="O755" s="47" t="inlineStr">
        <is>
          <t xml:space="preserve"> руб / шт с НДС</t>
        </is>
      </c>
      <c r="P755" s="125">
        <f>ROUND(K755,2)</f>
        <v/>
      </c>
      <c r="Q755" s="207">
        <f>CONCATENATE(N755,P755,O755,)</f>
        <v/>
      </c>
      <c r="R755" s="240" t="n"/>
      <c r="T755" s="241" t="n"/>
      <c r="U755" s="240" t="n"/>
      <c r="V755" s="241" t="n"/>
      <c r="Z755" s="240" t="n"/>
      <c r="AB755" s="241" t="n"/>
      <c r="AC755" s="240" t="n"/>
      <c r="AD755" s="241" t="n"/>
      <c r="AE755" t="n">
        <v>2.84</v>
      </c>
    </row>
    <row r="756">
      <c r="B756" s="42" t="n">
        <v>152</v>
      </c>
      <c r="C756" s="118">
        <f>INDIRECT("'Закуп'!A" &amp; B756)</f>
        <v/>
      </c>
      <c r="D756" s="119">
        <f>C756*1.2</f>
        <v/>
      </c>
      <c r="G756" s="172">
        <f>IF(INDIRECT("'Закуп'!L" &amp; B756)="Sale","Sale","")</f>
        <v/>
      </c>
      <c r="H756" s="158">
        <f>IF(INDIRECT("'Закуп'!F" &amp; B756)=0,"",INDIRECT("'Закуп'!F" &amp; B756))</f>
        <v/>
      </c>
      <c r="I756" s="120" t="n">
        <v>1000</v>
      </c>
      <c r="J756" s="121">
        <f>K756/1.2</f>
        <v/>
      </c>
      <c r="K756" s="242" t="n">
        <v>2</v>
      </c>
      <c r="L756" s="122">
        <f>J756-C756-(J756-C756)*0.2</f>
        <v/>
      </c>
      <c r="M756" s="123">
        <f>L756*I756</f>
        <v/>
      </c>
      <c r="N756" s="124" t="inlineStr">
        <is>
          <t xml:space="preserve">1000 + шт - </t>
        </is>
      </c>
      <c r="O756" s="47" t="inlineStr">
        <is>
          <t xml:space="preserve"> руб / шт с НДС</t>
        </is>
      </c>
      <c r="P756" s="125">
        <f>ROUND(K756,2)</f>
        <v/>
      </c>
      <c r="Q756" s="207">
        <f>CONCATENATE(N756,P756,O756,)</f>
        <v/>
      </c>
      <c r="R756" s="240" t="n"/>
      <c r="T756" s="241" t="n"/>
      <c r="U756" s="240" t="n"/>
      <c r="V756" s="241" t="n"/>
      <c r="Z756" s="240" t="n"/>
      <c r="AB756" s="241" t="n"/>
      <c r="AC756" s="240" t="n"/>
      <c r="AD756" s="241" t="n"/>
      <c r="AE756" t="n">
        <v>2.74</v>
      </c>
    </row>
    <row r="757">
      <c r="A757" s="232" t="n">
        <v>153</v>
      </c>
      <c r="B757" s="42" t="n">
        <v>153</v>
      </c>
      <c r="C757" s="118">
        <f>INDIRECT("'Закуп'!A" &amp; B757)</f>
        <v/>
      </c>
      <c r="D757" s="119">
        <f>C757*1.2</f>
        <v/>
      </c>
      <c r="E757" s="224">
        <f>INDIRECT("'Закуп'!D" &amp; A757)</f>
        <v/>
      </c>
      <c r="F757" s="231">
        <f>INDIRECT("'Закуп'!E" &amp; B757)</f>
        <v/>
      </c>
      <c r="G757" s="172">
        <f>IF(INDIRECT("'Закуп'!L" &amp; B757)="Sale","Sale","")</f>
        <v/>
      </c>
      <c r="H757" s="158">
        <f>IF(INDIRECT("'Закуп'!F" &amp; B757)=0,"",INDIRECT("'Закуп'!F" &amp; B757))</f>
        <v/>
      </c>
      <c r="I757" s="120" t="n">
        <v>50</v>
      </c>
      <c r="J757" s="121">
        <f>K757/1.2</f>
        <v/>
      </c>
      <c r="K757" s="242" t="n">
        <v>1.26</v>
      </c>
      <c r="L757" s="122">
        <f>J757-C757-(J757-C757)*0.2</f>
        <v/>
      </c>
      <c r="M757" s="123">
        <f>L757*I757</f>
        <v/>
      </c>
      <c r="N757" s="124" t="inlineStr">
        <is>
          <t xml:space="preserve">50-90 шт - </t>
        </is>
      </c>
      <c r="O757" s="47" t="inlineStr">
        <is>
          <t xml:space="preserve"> руб / шт с НДС</t>
        </is>
      </c>
      <c r="P757" s="125">
        <f>ROUND(K757,2)</f>
        <v/>
      </c>
      <c r="Q757" s="207">
        <f>CONCATENATE(N757,P757,O757,)</f>
        <v/>
      </c>
      <c r="R757" s="235">
        <f>INDIRECT("'Закуп'!k" &amp; A757)</f>
        <v/>
      </c>
      <c r="S757" s="239">
        <f>INDIRECT("'Закуп'!o" &amp; A757)</f>
        <v/>
      </c>
      <c r="T757" s="226">
        <f>INDIRECT("'Закуп'!p" &amp; A757)</f>
        <v/>
      </c>
      <c r="U757" s="235">
        <f>INDIRECT("'Закуп'!v" &amp; A757)</f>
        <v/>
      </c>
      <c r="V757" s="222">
        <f>INDIRECT("'Закуп'!w" &amp; A757)</f>
        <v/>
      </c>
      <c r="W757" s="229">
        <f>INDIRECT("'Закуп'!H" &amp; A757)</f>
        <v/>
      </c>
      <c r="X757" s="237">
        <f>INDIRECT("'Закуп'!g" &amp; A757)</f>
        <v/>
      </c>
      <c r="Y757" s="229">
        <f>INDIRECT("'Закуп'!i" &amp; A757)</f>
        <v/>
      </c>
      <c r="Z757" s="236">
        <f>INDIRECT("'Закуп'!x" &amp; A757)</f>
        <v/>
      </c>
      <c r="AA757" s="237">
        <f>INDIRECT("'Закуп'!y" &amp; A757)</f>
        <v/>
      </c>
      <c r="AB757" s="238">
        <f>INDIRECT("'Закуп'!z" &amp; A757)</f>
        <v/>
      </c>
      <c r="AC757" s="223">
        <f>SUBSTITUTE(INDEX(F:F, ROUNDUP((ROW(A756))/5,0)*5 - 3), "х", "x")</f>
        <v/>
      </c>
      <c r="AD757" s="222">
        <f>SUBSTITUTE(INDEX(F:F, ROUNDUP((ROW(A756))/5,0)*5 - 3), "х", "x") &amp; " - " &amp; SUBSTITUTE(SUBSTITUTE(INDEX(F:F, ROUNDUP((ROW(A756))/5,0)*5 - 3), "х", "*"), "x", "*") &amp; " мм"</f>
        <v/>
      </c>
      <c r="AE757" t="n">
        <v>1.93</v>
      </c>
    </row>
    <row r="758">
      <c r="B758" s="42" t="n">
        <v>153</v>
      </c>
      <c r="C758" s="118">
        <f>INDIRECT("'Закуп'!A" &amp; B758)</f>
        <v/>
      </c>
      <c r="D758" s="119">
        <f>C758*1.2</f>
        <v/>
      </c>
      <c r="G758" s="172">
        <f>IF(INDIRECT("'Закуп'!L" &amp; B758)="Sale","Sale","")</f>
        <v/>
      </c>
      <c r="H758" s="158">
        <f>IF(INDIRECT("'Закуп'!F" &amp; B758)=0,"",INDIRECT("'Закуп'!F" &amp; B758))</f>
        <v/>
      </c>
      <c r="I758" s="120" t="n">
        <v>100</v>
      </c>
      <c r="J758" s="121">
        <f>K758/1.2</f>
        <v/>
      </c>
      <c r="K758" s="242" t="n">
        <v>1.07</v>
      </c>
      <c r="L758" s="122">
        <f>J758-C758-(J758-C758)*0.2</f>
        <v/>
      </c>
      <c r="M758" s="123">
        <f>L758*I758</f>
        <v/>
      </c>
      <c r="N758" s="124" t="inlineStr">
        <is>
          <t xml:space="preserve">100-290 шт - </t>
        </is>
      </c>
      <c r="O758" s="47" t="inlineStr">
        <is>
          <t xml:space="preserve"> руб / шт с НДС</t>
        </is>
      </c>
      <c r="P758" s="125">
        <f>ROUND(K758,2)</f>
        <v/>
      </c>
      <c r="Q758" s="207">
        <f>CONCATENATE(N758,P758,O758,)</f>
        <v/>
      </c>
      <c r="R758" s="240" t="n"/>
      <c r="T758" s="241" t="n"/>
      <c r="U758" s="240" t="n"/>
      <c r="V758" s="241" t="n"/>
      <c r="Z758" s="240" t="n"/>
      <c r="AB758" s="241" t="n"/>
      <c r="AC758" s="240" t="n"/>
      <c r="AD758" s="241" t="n"/>
      <c r="AE758" t="n">
        <v>1.74</v>
      </c>
    </row>
    <row r="759">
      <c r="B759" s="42" t="n">
        <v>153</v>
      </c>
      <c r="C759" s="118">
        <f>INDIRECT("'Закуп'!A" &amp; B759)</f>
        <v/>
      </c>
      <c r="D759" s="119">
        <f>C759*1.2</f>
        <v/>
      </c>
      <c r="G759" s="172">
        <f>IF(INDIRECT("'Закуп'!L" &amp; B759)="Sale","Sale","")</f>
        <v/>
      </c>
      <c r="H759" s="158">
        <f>IF(INDIRECT("'Закуп'!F" &amp; B759)=0,"",INDIRECT("'Закуп'!F" &amp; B759))</f>
        <v/>
      </c>
      <c r="I759" s="120" t="n">
        <v>300</v>
      </c>
      <c r="J759" s="121">
        <f>K759/1.2</f>
        <v/>
      </c>
      <c r="K759" s="242" t="n">
        <v>1.01</v>
      </c>
      <c r="L759" s="122">
        <f>J759-C759-(J759-C759)*0.2</f>
        <v/>
      </c>
      <c r="M759" s="123">
        <f>L759*I759</f>
        <v/>
      </c>
      <c r="N759" s="124" t="inlineStr">
        <is>
          <t xml:space="preserve">300-490 шт - </t>
        </is>
      </c>
      <c r="O759" s="47" t="inlineStr">
        <is>
          <t xml:space="preserve"> руб / шт с НДС</t>
        </is>
      </c>
      <c r="P759" s="125">
        <f>ROUND(K759,2)</f>
        <v/>
      </c>
      <c r="Q759" s="207">
        <f>CONCATENATE(N759,P759,O759,)</f>
        <v/>
      </c>
      <c r="R759" s="240" t="n"/>
      <c r="T759" s="241" t="n"/>
      <c r="U759" s="240" t="n"/>
      <c r="V759" s="241" t="n"/>
      <c r="Z759" s="240" t="n"/>
      <c r="AB759" s="241" t="n"/>
      <c r="AC759" s="240" t="n"/>
      <c r="AD759" s="241" t="n"/>
      <c r="AE759" t="n">
        <v>1.38</v>
      </c>
    </row>
    <row r="760">
      <c r="B760" s="42" t="n">
        <v>153</v>
      </c>
      <c r="C760" s="118">
        <f>INDIRECT("'Закуп'!A" &amp; B760)</f>
        <v/>
      </c>
      <c r="D760" s="119">
        <f>C760*1.2</f>
        <v/>
      </c>
      <c r="G760" s="172">
        <f>IF(INDIRECT("'Закуп'!L" &amp; B760)="Sale","Sale","")</f>
        <v/>
      </c>
      <c r="H760" s="158">
        <f>IF(INDIRECT("'Закуп'!F" &amp; B760)=0,"",INDIRECT("'Закуп'!F" &amp; B760))</f>
        <v/>
      </c>
      <c r="I760" s="120" t="n">
        <v>500</v>
      </c>
      <c r="J760" s="121">
        <f>K760/1.2</f>
        <v/>
      </c>
      <c r="K760" s="242" t="n">
        <v>0.96</v>
      </c>
      <c r="L760" s="122">
        <f>J760-C760-(J760-C760)*0.2</f>
        <v/>
      </c>
      <c r="M760" s="123">
        <f>L760*I760</f>
        <v/>
      </c>
      <c r="N760" s="124" t="inlineStr">
        <is>
          <t xml:space="preserve">500-990 шт - </t>
        </is>
      </c>
      <c r="O760" s="47" t="inlineStr">
        <is>
          <t xml:space="preserve"> руб / шт с НДС</t>
        </is>
      </c>
      <c r="P760" s="125">
        <f>ROUND(K760,2)</f>
        <v/>
      </c>
      <c r="Q760" s="207">
        <f>CONCATENATE(N760,P760,O760,)</f>
        <v/>
      </c>
      <c r="R760" s="240" t="n"/>
      <c r="T760" s="241" t="n"/>
      <c r="U760" s="240" t="n"/>
      <c r="V760" s="241" t="n"/>
      <c r="Z760" s="240" t="n"/>
      <c r="AB760" s="241" t="n"/>
      <c r="AC760" s="240" t="n"/>
      <c r="AD760" s="241" t="n"/>
      <c r="AE760" t="n">
        <v>1.29</v>
      </c>
    </row>
    <row r="761">
      <c r="B761" s="42" t="n">
        <v>153</v>
      </c>
      <c r="C761" s="118">
        <f>INDIRECT("'Закуп'!A" &amp; B761)</f>
        <v/>
      </c>
      <c r="D761" s="119">
        <f>C761*1.2</f>
        <v/>
      </c>
      <c r="G761" s="172">
        <f>IF(INDIRECT("'Закуп'!L" &amp; B761)="Sale","Sale","")</f>
        <v/>
      </c>
      <c r="H761" s="158">
        <f>IF(INDIRECT("'Закуп'!F" &amp; B761)=0,"",INDIRECT("'Закуп'!F" &amp; B761))</f>
        <v/>
      </c>
      <c r="I761" s="120" t="n">
        <v>1000</v>
      </c>
      <c r="J761" s="121">
        <f>K761/1.2</f>
        <v/>
      </c>
      <c r="K761" s="242" t="n">
        <v>0.9</v>
      </c>
      <c r="L761" s="122">
        <f>J761-C761-(J761-C761)*0.2</f>
        <v/>
      </c>
      <c r="M761" s="123">
        <f>L761*I761</f>
        <v/>
      </c>
      <c r="N761" s="124" t="inlineStr">
        <is>
          <t xml:space="preserve">1000 + шт - </t>
        </is>
      </c>
      <c r="O761" s="47" t="inlineStr">
        <is>
          <t xml:space="preserve"> руб / шт с НДС</t>
        </is>
      </c>
      <c r="P761" s="125">
        <f>ROUND(K761,2)</f>
        <v/>
      </c>
      <c r="Q761" s="207">
        <f>CONCATENATE(N761,P761,O761,)</f>
        <v/>
      </c>
      <c r="R761" s="240" t="n"/>
      <c r="T761" s="241" t="n"/>
      <c r="U761" s="240" t="n"/>
      <c r="V761" s="241" t="n"/>
      <c r="Z761" s="240" t="n"/>
      <c r="AB761" s="241" t="n"/>
      <c r="AC761" s="240" t="n"/>
      <c r="AD761" s="241" t="n"/>
      <c r="AE761" t="n">
        <v>1.13</v>
      </c>
    </row>
    <row r="762">
      <c r="A762" s="232" t="n">
        <v>154</v>
      </c>
      <c r="B762" s="42" t="n">
        <v>154</v>
      </c>
      <c r="C762" s="118">
        <f>INDIRECT("'Закуп'!A" &amp; B762)</f>
        <v/>
      </c>
      <c r="D762" s="119">
        <f>C762*1.2</f>
        <v/>
      </c>
      <c r="E762" s="224">
        <f>INDIRECT("'Закуп'!D" &amp; A762)</f>
        <v/>
      </c>
      <c r="F762" s="231">
        <f>INDIRECT("'Закуп'!E" &amp; B762)</f>
        <v/>
      </c>
      <c r="G762" s="172">
        <f>IF(INDIRECT("'Закуп'!L" &amp; B762)="Sale","Sale","")</f>
        <v/>
      </c>
      <c r="H762" s="158">
        <f>IF(INDIRECT("'Закуп'!F" &amp; B762)=0,"",INDIRECT("'Закуп'!F" &amp; B762))</f>
        <v/>
      </c>
      <c r="I762" s="120" t="n">
        <v>50</v>
      </c>
      <c r="J762" s="121">
        <f>K762/1.2</f>
        <v/>
      </c>
      <c r="K762" s="242" t="n">
        <v>3.28</v>
      </c>
      <c r="L762" s="122">
        <f>J762-C762-(J762-C762)*0.2</f>
        <v/>
      </c>
      <c r="M762" s="123">
        <f>L762*I762</f>
        <v/>
      </c>
      <c r="N762" s="124" t="inlineStr">
        <is>
          <t xml:space="preserve">50-90 шт - </t>
        </is>
      </c>
      <c r="O762" s="47" t="inlineStr">
        <is>
          <t xml:space="preserve"> руб / шт с НДС</t>
        </is>
      </c>
      <c r="P762" s="125">
        <f>ROUND(K762,2)</f>
        <v/>
      </c>
      <c r="Q762" s="207">
        <f>CONCATENATE(N762,P762,O762,)</f>
        <v/>
      </c>
      <c r="R762" s="235">
        <f>INDIRECT("'Закуп'!k" &amp; A762)</f>
        <v/>
      </c>
      <c r="S762" s="239">
        <f>INDIRECT("'Закуп'!o" &amp; A762)</f>
        <v/>
      </c>
      <c r="T762" s="226">
        <f>INDIRECT("'Закуп'!p" &amp; A762)</f>
        <v/>
      </c>
      <c r="U762" s="235">
        <f>INDIRECT("'Закуп'!v" &amp; A762)</f>
        <v/>
      </c>
      <c r="V762" s="222">
        <f>INDIRECT("'Закуп'!w" &amp; A762)</f>
        <v/>
      </c>
      <c r="W762" s="229">
        <f>INDIRECT("'Закуп'!H" &amp; A762)</f>
        <v/>
      </c>
      <c r="X762" s="237">
        <f>INDIRECT("'Закуп'!g" &amp; A762)</f>
        <v/>
      </c>
      <c r="Y762" s="229">
        <f>INDIRECT("'Закуп'!i" &amp; A762)</f>
        <v/>
      </c>
      <c r="Z762" s="236">
        <f>INDIRECT("'Закуп'!x" &amp; A762)</f>
        <v/>
      </c>
      <c r="AA762" s="237">
        <f>INDIRECT("'Закуп'!y" &amp; A762)</f>
        <v/>
      </c>
      <c r="AB762" s="238">
        <f>INDIRECT("'Закуп'!z" &amp; A762)</f>
        <v/>
      </c>
      <c r="AC762" s="223">
        <f>SUBSTITUTE(INDEX(F:F, ROUNDUP((ROW(A761))/5,0)*5 - 3), "х", "x")</f>
        <v/>
      </c>
      <c r="AD762" s="222">
        <f>SUBSTITUTE(INDEX(F:F, ROUNDUP((ROW(A761))/5,0)*5 - 3), "х", "x") &amp; " - " &amp; SUBSTITUTE(SUBSTITUTE(INDEX(F:F, ROUNDUP((ROW(A761))/5,0)*5 - 3), "х", "*"), "x", "*") &amp; " мм"</f>
        <v/>
      </c>
      <c r="AE762" t="n">
        <v>4.48</v>
      </c>
    </row>
    <row r="763">
      <c r="B763" s="42" t="n">
        <v>154</v>
      </c>
      <c r="C763" s="118">
        <f>INDIRECT("'Закуп'!A" &amp; B763)</f>
        <v/>
      </c>
      <c r="D763" s="119">
        <f>C763*1.2</f>
        <v/>
      </c>
      <c r="G763" s="172">
        <f>IF(INDIRECT("'Закуп'!L" &amp; B763)="Sale","Sale","")</f>
        <v/>
      </c>
      <c r="H763" s="158">
        <f>IF(INDIRECT("'Закуп'!F" &amp; B763)=0,"",INDIRECT("'Закуп'!F" &amp; B763))</f>
        <v/>
      </c>
      <c r="I763" s="120" t="n">
        <v>100</v>
      </c>
      <c r="J763" s="121">
        <f>K763/1.2</f>
        <v/>
      </c>
      <c r="K763" s="242" t="n">
        <v>2.79</v>
      </c>
      <c r="L763" s="122">
        <f>J763-C763-(J763-C763)*0.2</f>
        <v/>
      </c>
      <c r="M763" s="123">
        <f>L763*I763</f>
        <v/>
      </c>
      <c r="N763" s="124" t="inlineStr">
        <is>
          <t xml:space="preserve">100-290 шт - </t>
        </is>
      </c>
      <c r="O763" s="47" t="inlineStr">
        <is>
          <t xml:space="preserve"> руб / шт с НДС</t>
        </is>
      </c>
      <c r="P763" s="125">
        <f>ROUND(K763,2)</f>
        <v/>
      </c>
      <c r="Q763" s="207">
        <f>CONCATENATE(N763,P763,O763,)</f>
        <v/>
      </c>
      <c r="R763" s="240" t="n"/>
      <c r="T763" s="241" t="n"/>
      <c r="U763" s="240" t="n"/>
      <c r="V763" s="241" t="n"/>
      <c r="Z763" s="240" t="n"/>
      <c r="AB763" s="241" t="n"/>
      <c r="AC763" s="240" t="n"/>
      <c r="AD763" s="241" t="n"/>
      <c r="AE763" t="n">
        <v>4.37</v>
      </c>
    </row>
    <row r="764">
      <c r="B764" s="42" t="n">
        <v>154</v>
      </c>
      <c r="C764" s="118">
        <f>INDIRECT("'Закуп'!A" &amp; B764)</f>
        <v/>
      </c>
      <c r="D764" s="119">
        <f>C764*1.2</f>
        <v/>
      </c>
      <c r="G764" s="172">
        <f>IF(INDIRECT("'Закуп'!L" &amp; B764)="Sale","Sale","")</f>
        <v/>
      </c>
      <c r="H764" s="158">
        <f>IF(INDIRECT("'Закуп'!F" &amp; B764)=0,"",INDIRECT("'Закуп'!F" &amp; B764))</f>
        <v/>
      </c>
      <c r="I764" s="120" t="n">
        <v>300</v>
      </c>
      <c r="J764" s="121">
        <f>K764/1.2</f>
        <v/>
      </c>
      <c r="K764" s="242" t="n">
        <v>2.63</v>
      </c>
      <c r="L764" s="122">
        <f>J764-C764-(J764-C764)*0.2</f>
        <v/>
      </c>
      <c r="M764" s="123">
        <f>L764*I764</f>
        <v/>
      </c>
      <c r="N764" s="124" t="inlineStr">
        <is>
          <t xml:space="preserve">300-490 шт - </t>
        </is>
      </c>
      <c r="O764" s="47" t="inlineStr">
        <is>
          <t xml:space="preserve"> руб / шт с НДС</t>
        </is>
      </c>
      <c r="P764" s="125">
        <f>ROUND(K764,2)</f>
        <v/>
      </c>
      <c r="Q764" s="207">
        <f>CONCATENATE(N764,P764,O764,)</f>
        <v/>
      </c>
      <c r="R764" s="240" t="n"/>
      <c r="T764" s="241" t="n"/>
      <c r="U764" s="240" t="n"/>
      <c r="V764" s="241" t="n"/>
      <c r="Z764" s="240" t="n"/>
      <c r="AB764" s="241" t="n"/>
      <c r="AC764" s="240" t="n"/>
      <c r="AD764" s="241" t="n"/>
      <c r="AE764" t="n">
        <v>3.58</v>
      </c>
    </row>
    <row r="765">
      <c r="B765" s="42" t="n">
        <v>154</v>
      </c>
      <c r="C765" s="118">
        <f>INDIRECT("'Закуп'!A" &amp; B765)</f>
        <v/>
      </c>
      <c r="D765" s="119">
        <f>C765*1.2</f>
        <v/>
      </c>
      <c r="G765" s="172">
        <f>IF(INDIRECT("'Закуп'!L" &amp; B765)="Sale","Sale","")</f>
        <v/>
      </c>
      <c r="H765" s="158">
        <f>IF(INDIRECT("'Закуп'!F" &amp; B765)=0,"",INDIRECT("'Закуп'!F" &amp; B765))</f>
        <v/>
      </c>
      <c r="I765" s="120" t="n">
        <v>500</v>
      </c>
      <c r="J765" s="121">
        <f>K765/1.2</f>
        <v/>
      </c>
      <c r="K765" s="242" t="n">
        <v>2.49</v>
      </c>
      <c r="L765" s="122">
        <f>J765-C765-(J765-C765)*0.2</f>
        <v/>
      </c>
      <c r="M765" s="123">
        <f>L765*I765</f>
        <v/>
      </c>
      <c r="N765" s="124" t="inlineStr">
        <is>
          <t xml:space="preserve">500-990 шт - </t>
        </is>
      </c>
      <c r="O765" s="47" t="inlineStr">
        <is>
          <t xml:space="preserve"> руб / шт с НДС</t>
        </is>
      </c>
      <c r="P765" s="125">
        <f>ROUND(K765,2)</f>
        <v/>
      </c>
      <c r="Q765" s="207">
        <f>CONCATENATE(N765,P765,O765,)</f>
        <v/>
      </c>
      <c r="R765" s="240" t="n"/>
      <c r="T765" s="241" t="n"/>
      <c r="U765" s="240" t="n"/>
      <c r="V765" s="241" t="n"/>
      <c r="Z765" s="240" t="n"/>
      <c r="AB765" s="241" t="n"/>
      <c r="AC765" s="240" t="n"/>
      <c r="AD765" s="241" t="n"/>
      <c r="AE765" t="n">
        <v>3.53</v>
      </c>
    </row>
    <row r="766">
      <c r="B766" s="42" t="n">
        <v>154</v>
      </c>
      <c r="C766" s="118">
        <f>INDIRECT("'Закуп'!A" &amp; B766)</f>
        <v/>
      </c>
      <c r="D766" s="119">
        <f>C766*1.2</f>
        <v/>
      </c>
      <c r="G766" s="172">
        <f>IF(INDIRECT("'Закуп'!L" &amp; B766)="Sale","Sale","")</f>
        <v/>
      </c>
      <c r="H766" s="158">
        <f>IF(INDIRECT("'Закуп'!F" &amp; B766)=0,"",INDIRECT("'Закуп'!F" &amp; B766))</f>
        <v/>
      </c>
      <c r="I766" s="120" t="n">
        <v>1000</v>
      </c>
      <c r="J766" s="121">
        <f>K766/1.2</f>
        <v/>
      </c>
      <c r="K766" s="242" t="n">
        <v>2.41</v>
      </c>
      <c r="L766" s="122">
        <f>J766-C766-(J766-C766)*0.2</f>
        <v/>
      </c>
      <c r="M766" s="123">
        <f>L766*I766</f>
        <v/>
      </c>
      <c r="N766" s="124" t="inlineStr">
        <is>
          <t xml:space="preserve">1000 + шт - </t>
        </is>
      </c>
      <c r="O766" s="47" t="inlineStr">
        <is>
          <t xml:space="preserve"> руб / шт с НДС</t>
        </is>
      </c>
      <c r="P766" s="125">
        <f>ROUND(K766,2)</f>
        <v/>
      </c>
      <c r="Q766" s="207">
        <f>CONCATENATE(N766,P766,O766,)</f>
        <v/>
      </c>
      <c r="R766" s="240" t="n"/>
      <c r="T766" s="241" t="n"/>
      <c r="U766" s="240" t="n"/>
      <c r="V766" s="241" t="n"/>
      <c r="Z766" s="240" t="n"/>
      <c r="AB766" s="241" t="n"/>
      <c r="AC766" s="240" t="n"/>
      <c r="AD766" s="241" t="n"/>
      <c r="AE766" t="n">
        <v>3.41</v>
      </c>
    </row>
    <row r="767">
      <c r="A767" s="232" t="n">
        <v>155</v>
      </c>
      <c r="B767" s="42" t="n">
        <v>155</v>
      </c>
      <c r="C767" s="118">
        <f>INDIRECT("'Закуп'!A" &amp; B767)</f>
        <v/>
      </c>
      <c r="D767" s="119">
        <f>C767*1.2</f>
        <v/>
      </c>
      <c r="E767" s="224">
        <f>INDIRECT("'Закуп'!D" &amp; A767)</f>
        <v/>
      </c>
      <c r="F767" s="231">
        <f>INDIRECT("'Закуп'!E" &amp; B767)</f>
        <v/>
      </c>
      <c r="G767" s="172">
        <f>IF(INDIRECT("'Закуп'!L" &amp; B767)="Sale","Sale","")</f>
        <v/>
      </c>
      <c r="H767" s="158">
        <f>IF(INDIRECT("'Закуп'!F" &amp; B767)=0,"",INDIRECT("'Закуп'!F" &amp; B767))</f>
        <v/>
      </c>
      <c r="I767" s="120" t="n">
        <v>50</v>
      </c>
      <c r="J767" s="121">
        <f>K767/1.2</f>
        <v/>
      </c>
      <c r="K767" s="242" t="n">
        <v>1.41</v>
      </c>
      <c r="L767" s="122">
        <f>J767-C767-(J767-C767)*0.2</f>
        <v/>
      </c>
      <c r="M767" s="123">
        <f>L767*I767</f>
        <v/>
      </c>
      <c r="N767" s="124" t="inlineStr">
        <is>
          <t xml:space="preserve">50-90 шт - </t>
        </is>
      </c>
      <c r="O767" s="47" t="inlineStr">
        <is>
          <t xml:space="preserve"> руб / шт с НДС</t>
        </is>
      </c>
      <c r="P767" s="125">
        <f>ROUND(K767,2)</f>
        <v/>
      </c>
      <c r="Q767" s="207">
        <f>CONCATENATE(N767,P767,O767,)</f>
        <v/>
      </c>
      <c r="R767" s="235">
        <f>INDIRECT("'Закуп'!k" &amp; A767)</f>
        <v/>
      </c>
      <c r="S767" s="239">
        <f>INDIRECT("'Закуп'!o" &amp; A767)</f>
        <v/>
      </c>
      <c r="T767" s="226">
        <f>INDIRECT("'Закуп'!p" &amp; A767)</f>
        <v/>
      </c>
      <c r="U767" s="235">
        <f>INDIRECT("'Закуп'!v" &amp; A767)</f>
        <v/>
      </c>
      <c r="V767" s="222">
        <f>INDIRECT("'Закуп'!w" &amp; A767)</f>
        <v/>
      </c>
      <c r="W767" s="229">
        <f>INDIRECT("'Закуп'!H" &amp; A767)</f>
        <v/>
      </c>
      <c r="X767" s="237">
        <f>INDIRECT("'Закуп'!g" &amp; A767)</f>
        <v/>
      </c>
      <c r="Y767" s="229">
        <f>INDIRECT("'Закуп'!i" &amp; A767)</f>
        <v/>
      </c>
      <c r="Z767" s="236">
        <f>INDIRECT("'Закуп'!x" &amp; A767)</f>
        <v/>
      </c>
      <c r="AA767" s="237">
        <f>INDIRECT("'Закуп'!y" &amp; A767)</f>
        <v/>
      </c>
      <c r="AB767" s="238">
        <f>INDIRECT("'Закуп'!z" &amp; A767)</f>
        <v/>
      </c>
      <c r="AC767" s="223">
        <f>SUBSTITUTE(INDEX(F:F, ROUNDUP((ROW(A766))/5,0)*5 - 3), "х", "x")</f>
        <v/>
      </c>
      <c r="AD767" s="222">
        <f>SUBSTITUTE(INDEX(F:F, ROUNDUP((ROW(A766))/5,0)*5 - 3), "х", "x") &amp; " - " &amp; SUBSTITUTE(SUBSTITUTE(INDEX(F:F, ROUNDUP((ROW(A766))/5,0)*5 - 3), "х", "*"), "x", "*") &amp; " мм"</f>
        <v/>
      </c>
      <c r="AE767" t="n">
        <v>1.81</v>
      </c>
    </row>
    <row r="768">
      <c r="B768" s="42" t="n">
        <v>155</v>
      </c>
      <c r="C768" s="118">
        <f>INDIRECT("'Закуп'!A" &amp; B768)</f>
        <v/>
      </c>
      <c r="D768" s="119">
        <f>C768*1.2</f>
        <v/>
      </c>
      <c r="G768" s="172">
        <f>IF(INDIRECT("'Закуп'!L" &amp; B768)="Sale","Sale","")</f>
        <v/>
      </c>
      <c r="H768" s="158">
        <f>IF(INDIRECT("'Закуп'!F" &amp; B768)=0,"",INDIRECT("'Закуп'!F" &amp; B768))</f>
        <v/>
      </c>
      <c r="I768" s="120" t="n">
        <v>100</v>
      </c>
      <c r="J768" s="121">
        <f>K768/1.2</f>
        <v/>
      </c>
      <c r="K768" s="242" t="n">
        <v>1.21</v>
      </c>
      <c r="L768" s="122">
        <f>J768-C768-(J768-C768)*0.2</f>
        <v/>
      </c>
      <c r="M768" s="123">
        <f>L768*I768</f>
        <v/>
      </c>
      <c r="N768" s="124" t="inlineStr">
        <is>
          <t xml:space="preserve">100-290 шт - </t>
        </is>
      </c>
      <c r="O768" s="47" t="inlineStr">
        <is>
          <t xml:space="preserve"> руб / шт с НДС</t>
        </is>
      </c>
      <c r="P768" s="125">
        <f>ROUND(K768,2)</f>
        <v/>
      </c>
      <c r="Q768" s="207">
        <f>CONCATENATE(N768,P768,O768,)</f>
        <v/>
      </c>
      <c r="R768" s="240" t="n"/>
      <c r="T768" s="241" t="n"/>
      <c r="U768" s="240" t="n"/>
      <c r="V768" s="241" t="n"/>
      <c r="Z768" s="240" t="n"/>
      <c r="AB768" s="241" t="n"/>
      <c r="AC768" s="240" t="n"/>
      <c r="AD768" s="241" t="n"/>
      <c r="AE768" t="n">
        <v>1.65</v>
      </c>
    </row>
    <row r="769">
      <c r="B769" s="42" t="n">
        <v>155</v>
      </c>
      <c r="C769" s="118">
        <f>INDIRECT("'Закуп'!A" &amp; B769)</f>
        <v/>
      </c>
      <c r="D769" s="119">
        <f>C769*1.2</f>
        <v/>
      </c>
      <c r="G769" s="172">
        <f>IF(INDIRECT("'Закуп'!L" &amp; B769)="Sale","Sale","")</f>
        <v/>
      </c>
      <c r="H769" s="158">
        <f>IF(INDIRECT("'Закуп'!F" &amp; B769)=0,"",INDIRECT("'Закуп'!F" &amp; B769))</f>
        <v/>
      </c>
      <c r="I769" s="120" t="n">
        <v>300</v>
      </c>
      <c r="J769" s="121">
        <f>K769/1.2</f>
        <v/>
      </c>
      <c r="K769" s="242" t="n">
        <v>1.14</v>
      </c>
      <c r="L769" s="122">
        <f>J769-C769-(J769-C769)*0.2</f>
        <v/>
      </c>
      <c r="M769" s="123">
        <f>L769*I769</f>
        <v/>
      </c>
      <c r="N769" s="124" t="inlineStr">
        <is>
          <t xml:space="preserve">300-490 шт - </t>
        </is>
      </c>
      <c r="O769" s="47" t="inlineStr">
        <is>
          <t xml:space="preserve"> руб / шт с НДС</t>
        </is>
      </c>
      <c r="P769" s="125">
        <f>ROUND(K769,2)</f>
        <v/>
      </c>
      <c r="Q769" s="207">
        <f>CONCATENATE(N769,P769,O769,)</f>
        <v/>
      </c>
      <c r="R769" s="240" t="n"/>
      <c r="T769" s="241" t="n"/>
      <c r="U769" s="240" t="n"/>
      <c r="V769" s="241" t="n"/>
      <c r="Z769" s="240" t="n"/>
      <c r="AB769" s="241" t="n"/>
      <c r="AC769" s="240" t="n"/>
      <c r="AD769" s="241" t="n"/>
      <c r="AE769" t="n">
        <v>1.5</v>
      </c>
    </row>
    <row r="770">
      <c r="B770" s="42" t="n">
        <v>155</v>
      </c>
      <c r="C770" s="118">
        <f>INDIRECT("'Закуп'!A" &amp; B770)</f>
        <v/>
      </c>
      <c r="D770" s="119">
        <f>C770*1.2</f>
        <v/>
      </c>
      <c r="G770" s="172">
        <f>IF(INDIRECT("'Закуп'!L" &amp; B770)="Sale","Sale","")</f>
        <v/>
      </c>
      <c r="H770" s="158">
        <f>IF(INDIRECT("'Закуп'!F" &amp; B770)=0,"",INDIRECT("'Закуп'!F" &amp; B770))</f>
        <v/>
      </c>
      <c r="I770" s="120" t="n">
        <v>500</v>
      </c>
      <c r="J770" s="121">
        <f>K770/1.2</f>
        <v/>
      </c>
      <c r="K770" s="242" t="n">
        <v>1.08</v>
      </c>
      <c r="L770" s="122">
        <f>J770-C770-(J770-C770)*0.2</f>
        <v/>
      </c>
      <c r="M770" s="123">
        <f>L770*I770</f>
        <v/>
      </c>
      <c r="N770" s="124" t="inlineStr">
        <is>
          <t xml:space="preserve">500-990 шт - </t>
        </is>
      </c>
      <c r="O770" s="47" t="inlineStr">
        <is>
          <t xml:space="preserve"> руб / шт с НДС</t>
        </is>
      </c>
      <c r="P770" s="125">
        <f>ROUND(K770,2)</f>
        <v/>
      </c>
      <c r="Q770" s="207">
        <f>CONCATENATE(N770,P770,O770,)</f>
        <v/>
      </c>
      <c r="R770" s="240" t="n"/>
      <c r="T770" s="241" t="n"/>
      <c r="U770" s="240" t="n"/>
      <c r="V770" s="241" t="n"/>
      <c r="Z770" s="240" t="n"/>
      <c r="AB770" s="241" t="n"/>
      <c r="AC770" s="240" t="n"/>
      <c r="AD770" s="241" t="n"/>
      <c r="AE770" t="n">
        <v>1.39</v>
      </c>
    </row>
    <row r="771">
      <c r="B771" s="42" t="n">
        <v>155</v>
      </c>
      <c r="C771" s="118">
        <f>INDIRECT("'Закуп'!A" &amp; B771)</f>
        <v/>
      </c>
      <c r="D771" s="119">
        <f>C771*1.2</f>
        <v/>
      </c>
      <c r="G771" s="172">
        <f>IF(INDIRECT("'Закуп'!L" &amp; B771)="Sale","Sale","")</f>
        <v/>
      </c>
      <c r="H771" s="158">
        <f>IF(INDIRECT("'Закуп'!F" &amp; B771)=0,"",INDIRECT("'Закуп'!F" &amp; B771))</f>
        <v/>
      </c>
      <c r="I771" s="120" t="n">
        <v>1000</v>
      </c>
      <c r="J771" s="121">
        <f>K771/1.2</f>
        <v/>
      </c>
      <c r="K771" s="242" t="n">
        <v>0.98</v>
      </c>
      <c r="L771" s="122">
        <f>J771-C771-(J771-C771)*0.2</f>
        <v/>
      </c>
      <c r="M771" s="123">
        <f>L771*I771</f>
        <v/>
      </c>
      <c r="N771" s="124" t="inlineStr">
        <is>
          <t xml:space="preserve">1000 + шт - </t>
        </is>
      </c>
      <c r="O771" s="47" t="inlineStr">
        <is>
          <t xml:space="preserve"> руб / шт с НДС</t>
        </is>
      </c>
      <c r="P771" s="125">
        <f>ROUND(K771,2)</f>
        <v/>
      </c>
      <c r="Q771" s="207">
        <f>CONCATENATE(N771,P771,O771,)</f>
        <v/>
      </c>
      <c r="R771" s="240" t="n"/>
      <c r="T771" s="241" t="n"/>
      <c r="U771" s="240" t="n"/>
      <c r="V771" s="241" t="n"/>
      <c r="Z771" s="240" t="n"/>
      <c r="AB771" s="241" t="n"/>
      <c r="AC771" s="240" t="n"/>
      <c r="AD771" s="241" t="n"/>
      <c r="AE771" t="n">
        <v>1.23</v>
      </c>
    </row>
    <row r="772">
      <c r="A772" s="232" t="n">
        <v>156</v>
      </c>
      <c r="B772" s="42" t="n">
        <v>156</v>
      </c>
      <c r="C772" s="118">
        <f>INDIRECT("'Закуп'!A" &amp; B772)</f>
        <v/>
      </c>
      <c r="D772" s="119">
        <f>C772*1.2</f>
        <v/>
      </c>
      <c r="E772" s="224">
        <f>INDIRECT("'Закуп'!D" &amp; A772)</f>
        <v/>
      </c>
      <c r="F772" s="231">
        <f>INDIRECT("'Закуп'!E" &amp; B772)</f>
        <v/>
      </c>
      <c r="G772" s="172">
        <f>IF(INDIRECT("'Закуп'!L" &amp; B772)="Sale","Sale","")</f>
        <v/>
      </c>
      <c r="H772" s="158">
        <f>IF(INDIRECT("'Закуп'!F" &amp; B772)=0,"",INDIRECT("'Закуп'!F" &amp; B772))</f>
        <v/>
      </c>
      <c r="I772" s="120" t="n">
        <v>50</v>
      </c>
      <c r="J772" s="121">
        <f>K772/1.2</f>
        <v/>
      </c>
      <c r="K772" s="242" t="n">
        <v>1.81</v>
      </c>
      <c r="L772" s="122">
        <f>J772-C772-(J772-C772)*0.2</f>
        <v/>
      </c>
      <c r="M772" s="123">
        <f>L772*I772</f>
        <v/>
      </c>
      <c r="N772" s="124" t="inlineStr">
        <is>
          <t xml:space="preserve">50-90 шт - </t>
        </is>
      </c>
      <c r="O772" s="47" t="inlineStr">
        <is>
          <t xml:space="preserve"> руб / шт с НДС</t>
        </is>
      </c>
      <c r="P772" s="125">
        <f>ROUND(K772,2)</f>
        <v/>
      </c>
      <c r="Q772" s="207">
        <f>CONCATENATE(N772,P772,O772,)</f>
        <v/>
      </c>
      <c r="R772" s="235">
        <f>INDIRECT("'Закуп'!k" &amp; A772)</f>
        <v/>
      </c>
      <c r="S772" s="239">
        <f>INDIRECT("'Закуп'!o" &amp; A772)</f>
        <v/>
      </c>
      <c r="T772" s="226">
        <f>INDIRECT("'Закуп'!p" &amp; A772)</f>
        <v/>
      </c>
      <c r="U772" s="235">
        <f>INDIRECT("'Закуп'!v" &amp; A772)</f>
        <v/>
      </c>
      <c r="V772" s="222">
        <f>INDIRECT("'Закуп'!w" &amp; A772)</f>
        <v/>
      </c>
      <c r="W772" s="229">
        <f>INDIRECT("'Закуп'!H" &amp; A772)</f>
        <v/>
      </c>
      <c r="X772" s="237">
        <f>INDIRECT("'Закуп'!g" &amp; A772)</f>
        <v/>
      </c>
      <c r="Y772" s="229">
        <f>INDIRECT("'Закуп'!i" &amp; A772)</f>
        <v/>
      </c>
      <c r="Z772" s="236">
        <f>INDIRECT("'Закуп'!x" &amp; A772)</f>
        <v/>
      </c>
      <c r="AA772" s="237">
        <f>INDIRECT("'Закуп'!y" &amp; A772)</f>
        <v/>
      </c>
      <c r="AB772" s="238">
        <f>INDIRECT("'Закуп'!z" &amp; A772)</f>
        <v/>
      </c>
      <c r="AC772" s="223">
        <f>SUBSTITUTE(INDEX(F:F, ROUNDUP((ROW(A771))/5,0)*5 - 3), "х", "x")</f>
        <v/>
      </c>
      <c r="AD772" s="222">
        <f>SUBSTITUTE(INDEX(F:F, ROUNDUP((ROW(A771))/5,0)*5 - 3), "х", "x") &amp; " - " &amp; SUBSTITUTE(SUBSTITUTE(INDEX(F:F, ROUNDUP((ROW(A771))/5,0)*5 - 3), "х", "*"), "x", "*") &amp; " мм"</f>
        <v/>
      </c>
      <c r="AE772" t="n">
        <v>2.7</v>
      </c>
    </row>
    <row r="773">
      <c r="B773" s="42" t="n">
        <v>156</v>
      </c>
      <c r="C773" s="118">
        <f>INDIRECT("'Закуп'!A" &amp; B773)</f>
        <v/>
      </c>
      <c r="D773" s="119">
        <f>C773*1.2</f>
        <v/>
      </c>
      <c r="G773" s="172">
        <f>IF(INDIRECT("'Закуп'!L" &amp; B773)="Sale","Sale","")</f>
        <v/>
      </c>
      <c r="H773" s="158">
        <f>IF(INDIRECT("'Закуп'!F" &amp; B773)=0,"",INDIRECT("'Закуп'!F" &amp; B773))</f>
        <v/>
      </c>
      <c r="I773" s="120" t="n">
        <v>100</v>
      </c>
      <c r="J773" s="121">
        <f>K773/1.2</f>
        <v/>
      </c>
      <c r="K773" s="242" t="n">
        <v>1.54</v>
      </c>
      <c r="L773" s="122">
        <f>J773-C773-(J773-C773)*0.2</f>
        <v/>
      </c>
      <c r="M773" s="123">
        <f>L773*I773</f>
        <v/>
      </c>
      <c r="N773" s="124" t="inlineStr">
        <is>
          <t xml:space="preserve">100-290 шт - </t>
        </is>
      </c>
      <c r="O773" s="47" t="inlineStr">
        <is>
          <t xml:space="preserve"> руб / шт с НДС</t>
        </is>
      </c>
      <c r="P773" s="125">
        <f>ROUND(K773,2)</f>
        <v/>
      </c>
      <c r="Q773" s="207">
        <f>CONCATENATE(N773,P773,O773,)</f>
        <v/>
      </c>
      <c r="R773" s="240" t="n"/>
      <c r="T773" s="241" t="n"/>
      <c r="U773" s="240" t="n"/>
      <c r="V773" s="241" t="n"/>
      <c r="Z773" s="240" t="n"/>
      <c r="AB773" s="241" t="n"/>
      <c r="AC773" s="240" t="n"/>
      <c r="AD773" s="241" t="n"/>
      <c r="AE773" t="n">
        <v>2.16</v>
      </c>
    </row>
    <row r="774">
      <c r="B774" s="42" t="n">
        <v>156</v>
      </c>
      <c r="C774" s="118">
        <f>INDIRECT("'Закуп'!A" &amp; B774)</f>
        <v/>
      </c>
      <c r="D774" s="119">
        <f>C774*1.2</f>
        <v/>
      </c>
      <c r="G774" s="172">
        <f>IF(INDIRECT("'Закуп'!L" &amp; B774)="Sale","Sale","")</f>
        <v/>
      </c>
      <c r="H774" s="158">
        <f>IF(INDIRECT("'Закуп'!F" &amp; B774)=0,"",INDIRECT("'Закуп'!F" &amp; B774))</f>
        <v/>
      </c>
      <c r="I774" s="120" t="n">
        <v>300</v>
      </c>
      <c r="J774" s="121">
        <f>K774/1.2</f>
        <v/>
      </c>
      <c r="K774" s="242" t="n">
        <v>1.45</v>
      </c>
      <c r="L774" s="122">
        <f>J774-C774-(J774-C774)*0.2</f>
        <v/>
      </c>
      <c r="M774" s="123">
        <f>L774*I774</f>
        <v/>
      </c>
      <c r="N774" s="124" t="inlineStr">
        <is>
          <t xml:space="preserve">300-490 шт - </t>
        </is>
      </c>
      <c r="O774" s="47" t="inlineStr">
        <is>
          <t xml:space="preserve"> руб / шт с НДС</t>
        </is>
      </c>
      <c r="P774" s="125">
        <f>ROUND(K774,2)</f>
        <v/>
      </c>
      <c r="Q774" s="207">
        <f>CONCATENATE(N774,P774,O774,)</f>
        <v/>
      </c>
      <c r="R774" s="240" t="n"/>
      <c r="T774" s="241" t="n"/>
      <c r="U774" s="240" t="n"/>
      <c r="V774" s="241" t="n"/>
      <c r="Z774" s="240" t="n"/>
      <c r="AB774" s="241" t="n"/>
      <c r="AC774" s="240" t="n"/>
      <c r="AD774" s="241" t="n"/>
      <c r="AE774" t="n">
        <v>1.97</v>
      </c>
    </row>
    <row r="775">
      <c r="B775" s="42" t="n">
        <v>156</v>
      </c>
      <c r="C775" s="118">
        <f>INDIRECT("'Закуп'!A" &amp; B775)</f>
        <v/>
      </c>
      <c r="D775" s="119">
        <f>C775*1.2</f>
        <v/>
      </c>
      <c r="G775" s="172">
        <f>IF(INDIRECT("'Закуп'!L" &amp; B775)="Sale","Sale","")</f>
        <v/>
      </c>
      <c r="H775" s="158">
        <f>IF(INDIRECT("'Закуп'!F" &amp; B775)=0,"",INDIRECT("'Закуп'!F" &amp; B775))</f>
        <v/>
      </c>
      <c r="I775" s="120" t="n">
        <v>500</v>
      </c>
      <c r="J775" s="121">
        <f>K775/1.2</f>
        <v/>
      </c>
      <c r="K775" s="242" t="n">
        <v>1.37</v>
      </c>
      <c r="L775" s="122">
        <f>J775-C775-(J775-C775)*0.2</f>
        <v/>
      </c>
      <c r="M775" s="123">
        <f>L775*I775</f>
        <v/>
      </c>
      <c r="N775" s="124" t="inlineStr">
        <is>
          <t xml:space="preserve">500-990 шт - </t>
        </is>
      </c>
      <c r="O775" s="47" t="inlineStr">
        <is>
          <t xml:space="preserve"> руб / шт с НДС</t>
        </is>
      </c>
      <c r="P775" s="125">
        <f>ROUND(K775,2)</f>
        <v/>
      </c>
      <c r="Q775" s="207">
        <f>CONCATENATE(N775,P775,O775,)</f>
        <v/>
      </c>
      <c r="R775" s="240" t="n"/>
      <c r="T775" s="241" t="n"/>
      <c r="U775" s="240" t="n"/>
      <c r="V775" s="241" t="n"/>
      <c r="Z775" s="240" t="n"/>
      <c r="AB775" s="241" t="n"/>
      <c r="AC775" s="240" t="n"/>
      <c r="AD775" s="241" t="n"/>
      <c r="AE775" t="n">
        <v>1.75</v>
      </c>
    </row>
    <row r="776">
      <c r="B776" s="42" t="n">
        <v>156</v>
      </c>
      <c r="C776" s="118">
        <f>INDIRECT("'Закуп'!A" &amp; B776)</f>
        <v/>
      </c>
      <c r="D776" s="119">
        <f>C776*1.2</f>
        <v/>
      </c>
      <c r="G776" s="172">
        <f>IF(INDIRECT("'Закуп'!L" &amp; B776)="Sale","Sale","")</f>
        <v/>
      </c>
      <c r="H776" s="158">
        <f>IF(INDIRECT("'Закуп'!F" &amp; B776)=0,"",INDIRECT("'Закуп'!F" &amp; B776))</f>
        <v/>
      </c>
      <c r="I776" s="120" t="n">
        <v>1000</v>
      </c>
      <c r="J776" s="121">
        <f>K776/1.2</f>
        <v/>
      </c>
      <c r="K776" s="242" t="n">
        <v>1.33</v>
      </c>
      <c r="L776" s="122">
        <f>J776-C776-(J776-C776)*0.2</f>
        <v/>
      </c>
      <c r="M776" s="123">
        <f>L776*I776</f>
        <v/>
      </c>
      <c r="N776" s="124" t="inlineStr">
        <is>
          <t xml:space="preserve">1000 + шт - </t>
        </is>
      </c>
      <c r="O776" s="47" t="inlineStr">
        <is>
          <t xml:space="preserve"> руб / шт с НДС</t>
        </is>
      </c>
      <c r="P776" s="125">
        <f>ROUND(K776,2)</f>
        <v/>
      </c>
      <c r="Q776" s="207">
        <f>CONCATENATE(N776,P776,O776,)</f>
        <v/>
      </c>
      <c r="R776" s="240" t="n"/>
      <c r="T776" s="241" t="n"/>
      <c r="U776" s="240" t="n"/>
      <c r="V776" s="241" t="n"/>
      <c r="Z776" s="240" t="n"/>
      <c r="AB776" s="241" t="n"/>
      <c r="AC776" s="240" t="n"/>
      <c r="AD776" s="241" t="n"/>
      <c r="AE776" t="n">
        <v>1.7</v>
      </c>
    </row>
    <row r="777">
      <c r="A777" s="232" t="n">
        <v>157</v>
      </c>
      <c r="B777" s="42" t="n">
        <v>157</v>
      </c>
      <c r="C777" s="118">
        <f>INDIRECT("'Закуп'!A" &amp; B777)</f>
        <v/>
      </c>
      <c r="D777" s="119">
        <f>C777*1.2</f>
        <v/>
      </c>
      <c r="E777" s="224">
        <f>INDIRECT("'Закуп'!D" &amp; A777)</f>
        <v/>
      </c>
      <c r="F777" s="231">
        <f>INDIRECT("'Закуп'!E" &amp; B777)</f>
        <v/>
      </c>
      <c r="G777" s="172">
        <f>IF(INDIRECT("'Закуп'!L" &amp; B777)="Sale","Sale","")</f>
        <v/>
      </c>
      <c r="H777" s="158">
        <f>IF(INDIRECT("'Закуп'!F" &amp; B777)=0,"",INDIRECT("'Закуп'!F" &amp; B777))</f>
        <v/>
      </c>
      <c r="I777" s="120" t="n">
        <v>50</v>
      </c>
      <c r="J777" s="121">
        <f>K777/1.2</f>
        <v/>
      </c>
      <c r="K777" s="70" t="n">
        <v>1.06</v>
      </c>
      <c r="L777" s="122">
        <f>J777-C777-(J777-C777)*0.2</f>
        <v/>
      </c>
      <c r="M777" s="123">
        <f>L777*I777</f>
        <v/>
      </c>
      <c r="N777" s="124" t="inlineStr">
        <is>
          <t xml:space="preserve">50-90 шт - </t>
        </is>
      </c>
      <c r="O777" s="47" t="inlineStr">
        <is>
          <t xml:space="preserve"> руб / шт с НДС</t>
        </is>
      </c>
      <c r="P777" s="125">
        <f>ROUND(K777,2)</f>
        <v/>
      </c>
      <c r="Q777" s="207">
        <f>CONCATENATE(N777,P777,O777,)</f>
        <v/>
      </c>
      <c r="R777" s="235">
        <f>INDIRECT("'Закуп'!k" &amp; A777)</f>
        <v/>
      </c>
      <c r="S777" s="239">
        <f>INDIRECT("'Закуп'!o" &amp; A777)</f>
        <v/>
      </c>
      <c r="T777" s="226">
        <f>INDIRECT("'Закуп'!p" &amp; A777)</f>
        <v/>
      </c>
      <c r="U777" s="235">
        <f>INDIRECT("'Закуп'!v" &amp; A777)</f>
        <v/>
      </c>
      <c r="V777" s="222">
        <f>INDIRECT("'Закуп'!w" &amp; A777)</f>
        <v/>
      </c>
      <c r="W777" s="229">
        <f>INDIRECT("'Закуп'!H" &amp; A777)</f>
        <v/>
      </c>
      <c r="X777" s="237">
        <f>INDIRECT("'Закуп'!g" &amp; A777)</f>
        <v/>
      </c>
      <c r="Y777" s="229">
        <f>INDIRECT("'Закуп'!i" &amp; A777)</f>
        <v/>
      </c>
      <c r="Z777" s="236">
        <f>INDIRECT("'Закуп'!x" &amp; A777)</f>
        <v/>
      </c>
      <c r="AA777" s="237">
        <f>INDIRECT("'Закуп'!y" &amp; A777)</f>
        <v/>
      </c>
      <c r="AB777" s="238">
        <f>INDIRECT("'Закуп'!z" &amp; A777)</f>
        <v/>
      </c>
      <c r="AC777" s="223">
        <f>SUBSTITUTE(INDEX(F:F, ROUNDUP((ROW(A776))/5,0)*5 - 3), "х", "x")</f>
        <v/>
      </c>
      <c r="AD777" s="222">
        <f>SUBSTITUTE(INDEX(F:F, ROUNDUP((ROW(A776))/5,0)*5 - 3), "х", "x") &amp; " - " &amp; SUBSTITUTE(SUBSTITUTE(INDEX(F:F, ROUNDUP((ROW(A776))/5,0)*5 - 3), "х", "*"), "x", "*") &amp; " мм"</f>
        <v/>
      </c>
    </row>
    <row r="778">
      <c r="B778" s="42" t="n">
        <v>157</v>
      </c>
      <c r="C778" s="118">
        <f>INDIRECT("'Закуп'!A" &amp; B778)</f>
        <v/>
      </c>
      <c r="D778" s="119">
        <f>C778*1.2</f>
        <v/>
      </c>
      <c r="G778" s="172">
        <f>IF(INDIRECT("'Закуп'!L" &amp; B778)="Sale","Sale","")</f>
        <v/>
      </c>
      <c r="H778" s="158">
        <f>IF(INDIRECT("'Закуп'!F" &amp; B778)=0,"",INDIRECT("'Закуп'!F" &amp; B778))</f>
        <v/>
      </c>
      <c r="I778" s="120" t="n">
        <v>100</v>
      </c>
      <c r="J778" s="121">
        <f>K778/1.2</f>
        <v/>
      </c>
      <c r="K778" s="70" t="n">
        <v>0.91</v>
      </c>
      <c r="L778" s="122">
        <f>J778-C778-(J778-C778)*0.2</f>
        <v/>
      </c>
      <c r="M778" s="123">
        <f>L778*I778</f>
        <v/>
      </c>
      <c r="N778" s="124" t="inlineStr">
        <is>
          <t xml:space="preserve">100-290 шт - </t>
        </is>
      </c>
      <c r="O778" s="47" t="inlineStr">
        <is>
          <t xml:space="preserve"> руб / шт с НДС</t>
        </is>
      </c>
      <c r="P778" s="125">
        <f>ROUND(K778,2)</f>
        <v/>
      </c>
      <c r="Q778" s="207">
        <f>CONCATENATE(N778,P778,O778,)</f>
        <v/>
      </c>
      <c r="R778" s="240" t="n"/>
      <c r="T778" s="241" t="n"/>
      <c r="U778" s="240" t="n"/>
      <c r="V778" s="241" t="n"/>
      <c r="Z778" s="240" t="n"/>
      <c r="AB778" s="241" t="n"/>
      <c r="AC778" s="240" t="n"/>
      <c r="AD778" s="241" t="n"/>
    </row>
    <row r="779">
      <c r="B779" s="42" t="n">
        <v>157</v>
      </c>
      <c r="C779" s="118">
        <f>INDIRECT("'Закуп'!A" &amp; B779)</f>
        <v/>
      </c>
      <c r="D779" s="119">
        <f>C779*1.2</f>
        <v/>
      </c>
      <c r="G779" s="172">
        <f>IF(INDIRECT("'Закуп'!L" &amp; B779)="Sale","Sale","")</f>
        <v/>
      </c>
      <c r="H779" s="158">
        <f>IF(INDIRECT("'Закуп'!F" &amp; B779)=0,"",INDIRECT("'Закуп'!F" &amp; B779))</f>
        <v/>
      </c>
      <c r="I779" s="120" t="n">
        <v>300</v>
      </c>
      <c r="J779" s="121">
        <f>K779/1.2</f>
        <v/>
      </c>
      <c r="K779" s="70" t="n">
        <v>0.7</v>
      </c>
      <c r="L779" s="122">
        <f>J779-C779-(J779-C779)*0.2</f>
        <v/>
      </c>
      <c r="M779" s="123">
        <f>L779*I779</f>
        <v/>
      </c>
      <c r="N779" s="124" t="inlineStr">
        <is>
          <t xml:space="preserve">300-490 шт - </t>
        </is>
      </c>
      <c r="O779" s="47" t="inlineStr">
        <is>
          <t xml:space="preserve"> руб / шт с НДС</t>
        </is>
      </c>
      <c r="P779" s="125">
        <f>ROUND(K779,2)</f>
        <v/>
      </c>
      <c r="Q779" s="207">
        <f>CONCATENATE(N779,P779,O779,)</f>
        <v/>
      </c>
      <c r="R779" s="240" t="n"/>
      <c r="T779" s="241" t="n"/>
      <c r="U779" s="240" t="n"/>
      <c r="V779" s="241" t="n"/>
      <c r="Z779" s="240" t="n"/>
      <c r="AB779" s="241" t="n"/>
      <c r="AC779" s="240" t="n"/>
      <c r="AD779" s="241" t="n"/>
    </row>
    <row r="780">
      <c r="B780" s="42" t="n">
        <v>157</v>
      </c>
      <c r="C780" s="118">
        <f>INDIRECT("'Закуп'!A" &amp; B780)</f>
        <v/>
      </c>
      <c r="D780" s="119">
        <f>C780*1.2</f>
        <v/>
      </c>
      <c r="G780" s="172">
        <f>IF(INDIRECT("'Закуп'!L" &amp; B780)="Sale","Sale","")</f>
        <v/>
      </c>
      <c r="H780" s="158">
        <f>IF(INDIRECT("'Закуп'!F" &amp; B780)=0,"",INDIRECT("'Закуп'!F" &amp; B780))</f>
        <v/>
      </c>
      <c r="I780" s="120" t="n">
        <v>500</v>
      </c>
      <c r="J780" s="121">
        <f>K780/1.2</f>
        <v/>
      </c>
      <c r="K780" s="70" t="n">
        <v>0.65</v>
      </c>
      <c r="L780" s="122">
        <f>J780-C780-(J780-C780)*0.2</f>
        <v/>
      </c>
      <c r="M780" s="123">
        <f>L780*I780</f>
        <v/>
      </c>
      <c r="N780" s="124" t="inlineStr">
        <is>
          <t xml:space="preserve">500-990 шт - </t>
        </is>
      </c>
      <c r="O780" s="47" t="inlineStr">
        <is>
          <t xml:space="preserve"> руб / шт с НДС</t>
        </is>
      </c>
      <c r="P780" s="125">
        <f>ROUND(K780,2)</f>
        <v/>
      </c>
      <c r="Q780" s="207">
        <f>CONCATENATE(N780,P780,O780,)</f>
        <v/>
      </c>
      <c r="R780" s="240" t="n"/>
      <c r="T780" s="241" t="n"/>
      <c r="U780" s="240" t="n"/>
      <c r="V780" s="241" t="n"/>
      <c r="Z780" s="240" t="n"/>
      <c r="AB780" s="241" t="n"/>
      <c r="AC780" s="240" t="n"/>
      <c r="AD780" s="241" t="n"/>
    </row>
    <row r="781">
      <c r="B781" s="42" t="n">
        <v>157</v>
      </c>
      <c r="C781" s="118">
        <f>INDIRECT("'Закуп'!A" &amp; B781)</f>
        <v/>
      </c>
      <c r="D781" s="119">
        <f>C781*1.2</f>
        <v/>
      </c>
      <c r="G781" s="172">
        <f>IF(INDIRECT("'Закуп'!L" &amp; B781)="Sale","Sale","")</f>
        <v/>
      </c>
      <c r="H781" s="158">
        <f>IF(INDIRECT("'Закуп'!F" &amp; B781)=0,"",INDIRECT("'Закуп'!F" &amp; B781))</f>
        <v/>
      </c>
      <c r="I781" s="120" t="n">
        <v>1000</v>
      </c>
      <c r="J781" s="121">
        <f>K781/1.2</f>
        <v/>
      </c>
      <c r="K781" s="70" t="n">
        <v>0.62</v>
      </c>
      <c r="L781" s="122">
        <f>J781-C781-(J781-C781)*0.2</f>
        <v/>
      </c>
      <c r="M781" s="123">
        <f>L781*I781</f>
        <v/>
      </c>
      <c r="N781" s="124" t="inlineStr">
        <is>
          <t xml:space="preserve">1000 + шт - </t>
        </is>
      </c>
      <c r="O781" s="47" t="inlineStr">
        <is>
          <t xml:space="preserve"> руб / шт с НДС</t>
        </is>
      </c>
      <c r="P781" s="125">
        <f>ROUND(K781,2)</f>
        <v/>
      </c>
      <c r="Q781" s="207">
        <f>CONCATENATE(N781,P781,O781,)</f>
        <v/>
      </c>
      <c r="R781" s="240" t="n"/>
      <c r="T781" s="241" t="n"/>
      <c r="U781" s="240" t="n"/>
      <c r="V781" s="241" t="n"/>
      <c r="Z781" s="240" t="n"/>
      <c r="AB781" s="241" t="n"/>
      <c r="AC781" s="240" t="n"/>
      <c r="AD781" s="241" t="n"/>
    </row>
    <row r="782">
      <c r="A782" s="232" t="n">
        <v>158</v>
      </c>
      <c r="B782" s="42" t="n">
        <v>158</v>
      </c>
      <c r="C782" s="118">
        <f>INDIRECT("'Закуп'!A" &amp; B782)</f>
        <v/>
      </c>
      <c r="D782" s="119">
        <f>C782*1.2</f>
        <v/>
      </c>
      <c r="E782" s="224">
        <f>INDIRECT("'Закуп'!D" &amp; A782)</f>
        <v/>
      </c>
      <c r="F782" s="231">
        <f>INDIRECT("'Закуп'!E" &amp; B782)</f>
        <v/>
      </c>
      <c r="G782" s="172">
        <f>IF(INDIRECT("'Закуп'!L" &amp; B782)="Sale","Sale","")</f>
        <v/>
      </c>
      <c r="H782" s="158">
        <f>IF(INDIRECT("'Закуп'!F" &amp; B782)=0,"",INDIRECT("'Закуп'!F" &amp; B782))</f>
        <v/>
      </c>
      <c r="I782" s="120" t="n">
        <v>50</v>
      </c>
      <c r="J782" s="121">
        <f>K782/1.2</f>
        <v/>
      </c>
      <c r="K782" s="70" t="n">
        <v>1.06</v>
      </c>
      <c r="L782" s="122">
        <f>J782-C782-(J782-C782)*0.2</f>
        <v/>
      </c>
      <c r="M782" s="123">
        <f>L782*I782</f>
        <v/>
      </c>
      <c r="N782" s="124" t="inlineStr">
        <is>
          <t xml:space="preserve">50-90 шт - </t>
        </is>
      </c>
      <c r="O782" s="47" t="inlineStr">
        <is>
          <t xml:space="preserve"> руб / шт с НДС</t>
        </is>
      </c>
      <c r="P782" s="125">
        <f>ROUND(K782,2)</f>
        <v/>
      </c>
      <c r="Q782" s="207">
        <f>CONCATENATE(N782,P782,O782,)</f>
        <v/>
      </c>
      <c r="R782" s="235">
        <f>INDIRECT("'Закуп'!k" &amp; A782)</f>
        <v/>
      </c>
      <c r="S782" s="239">
        <f>INDIRECT("'Закуп'!o" &amp; A782)</f>
        <v/>
      </c>
      <c r="T782" s="226">
        <f>INDIRECT("'Закуп'!p" &amp; A782)</f>
        <v/>
      </c>
      <c r="U782" s="235">
        <f>INDIRECT("'Закуп'!v" &amp; A782)</f>
        <v/>
      </c>
      <c r="V782" s="222">
        <f>INDIRECT("'Закуп'!w" &amp; A782)</f>
        <v/>
      </c>
      <c r="W782" s="229">
        <f>INDIRECT("'Закуп'!H" &amp; A782)</f>
        <v/>
      </c>
      <c r="X782" s="237">
        <f>INDIRECT("'Закуп'!g" &amp; A782)</f>
        <v/>
      </c>
      <c r="Y782" s="229">
        <f>INDIRECT("'Закуп'!i" &amp; A782)</f>
        <v/>
      </c>
      <c r="Z782" s="236">
        <f>INDIRECT("'Закуп'!x" &amp; A782)</f>
        <v/>
      </c>
      <c r="AA782" s="237">
        <f>INDIRECT("'Закуп'!y" &amp; A782)</f>
        <v/>
      </c>
      <c r="AB782" s="238">
        <f>INDIRECT("'Закуп'!z" &amp; A782)</f>
        <v/>
      </c>
      <c r="AC782" s="223">
        <f>SUBSTITUTE(INDEX(F:F, ROUNDUP((ROW(A781))/5,0)*5 - 3), "х", "x")</f>
        <v/>
      </c>
      <c r="AD782" s="222">
        <f>SUBSTITUTE(INDEX(F:F, ROUNDUP((ROW(A781))/5,0)*5 - 3), "х", "x") &amp; " - " &amp; SUBSTITUTE(SUBSTITUTE(INDEX(F:F, ROUNDUP((ROW(A781))/5,0)*5 - 3), "х", "*"), "x", "*") &amp; " мм"</f>
        <v/>
      </c>
    </row>
    <row r="783">
      <c r="B783" s="42" t="n">
        <v>158</v>
      </c>
      <c r="C783" s="118">
        <f>INDIRECT("'Закуп'!A" &amp; B783)</f>
        <v/>
      </c>
      <c r="D783" s="119">
        <f>C783*1.2</f>
        <v/>
      </c>
      <c r="G783" s="172">
        <f>IF(INDIRECT("'Закуп'!L" &amp; B783)="Sale","Sale","")</f>
        <v/>
      </c>
      <c r="H783" s="158">
        <f>IF(INDIRECT("'Закуп'!F" &amp; B783)=0,"",INDIRECT("'Закуп'!F" &amp; B783))</f>
        <v/>
      </c>
      <c r="I783" s="120" t="n">
        <v>100</v>
      </c>
      <c r="J783" s="121">
        <f>K783/1.2</f>
        <v/>
      </c>
      <c r="K783" s="70" t="n">
        <v>0.91</v>
      </c>
      <c r="L783" s="122">
        <f>J783-C783-(J783-C783)*0.2</f>
        <v/>
      </c>
      <c r="M783" s="123">
        <f>L783*I783</f>
        <v/>
      </c>
      <c r="N783" s="124" t="inlineStr">
        <is>
          <t xml:space="preserve">100-290 шт - </t>
        </is>
      </c>
      <c r="O783" s="47" t="inlineStr">
        <is>
          <t xml:space="preserve"> руб / шт с НДС</t>
        </is>
      </c>
      <c r="P783" s="125">
        <f>ROUND(K783,2)</f>
        <v/>
      </c>
      <c r="Q783" s="207">
        <f>CONCATENATE(N783,P783,O783,)</f>
        <v/>
      </c>
      <c r="R783" s="240" t="n"/>
      <c r="T783" s="241" t="n"/>
      <c r="U783" s="240" t="n"/>
      <c r="V783" s="241" t="n"/>
      <c r="Z783" s="240" t="n"/>
      <c r="AB783" s="241" t="n"/>
      <c r="AC783" s="240" t="n"/>
      <c r="AD783" s="241" t="n"/>
    </row>
    <row r="784">
      <c r="B784" s="42" t="n">
        <v>158</v>
      </c>
      <c r="C784" s="118">
        <f>INDIRECT("'Закуп'!A" &amp; B784)</f>
        <v/>
      </c>
      <c r="D784" s="119">
        <f>C784*1.2</f>
        <v/>
      </c>
      <c r="G784" s="172">
        <f>IF(INDIRECT("'Закуп'!L" &amp; B784)="Sale","Sale","")</f>
        <v/>
      </c>
      <c r="H784" s="158">
        <f>IF(INDIRECT("'Закуп'!F" &amp; B784)=0,"",INDIRECT("'Закуп'!F" &amp; B784))</f>
        <v/>
      </c>
      <c r="I784" s="120" t="n">
        <v>300</v>
      </c>
      <c r="J784" s="121">
        <f>K784/1.2</f>
        <v/>
      </c>
      <c r="K784" s="70" t="n">
        <v>0.7</v>
      </c>
      <c r="L784" s="122">
        <f>J784-C784-(J784-C784)*0.2</f>
        <v/>
      </c>
      <c r="M784" s="123">
        <f>L784*I784</f>
        <v/>
      </c>
      <c r="N784" s="124" t="inlineStr">
        <is>
          <t xml:space="preserve">300-490 шт - </t>
        </is>
      </c>
      <c r="O784" s="47" t="inlineStr">
        <is>
          <t xml:space="preserve"> руб / шт с НДС</t>
        </is>
      </c>
      <c r="P784" s="125">
        <f>ROUND(K784,2)</f>
        <v/>
      </c>
      <c r="Q784" s="207">
        <f>CONCATENATE(N784,P784,O784,)</f>
        <v/>
      </c>
      <c r="R784" s="240" t="n"/>
      <c r="T784" s="241" t="n"/>
      <c r="U784" s="240" t="n"/>
      <c r="V784" s="241" t="n"/>
      <c r="Z784" s="240" t="n"/>
      <c r="AB784" s="241" t="n"/>
      <c r="AC784" s="240" t="n"/>
      <c r="AD784" s="241" t="n"/>
    </row>
    <row r="785">
      <c r="B785" s="42" t="n">
        <v>158</v>
      </c>
      <c r="C785" s="118">
        <f>INDIRECT("'Закуп'!A" &amp; B785)</f>
        <v/>
      </c>
      <c r="D785" s="119">
        <f>C785*1.2</f>
        <v/>
      </c>
      <c r="G785" s="172">
        <f>IF(INDIRECT("'Закуп'!L" &amp; B785)="Sale","Sale","")</f>
        <v/>
      </c>
      <c r="H785" s="158">
        <f>IF(INDIRECT("'Закуп'!F" &amp; B785)=0,"",INDIRECT("'Закуп'!F" &amp; B785))</f>
        <v/>
      </c>
      <c r="I785" s="120" t="n">
        <v>500</v>
      </c>
      <c r="J785" s="121">
        <f>K785/1.2</f>
        <v/>
      </c>
      <c r="K785" s="70" t="n">
        <v>0.65</v>
      </c>
      <c r="L785" s="122">
        <f>J785-C785-(J785-C785)*0.2</f>
        <v/>
      </c>
      <c r="M785" s="123">
        <f>L785*I785</f>
        <v/>
      </c>
      <c r="N785" s="124" t="inlineStr">
        <is>
          <t xml:space="preserve">500-990 шт - </t>
        </is>
      </c>
      <c r="O785" s="47" t="inlineStr">
        <is>
          <t xml:space="preserve"> руб / шт с НДС</t>
        </is>
      </c>
      <c r="P785" s="125">
        <f>ROUND(K785,2)</f>
        <v/>
      </c>
      <c r="Q785" s="207">
        <f>CONCATENATE(N785,P785,O785,)</f>
        <v/>
      </c>
      <c r="R785" s="240" t="n"/>
      <c r="T785" s="241" t="n"/>
      <c r="U785" s="240" t="n"/>
      <c r="V785" s="241" t="n"/>
      <c r="Z785" s="240" t="n"/>
      <c r="AB785" s="241" t="n"/>
      <c r="AC785" s="240" t="n"/>
      <c r="AD785" s="241" t="n"/>
    </row>
    <row r="786">
      <c r="B786" s="42" t="n">
        <v>158</v>
      </c>
      <c r="C786" s="118">
        <f>INDIRECT("'Закуп'!A" &amp; B786)</f>
        <v/>
      </c>
      <c r="D786" s="119">
        <f>C786*1.2</f>
        <v/>
      </c>
      <c r="G786" s="172">
        <f>IF(INDIRECT("'Закуп'!L" &amp; B786)="Sale","Sale","")</f>
        <v/>
      </c>
      <c r="H786" s="158">
        <f>IF(INDIRECT("'Закуп'!F" &amp; B786)=0,"",INDIRECT("'Закуп'!F" &amp; B786))</f>
        <v/>
      </c>
      <c r="I786" s="120" t="n">
        <v>1000</v>
      </c>
      <c r="J786" s="121">
        <f>K786/1.2</f>
        <v/>
      </c>
      <c r="K786" s="70" t="n">
        <v>0.62</v>
      </c>
      <c r="L786" s="122">
        <f>J786-C786-(J786-C786)*0.2</f>
        <v/>
      </c>
      <c r="M786" s="123">
        <f>L786*I786</f>
        <v/>
      </c>
      <c r="N786" s="124" t="inlineStr">
        <is>
          <t xml:space="preserve">1000 + шт - </t>
        </is>
      </c>
      <c r="O786" s="47" t="inlineStr">
        <is>
          <t xml:space="preserve"> руб / шт с НДС</t>
        </is>
      </c>
      <c r="P786" s="125">
        <f>ROUND(K786,2)</f>
        <v/>
      </c>
      <c r="Q786" s="207">
        <f>CONCATENATE(N786,P786,O786,)</f>
        <v/>
      </c>
      <c r="R786" s="240" t="n"/>
      <c r="T786" s="241" t="n"/>
      <c r="U786" s="240" t="n"/>
      <c r="V786" s="241" t="n"/>
      <c r="Z786" s="240" t="n"/>
      <c r="AB786" s="241" t="n"/>
      <c r="AC786" s="240" t="n"/>
      <c r="AD786" s="241" t="n"/>
    </row>
    <row r="787">
      <c r="A787" s="232" t="n">
        <v>159</v>
      </c>
      <c r="B787" s="42" t="n">
        <v>159</v>
      </c>
      <c r="C787" s="118">
        <f>INDIRECT("'Закуп'!A" &amp; B787)</f>
        <v/>
      </c>
      <c r="D787" s="119">
        <f>C787*1.2</f>
        <v/>
      </c>
      <c r="E787" s="224">
        <f>INDIRECT("'Закуп'!D" &amp; A787)</f>
        <v/>
      </c>
      <c r="F787" s="231">
        <f>INDIRECT("'Закуп'!E" &amp; B787)</f>
        <v/>
      </c>
      <c r="G787" s="172">
        <f>IF(INDIRECT("'Закуп'!L" &amp; B787)="Sale","Sale","")</f>
        <v/>
      </c>
      <c r="H787" s="158">
        <f>IF(INDIRECT("'Закуп'!F" &amp; B787)=0,"",INDIRECT("'Закуп'!F" &amp; B787))</f>
        <v/>
      </c>
      <c r="I787" s="120" t="n">
        <v>50</v>
      </c>
      <c r="J787" s="121">
        <f>K787/1.2</f>
        <v/>
      </c>
      <c r="K787" s="242" t="n">
        <v>1.54</v>
      </c>
      <c r="L787" s="122">
        <f>J787-C787-(J787-C787)*0.2</f>
        <v/>
      </c>
      <c r="M787" s="123">
        <f>L787*I787</f>
        <v/>
      </c>
      <c r="N787" s="124" t="inlineStr">
        <is>
          <t xml:space="preserve">50-90 шт - </t>
        </is>
      </c>
      <c r="O787" s="47" t="inlineStr">
        <is>
          <t xml:space="preserve"> руб / шт с НДС</t>
        </is>
      </c>
      <c r="P787" s="125">
        <f>ROUND(K787,2)</f>
        <v/>
      </c>
      <c r="Q787" s="207">
        <f>CONCATENATE(N787,P787,O787,)</f>
        <v/>
      </c>
      <c r="R787" s="235">
        <f>INDIRECT("'Закуп'!k" &amp; A787)</f>
        <v/>
      </c>
      <c r="S787" s="239">
        <f>INDIRECT("'Закуп'!o" &amp; A787)</f>
        <v/>
      </c>
      <c r="T787" s="226">
        <f>INDIRECT("'Закуп'!p" &amp; A787)</f>
        <v/>
      </c>
      <c r="U787" s="235">
        <f>INDIRECT("'Закуп'!v" &amp; A787)</f>
        <v/>
      </c>
      <c r="V787" s="222">
        <f>INDIRECT("'Закуп'!w" &amp; A787)</f>
        <v/>
      </c>
      <c r="W787" s="229">
        <f>INDIRECT("'Закуп'!H" &amp; A787)</f>
        <v/>
      </c>
      <c r="X787" s="237">
        <f>INDIRECT("'Закуп'!g" &amp; A787)</f>
        <v/>
      </c>
      <c r="Y787" s="229">
        <f>INDIRECT("'Закуп'!i" &amp; A787)</f>
        <v/>
      </c>
      <c r="Z787" s="236">
        <f>INDIRECT("'Закуп'!x" &amp; A787)</f>
        <v/>
      </c>
      <c r="AA787" s="237">
        <f>INDIRECT("'Закуп'!y" &amp; A787)</f>
        <v/>
      </c>
      <c r="AB787" s="238">
        <f>INDIRECT("'Закуп'!z" &amp; A787)</f>
        <v/>
      </c>
      <c r="AC787" s="223">
        <f>SUBSTITUTE(INDEX(F:F, ROUNDUP((ROW(A786))/5,0)*5 - 3), "х", "x")</f>
        <v/>
      </c>
      <c r="AD787" s="222">
        <f>SUBSTITUTE(INDEX(F:F, ROUNDUP((ROW(A786))/5,0)*5 - 3), "х", "x") &amp; " - " &amp; SUBSTITUTE(SUBSTITUTE(INDEX(F:F, ROUNDUP((ROW(A786))/5,0)*5 - 3), "х", "*"), "x", "*") &amp; " мм"</f>
        <v/>
      </c>
      <c r="AE787" t="n">
        <v>2.48</v>
      </c>
    </row>
    <row r="788">
      <c r="B788" s="42" t="n">
        <v>159</v>
      </c>
      <c r="C788" s="118">
        <f>INDIRECT("'Закуп'!A" &amp; B788)</f>
        <v/>
      </c>
      <c r="D788" s="119">
        <f>C788*1.2</f>
        <v/>
      </c>
      <c r="G788" s="172">
        <f>IF(INDIRECT("'Закуп'!L" &amp; B788)="Sale","Sale","")</f>
        <v/>
      </c>
      <c r="H788" s="158">
        <f>IF(INDIRECT("'Закуп'!F" &amp; B788)=0,"",INDIRECT("'Закуп'!F" &amp; B788))</f>
        <v/>
      </c>
      <c r="I788" s="120" t="n">
        <v>100</v>
      </c>
      <c r="J788" s="121">
        <f>K788/1.2</f>
        <v/>
      </c>
      <c r="K788" s="242" t="n">
        <v>1.31</v>
      </c>
      <c r="L788" s="122">
        <f>J788-C788-(J788-C788)*0.2</f>
        <v/>
      </c>
      <c r="M788" s="123">
        <f>L788*I788</f>
        <v/>
      </c>
      <c r="N788" s="124" t="inlineStr">
        <is>
          <t xml:space="preserve">100-290 шт - </t>
        </is>
      </c>
      <c r="O788" s="47" t="inlineStr">
        <is>
          <t xml:space="preserve"> руб / шт с НДС</t>
        </is>
      </c>
      <c r="P788" s="125">
        <f>ROUND(K788,2)</f>
        <v/>
      </c>
      <c r="Q788" s="207">
        <f>CONCATENATE(N788,P788,O788,)</f>
        <v/>
      </c>
      <c r="R788" s="240" t="n"/>
      <c r="T788" s="241" t="n"/>
      <c r="U788" s="240" t="n"/>
      <c r="V788" s="241" t="n"/>
      <c r="Z788" s="240" t="n"/>
      <c r="AB788" s="241" t="n"/>
      <c r="AC788" s="240" t="n"/>
      <c r="AD788" s="241" t="n"/>
      <c r="AE788" t="n">
        <v>2.26</v>
      </c>
    </row>
    <row r="789">
      <c r="B789" s="42" t="n">
        <v>159</v>
      </c>
      <c r="C789" s="118">
        <f>INDIRECT("'Закуп'!A" &amp; B789)</f>
        <v/>
      </c>
      <c r="D789" s="119">
        <f>C789*1.2</f>
        <v/>
      </c>
      <c r="G789" s="172">
        <f>IF(INDIRECT("'Закуп'!L" &amp; B789)="Sale","Sale","")</f>
        <v/>
      </c>
      <c r="H789" s="158">
        <f>IF(INDIRECT("'Закуп'!F" &amp; B789)=0,"",INDIRECT("'Закуп'!F" &amp; B789))</f>
        <v/>
      </c>
      <c r="I789" s="120" t="n">
        <v>300</v>
      </c>
      <c r="J789" s="121">
        <f>K789/1.2</f>
        <v/>
      </c>
      <c r="K789" s="242" t="n">
        <v>1.23</v>
      </c>
      <c r="L789" s="122">
        <f>J789-C789-(J789-C789)*0.2</f>
        <v/>
      </c>
      <c r="M789" s="123">
        <f>L789*I789</f>
        <v/>
      </c>
      <c r="N789" s="124" t="inlineStr">
        <is>
          <t xml:space="preserve">300-490 шт - </t>
        </is>
      </c>
      <c r="O789" s="47" t="inlineStr">
        <is>
          <t xml:space="preserve"> руб / шт с НДС</t>
        </is>
      </c>
      <c r="P789" s="125">
        <f>ROUND(K789,2)</f>
        <v/>
      </c>
      <c r="Q789" s="207">
        <f>CONCATENATE(N789,P789,O789,)</f>
        <v/>
      </c>
      <c r="R789" s="240" t="n"/>
      <c r="T789" s="241" t="n"/>
      <c r="U789" s="240" t="n"/>
      <c r="V789" s="241" t="n"/>
      <c r="Z789" s="240" t="n"/>
      <c r="AB789" s="241" t="n"/>
      <c r="AC789" s="240" t="n"/>
      <c r="AD789" s="241" t="n"/>
      <c r="AE789" t="n">
        <v>1.77</v>
      </c>
    </row>
    <row r="790">
      <c r="B790" s="42" t="n">
        <v>159</v>
      </c>
      <c r="C790" s="118">
        <f>INDIRECT("'Закуп'!A" &amp; B790)</f>
        <v/>
      </c>
      <c r="D790" s="119">
        <f>C790*1.2</f>
        <v/>
      </c>
      <c r="G790" s="172">
        <f>IF(INDIRECT("'Закуп'!L" &amp; B790)="Sale","Sale","")</f>
        <v/>
      </c>
      <c r="H790" s="158">
        <f>IF(INDIRECT("'Закуп'!F" &amp; B790)=0,"",INDIRECT("'Закуп'!F" &amp; B790))</f>
        <v/>
      </c>
      <c r="I790" s="120" t="n">
        <v>500</v>
      </c>
      <c r="J790" s="121">
        <f>K790/1.2</f>
        <v/>
      </c>
      <c r="K790" s="242" t="n">
        <v>1.16</v>
      </c>
      <c r="L790" s="122">
        <f>J790-C790-(J790-C790)*0.2</f>
        <v/>
      </c>
      <c r="M790" s="123">
        <f>L790*I790</f>
        <v/>
      </c>
      <c r="N790" s="124" t="inlineStr">
        <is>
          <t xml:space="preserve">500-990 шт - </t>
        </is>
      </c>
      <c r="O790" s="47" t="inlineStr">
        <is>
          <t xml:space="preserve"> руб / шт с НДС</t>
        </is>
      </c>
      <c r="P790" s="125">
        <f>ROUND(K790,2)</f>
        <v/>
      </c>
      <c r="Q790" s="207">
        <f>CONCATENATE(N790,P790,O790,)</f>
        <v/>
      </c>
      <c r="R790" s="240" t="n"/>
      <c r="T790" s="241" t="n"/>
      <c r="U790" s="240" t="n"/>
      <c r="V790" s="241" t="n"/>
      <c r="Z790" s="240" t="n"/>
      <c r="AB790" s="241" t="n"/>
      <c r="AC790" s="240" t="n"/>
      <c r="AD790" s="241" t="n"/>
      <c r="AE790" t="n">
        <v>1.53</v>
      </c>
    </row>
    <row r="791">
      <c r="B791" s="42" t="n">
        <v>159</v>
      </c>
      <c r="C791" s="118">
        <f>INDIRECT("'Закуп'!A" &amp; B791)</f>
        <v/>
      </c>
      <c r="D791" s="119">
        <f>C791*1.2</f>
        <v/>
      </c>
      <c r="G791" s="172">
        <f>IF(INDIRECT("'Закуп'!L" &amp; B791)="Sale","Sale","")</f>
        <v/>
      </c>
      <c r="H791" s="158">
        <f>IF(INDIRECT("'Закуп'!F" &amp; B791)=0,"",INDIRECT("'Закуп'!F" &amp; B791))</f>
        <v/>
      </c>
      <c r="I791" s="120" t="n">
        <v>1000</v>
      </c>
      <c r="J791" s="121">
        <f>K791/1.2</f>
        <v/>
      </c>
      <c r="K791" s="242" t="n">
        <v>1.13</v>
      </c>
      <c r="L791" s="122">
        <f>J791-C791-(J791-C791)*0.2</f>
        <v/>
      </c>
      <c r="M791" s="123">
        <f>L791*I791</f>
        <v/>
      </c>
      <c r="N791" s="124" t="inlineStr">
        <is>
          <t xml:space="preserve">1000 + шт - </t>
        </is>
      </c>
      <c r="O791" s="47" t="inlineStr">
        <is>
          <t xml:space="preserve"> руб / шт с НДС</t>
        </is>
      </c>
      <c r="P791" s="125">
        <f>ROUND(K791,2)</f>
        <v/>
      </c>
      <c r="Q791" s="207">
        <f>CONCATENATE(N791,P791,O791,)</f>
        <v/>
      </c>
      <c r="R791" s="240" t="n"/>
      <c r="T791" s="241" t="n"/>
      <c r="U791" s="240" t="n"/>
      <c r="V791" s="241" t="n"/>
      <c r="Z791" s="240" t="n"/>
      <c r="AB791" s="241" t="n"/>
      <c r="AC791" s="240" t="n"/>
      <c r="AD791" s="241" t="n"/>
      <c r="AE791" t="n">
        <v>1.42</v>
      </c>
    </row>
    <row r="792">
      <c r="A792" s="232" t="n">
        <v>160</v>
      </c>
      <c r="B792" s="42" t="n">
        <v>160</v>
      </c>
      <c r="C792" s="118">
        <f>INDIRECT("'Закуп'!A" &amp; B792)</f>
        <v/>
      </c>
      <c r="D792" s="119">
        <f>C792*1.2</f>
        <v/>
      </c>
      <c r="E792" s="224">
        <f>INDIRECT("'Закуп'!D" &amp; A792)</f>
        <v/>
      </c>
      <c r="F792" s="231">
        <f>INDIRECT("'Закуп'!E" &amp; B792)</f>
        <v/>
      </c>
      <c r="G792" s="172">
        <f>IF(INDIRECT("'Закуп'!L" &amp; B792)="Sale","Sale","")</f>
        <v/>
      </c>
      <c r="H792" s="158">
        <f>IF(INDIRECT("'Закуп'!F" &amp; B792)=0,"",INDIRECT("'Закуп'!F" &amp; B792))</f>
        <v/>
      </c>
      <c r="I792" s="120" t="n">
        <v>50</v>
      </c>
      <c r="J792" s="121">
        <f>K792/1.2</f>
        <v/>
      </c>
      <c r="K792" s="242" t="n">
        <v>3.36</v>
      </c>
      <c r="L792" s="122">
        <f>J792-C792-(J792-C792)*0.2</f>
        <v/>
      </c>
      <c r="M792" s="123">
        <f>L792*I792</f>
        <v/>
      </c>
      <c r="N792" s="124" t="inlineStr">
        <is>
          <t xml:space="preserve">50-90 шт - </t>
        </is>
      </c>
      <c r="O792" s="47" t="inlineStr">
        <is>
          <t xml:space="preserve"> руб / шт с НДС</t>
        </is>
      </c>
      <c r="P792" s="125">
        <f>ROUND(K792,2)</f>
        <v/>
      </c>
      <c r="Q792" s="207">
        <f>CONCATENATE(N792,P792,O792,)</f>
        <v/>
      </c>
      <c r="R792" s="235">
        <f>INDIRECT("'Закуп'!k" &amp; A792)</f>
        <v/>
      </c>
      <c r="S792" s="239">
        <f>INDIRECT("'Закуп'!o" &amp; A792)</f>
        <v/>
      </c>
      <c r="T792" s="226">
        <f>INDIRECT("'Закуп'!p" &amp; A792)</f>
        <v/>
      </c>
      <c r="U792" s="235">
        <f>INDIRECT("'Закуп'!v" &amp; A792)</f>
        <v/>
      </c>
      <c r="V792" s="222">
        <f>INDIRECT("'Закуп'!w" &amp; A792)</f>
        <v/>
      </c>
      <c r="W792" s="229">
        <f>INDIRECT("'Закуп'!H" &amp; A792)</f>
        <v/>
      </c>
      <c r="X792" s="237">
        <f>INDIRECT("'Закуп'!g" &amp; A792)</f>
        <v/>
      </c>
      <c r="Y792" s="229">
        <f>INDIRECT("'Закуп'!i" &amp; A792)</f>
        <v/>
      </c>
      <c r="Z792" s="236">
        <f>INDIRECT("'Закуп'!x" &amp; A792)</f>
        <v/>
      </c>
      <c r="AA792" s="237">
        <f>INDIRECT("'Закуп'!y" &amp; A792)</f>
        <v/>
      </c>
      <c r="AB792" s="238">
        <f>INDIRECT("'Закуп'!z" &amp; A792)</f>
        <v/>
      </c>
      <c r="AC792" s="223">
        <f>SUBSTITUTE(INDEX(F:F, ROUNDUP((ROW(A791))/5,0)*5 - 3), "х", "x")</f>
        <v/>
      </c>
      <c r="AD792" s="222">
        <f>SUBSTITUTE(INDEX(F:F, ROUNDUP((ROW(A791))/5,0)*5 - 3), "х", "x") &amp; " - " &amp; SUBSTITUTE(SUBSTITUTE(INDEX(F:F, ROUNDUP((ROW(A791))/5,0)*5 - 3), "х", "*"), "x", "*") &amp; " мм"</f>
        <v/>
      </c>
      <c r="AE792" t="n">
        <v>4.44</v>
      </c>
    </row>
    <row r="793">
      <c r="B793" s="42" t="n">
        <v>160</v>
      </c>
      <c r="C793" s="118">
        <f>INDIRECT("'Закуп'!A" &amp; B793)</f>
        <v/>
      </c>
      <c r="D793" s="119">
        <f>C793*1.2</f>
        <v/>
      </c>
      <c r="G793" s="172">
        <f>IF(INDIRECT("'Закуп'!L" &amp; B793)="Sale","Sale","")</f>
        <v/>
      </c>
      <c r="H793" s="158">
        <f>IF(INDIRECT("'Закуп'!F" &amp; B793)=0,"",INDIRECT("'Закуп'!F" &amp; B793))</f>
        <v/>
      </c>
      <c r="I793" s="120" t="n">
        <v>100</v>
      </c>
      <c r="J793" s="121">
        <f>K793/1.2</f>
        <v/>
      </c>
      <c r="K793" s="242" t="n">
        <v>2.87</v>
      </c>
      <c r="L793" s="122">
        <f>J793-C793-(J793-C793)*0.2</f>
        <v/>
      </c>
      <c r="M793" s="123">
        <f>L793*I793</f>
        <v/>
      </c>
      <c r="N793" s="124" t="inlineStr">
        <is>
          <t xml:space="preserve">100-290 шт - </t>
        </is>
      </c>
      <c r="O793" s="47" t="inlineStr">
        <is>
          <t xml:space="preserve"> руб / шт с НДС</t>
        </is>
      </c>
      <c r="P793" s="125">
        <f>ROUND(K793,2)</f>
        <v/>
      </c>
      <c r="Q793" s="207">
        <f>CONCATENATE(N793,P793,O793,)</f>
        <v/>
      </c>
      <c r="R793" s="240" t="n"/>
      <c r="T793" s="241" t="n"/>
      <c r="U793" s="240" t="n"/>
      <c r="V793" s="241" t="n"/>
      <c r="Z793" s="240" t="n"/>
      <c r="AB793" s="241" t="n"/>
      <c r="AC793" s="240" t="n"/>
      <c r="AD793" s="241" t="n"/>
      <c r="AE793" t="n">
        <v>4.32</v>
      </c>
    </row>
    <row r="794">
      <c r="B794" s="42" t="n">
        <v>160</v>
      </c>
      <c r="C794" s="118">
        <f>INDIRECT("'Закуп'!A" &amp; B794)</f>
        <v/>
      </c>
      <c r="D794" s="119">
        <f>C794*1.2</f>
        <v/>
      </c>
      <c r="G794" s="172">
        <f>IF(INDIRECT("'Закуп'!L" &amp; B794)="Sale","Sale","")</f>
        <v/>
      </c>
      <c r="H794" s="158">
        <f>IF(INDIRECT("'Закуп'!F" &amp; B794)=0,"",INDIRECT("'Закуп'!F" &amp; B794))</f>
        <v/>
      </c>
      <c r="I794" s="120" t="n">
        <v>300</v>
      </c>
      <c r="J794" s="121">
        <f>K794/1.2</f>
        <v/>
      </c>
      <c r="K794" s="242" t="n">
        <v>2.61</v>
      </c>
      <c r="L794" s="122">
        <f>J794-C794-(J794-C794)*0.2</f>
        <v/>
      </c>
      <c r="M794" s="123">
        <f>L794*I794</f>
        <v/>
      </c>
      <c r="N794" s="124" t="inlineStr">
        <is>
          <t xml:space="preserve">300-490 шт - </t>
        </is>
      </c>
      <c r="O794" s="47" t="inlineStr">
        <is>
          <t xml:space="preserve"> руб / шт с НДС</t>
        </is>
      </c>
      <c r="P794" s="125">
        <f>ROUND(K794,2)</f>
        <v/>
      </c>
      <c r="Q794" s="207">
        <f>CONCATENATE(N794,P794,O794,)</f>
        <v/>
      </c>
      <c r="R794" s="240" t="n"/>
      <c r="T794" s="241" t="n"/>
      <c r="U794" s="240" t="n"/>
      <c r="V794" s="241" t="n"/>
      <c r="Z794" s="240" t="n"/>
      <c r="AB794" s="241" t="n"/>
      <c r="AC794" s="240" t="n"/>
      <c r="AD794" s="241" t="n"/>
      <c r="AE794" t="n">
        <v>3.55</v>
      </c>
    </row>
    <row r="795">
      <c r="B795" s="42" t="n">
        <v>160</v>
      </c>
      <c r="C795" s="118">
        <f>INDIRECT("'Закуп'!A" &amp; B795)</f>
        <v/>
      </c>
      <c r="D795" s="119">
        <f>C795*1.2</f>
        <v/>
      </c>
      <c r="G795" s="172">
        <f>IF(INDIRECT("'Закуп'!L" &amp; B795)="Sale","Sale","")</f>
        <v/>
      </c>
      <c r="H795" s="158">
        <f>IF(INDIRECT("'Закуп'!F" &amp; B795)=0,"",INDIRECT("'Закуп'!F" &amp; B795))</f>
        <v/>
      </c>
      <c r="I795" s="120" t="n">
        <v>500</v>
      </c>
      <c r="J795" s="121">
        <f>K795/1.2</f>
        <v/>
      </c>
      <c r="K795" s="242" t="n">
        <v>2.47</v>
      </c>
      <c r="L795" s="122">
        <f>J795-C795-(J795-C795)*0.2</f>
        <v/>
      </c>
      <c r="M795" s="123">
        <f>L795*I795</f>
        <v/>
      </c>
      <c r="N795" s="124" t="inlineStr">
        <is>
          <t xml:space="preserve">500-990 шт - </t>
        </is>
      </c>
      <c r="O795" s="47" t="inlineStr">
        <is>
          <t xml:space="preserve"> руб / шт с НДС</t>
        </is>
      </c>
      <c r="P795" s="125">
        <f>ROUND(K795,2)</f>
        <v/>
      </c>
      <c r="Q795" s="207">
        <f>CONCATENATE(N795,P795,O795,)</f>
        <v/>
      </c>
      <c r="R795" s="240" t="n"/>
      <c r="T795" s="241" t="n"/>
      <c r="U795" s="240" t="n"/>
      <c r="V795" s="241" t="n"/>
      <c r="Z795" s="240" t="n"/>
      <c r="AB795" s="241" t="n"/>
      <c r="AC795" s="240" t="n"/>
      <c r="AD795" s="241" t="n"/>
      <c r="AE795" t="n">
        <v>3.5</v>
      </c>
    </row>
    <row r="796">
      <c r="B796" s="42" t="n">
        <v>160</v>
      </c>
      <c r="C796" s="118">
        <f>INDIRECT("'Закуп'!A" &amp; B796)</f>
        <v/>
      </c>
      <c r="D796" s="119">
        <f>C796*1.2</f>
        <v/>
      </c>
      <c r="G796" s="172">
        <f>IF(INDIRECT("'Закуп'!L" &amp; B796)="Sale","Sale","")</f>
        <v/>
      </c>
      <c r="H796" s="158">
        <f>IF(INDIRECT("'Закуп'!F" &amp; B796)=0,"",INDIRECT("'Закуп'!F" &amp; B796))</f>
        <v/>
      </c>
      <c r="I796" s="120" t="n">
        <v>1000</v>
      </c>
      <c r="J796" s="121">
        <f>K796/1.2</f>
        <v/>
      </c>
      <c r="K796" s="242" t="n">
        <v>2.39</v>
      </c>
      <c r="L796" s="122">
        <f>J796-C796-(J796-C796)*0.2</f>
        <v/>
      </c>
      <c r="M796" s="123">
        <f>L796*I796</f>
        <v/>
      </c>
      <c r="N796" s="124" t="inlineStr">
        <is>
          <t xml:space="preserve">1000 + шт - </t>
        </is>
      </c>
      <c r="O796" s="47" t="inlineStr">
        <is>
          <t xml:space="preserve"> руб / шт с НДС</t>
        </is>
      </c>
      <c r="P796" s="125">
        <f>ROUND(K796,2)</f>
        <v/>
      </c>
      <c r="Q796" s="207">
        <f>CONCATENATE(N796,P796,O796,)</f>
        <v/>
      </c>
      <c r="R796" s="240" t="n"/>
      <c r="T796" s="241" t="n"/>
      <c r="U796" s="240" t="n"/>
      <c r="V796" s="241" t="n"/>
      <c r="Z796" s="240" t="n"/>
      <c r="AB796" s="241" t="n"/>
      <c r="AC796" s="240" t="n"/>
      <c r="AD796" s="241" t="n"/>
      <c r="AE796" t="n">
        <v>3.38</v>
      </c>
    </row>
    <row r="797">
      <c r="A797" s="232" t="n">
        <v>161</v>
      </c>
      <c r="B797" s="42" t="n">
        <v>161</v>
      </c>
      <c r="C797" s="118">
        <f>INDIRECT("'Закуп'!A" &amp; B797)</f>
        <v/>
      </c>
      <c r="D797" s="119">
        <f>C797*1.2</f>
        <v/>
      </c>
      <c r="E797" s="224">
        <f>INDIRECT("'Закуп'!D" &amp; A797)</f>
        <v/>
      </c>
      <c r="F797" s="231">
        <f>INDIRECT("'Закуп'!E" &amp; B797)</f>
        <v/>
      </c>
      <c r="G797" s="172">
        <f>IF(INDIRECT("'Закуп'!L" &amp; B797)="Sale","Sale","")</f>
        <v/>
      </c>
      <c r="H797" s="158">
        <f>IF(INDIRECT("'Закуп'!F" &amp; B797)=0,"",INDIRECT("'Закуп'!F" &amp; B797))</f>
        <v/>
      </c>
      <c r="I797" s="120" t="n">
        <v>50</v>
      </c>
      <c r="J797" s="121">
        <f>K797/1.2</f>
        <v/>
      </c>
      <c r="K797" s="70" t="n">
        <v>1.16</v>
      </c>
      <c r="L797" s="122">
        <f>J797-C797-(J797-C797)*0.2</f>
        <v/>
      </c>
      <c r="M797" s="123">
        <f>L797*I797</f>
        <v/>
      </c>
      <c r="N797" s="124" t="inlineStr">
        <is>
          <t xml:space="preserve">50-90 шт - </t>
        </is>
      </c>
      <c r="O797" s="47" t="inlineStr">
        <is>
          <t xml:space="preserve"> руб / шт с НДС</t>
        </is>
      </c>
      <c r="P797" s="125">
        <f>ROUND(K797,2)</f>
        <v/>
      </c>
      <c r="Q797" s="207">
        <f>CONCATENATE(N797,P797,O797,)</f>
        <v/>
      </c>
      <c r="R797" s="235">
        <f>INDIRECT("'Закуп'!k" &amp; A797)</f>
        <v/>
      </c>
      <c r="S797" s="239">
        <f>INDIRECT("'Закуп'!o" &amp; A797)</f>
        <v/>
      </c>
      <c r="T797" s="226">
        <f>INDIRECT("'Закуп'!p" &amp; A797)</f>
        <v/>
      </c>
      <c r="U797" s="235">
        <f>INDIRECT("'Закуп'!v" &amp; A797)</f>
        <v/>
      </c>
      <c r="V797" s="222">
        <f>INDIRECT("'Закуп'!w" &amp; A797)</f>
        <v/>
      </c>
      <c r="W797" s="229">
        <f>INDIRECT("'Закуп'!H" &amp; A797)</f>
        <v/>
      </c>
      <c r="X797" s="237">
        <f>INDIRECT("'Закуп'!g" &amp; A797)</f>
        <v/>
      </c>
      <c r="Y797" s="229">
        <f>INDIRECT("'Закуп'!i" &amp; A797)</f>
        <v/>
      </c>
      <c r="Z797" s="236">
        <f>INDIRECT("'Закуп'!x" &amp; A797)</f>
        <v/>
      </c>
      <c r="AA797" s="237">
        <f>INDIRECT("'Закуп'!y" &amp; A797)</f>
        <v/>
      </c>
      <c r="AB797" s="238">
        <f>INDIRECT("'Закуп'!z" &amp; A797)</f>
        <v/>
      </c>
      <c r="AC797" s="223">
        <f>SUBSTITUTE(INDEX(F:F, ROUNDUP((ROW(A796))/5,0)*5 - 3), "х", "x")</f>
        <v/>
      </c>
      <c r="AD797" s="222">
        <f>SUBSTITUTE(INDEX(F:F, ROUNDUP((ROW(A796))/5,0)*5 - 3), "х", "x") &amp; " - " &amp; SUBSTITUTE(SUBSTITUTE(INDEX(F:F, ROUNDUP((ROW(A796))/5,0)*5 - 3), "х", "*"), "x", "*") &amp; " мм"</f>
        <v/>
      </c>
    </row>
    <row r="798">
      <c r="B798" s="42" t="n">
        <v>161</v>
      </c>
      <c r="C798" s="118">
        <f>INDIRECT("'Закуп'!A" &amp; B798)</f>
        <v/>
      </c>
      <c r="D798" s="119">
        <f>C798*1.2</f>
        <v/>
      </c>
      <c r="G798" s="172">
        <f>IF(INDIRECT("'Закуп'!L" &amp; B798)="Sale","Sale","")</f>
        <v/>
      </c>
      <c r="H798" s="158">
        <f>IF(INDIRECT("'Закуп'!F" &amp; B798)=0,"",INDIRECT("'Закуп'!F" &amp; B798))</f>
        <v/>
      </c>
      <c r="I798" s="120" t="n">
        <v>100</v>
      </c>
      <c r="J798" s="121">
        <f>K798/1.2</f>
        <v/>
      </c>
      <c r="K798" s="70" t="n">
        <v>1.01</v>
      </c>
      <c r="L798" s="122">
        <f>J798-C798-(J798-C798)*0.2</f>
        <v/>
      </c>
      <c r="M798" s="123">
        <f>L798*I798</f>
        <v/>
      </c>
      <c r="N798" s="124" t="inlineStr">
        <is>
          <t xml:space="preserve">100-290 шт - </t>
        </is>
      </c>
      <c r="O798" s="47" t="inlineStr">
        <is>
          <t xml:space="preserve"> руб / шт с НДС</t>
        </is>
      </c>
      <c r="P798" s="125">
        <f>ROUND(K798,2)</f>
        <v/>
      </c>
      <c r="Q798" s="207">
        <f>CONCATENATE(N798,P798,O798,)</f>
        <v/>
      </c>
      <c r="R798" s="240" t="n"/>
      <c r="T798" s="241" t="n"/>
      <c r="U798" s="240" t="n"/>
      <c r="V798" s="241" t="n"/>
      <c r="Z798" s="240" t="n"/>
      <c r="AB798" s="241" t="n"/>
      <c r="AC798" s="240" t="n"/>
      <c r="AD798" s="241" t="n"/>
    </row>
    <row r="799">
      <c r="B799" s="42" t="n">
        <v>161</v>
      </c>
      <c r="C799" s="118">
        <f>INDIRECT("'Закуп'!A" &amp; B799)</f>
        <v/>
      </c>
      <c r="D799" s="119">
        <f>C799*1.2</f>
        <v/>
      </c>
      <c r="G799" s="172">
        <f>IF(INDIRECT("'Закуп'!L" &amp; B799)="Sale","Sale","")</f>
        <v/>
      </c>
      <c r="H799" s="158">
        <f>IF(INDIRECT("'Закуп'!F" &amp; B799)=0,"",INDIRECT("'Закуп'!F" &amp; B799))</f>
        <v/>
      </c>
      <c r="I799" s="120" t="n">
        <v>300</v>
      </c>
      <c r="J799" s="121">
        <f>K799/1.2</f>
        <v/>
      </c>
      <c r="K799" s="70" t="n">
        <v>0.82</v>
      </c>
      <c r="L799" s="122">
        <f>J799-C799-(J799-C799)*0.2</f>
        <v/>
      </c>
      <c r="M799" s="123">
        <f>L799*I799</f>
        <v/>
      </c>
      <c r="N799" s="124" t="inlineStr">
        <is>
          <t xml:space="preserve">300-490 шт - </t>
        </is>
      </c>
      <c r="O799" s="47" t="inlineStr">
        <is>
          <t xml:space="preserve"> руб / шт с НДС</t>
        </is>
      </c>
      <c r="P799" s="125">
        <f>ROUND(K799,2)</f>
        <v/>
      </c>
      <c r="Q799" s="207">
        <f>CONCATENATE(N799,P799,O799,)</f>
        <v/>
      </c>
      <c r="R799" s="240" t="n"/>
      <c r="T799" s="241" t="n"/>
      <c r="U799" s="240" t="n"/>
      <c r="V799" s="241" t="n"/>
      <c r="Z799" s="240" t="n"/>
      <c r="AB799" s="241" t="n"/>
      <c r="AC799" s="240" t="n"/>
      <c r="AD799" s="241" t="n"/>
    </row>
    <row r="800">
      <c r="B800" s="42" t="n">
        <v>161</v>
      </c>
      <c r="C800" s="118">
        <f>INDIRECT("'Закуп'!A" &amp; B800)</f>
        <v/>
      </c>
      <c r="D800" s="119">
        <f>C800*1.2</f>
        <v/>
      </c>
      <c r="G800" s="172">
        <f>IF(INDIRECT("'Закуп'!L" &amp; B800)="Sale","Sale","")</f>
        <v/>
      </c>
      <c r="H800" s="158">
        <f>IF(INDIRECT("'Закуп'!F" &amp; B800)=0,"",INDIRECT("'Закуп'!F" &amp; B800))</f>
        <v/>
      </c>
      <c r="I800" s="120" t="n">
        <v>500</v>
      </c>
      <c r="J800" s="121">
        <f>K800/1.2</f>
        <v/>
      </c>
      <c r="K800" s="70" t="n">
        <v>0.77</v>
      </c>
      <c r="L800" s="122">
        <f>J800-C800-(J800-C800)*0.2</f>
        <v/>
      </c>
      <c r="M800" s="123">
        <f>L800*I800</f>
        <v/>
      </c>
      <c r="N800" s="124" t="inlineStr">
        <is>
          <t xml:space="preserve">500-990 шт - </t>
        </is>
      </c>
      <c r="O800" s="47" t="inlineStr">
        <is>
          <t xml:space="preserve"> руб / шт с НДС</t>
        </is>
      </c>
      <c r="P800" s="125">
        <f>ROUND(K800,2)</f>
        <v/>
      </c>
      <c r="Q800" s="207">
        <f>CONCATENATE(N800,P800,O800,)</f>
        <v/>
      </c>
      <c r="R800" s="240" t="n"/>
      <c r="T800" s="241" t="n"/>
      <c r="U800" s="240" t="n"/>
      <c r="V800" s="241" t="n"/>
      <c r="Z800" s="240" t="n"/>
      <c r="AB800" s="241" t="n"/>
      <c r="AC800" s="240" t="n"/>
      <c r="AD800" s="241" t="n"/>
    </row>
    <row r="801">
      <c r="B801" s="42" t="n">
        <v>161</v>
      </c>
      <c r="C801" s="118">
        <f>INDIRECT("'Закуп'!A" &amp; B801)</f>
        <v/>
      </c>
      <c r="D801" s="119">
        <f>C801*1.2</f>
        <v/>
      </c>
      <c r="G801" s="172">
        <f>IF(INDIRECT("'Закуп'!L" &amp; B801)="Sale","Sale","")</f>
        <v/>
      </c>
      <c r="H801" s="158">
        <f>IF(INDIRECT("'Закуп'!F" &amp; B801)=0,"",INDIRECT("'Закуп'!F" &amp; B801))</f>
        <v/>
      </c>
      <c r="I801" s="120" t="n">
        <v>1000</v>
      </c>
      <c r="J801" s="121">
        <f>K801/1.2</f>
        <v/>
      </c>
      <c r="K801" s="70" t="n">
        <v>0.72</v>
      </c>
      <c r="L801" s="122">
        <f>J801-C801-(J801-C801)*0.2</f>
        <v/>
      </c>
      <c r="M801" s="123">
        <f>L801*I801</f>
        <v/>
      </c>
      <c r="N801" s="124" t="inlineStr">
        <is>
          <t xml:space="preserve">1000 + шт - </t>
        </is>
      </c>
      <c r="O801" s="47" t="inlineStr">
        <is>
          <t xml:space="preserve"> руб / шт с НДС</t>
        </is>
      </c>
      <c r="P801" s="125">
        <f>ROUND(K801,2)</f>
        <v/>
      </c>
      <c r="Q801" s="207">
        <f>CONCATENATE(N801,P801,O801,)</f>
        <v/>
      </c>
      <c r="R801" s="240" t="n"/>
      <c r="T801" s="241" t="n"/>
      <c r="U801" s="240" t="n"/>
      <c r="V801" s="241" t="n"/>
      <c r="Z801" s="240" t="n"/>
      <c r="AB801" s="241" t="n"/>
      <c r="AC801" s="240" t="n"/>
      <c r="AD801" s="241" t="n"/>
    </row>
    <row r="802">
      <c r="A802" s="232" t="n">
        <v>162</v>
      </c>
      <c r="B802" s="42" t="n">
        <v>162</v>
      </c>
      <c r="C802" s="118">
        <f>INDIRECT("'Закуп'!A" &amp; B802)</f>
        <v/>
      </c>
      <c r="D802" s="119">
        <f>C802*1.2</f>
        <v/>
      </c>
      <c r="E802" s="224">
        <f>INDIRECT("'Закуп'!D" &amp; A802)</f>
        <v/>
      </c>
      <c r="F802" s="231">
        <f>INDIRECT("'Закуп'!E" &amp; B802)</f>
        <v/>
      </c>
      <c r="G802" s="172">
        <f>IF(INDIRECT("'Закуп'!L" &amp; B802)="Sale","Sale","")</f>
        <v/>
      </c>
      <c r="H802" s="158">
        <f>IF(INDIRECT("'Закуп'!F" &amp; B802)=0,"",INDIRECT("'Закуп'!F" &amp; B802))</f>
        <v/>
      </c>
      <c r="I802" s="120" t="n">
        <v>50</v>
      </c>
      <c r="J802" s="121">
        <f>K802/1.2</f>
        <v/>
      </c>
      <c r="K802" s="242" t="n">
        <v>1.17</v>
      </c>
      <c r="L802" s="122">
        <f>J802-C802-(J802-C802)*0.2</f>
        <v/>
      </c>
      <c r="M802" s="123">
        <f>L802*I802</f>
        <v/>
      </c>
      <c r="N802" s="124" t="inlineStr">
        <is>
          <t xml:space="preserve">50-90 шт - </t>
        </is>
      </c>
      <c r="O802" s="47" t="inlineStr">
        <is>
          <t xml:space="preserve"> руб / шт с НДС</t>
        </is>
      </c>
      <c r="P802" s="125">
        <f>ROUND(K802,2)</f>
        <v/>
      </c>
      <c r="Q802" s="207">
        <f>CONCATENATE(N802,P802,O802,)</f>
        <v/>
      </c>
      <c r="R802" s="235">
        <f>INDIRECT("'Закуп'!k" &amp; A802)</f>
        <v/>
      </c>
      <c r="S802" s="239">
        <f>INDIRECT("'Закуп'!o" &amp; A802)</f>
        <v/>
      </c>
      <c r="T802" s="226">
        <f>INDIRECT("'Закуп'!p" &amp; A802)</f>
        <v/>
      </c>
      <c r="U802" s="235">
        <f>INDIRECT("'Закуп'!v" &amp; A802)</f>
        <v/>
      </c>
      <c r="V802" s="222">
        <f>INDIRECT("'Закуп'!w" &amp; A802)</f>
        <v/>
      </c>
      <c r="W802" s="229">
        <f>INDIRECT("'Закуп'!H" &amp; A802)</f>
        <v/>
      </c>
      <c r="X802" s="237">
        <f>INDIRECT("'Закуп'!g" &amp; A802)</f>
        <v/>
      </c>
      <c r="Y802" s="229">
        <f>INDIRECT("'Закуп'!i" &amp; A802)</f>
        <v/>
      </c>
      <c r="Z802" s="236">
        <f>INDIRECT("'Закуп'!x" &amp; A802)</f>
        <v/>
      </c>
      <c r="AA802" s="237">
        <f>INDIRECT("'Закуп'!y" &amp; A802)</f>
        <v/>
      </c>
      <c r="AB802" s="238">
        <f>INDIRECT("'Закуп'!z" &amp; A802)</f>
        <v/>
      </c>
      <c r="AC802" s="223">
        <f>SUBSTITUTE(INDEX(F:F, ROUNDUP((ROW(A801))/5,0)*5 - 3), "х", "x")</f>
        <v/>
      </c>
      <c r="AD802" s="222">
        <f>SUBSTITUTE(INDEX(F:F, ROUNDUP((ROW(A801))/5,0)*5 - 3), "х", "x") &amp; " - " &amp; SUBSTITUTE(SUBSTITUTE(INDEX(F:F, ROUNDUP((ROW(A801))/5,0)*5 - 3), "х", "*"), "x", "*") &amp; " мм"</f>
        <v/>
      </c>
      <c r="AE802" t="n">
        <v>1.81</v>
      </c>
    </row>
    <row r="803">
      <c r="B803" s="42" t="n">
        <v>162</v>
      </c>
      <c r="C803" s="118">
        <f>INDIRECT("'Закуп'!A" &amp; B803)</f>
        <v/>
      </c>
      <c r="D803" s="119">
        <f>C803*1.2</f>
        <v/>
      </c>
      <c r="G803" s="172">
        <f>IF(INDIRECT("'Закуп'!L" &amp; B803)="Sale","Sale","")</f>
        <v/>
      </c>
      <c r="H803" s="158">
        <f>IF(INDIRECT("'Закуп'!F" &amp; B803)=0,"",INDIRECT("'Закуп'!F" &amp; B803))</f>
        <v/>
      </c>
      <c r="I803" s="120" t="n">
        <v>100</v>
      </c>
      <c r="J803" s="121">
        <f>K803/1.2</f>
        <v/>
      </c>
      <c r="K803" s="242" t="n">
        <v>1</v>
      </c>
      <c r="L803" s="122">
        <f>J803-C803-(J803-C803)*0.2</f>
        <v/>
      </c>
      <c r="M803" s="123">
        <f>L803*I803</f>
        <v/>
      </c>
      <c r="N803" s="124" t="inlineStr">
        <is>
          <t xml:space="preserve">100-290 шт - </t>
        </is>
      </c>
      <c r="O803" s="47" t="inlineStr">
        <is>
          <t xml:space="preserve"> руб / шт с НДС</t>
        </is>
      </c>
      <c r="P803" s="125">
        <f>ROUND(K803,2)</f>
        <v/>
      </c>
      <c r="Q803" s="207">
        <f>CONCATENATE(N803,P803,O803,)</f>
        <v/>
      </c>
      <c r="R803" s="240" t="n"/>
      <c r="T803" s="241" t="n"/>
      <c r="U803" s="240" t="n"/>
      <c r="V803" s="241" t="n"/>
      <c r="Z803" s="240" t="n"/>
      <c r="AB803" s="241" t="n"/>
      <c r="AC803" s="240" t="n"/>
      <c r="AD803" s="241" t="n"/>
      <c r="AE803" t="n">
        <v>1.65</v>
      </c>
    </row>
    <row r="804">
      <c r="B804" s="42" t="n">
        <v>162</v>
      </c>
      <c r="C804" s="118">
        <f>INDIRECT("'Закуп'!A" &amp; B804)</f>
        <v/>
      </c>
      <c r="D804" s="119">
        <f>C804*1.2</f>
        <v/>
      </c>
      <c r="G804" s="172">
        <f>IF(INDIRECT("'Закуп'!L" &amp; B804)="Sale","Sale","")</f>
        <v/>
      </c>
      <c r="H804" s="158">
        <f>IF(INDIRECT("'Закуп'!F" &amp; B804)=0,"",INDIRECT("'Закуп'!F" &amp; B804))</f>
        <v/>
      </c>
      <c r="I804" s="120" t="n">
        <v>300</v>
      </c>
      <c r="J804" s="121">
        <f>K804/1.2</f>
        <v/>
      </c>
      <c r="K804" s="242" t="n">
        <v>0.9399999999999999</v>
      </c>
      <c r="L804" s="122">
        <f>J804-C804-(J804-C804)*0.2</f>
        <v/>
      </c>
      <c r="M804" s="123">
        <f>L804*I804</f>
        <v/>
      </c>
      <c r="N804" s="124" t="inlineStr">
        <is>
          <t xml:space="preserve">300-490 шт - </t>
        </is>
      </c>
      <c r="O804" s="47" t="inlineStr">
        <is>
          <t xml:space="preserve"> руб / шт с НДС</t>
        </is>
      </c>
      <c r="P804" s="125">
        <f>ROUND(K804,2)</f>
        <v/>
      </c>
      <c r="Q804" s="207">
        <f>CONCATENATE(N804,P804,O804,)</f>
        <v/>
      </c>
      <c r="R804" s="240" t="n"/>
      <c r="T804" s="241" t="n"/>
      <c r="U804" s="240" t="n"/>
      <c r="V804" s="241" t="n"/>
      <c r="Z804" s="240" t="n"/>
      <c r="AB804" s="241" t="n"/>
      <c r="AC804" s="240" t="n"/>
      <c r="AD804" s="241" t="n"/>
      <c r="AE804" t="n">
        <v>1.29</v>
      </c>
    </row>
    <row r="805">
      <c r="B805" s="42" t="n">
        <v>162</v>
      </c>
      <c r="C805" s="118">
        <f>INDIRECT("'Закуп'!A" &amp; B805)</f>
        <v/>
      </c>
      <c r="D805" s="119">
        <f>C805*1.2</f>
        <v/>
      </c>
      <c r="G805" s="172">
        <f>IF(INDIRECT("'Закуп'!L" &amp; B805)="Sale","Sale","")</f>
        <v/>
      </c>
      <c r="H805" s="158">
        <f>IF(INDIRECT("'Закуп'!F" &amp; B805)=0,"",INDIRECT("'Закуп'!F" &amp; B805))</f>
        <v/>
      </c>
      <c r="I805" s="120" t="n">
        <v>500</v>
      </c>
      <c r="J805" s="121">
        <f>K805/1.2</f>
        <v/>
      </c>
      <c r="K805" s="242" t="n">
        <v>0.89</v>
      </c>
      <c r="L805" s="122">
        <f>J805-C805-(J805-C805)*0.2</f>
        <v/>
      </c>
      <c r="M805" s="123">
        <f>L805*I805</f>
        <v/>
      </c>
      <c r="N805" s="124" t="inlineStr">
        <is>
          <t xml:space="preserve">500-990 шт - </t>
        </is>
      </c>
      <c r="O805" s="47" t="inlineStr">
        <is>
          <t xml:space="preserve"> руб / шт с НДС</t>
        </is>
      </c>
      <c r="P805" s="125">
        <f>ROUND(K805,2)</f>
        <v/>
      </c>
      <c r="Q805" s="207">
        <f>CONCATENATE(N805,P805,O805,)</f>
        <v/>
      </c>
      <c r="R805" s="240" t="n"/>
      <c r="T805" s="241" t="n"/>
      <c r="U805" s="240" t="n"/>
      <c r="V805" s="241" t="n"/>
      <c r="Z805" s="240" t="n"/>
      <c r="AB805" s="241" t="n"/>
      <c r="AC805" s="240" t="n"/>
      <c r="AD805" s="241" t="n"/>
      <c r="AE805" t="n">
        <v>1.22</v>
      </c>
    </row>
    <row r="806">
      <c r="B806" s="42" t="n">
        <v>162</v>
      </c>
      <c r="C806" s="118">
        <f>INDIRECT("'Закуп'!A" &amp; B806)</f>
        <v/>
      </c>
      <c r="D806" s="119">
        <f>C806*1.2</f>
        <v/>
      </c>
      <c r="G806" s="172">
        <f>IF(INDIRECT("'Закуп'!L" &amp; B806)="Sale","Sale","")</f>
        <v/>
      </c>
      <c r="H806" s="158">
        <f>IF(INDIRECT("'Закуп'!F" &amp; B806)=0,"",INDIRECT("'Закуп'!F" &amp; B806))</f>
        <v/>
      </c>
      <c r="I806" s="120" t="n">
        <v>1000</v>
      </c>
      <c r="J806" s="121">
        <f>K806/1.2</f>
        <v/>
      </c>
      <c r="K806" s="242" t="n">
        <v>0.82</v>
      </c>
      <c r="L806" s="122">
        <f>J806-C806-(J806-C806)*0.2</f>
        <v/>
      </c>
      <c r="M806" s="123">
        <f>L806*I806</f>
        <v/>
      </c>
      <c r="N806" s="124" t="inlineStr">
        <is>
          <t xml:space="preserve">1000 + шт - </t>
        </is>
      </c>
      <c r="O806" s="47" t="inlineStr">
        <is>
          <t xml:space="preserve"> руб / шт с НДС</t>
        </is>
      </c>
      <c r="P806" s="125">
        <f>ROUND(K806,2)</f>
        <v/>
      </c>
      <c r="Q806" s="207">
        <f>CONCATENATE(N806,P806,O806,)</f>
        <v/>
      </c>
      <c r="R806" s="240" t="n"/>
      <c r="T806" s="241" t="n"/>
      <c r="U806" s="240" t="n"/>
      <c r="V806" s="241" t="n"/>
      <c r="Z806" s="240" t="n"/>
      <c r="AB806" s="241" t="n"/>
      <c r="AC806" s="240" t="n"/>
      <c r="AD806" s="241" t="n"/>
      <c r="AE806" t="n">
        <v>1.07</v>
      </c>
    </row>
    <row r="807">
      <c r="A807" s="232" t="n">
        <v>163</v>
      </c>
      <c r="B807" s="42" t="n">
        <v>163</v>
      </c>
      <c r="C807" s="118">
        <f>INDIRECT("'Закуп'!A" &amp; B807)</f>
        <v/>
      </c>
      <c r="D807" s="119">
        <f>C807*1.2</f>
        <v/>
      </c>
      <c r="E807" s="224">
        <f>INDIRECT("'Закуп'!D" &amp; A807)</f>
        <v/>
      </c>
      <c r="F807" s="231">
        <f>INDIRECT("'Закуп'!E" &amp; B807)</f>
        <v/>
      </c>
      <c r="G807" s="172">
        <f>IF(INDIRECT("'Закуп'!L" &amp; B807)="Sale","Sale","")</f>
        <v/>
      </c>
      <c r="H807" s="158">
        <f>IF(INDIRECT("'Закуп'!F" &amp; B807)=0,"",INDIRECT("'Закуп'!F" &amp; B807))</f>
        <v/>
      </c>
      <c r="I807" s="120" t="n">
        <v>50</v>
      </c>
      <c r="J807" s="121">
        <f>K807/1.2</f>
        <v/>
      </c>
      <c r="K807" s="242" t="n">
        <v>4.53</v>
      </c>
      <c r="L807" s="122">
        <f>J807-C807-(J807-C807)*0.2</f>
        <v/>
      </c>
      <c r="M807" s="123">
        <f>L807*I807</f>
        <v/>
      </c>
      <c r="N807" s="124" t="inlineStr">
        <is>
          <t xml:space="preserve">50-90 шт - </t>
        </is>
      </c>
      <c r="O807" s="47" t="inlineStr">
        <is>
          <t xml:space="preserve"> руб / шт с НДС</t>
        </is>
      </c>
      <c r="P807" s="125">
        <f>ROUND(K807,2)</f>
        <v/>
      </c>
      <c r="Q807" s="207">
        <f>CONCATENATE(N807,P807,O807,)</f>
        <v/>
      </c>
      <c r="R807" s="235">
        <f>INDIRECT("'Закуп'!k" &amp; A807)</f>
        <v/>
      </c>
      <c r="S807" s="239">
        <f>INDIRECT("'Закуп'!o" &amp; A807)</f>
        <v/>
      </c>
      <c r="T807" s="226">
        <f>INDIRECT("'Закуп'!p" &amp; A807)</f>
        <v/>
      </c>
      <c r="U807" s="235">
        <f>INDIRECT("'Закуп'!v" &amp; A807)</f>
        <v/>
      </c>
      <c r="V807" s="222">
        <f>INDIRECT("'Закуп'!w" &amp; A807)</f>
        <v/>
      </c>
      <c r="W807" s="229">
        <f>INDIRECT("'Закуп'!H" &amp; A807)</f>
        <v/>
      </c>
      <c r="X807" s="237">
        <f>INDIRECT("'Закуп'!g" &amp; A807)</f>
        <v/>
      </c>
      <c r="Y807" s="229">
        <f>INDIRECT("'Закуп'!i" &amp; A807)</f>
        <v/>
      </c>
      <c r="Z807" s="236">
        <f>INDIRECT("'Закуп'!x" &amp; A807)</f>
        <v/>
      </c>
      <c r="AA807" s="237">
        <f>INDIRECT("'Закуп'!y" &amp; A807)</f>
        <v/>
      </c>
      <c r="AB807" s="238">
        <f>INDIRECT("'Закуп'!z" &amp; A807)</f>
        <v/>
      </c>
      <c r="AC807" s="223">
        <f>SUBSTITUTE(INDEX(F:F, ROUNDUP((ROW(A806))/5,0)*5 - 3), "х", "x")</f>
        <v/>
      </c>
      <c r="AD807" s="222">
        <f>SUBSTITUTE(INDEX(F:F, ROUNDUP((ROW(A806))/5,0)*5 - 3), "х", "x") &amp; " - " &amp; SUBSTITUTE(SUBSTITUTE(INDEX(F:F, ROUNDUP((ROW(A806))/5,0)*5 - 3), "х", "*"), "x", "*") &amp; " мм"</f>
        <v/>
      </c>
      <c r="AE807" t="n">
        <v>7.06</v>
      </c>
    </row>
    <row r="808">
      <c r="B808" s="42" t="n">
        <v>163</v>
      </c>
      <c r="C808" s="118">
        <f>INDIRECT("'Закуп'!A" &amp; B808)</f>
        <v/>
      </c>
      <c r="D808" s="119">
        <f>C808*1.2</f>
        <v/>
      </c>
      <c r="G808" s="172">
        <f>IF(INDIRECT("'Закуп'!L" &amp; B808)="Sale","Sale","")</f>
        <v/>
      </c>
      <c r="H808" s="158">
        <f>IF(INDIRECT("'Закуп'!F" &amp; B808)=0,"",INDIRECT("'Закуп'!F" &amp; B808))</f>
        <v/>
      </c>
      <c r="I808" s="120" t="n">
        <v>100</v>
      </c>
      <c r="J808" s="121">
        <f>K808/1.2</f>
        <v/>
      </c>
      <c r="K808" s="242" t="n">
        <v>3.85</v>
      </c>
      <c r="L808" s="122">
        <f>J808-C808-(J808-C808)*0.2</f>
        <v/>
      </c>
      <c r="M808" s="123">
        <f>L808*I808</f>
        <v/>
      </c>
      <c r="N808" s="124" t="inlineStr">
        <is>
          <t xml:space="preserve">100-290 шт - </t>
        </is>
      </c>
      <c r="O808" s="47" t="inlineStr">
        <is>
          <t xml:space="preserve"> руб / шт с НДС</t>
        </is>
      </c>
      <c r="P808" s="125">
        <f>ROUND(K808,2)</f>
        <v/>
      </c>
      <c r="Q808" s="207">
        <f>CONCATENATE(N808,P808,O808,)</f>
        <v/>
      </c>
      <c r="R808" s="240" t="n"/>
      <c r="T808" s="241" t="n"/>
      <c r="U808" s="240" t="n"/>
      <c r="V808" s="241" t="n"/>
      <c r="Z808" s="240" t="n"/>
      <c r="AB808" s="241" t="n"/>
      <c r="AC808" s="240" t="n"/>
      <c r="AD808" s="241" t="n"/>
      <c r="AE808" t="n">
        <v>6.53</v>
      </c>
    </row>
    <row r="809">
      <c r="B809" s="42" t="n">
        <v>163</v>
      </c>
      <c r="C809" s="118">
        <f>INDIRECT("'Закуп'!A" &amp; B809)</f>
        <v/>
      </c>
      <c r="D809" s="119">
        <f>C809*1.2</f>
        <v/>
      </c>
      <c r="G809" s="172">
        <f>IF(INDIRECT("'Закуп'!L" &amp; B809)="Sale","Sale","")</f>
        <v/>
      </c>
      <c r="H809" s="158">
        <f>IF(INDIRECT("'Закуп'!F" &amp; B809)=0,"",INDIRECT("'Закуп'!F" &amp; B809))</f>
        <v/>
      </c>
      <c r="I809" s="120" t="n">
        <v>300</v>
      </c>
      <c r="J809" s="121">
        <f>K809/1.2</f>
        <v/>
      </c>
      <c r="K809" s="242" t="n">
        <v>3.63</v>
      </c>
      <c r="L809" s="122">
        <f>J809-C809-(J809-C809)*0.2</f>
        <v/>
      </c>
      <c r="M809" s="123">
        <f>L809*I809</f>
        <v/>
      </c>
      <c r="N809" s="124" t="inlineStr">
        <is>
          <t xml:space="preserve">300-490 шт - </t>
        </is>
      </c>
      <c r="O809" s="47" t="inlineStr">
        <is>
          <t xml:space="preserve"> руб / шт с НДС</t>
        </is>
      </c>
      <c r="P809" s="125">
        <f>ROUND(K809,2)</f>
        <v/>
      </c>
      <c r="Q809" s="207">
        <f>CONCATENATE(N809,P809,O809,)</f>
        <v/>
      </c>
      <c r="R809" s="240" t="n"/>
      <c r="T809" s="241" t="n"/>
      <c r="U809" s="240" t="n"/>
      <c r="V809" s="241" t="n"/>
      <c r="Z809" s="240" t="n"/>
      <c r="AB809" s="241" t="n"/>
      <c r="AC809" s="240" t="n"/>
      <c r="AD809" s="241" t="n"/>
      <c r="AE809" t="n">
        <v>5.63</v>
      </c>
    </row>
    <row r="810">
      <c r="B810" s="42" t="n">
        <v>163</v>
      </c>
      <c r="C810" s="118">
        <f>INDIRECT("'Закуп'!A" &amp; B810)</f>
        <v/>
      </c>
      <c r="D810" s="119">
        <f>C810*1.2</f>
        <v/>
      </c>
      <c r="G810" s="172">
        <f>IF(INDIRECT("'Закуп'!L" &amp; B810)="Sale","Sale","")</f>
        <v/>
      </c>
      <c r="H810" s="158">
        <f>IF(INDIRECT("'Закуп'!F" &amp; B810)=0,"",INDIRECT("'Закуп'!F" &amp; B810))</f>
        <v/>
      </c>
      <c r="I810" s="120" t="n">
        <v>500</v>
      </c>
      <c r="J810" s="121">
        <f>K810/1.2</f>
        <v/>
      </c>
      <c r="K810" s="242" t="n">
        <v>3.44</v>
      </c>
      <c r="L810" s="122">
        <f>J810-C810-(J810-C810)*0.2</f>
        <v/>
      </c>
      <c r="M810" s="123">
        <f>L810*I810</f>
        <v/>
      </c>
      <c r="N810" s="124" t="inlineStr">
        <is>
          <t xml:space="preserve">500-990 шт - </t>
        </is>
      </c>
      <c r="O810" s="47" t="inlineStr">
        <is>
          <t xml:space="preserve"> руб / шт с НДС</t>
        </is>
      </c>
      <c r="P810" s="125">
        <f>ROUND(K810,2)</f>
        <v/>
      </c>
      <c r="Q810" s="207">
        <f>CONCATENATE(N810,P810,O810,)</f>
        <v/>
      </c>
      <c r="R810" s="240" t="n"/>
      <c r="T810" s="241" t="n"/>
      <c r="U810" s="240" t="n"/>
      <c r="V810" s="241" t="n"/>
      <c r="Z810" s="240" t="n"/>
      <c r="AB810" s="241" t="n"/>
      <c r="AC810" s="240" t="n"/>
      <c r="AD810" s="241" t="n"/>
      <c r="AE810" t="n">
        <v>5.45</v>
      </c>
    </row>
    <row r="811">
      <c r="B811" s="42" t="n">
        <v>163</v>
      </c>
      <c r="C811" s="118">
        <f>INDIRECT("'Закуп'!A" &amp; B811)</f>
        <v/>
      </c>
      <c r="D811" s="119">
        <f>C811*1.2</f>
        <v/>
      </c>
      <c r="G811" s="172">
        <f>IF(INDIRECT("'Закуп'!L" &amp; B811)="Sale","Sale","")</f>
        <v/>
      </c>
      <c r="H811" s="158">
        <f>IF(INDIRECT("'Закуп'!F" &amp; B811)=0,"",INDIRECT("'Закуп'!F" &amp; B811))</f>
        <v/>
      </c>
      <c r="I811" s="120" t="n">
        <v>1000</v>
      </c>
      <c r="J811" s="121">
        <f>K811/1.2</f>
        <v/>
      </c>
      <c r="K811" s="242" t="n">
        <v>3.32</v>
      </c>
      <c r="L811" s="122">
        <f>J811-C811-(J811-C811)*0.2</f>
        <v/>
      </c>
      <c r="M811" s="123">
        <f>L811*I811</f>
        <v/>
      </c>
      <c r="N811" s="124" t="inlineStr">
        <is>
          <t xml:space="preserve">1000 + шт - </t>
        </is>
      </c>
      <c r="O811" s="47" t="inlineStr">
        <is>
          <t xml:space="preserve"> руб / шт с НДС</t>
        </is>
      </c>
      <c r="P811" s="125">
        <f>ROUND(K811,2)</f>
        <v/>
      </c>
      <c r="Q811" s="207">
        <f>CONCATENATE(N811,P811,O811,)</f>
        <v/>
      </c>
      <c r="R811" s="240" t="n"/>
      <c r="T811" s="241" t="n"/>
      <c r="U811" s="240" t="n"/>
      <c r="V811" s="241" t="n"/>
      <c r="Z811" s="240" t="n"/>
      <c r="AB811" s="241" t="n"/>
      <c r="AC811" s="240" t="n"/>
      <c r="AD811" s="241" t="n"/>
      <c r="AE811" t="n">
        <v>5.36</v>
      </c>
    </row>
    <row r="812">
      <c r="A812" s="232" t="n">
        <v>164</v>
      </c>
      <c r="B812" s="42" t="n">
        <v>164</v>
      </c>
      <c r="C812" s="118">
        <f>INDIRECT("'Закуп'!A" &amp; B812)</f>
        <v/>
      </c>
      <c r="D812" s="119">
        <f>C812*1.2</f>
        <v/>
      </c>
      <c r="E812" s="224">
        <f>INDIRECT("'Закуп'!D" &amp; A812)</f>
        <v/>
      </c>
      <c r="F812" s="231">
        <f>INDIRECT("'Закуп'!E" &amp; B812)</f>
        <v/>
      </c>
      <c r="G812" s="172">
        <f>IF(INDIRECT("'Закуп'!L" &amp; B812)="Sale","Sale","")</f>
        <v/>
      </c>
      <c r="H812" s="158">
        <f>IF(INDIRECT("'Закуп'!F" &amp; B812)=0,"",INDIRECT("'Закуп'!F" &amp; B812))</f>
        <v/>
      </c>
      <c r="I812" s="120" t="n">
        <v>50</v>
      </c>
      <c r="J812" s="121">
        <f>K812/1.2</f>
        <v/>
      </c>
      <c r="K812" s="242" t="n">
        <v>3.65</v>
      </c>
      <c r="L812" s="122">
        <f>J812-C812-(J812-C812)*0.2</f>
        <v/>
      </c>
      <c r="M812" s="123">
        <f>L812*I812</f>
        <v/>
      </c>
      <c r="N812" s="124" t="inlineStr">
        <is>
          <t xml:space="preserve">50-90 шт - </t>
        </is>
      </c>
      <c r="O812" s="47" t="inlineStr">
        <is>
          <t xml:space="preserve"> руб / шт с НДС</t>
        </is>
      </c>
      <c r="P812" s="125">
        <f>ROUND(K812,2)</f>
        <v/>
      </c>
      <c r="Q812" s="207">
        <f>CONCATENATE(N812,P812,O812,)</f>
        <v/>
      </c>
      <c r="R812" s="235">
        <f>INDIRECT("'Закуп'!k" &amp; A812)</f>
        <v/>
      </c>
      <c r="S812" s="239">
        <f>INDIRECT("'Закуп'!o" &amp; A812)</f>
        <v/>
      </c>
      <c r="T812" s="226">
        <f>INDIRECT("'Закуп'!p" &amp; A812)</f>
        <v/>
      </c>
      <c r="U812" s="235">
        <f>INDIRECT("'Закуп'!v" &amp; A812)</f>
        <v/>
      </c>
      <c r="V812" s="222">
        <f>INDIRECT("'Закуп'!w" &amp; A812)</f>
        <v/>
      </c>
      <c r="W812" s="229">
        <f>INDIRECT("'Закуп'!H" &amp; A812)</f>
        <v/>
      </c>
      <c r="X812" s="237">
        <f>INDIRECT("'Закуп'!g" &amp; A812)</f>
        <v/>
      </c>
      <c r="Y812" s="229">
        <f>INDIRECT("'Закуп'!i" &amp; A812)</f>
        <v/>
      </c>
      <c r="Z812" s="236">
        <f>INDIRECT("'Закуп'!x" &amp; A812)</f>
        <v/>
      </c>
      <c r="AA812" s="237">
        <f>INDIRECT("'Закуп'!y" &amp; A812)</f>
        <v/>
      </c>
      <c r="AB812" s="238">
        <f>INDIRECT("'Закуп'!z" &amp; A812)</f>
        <v/>
      </c>
      <c r="AC812" s="223">
        <f>SUBSTITUTE(INDEX(F:F, ROUNDUP((ROW(A811))/5,0)*5 - 3), "х", "x")</f>
        <v/>
      </c>
      <c r="AD812" s="222">
        <f>SUBSTITUTE(INDEX(F:F, ROUNDUP((ROW(A811))/5,0)*5 - 3), "х", "x") &amp; " - " &amp; SUBSTITUTE(SUBSTITUTE(INDEX(F:F, ROUNDUP((ROW(A811))/5,0)*5 - 3), "х", "*"), "x", "*") &amp; " мм"</f>
        <v/>
      </c>
      <c r="AE812" t="n">
        <v>4.46</v>
      </c>
    </row>
    <row r="813">
      <c r="B813" s="42" t="n">
        <v>164</v>
      </c>
      <c r="C813" s="118">
        <f>INDIRECT("'Закуп'!A" &amp; B813)</f>
        <v/>
      </c>
      <c r="D813" s="119">
        <f>C813*1.2</f>
        <v/>
      </c>
      <c r="G813" s="172">
        <f>IF(INDIRECT("'Закуп'!L" &amp; B813)="Sale","Sale","")</f>
        <v/>
      </c>
      <c r="H813" s="158">
        <f>IF(INDIRECT("'Закуп'!F" &amp; B813)=0,"",INDIRECT("'Закуп'!F" &amp; B813))</f>
        <v/>
      </c>
      <c r="I813" s="120" t="n">
        <v>100</v>
      </c>
      <c r="J813" s="121">
        <f>K813/1.2</f>
        <v/>
      </c>
      <c r="K813" s="242" t="n">
        <v>3.16</v>
      </c>
      <c r="L813" s="122">
        <f>J813-C813-(J813-C813)*0.2</f>
        <v/>
      </c>
      <c r="M813" s="123">
        <f>L813*I813</f>
        <v/>
      </c>
      <c r="N813" s="124" t="inlineStr">
        <is>
          <t xml:space="preserve">100-290 шт - </t>
        </is>
      </c>
      <c r="O813" s="47" t="inlineStr">
        <is>
          <t xml:space="preserve"> руб / шт с НДС</t>
        </is>
      </c>
      <c r="P813" s="125">
        <f>ROUND(K813,2)</f>
        <v/>
      </c>
      <c r="Q813" s="207">
        <f>CONCATENATE(N813,P813,O813,)</f>
        <v/>
      </c>
      <c r="R813" s="240" t="n"/>
      <c r="T813" s="241" t="n"/>
      <c r="U813" s="240" t="n"/>
      <c r="V813" s="241" t="n"/>
      <c r="Z813" s="240" t="n"/>
      <c r="AB813" s="241" t="n"/>
      <c r="AC813" s="240" t="n"/>
      <c r="AD813" s="241" t="n"/>
      <c r="AE813" t="n">
        <v>4.34</v>
      </c>
    </row>
    <row r="814">
      <c r="B814" s="42" t="n">
        <v>164</v>
      </c>
      <c r="C814" s="118">
        <f>INDIRECT("'Закуп'!A" &amp; B814)</f>
        <v/>
      </c>
      <c r="D814" s="119">
        <f>C814*1.2</f>
        <v/>
      </c>
      <c r="G814" s="172">
        <f>IF(INDIRECT("'Закуп'!L" &amp; B814)="Sale","Sale","")</f>
        <v/>
      </c>
      <c r="H814" s="158">
        <f>IF(INDIRECT("'Закуп'!F" &amp; B814)=0,"",INDIRECT("'Закуп'!F" &amp; B814))</f>
        <v/>
      </c>
      <c r="I814" s="120" t="n">
        <v>300</v>
      </c>
      <c r="J814" s="121">
        <f>K814/1.2</f>
        <v/>
      </c>
      <c r="K814" s="242" t="n">
        <v>2.62</v>
      </c>
      <c r="L814" s="122">
        <f>J814-C814-(J814-C814)*0.2</f>
        <v/>
      </c>
      <c r="M814" s="123">
        <f>L814*I814</f>
        <v/>
      </c>
      <c r="N814" s="124" t="inlineStr">
        <is>
          <t xml:space="preserve">300-490 шт - </t>
        </is>
      </c>
      <c r="O814" s="47" t="inlineStr">
        <is>
          <t xml:space="preserve"> руб / шт с НДС</t>
        </is>
      </c>
      <c r="P814" s="125">
        <f>ROUND(K814,2)</f>
        <v/>
      </c>
      <c r="Q814" s="207">
        <f>CONCATENATE(N814,P814,O814,)</f>
        <v/>
      </c>
      <c r="R814" s="240" t="n"/>
      <c r="T814" s="241" t="n"/>
      <c r="U814" s="240" t="n"/>
      <c r="V814" s="241" t="n"/>
      <c r="Z814" s="240" t="n"/>
      <c r="AB814" s="241" t="n"/>
      <c r="AC814" s="240" t="n"/>
      <c r="AD814" s="241" t="n"/>
      <c r="AE814" t="n">
        <v>3.56</v>
      </c>
    </row>
    <row r="815">
      <c r="B815" s="42" t="n">
        <v>164</v>
      </c>
      <c r="C815" s="118">
        <f>INDIRECT("'Закуп'!A" &amp; B815)</f>
        <v/>
      </c>
      <c r="D815" s="119">
        <f>C815*1.2</f>
        <v/>
      </c>
      <c r="G815" s="172">
        <f>IF(INDIRECT("'Закуп'!L" &amp; B815)="Sale","Sale","")</f>
        <v/>
      </c>
      <c r="H815" s="158">
        <f>IF(INDIRECT("'Закуп'!F" &amp; B815)=0,"",INDIRECT("'Закуп'!F" &amp; B815))</f>
        <v/>
      </c>
      <c r="I815" s="120" t="n">
        <v>500</v>
      </c>
      <c r="J815" s="121">
        <f>K815/1.2</f>
        <v/>
      </c>
      <c r="K815" s="242" t="n">
        <v>2.48</v>
      </c>
      <c r="L815" s="122">
        <f>J815-C815-(J815-C815)*0.2</f>
        <v/>
      </c>
      <c r="M815" s="123">
        <f>L815*I815</f>
        <v/>
      </c>
      <c r="N815" s="124" t="inlineStr">
        <is>
          <t xml:space="preserve">500-990 шт - </t>
        </is>
      </c>
      <c r="O815" s="47" t="inlineStr">
        <is>
          <t xml:space="preserve"> руб / шт с НДС</t>
        </is>
      </c>
      <c r="P815" s="125">
        <f>ROUND(K815,2)</f>
        <v/>
      </c>
      <c r="Q815" s="207">
        <f>CONCATENATE(N815,P815,O815,)</f>
        <v/>
      </c>
      <c r="R815" s="240" t="n"/>
      <c r="T815" s="241" t="n"/>
      <c r="U815" s="240" t="n"/>
      <c r="V815" s="241" t="n"/>
      <c r="Z815" s="240" t="n"/>
      <c r="AB815" s="241" t="n"/>
      <c r="AC815" s="240" t="n"/>
      <c r="AD815" s="241" t="n"/>
      <c r="AE815" t="n">
        <v>3.51</v>
      </c>
    </row>
    <row r="816">
      <c r="B816" s="42" t="n">
        <v>164</v>
      </c>
      <c r="C816" s="118">
        <f>INDIRECT("'Закуп'!A" &amp; B816)</f>
        <v/>
      </c>
      <c r="D816" s="119">
        <f>C816*1.2</f>
        <v/>
      </c>
      <c r="G816" s="172">
        <f>IF(INDIRECT("'Закуп'!L" &amp; B816)="Sale","Sale","")</f>
        <v/>
      </c>
      <c r="H816" s="158">
        <f>IF(INDIRECT("'Закуп'!F" &amp; B816)=0,"",INDIRECT("'Закуп'!F" &amp; B816))</f>
        <v/>
      </c>
      <c r="I816" s="120" t="n">
        <v>1000</v>
      </c>
      <c r="J816" s="121">
        <f>K816/1.2</f>
        <v/>
      </c>
      <c r="K816" s="242" t="n">
        <v>2.4</v>
      </c>
      <c r="L816" s="122">
        <f>J816-C816-(J816-C816)*0.2</f>
        <v/>
      </c>
      <c r="M816" s="123">
        <f>L816*I816</f>
        <v/>
      </c>
      <c r="N816" s="124" t="inlineStr">
        <is>
          <t xml:space="preserve">1000 + шт - </t>
        </is>
      </c>
      <c r="O816" s="47" t="inlineStr">
        <is>
          <t xml:space="preserve"> руб / шт с НДС</t>
        </is>
      </c>
      <c r="P816" s="125">
        <f>ROUND(K816,2)</f>
        <v/>
      </c>
      <c r="Q816" s="207">
        <f>CONCATENATE(N816,P816,O816,)</f>
        <v/>
      </c>
      <c r="R816" s="240" t="n"/>
      <c r="T816" s="241" t="n"/>
      <c r="U816" s="240" t="n"/>
      <c r="V816" s="241" t="n"/>
      <c r="Z816" s="240" t="n"/>
      <c r="AB816" s="241" t="n"/>
      <c r="AC816" s="240" t="n"/>
      <c r="AD816" s="241" t="n"/>
      <c r="AE816" t="n">
        <v>3.4</v>
      </c>
    </row>
    <row r="817">
      <c r="A817" s="232" t="n">
        <v>165</v>
      </c>
      <c r="B817" s="42" t="n">
        <v>165</v>
      </c>
      <c r="C817" s="118">
        <f>INDIRECT("'Закуп'!A" &amp; B817)</f>
        <v/>
      </c>
      <c r="D817" s="119">
        <f>C817*1.2</f>
        <v/>
      </c>
      <c r="E817" s="224">
        <f>INDIRECT("'Закуп'!D" &amp; A817)</f>
        <v/>
      </c>
      <c r="F817" s="231">
        <f>INDIRECT("'Закуп'!E" &amp; B817)</f>
        <v/>
      </c>
      <c r="G817" s="172">
        <f>IF(INDIRECT("'Закуп'!L" &amp; B817)="Sale","Sale","")</f>
        <v/>
      </c>
      <c r="H817" s="158">
        <f>IF(INDIRECT("'Закуп'!F" &amp; B817)=0,"",INDIRECT("'Закуп'!F" &amp; B817))</f>
        <v/>
      </c>
      <c r="I817" s="120" t="n">
        <v>50</v>
      </c>
      <c r="J817" s="121">
        <f>K817/1.2</f>
        <v/>
      </c>
      <c r="K817" s="242" t="n">
        <v>1.41</v>
      </c>
      <c r="L817" s="122">
        <f>J817-C817-(J817-C817)*0.2</f>
        <v/>
      </c>
      <c r="M817" s="123">
        <f>L817*I817</f>
        <v/>
      </c>
      <c r="N817" s="124" t="inlineStr">
        <is>
          <t xml:space="preserve">50-90 шт - </t>
        </is>
      </c>
      <c r="O817" s="47" t="inlineStr">
        <is>
          <t xml:space="preserve"> руб / шт с НДС</t>
        </is>
      </c>
      <c r="P817" s="125">
        <f>ROUND(K817,2)</f>
        <v/>
      </c>
      <c r="Q817" s="207">
        <f>CONCATENATE(N817,P817,O817,)</f>
        <v/>
      </c>
      <c r="R817" s="235">
        <f>INDIRECT("'Закуп'!k" &amp; A817)</f>
        <v/>
      </c>
      <c r="S817" s="239">
        <f>INDIRECT("'Закуп'!o" &amp; A817)</f>
        <v/>
      </c>
      <c r="T817" s="226">
        <f>INDIRECT("'Закуп'!p" &amp; A817)</f>
        <v/>
      </c>
      <c r="U817" s="235">
        <f>INDIRECT("'Закуп'!v" &amp; A817)</f>
        <v/>
      </c>
      <c r="V817" s="222">
        <f>INDIRECT("'Закуп'!w" &amp; A817)</f>
        <v/>
      </c>
      <c r="W817" s="229">
        <f>INDIRECT("'Закуп'!H" &amp; A817)</f>
        <v/>
      </c>
      <c r="X817" s="237">
        <f>INDIRECT("'Закуп'!g" &amp; A817)</f>
        <v/>
      </c>
      <c r="Y817" s="229">
        <f>INDIRECT("'Закуп'!i" &amp; A817)</f>
        <v/>
      </c>
      <c r="Z817" s="236">
        <f>INDIRECT("'Закуп'!x" &amp; A817)</f>
        <v/>
      </c>
      <c r="AA817" s="237">
        <f>INDIRECT("'Закуп'!y" &amp; A817)</f>
        <v/>
      </c>
      <c r="AB817" s="238">
        <f>INDIRECT("'Закуп'!z" &amp; A817)</f>
        <v/>
      </c>
      <c r="AC817" s="223">
        <f>SUBSTITUTE(INDEX(F:F, ROUNDUP((ROW(A816))/5,0)*5 - 3), "х", "x")</f>
        <v/>
      </c>
      <c r="AD817" s="222">
        <f>SUBSTITUTE(INDEX(F:F, ROUNDUP((ROW(A816))/5,0)*5 - 3), "х", "x") &amp; " - " &amp; SUBSTITUTE(SUBSTITUTE(INDEX(F:F, ROUNDUP((ROW(A816))/5,0)*5 - 3), "х", "*"), "x", "*") &amp; " мм"</f>
        <v/>
      </c>
      <c r="AE817" t="n">
        <v>1.88</v>
      </c>
    </row>
    <row r="818">
      <c r="B818" s="42" t="n">
        <v>165</v>
      </c>
      <c r="C818" s="118">
        <f>INDIRECT("'Закуп'!A" &amp; B818)</f>
        <v/>
      </c>
      <c r="D818" s="119">
        <f>C818*1.2</f>
        <v/>
      </c>
      <c r="G818" s="172">
        <f>IF(INDIRECT("'Закуп'!L" &amp; B818)="Sale","Sale","")</f>
        <v/>
      </c>
      <c r="H818" s="158">
        <f>IF(INDIRECT("'Закуп'!F" &amp; B818)=0,"",INDIRECT("'Закуп'!F" &amp; B818))</f>
        <v/>
      </c>
      <c r="I818" s="120" t="n">
        <v>100</v>
      </c>
      <c r="J818" s="121">
        <f>K818/1.2</f>
        <v/>
      </c>
      <c r="K818" s="242" t="n">
        <v>1.2</v>
      </c>
      <c r="L818" s="122">
        <f>J818-C818-(J818-C818)*0.2</f>
        <v/>
      </c>
      <c r="M818" s="123">
        <f>L818*I818</f>
        <v/>
      </c>
      <c r="N818" s="124" t="inlineStr">
        <is>
          <t xml:space="preserve">100-290 шт - </t>
        </is>
      </c>
      <c r="O818" s="47" t="inlineStr">
        <is>
          <t xml:space="preserve"> руб / шт с НДС</t>
        </is>
      </c>
      <c r="P818" s="125">
        <f>ROUND(K818,2)</f>
        <v/>
      </c>
      <c r="Q818" s="207">
        <f>CONCATENATE(N818,P818,O818,)</f>
        <v/>
      </c>
      <c r="R818" s="240" t="n"/>
      <c r="T818" s="241" t="n"/>
      <c r="U818" s="240" t="n"/>
      <c r="V818" s="241" t="n"/>
      <c r="Z818" s="240" t="n"/>
      <c r="AB818" s="241" t="n"/>
      <c r="AC818" s="240" t="n"/>
      <c r="AD818" s="241" t="n"/>
      <c r="AE818" t="n">
        <v>1.71</v>
      </c>
    </row>
    <row r="819">
      <c r="B819" s="42" t="n">
        <v>165</v>
      </c>
      <c r="C819" s="118">
        <f>INDIRECT("'Закуп'!A" &amp; B819)</f>
        <v/>
      </c>
      <c r="D819" s="119">
        <f>C819*1.2</f>
        <v/>
      </c>
      <c r="G819" s="172">
        <f>IF(INDIRECT("'Закуп'!L" &amp; B819)="Sale","Sale","")</f>
        <v/>
      </c>
      <c r="H819" s="158">
        <f>IF(INDIRECT("'Закуп'!F" &amp; B819)=0,"",INDIRECT("'Закуп'!F" &amp; B819))</f>
        <v/>
      </c>
      <c r="I819" s="120" t="n">
        <v>300</v>
      </c>
      <c r="J819" s="121">
        <f>K819/1.2</f>
        <v/>
      </c>
      <c r="K819" s="242" t="n">
        <v>1.13</v>
      </c>
      <c r="L819" s="122">
        <f>J819-C819-(J819-C819)*0.2</f>
        <v/>
      </c>
      <c r="M819" s="123">
        <f>L819*I819</f>
        <v/>
      </c>
      <c r="N819" s="124" t="inlineStr">
        <is>
          <t xml:space="preserve">300-490 шт - </t>
        </is>
      </c>
      <c r="O819" s="47" t="inlineStr">
        <is>
          <t xml:space="preserve"> руб / шт с НДС</t>
        </is>
      </c>
      <c r="P819" s="125">
        <f>ROUND(K819,2)</f>
        <v/>
      </c>
      <c r="Q819" s="207">
        <f>CONCATENATE(N819,P819,O819,)</f>
        <v/>
      </c>
      <c r="R819" s="240" t="n"/>
      <c r="T819" s="241" t="n"/>
      <c r="U819" s="240" t="n"/>
      <c r="V819" s="241" t="n"/>
      <c r="Z819" s="240" t="n"/>
      <c r="AB819" s="241" t="n"/>
      <c r="AC819" s="240" t="n"/>
      <c r="AD819" s="241" t="n"/>
      <c r="AE819" t="n">
        <v>1.56</v>
      </c>
    </row>
    <row r="820">
      <c r="B820" s="42" t="n">
        <v>165</v>
      </c>
      <c r="C820" s="118">
        <f>INDIRECT("'Закуп'!A" &amp; B820)</f>
        <v/>
      </c>
      <c r="D820" s="119">
        <f>C820*1.2</f>
        <v/>
      </c>
      <c r="G820" s="172">
        <f>IF(INDIRECT("'Закуп'!L" &amp; B820)="Sale","Sale","")</f>
        <v/>
      </c>
      <c r="H820" s="158">
        <f>IF(INDIRECT("'Закуп'!F" &amp; B820)=0,"",INDIRECT("'Закуп'!F" &amp; B820))</f>
        <v/>
      </c>
      <c r="I820" s="120" t="n">
        <v>500</v>
      </c>
      <c r="J820" s="121">
        <f>K820/1.2</f>
        <v/>
      </c>
      <c r="K820" s="242" t="n">
        <v>1.07</v>
      </c>
      <c r="L820" s="122">
        <f>J820-C820-(J820-C820)*0.2</f>
        <v/>
      </c>
      <c r="M820" s="123">
        <f>L820*I820</f>
        <v/>
      </c>
      <c r="N820" s="124" t="inlineStr">
        <is>
          <t xml:space="preserve">500-990 шт - </t>
        </is>
      </c>
      <c r="O820" s="47" t="inlineStr">
        <is>
          <t xml:space="preserve"> руб / шт с НДС</t>
        </is>
      </c>
      <c r="P820" s="125">
        <f>ROUND(K820,2)</f>
        <v/>
      </c>
      <c r="Q820" s="207">
        <f>CONCATENATE(N820,P820,O820,)</f>
        <v/>
      </c>
      <c r="R820" s="240" t="n"/>
      <c r="T820" s="241" t="n"/>
      <c r="U820" s="240" t="n"/>
      <c r="V820" s="241" t="n"/>
      <c r="Z820" s="240" t="n"/>
      <c r="AB820" s="241" t="n"/>
      <c r="AC820" s="240" t="n"/>
      <c r="AD820" s="241" t="n"/>
      <c r="AE820" t="n">
        <v>1.44</v>
      </c>
    </row>
    <row r="821">
      <c r="B821" s="42" t="n">
        <v>165</v>
      </c>
      <c r="C821" s="118">
        <f>INDIRECT("'Закуп'!A" &amp; B821)</f>
        <v/>
      </c>
      <c r="D821" s="119">
        <f>C821*1.2</f>
        <v/>
      </c>
      <c r="G821" s="172">
        <f>IF(INDIRECT("'Закуп'!L" &amp; B821)="Sale","Sale","")</f>
        <v/>
      </c>
      <c r="H821" s="158">
        <f>IF(INDIRECT("'Закуп'!F" &amp; B821)=0,"",INDIRECT("'Закуп'!F" &amp; B821))</f>
        <v/>
      </c>
      <c r="I821" s="120" t="n">
        <v>1000</v>
      </c>
      <c r="J821" s="121">
        <f>K821/1.2</f>
        <v/>
      </c>
      <c r="K821" s="242" t="n">
        <v>1.02</v>
      </c>
      <c r="L821" s="122">
        <f>J821-C821-(J821-C821)*0.2</f>
        <v/>
      </c>
      <c r="M821" s="123">
        <f>L821*I821</f>
        <v/>
      </c>
      <c r="N821" s="124" t="inlineStr">
        <is>
          <t xml:space="preserve">1000 + шт - </t>
        </is>
      </c>
      <c r="O821" s="47" t="inlineStr">
        <is>
          <t xml:space="preserve"> руб / шт с НДС</t>
        </is>
      </c>
      <c r="P821" s="125">
        <f>ROUND(K821,2)</f>
        <v/>
      </c>
      <c r="Q821" s="207">
        <f>CONCATENATE(N821,P821,O821,)</f>
        <v/>
      </c>
      <c r="R821" s="240" t="n"/>
      <c r="T821" s="241" t="n"/>
      <c r="U821" s="240" t="n"/>
      <c r="V821" s="241" t="n"/>
      <c r="Z821" s="240" t="n"/>
      <c r="AB821" s="241" t="n"/>
      <c r="AC821" s="240" t="n"/>
      <c r="AD821" s="241" t="n"/>
      <c r="AE821" t="n">
        <v>1.28</v>
      </c>
    </row>
    <row r="822">
      <c r="A822" s="232" t="n">
        <v>166</v>
      </c>
      <c r="B822" s="42" t="n">
        <v>166</v>
      </c>
      <c r="C822" s="118">
        <f>INDIRECT("'Закуп'!A" &amp; B822)</f>
        <v/>
      </c>
      <c r="D822" s="119">
        <f>C822*1.2</f>
        <v/>
      </c>
      <c r="E822" s="224">
        <f>INDIRECT("'Закуп'!D" &amp; A822)</f>
        <v/>
      </c>
      <c r="F822" s="231">
        <f>INDIRECT("'Закуп'!E" &amp; B822)</f>
        <v/>
      </c>
      <c r="G822" s="172">
        <f>IF(INDIRECT("'Закуп'!L" &amp; B822)="Sale","Sale","")</f>
        <v/>
      </c>
      <c r="H822" s="158">
        <f>IF(INDIRECT("'Закуп'!F" &amp; B822)=0,"",INDIRECT("'Закуп'!F" &amp; B822))</f>
        <v/>
      </c>
      <c r="I822" s="120" t="n">
        <v>50</v>
      </c>
      <c r="J822" s="121">
        <f>K822/1.2</f>
        <v/>
      </c>
      <c r="K822" s="242" t="n">
        <v>2.65</v>
      </c>
      <c r="L822" s="122">
        <f>J822-C822-(J822-C822)*0.2</f>
        <v/>
      </c>
      <c r="M822" s="123">
        <f>L822*I822</f>
        <v/>
      </c>
      <c r="N822" s="124" t="inlineStr">
        <is>
          <t xml:space="preserve">50-90 шт - </t>
        </is>
      </c>
      <c r="O822" s="47" t="inlineStr">
        <is>
          <t xml:space="preserve"> руб / шт с НДС</t>
        </is>
      </c>
      <c r="P822" s="125">
        <f>ROUND(K822,2)</f>
        <v/>
      </c>
      <c r="Q822" s="207">
        <f>CONCATENATE(N822,P822,O822,)</f>
        <v/>
      </c>
      <c r="R822" s="235">
        <f>INDIRECT("'Закуп'!k" &amp; A822)</f>
        <v/>
      </c>
      <c r="S822" s="239">
        <f>INDIRECT("'Закуп'!o" &amp; A822)</f>
        <v/>
      </c>
      <c r="T822" s="226">
        <f>INDIRECT("'Закуп'!p" &amp; A822)</f>
        <v/>
      </c>
      <c r="U822" s="235">
        <f>INDIRECT("'Закуп'!v" &amp; A822)</f>
        <v/>
      </c>
      <c r="V822" s="222">
        <f>INDIRECT("'Закуп'!w" &amp; A822)</f>
        <v/>
      </c>
      <c r="W822" s="229">
        <f>INDIRECT("'Закуп'!H" &amp; A822)</f>
        <v/>
      </c>
      <c r="X822" s="237">
        <f>INDIRECT("'Закуп'!g" &amp; A822)</f>
        <v/>
      </c>
      <c r="Y822" s="229">
        <f>INDIRECT("'Закуп'!i" &amp; A822)</f>
        <v/>
      </c>
      <c r="Z822" s="236">
        <f>INDIRECT("'Закуп'!x" &amp; A822)</f>
        <v/>
      </c>
      <c r="AA822" s="237">
        <f>INDIRECT("'Закуп'!y" &amp; A822)</f>
        <v/>
      </c>
      <c r="AB822" s="238">
        <f>INDIRECT("'Закуп'!z" &amp; A822)</f>
        <v/>
      </c>
      <c r="AC822" s="223">
        <f>SUBSTITUTE(INDEX(F:F, ROUNDUP((ROW(A821))/5,0)*5 - 3), "х", "x")</f>
        <v/>
      </c>
      <c r="AD822" s="222">
        <f>SUBSTITUTE(INDEX(F:F, ROUNDUP((ROW(A821))/5,0)*5 - 3), "х", "x") &amp; " - " &amp; SUBSTITUTE(SUBSTITUTE(INDEX(F:F, ROUNDUP((ROW(A821))/5,0)*5 - 3), "х", "*"), "x", "*") &amp; " мм"</f>
        <v/>
      </c>
      <c r="AE822" t="n">
        <v>4.03</v>
      </c>
    </row>
    <row r="823">
      <c r="B823" s="42" t="n">
        <v>166</v>
      </c>
      <c r="C823" s="118">
        <f>INDIRECT("'Закуп'!A" &amp; B823)</f>
        <v/>
      </c>
      <c r="D823" s="119">
        <f>C823*1.2</f>
        <v/>
      </c>
      <c r="G823" s="172">
        <f>IF(INDIRECT("'Закуп'!L" &amp; B823)="Sale","Sale","")</f>
        <v/>
      </c>
      <c r="H823" s="158">
        <f>IF(INDIRECT("'Закуп'!F" &amp; B823)=0,"",INDIRECT("'Закуп'!F" &amp; B823))</f>
        <v/>
      </c>
      <c r="I823" s="120" t="n">
        <v>100</v>
      </c>
      <c r="J823" s="121">
        <f>K823/1.2</f>
        <v/>
      </c>
      <c r="K823" s="242" t="n">
        <v>2.26</v>
      </c>
      <c r="L823" s="122">
        <f>J823-C823-(J823-C823)*0.2</f>
        <v/>
      </c>
      <c r="M823" s="123">
        <f>L823*I823</f>
        <v/>
      </c>
      <c r="N823" s="124" t="inlineStr">
        <is>
          <t xml:space="preserve">100-290 шт - </t>
        </is>
      </c>
      <c r="O823" s="47" t="inlineStr">
        <is>
          <t xml:space="preserve"> руб / шт с НДС</t>
        </is>
      </c>
      <c r="P823" s="125">
        <f>ROUND(K823,2)</f>
        <v/>
      </c>
      <c r="Q823" s="207">
        <f>CONCATENATE(N823,P823,O823,)</f>
        <v/>
      </c>
      <c r="R823" s="240" t="n"/>
      <c r="T823" s="241" t="n"/>
      <c r="U823" s="240" t="n"/>
      <c r="V823" s="241" t="n"/>
      <c r="Z823" s="240" t="n"/>
      <c r="AB823" s="241" t="n"/>
      <c r="AC823" s="240" t="n"/>
      <c r="AD823" s="241" t="n"/>
      <c r="AE823" t="n">
        <v>3.19</v>
      </c>
    </row>
    <row r="824">
      <c r="B824" s="42" t="n">
        <v>166</v>
      </c>
      <c r="C824" s="118">
        <f>INDIRECT("'Закуп'!A" &amp; B824)</f>
        <v/>
      </c>
      <c r="D824" s="119">
        <f>C824*1.2</f>
        <v/>
      </c>
      <c r="G824" s="172">
        <f>IF(INDIRECT("'Закуп'!L" &amp; B824)="Sale","Sale","")</f>
        <v/>
      </c>
      <c r="H824" s="158">
        <f>IF(INDIRECT("'Закуп'!F" &amp; B824)=0,"",INDIRECT("'Закуп'!F" &amp; B824))</f>
        <v/>
      </c>
      <c r="I824" s="120" t="n">
        <v>300</v>
      </c>
      <c r="J824" s="121">
        <f>K824/1.2</f>
        <v/>
      </c>
      <c r="K824" s="242" t="n">
        <v>2.13</v>
      </c>
      <c r="L824" s="122">
        <f>J824-C824-(J824-C824)*0.2</f>
        <v/>
      </c>
      <c r="M824" s="123">
        <f>L824*I824</f>
        <v/>
      </c>
      <c r="N824" s="124" t="inlineStr">
        <is>
          <t xml:space="preserve">300-490 шт - </t>
        </is>
      </c>
      <c r="O824" s="47" t="inlineStr">
        <is>
          <t xml:space="preserve"> руб / шт с НДС</t>
        </is>
      </c>
      <c r="P824" s="125">
        <f>ROUND(K824,2)</f>
        <v/>
      </c>
      <c r="Q824" s="207">
        <f>CONCATENATE(N824,P824,O824,)</f>
        <v/>
      </c>
      <c r="R824" s="240" t="n"/>
      <c r="T824" s="241" t="n"/>
      <c r="U824" s="240" t="n"/>
      <c r="V824" s="241" t="n"/>
      <c r="Z824" s="240" t="n"/>
      <c r="AB824" s="241" t="n"/>
      <c r="AC824" s="240" t="n"/>
      <c r="AD824" s="241" t="n"/>
      <c r="AE824" t="n">
        <v>2.69</v>
      </c>
    </row>
    <row r="825">
      <c r="B825" s="42" t="n">
        <v>166</v>
      </c>
      <c r="C825" s="118">
        <f>INDIRECT("'Закуп'!A" &amp; B825)</f>
        <v/>
      </c>
      <c r="D825" s="119">
        <f>C825*1.2</f>
        <v/>
      </c>
      <c r="G825" s="172">
        <f>IF(INDIRECT("'Закуп'!L" &amp; B825)="Sale","Sale","")</f>
        <v/>
      </c>
      <c r="H825" s="158">
        <f>IF(INDIRECT("'Закуп'!F" &amp; B825)=0,"",INDIRECT("'Закуп'!F" &amp; B825))</f>
        <v/>
      </c>
      <c r="I825" s="120" t="n">
        <v>500</v>
      </c>
      <c r="J825" s="121">
        <f>K825/1.2</f>
        <v/>
      </c>
      <c r="K825" s="242" t="n">
        <v>1.96</v>
      </c>
      <c r="L825" s="122">
        <f>J825-C825-(J825-C825)*0.2</f>
        <v/>
      </c>
      <c r="M825" s="123">
        <f>L825*I825</f>
        <v/>
      </c>
      <c r="N825" s="124" t="inlineStr">
        <is>
          <t xml:space="preserve">500-990 шт - </t>
        </is>
      </c>
      <c r="O825" s="47" t="inlineStr">
        <is>
          <t xml:space="preserve"> руб / шт с НДС</t>
        </is>
      </c>
      <c r="P825" s="125">
        <f>ROUND(K825,2)</f>
        <v/>
      </c>
      <c r="Q825" s="207">
        <f>CONCATENATE(N825,P825,O825,)</f>
        <v/>
      </c>
      <c r="R825" s="240" t="n"/>
      <c r="T825" s="241" t="n"/>
      <c r="U825" s="240" t="n"/>
      <c r="V825" s="241" t="n"/>
      <c r="Z825" s="240" t="n"/>
      <c r="AB825" s="241" t="n"/>
      <c r="AC825" s="240" t="n"/>
      <c r="AD825" s="241" t="n"/>
      <c r="AE825" t="n">
        <v>2.54</v>
      </c>
    </row>
    <row r="826">
      <c r="B826" s="42" t="n">
        <v>166</v>
      </c>
      <c r="C826" s="118">
        <f>INDIRECT("'Закуп'!A" &amp; B826)</f>
        <v/>
      </c>
      <c r="D826" s="119">
        <f>C826*1.2</f>
        <v/>
      </c>
      <c r="G826" s="172">
        <f>IF(INDIRECT("'Закуп'!L" &amp; B826)="Sale","Sale","")</f>
        <v/>
      </c>
      <c r="H826" s="158">
        <f>IF(INDIRECT("'Закуп'!F" &amp; B826)=0,"",INDIRECT("'Закуп'!F" &amp; B826))</f>
        <v/>
      </c>
      <c r="I826" s="120" t="n">
        <v>1000</v>
      </c>
      <c r="J826" s="121">
        <f>K826/1.2</f>
        <v/>
      </c>
      <c r="K826" s="242" t="n">
        <v>1.89</v>
      </c>
      <c r="L826" s="122">
        <f>J826-C826-(J826-C826)*0.2</f>
        <v/>
      </c>
      <c r="M826" s="123">
        <f>L826*I826</f>
        <v/>
      </c>
      <c r="N826" s="124" t="inlineStr">
        <is>
          <t xml:space="preserve">1000 + шт - </t>
        </is>
      </c>
      <c r="O826" s="47" t="inlineStr">
        <is>
          <t xml:space="preserve"> руб / шт с НДС</t>
        </is>
      </c>
      <c r="P826" s="125">
        <f>ROUND(K826,2)</f>
        <v/>
      </c>
      <c r="Q826" s="207">
        <f>CONCATENATE(N826,P826,O826,)</f>
        <v/>
      </c>
      <c r="R826" s="240" t="n"/>
      <c r="T826" s="241" t="n"/>
      <c r="U826" s="240" t="n"/>
      <c r="V826" s="241" t="n"/>
      <c r="Z826" s="240" t="n"/>
      <c r="AB826" s="241" t="n"/>
      <c r="AC826" s="240" t="n"/>
      <c r="AD826" s="241" t="n"/>
      <c r="AE826" t="n">
        <v>2.46</v>
      </c>
    </row>
    <row r="827">
      <c r="A827" s="232" t="n">
        <v>167</v>
      </c>
      <c r="B827" s="42" t="n">
        <v>167</v>
      </c>
      <c r="C827" s="118">
        <f>INDIRECT("'Закуп'!A" &amp; B827)</f>
        <v/>
      </c>
      <c r="D827" s="119">
        <f>C827*1.2</f>
        <v/>
      </c>
      <c r="E827" s="224">
        <f>INDIRECT("'Закуп'!D" &amp; A827)</f>
        <v/>
      </c>
      <c r="F827" s="231">
        <f>INDIRECT("'Закуп'!E" &amp; B827)</f>
        <v/>
      </c>
      <c r="G827" s="172">
        <f>IF(INDIRECT("'Закуп'!L" &amp; B827)="Sale","Sale","")</f>
        <v/>
      </c>
      <c r="H827" s="158">
        <f>IF(INDIRECT("'Закуп'!F" &amp; B827)=0,"",INDIRECT("'Закуп'!F" &amp; B827))</f>
        <v/>
      </c>
      <c r="I827" s="120" t="n">
        <v>50</v>
      </c>
      <c r="J827" s="121">
        <f>K827/1.2</f>
        <v/>
      </c>
      <c r="K827" s="70" t="n">
        <v>2.32</v>
      </c>
      <c r="L827" s="122">
        <f>J827-C827-(J827-C827)*0.2</f>
        <v/>
      </c>
      <c r="M827" s="123">
        <f>L827*I827</f>
        <v/>
      </c>
      <c r="N827" s="124" t="inlineStr">
        <is>
          <t xml:space="preserve">50-90 шт - </t>
        </is>
      </c>
      <c r="O827" s="47" t="inlineStr">
        <is>
          <t xml:space="preserve"> руб / шт с НДС</t>
        </is>
      </c>
      <c r="P827" s="125">
        <f>ROUND(K827,2)</f>
        <v/>
      </c>
      <c r="Q827" s="207">
        <f>CONCATENATE(N827,P827,O827,)</f>
        <v/>
      </c>
      <c r="R827" s="235">
        <f>INDIRECT("'Закуп'!k" &amp; A827)</f>
        <v/>
      </c>
      <c r="S827" s="239">
        <f>INDIRECT("'Закуп'!o" &amp; A827)</f>
        <v/>
      </c>
      <c r="T827" s="226">
        <f>INDIRECT("'Закуп'!p" &amp; A827)</f>
        <v/>
      </c>
      <c r="U827" s="235">
        <f>INDIRECT("'Закуп'!v" &amp; A827)</f>
        <v/>
      </c>
      <c r="V827" s="222">
        <f>INDIRECT("'Закуп'!w" &amp; A827)</f>
        <v/>
      </c>
      <c r="W827" s="229">
        <f>INDIRECT("'Закуп'!H" &amp; A827)</f>
        <v/>
      </c>
      <c r="X827" s="237">
        <f>INDIRECT("'Закуп'!g" &amp; A827)</f>
        <v/>
      </c>
      <c r="Y827" s="229">
        <f>INDIRECT("'Закуп'!i" &amp; A827)</f>
        <v/>
      </c>
      <c r="Z827" s="236">
        <f>INDIRECT("'Закуп'!x" &amp; A827)</f>
        <v/>
      </c>
      <c r="AA827" s="237">
        <f>INDIRECT("'Закуп'!y" &amp; A827)</f>
        <v/>
      </c>
      <c r="AB827" s="238">
        <f>INDIRECT("'Закуп'!z" &amp; A827)</f>
        <v/>
      </c>
      <c r="AC827" s="223">
        <f>SUBSTITUTE(INDEX(F:F, ROUNDUP((ROW(A826))/5,0)*5 - 3), "х", "x")</f>
        <v/>
      </c>
      <c r="AD827" s="222">
        <f>SUBSTITUTE(INDEX(F:F, ROUNDUP((ROW(A826))/5,0)*5 - 3), "х", "x") &amp; " - " &amp; SUBSTITUTE(SUBSTITUTE(INDEX(F:F, ROUNDUP((ROW(A826))/5,0)*5 - 3), "х", "*"), "x", "*") &amp; " мм"</f>
        <v/>
      </c>
    </row>
    <row r="828">
      <c r="B828" s="42" t="n">
        <v>167</v>
      </c>
      <c r="C828" s="118">
        <f>INDIRECT("'Закуп'!A" &amp; B828)</f>
        <v/>
      </c>
      <c r="D828" s="119">
        <f>C828*1.2</f>
        <v/>
      </c>
      <c r="G828" s="172">
        <f>IF(INDIRECT("'Закуп'!L" &amp; B828)="Sale","Sale","")</f>
        <v/>
      </c>
      <c r="H828" s="158">
        <f>IF(INDIRECT("'Закуп'!F" &amp; B828)=0,"",INDIRECT("'Закуп'!F" &amp; B828))</f>
        <v/>
      </c>
      <c r="I828" s="120" t="n">
        <v>100</v>
      </c>
      <c r="J828" s="121">
        <f>K828/1.2</f>
        <v/>
      </c>
      <c r="K828" s="70" t="n">
        <v>2</v>
      </c>
      <c r="L828" s="122">
        <f>J828-C828-(J828-C828)*0.2</f>
        <v/>
      </c>
      <c r="M828" s="123">
        <f>L828*I828</f>
        <v/>
      </c>
      <c r="N828" s="124" t="inlineStr">
        <is>
          <t xml:space="preserve">100-290 шт - </t>
        </is>
      </c>
      <c r="O828" s="47" t="inlineStr">
        <is>
          <t xml:space="preserve"> руб / шт с НДС</t>
        </is>
      </c>
      <c r="P828" s="125">
        <f>ROUND(K828,2)</f>
        <v/>
      </c>
      <c r="Q828" s="207">
        <f>CONCATENATE(N828,P828,O828,)</f>
        <v/>
      </c>
      <c r="R828" s="240" t="n"/>
      <c r="T828" s="241" t="n"/>
      <c r="U828" s="240" t="n"/>
      <c r="V828" s="241" t="n"/>
      <c r="Z828" s="240" t="n"/>
      <c r="AB828" s="241" t="n"/>
      <c r="AC828" s="240" t="n"/>
      <c r="AD828" s="241" t="n"/>
    </row>
    <row r="829">
      <c r="B829" s="42" t="n">
        <v>167</v>
      </c>
      <c r="C829" s="118">
        <f>INDIRECT("'Закуп'!A" &amp; B829)</f>
        <v/>
      </c>
      <c r="D829" s="119">
        <f>C829*1.2</f>
        <v/>
      </c>
      <c r="G829" s="172">
        <f>IF(INDIRECT("'Закуп'!L" &amp; B829)="Sale","Sale","")</f>
        <v/>
      </c>
      <c r="H829" s="158">
        <f>IF(INDIRECT("'Закуп'!F" &amp; B829)=0,"",INDIRECT("'Закуп'!F" &amp; B829))</f>
        <v/>
      </c>
      <c r="I829" s="120" t="n">
        <v>300</v>
      </c>
      <c r="J829" s="121">
        <f>K829/1.2</f>
        <v/>
      </c>
      <c r="K829" s="70" t="n">
        <v>1.88</v>
      </c>
      <c r="L829" s="122">
        <f>J829-C829-(J829-C829)*0.2</f>
        <v/>
      </c>
      <c r="M829" s="123">
        <f>L829*I829</f>
        <v/>
      </c>
      <c r="N829" s="124" t="inlineStr">
        <is>
          <t xml:space="preserve">300-490 шт - </t>
        </is>
      </c>
      <c r="O829" s="47" t="inlineStr">
        <is>
          <t xml:space="preserve"> руб / шт с НДС</t>
        </is>
      </c>
      <c r="P829" s="125">
        <f>ROUND(K829,2)</f>
        <v/>
      </c>
      <c r="Q829" s="207">
        <f>CONCATENATE(N829,P829,O829,)</f>
        <v/>
      </c>
      <c r="R829" s="240" t="n"/>
      <c r="T829" s="241" t="n"/>
      <c r="U829" s="240" t="n"/>
      <c r="V829" s="241" t="n"/>
      <c r="Z829" s="240" t="n"/>
      <c r="AB829" s="241" t="n"/>
      <c r="AC829" s="240" t="n"/>
      <c r="AD829" s="241" t="n"/>
    </row>
    <row r="830">
      <c r="B830" s="42" t="n">
        <v>167</v>
      </c>
      <c r="C830" s="118">
        <f>INDIRECT("'Закуп'!A" &amp; B830)</f>
        <v/>
      </c>
      <c r="D830" s="119">
        <f>C830*1.2</f>
        <v/>
      </c>
      <c r="G830" s="172">
        <f>IF(INDIRECT("'Закуп'!L" &amp; B830)="Sale","Sale","")</f>
        <v/>
      </c>
      <c r="H830" s="158">
        <f>IF(INDIRECT("'Закуп'!F" &amp; B830)=0,"",INDIRECT("'Закуп'!F" &amp; B830))</f>
        <v/>
      </c>
      <c r="I830" s="120" t="n">
        <v>500</v>
      </c>
      <c r="J830" s="121">
        <f>K830/1.2</f>
        <v/>
      </c>
      <c r="K830" s="70" t="n">
        <v>1.75</v>
      </c>
      <c r="L830" s="122">
        <f>J830-C830-(J830-C830)*0.2</f>
        <v/>
      </c>
      <c r="M830" s="123">
        <f>L830*I830</f>
        <v/>
      </c>
      <c r="N830" s="124" t="inlineStr">
        <is>
          <t xml:space="preserve">500-990 шт - </t>
        </is>
      </c>
      <c r="O830" s="47" t="inlineStr">
        <is>
          <t xml:space="preserve"> руб / шт с НДС</t>
        </is>
      </c>
      <c r="P830" s="125">
        <f>ROUND(K830,2)</f>
        <v/>
      </c>
      <c r="Q830" s="207">
        <f>CONCATENATE(N830,P830,O830,)</f>
        <v/>
      </c>
      <c r="R830" s="240" t="n"/>
      <c r="T830" s="241" t="n"/>
      <c r="U830" s="240" t="n"/>
      <c r="V830" s="241" t="n"/>
      <c r="Z830" s="240" t="n"/>
      <c r="AB830" s="241" t="n"/>
      <c r="AC830" s="240" t="n"/>
      <c r="AD830" s="241" t="n"/>
    </row>
    <row r="831">
      <c r="B831" s="42" t="n">
        <v>167</v>
      </c>
      <c r="C831" s="118">
        <f>INDIRECT("'Закуп'!A" &amp; B831)</f>
        <v/>
      </c>
      <c r="D831" s="119">
        <f>C831*1.2</f>
        <v/>
      </c>
      <c r="G831" s="172">
        <f>IF(INDIRECT("'Закуп'!L" &amp; B831)="Sale","Sale","")</f>
        <v/>
      </c>
      <c r="H831" s="158">
        <f>IF(INDIRECT("'Закуп'!F" &amp; B831)=0,"",INDIRECT("'Закуп'!F" &amp; B831))</f>
        <v/>
      </c>
      <c r="I831" s="120" t="n">
        <v>1000</v>
      </c>
      <c r="J831" s="121">
        <f>K831/1.2</f>
        <v/>
      </c>
      <c r="K831" s="70" t="n">
        <v>1.53</v>
      </c>
      <c r="L831" s="122">
        <f>J831-C831-(J831-C831)*0.2</f>
        <v/>
      </c>
      <c r="M831" s="123">
        <f>L831*I831</f>
        <v/>
      </c>
      <c r="N831" s="124" t="inlineStr">
        <is>
          <t xml:space="preserve">1000 + шт - </t>
        </is>
      </c>
      <c r="O831" s="47" t="inlineStr">
        <is>
          <t xml:space="preserve"> руб / шт с НДС</t>
        </is>
      </c>
      <c r="P831" s="125">
        <f>ROUND(K831,2)</f>
        <v/>
      </c>
      <c r="Q831" s="207">
        <f>CONCATENATE(N831,P831,O831,)</f>
        <v/>
      </c>
      <c r="R831" s="240" t="n"/>
      <c r="T831" s="241" t="n"/>
      <c r="U831" s="240" t="n"/>
      <c r="V831" s="241" t="n"/>
      <c r="Z831" s="240" t="n"/>
      <c r="AB831" s="241" t="n"/>
      <c r="AC831" s="240" t="n"/>
      <c r="AD831" s="241" t="n"/>
    </row>
    <row r="832">
      <c r="A832" s="232" t="n">
        <v>168</v>
      </c>
      <c r="B832" s="42" t="n">
        <v>168</v>
      </c>
      <c r="C832" s="118">
        <f>INDIRECT("'Закуп'!A" &amp; B832)</f>
        <v/>
      </c>
      <c r="D832" s="119">
        <f>C832*1.2</f>
        <v/>
      </c>
      <c r="E832" s="224">
        <f>INDIRECT("'Закуп'!D" &amp; A832)</f>
        <v/>
      </c>
      <c r="F832" s="231">
        <f>INDIRECT("'Закуп'!E" &amp; B832)</f>
        <v/>
      </c>
      <c r="G832" s="172">
        <f>IF(INDIRECT("'Закуп'!L" &amp; B832)="Sale","Sale","")</f>
        <v/>
      </c>
      <c r="H832" s="158">
        <f>IF(INDIRECT("'Закуп'!F" &amp; B832)=0,"",INDIRECT("'Закуп'!F" &amp; B832))</f>
        <v/>
      </c>
      <c r="I832" s="120" t="n">
        <v>50</v>
      </c>
      <c r="J832" s="121">
        <f>K832/1.2</f>
        <v/>
      </c>
      <c r="K832" s="242" t="n">
        <v>2.72</v>
      </c>
      <c r="L832" s="122">
        <f>J832-C832-(J832-C832)*0.2</f>
        <v/>
      </c>
      <c r="M832" s="123">
        <f>L832*I832</f>
        <v/>
      </c>
      <c r="N832" s="124" t="inlineStr">
        <is>
          <t xml:space="preserve">50-90 шт - </t>
        </is>
      </c>
      <c r="O832" s="47" t="inlineStr">
        <is>
          <t xml:space="preserve"> руб / шт с НДС</t>
        </is>
      </c>
      <c r="P832" s="125">
        <f>ROUND(K832,2)</f>
        <v/>
      </c>
      <c r="Q832" s="207">
        <f>CONCATENATE(N832,P832,O832,)</f>
        <v/>
      </c>
      <c r="R832" s="235">
        <f>INDIRECT("'Закуп'!k" &amp; A832)</f>
        <v/>
      </c>
      <c r="S832" s="239">
        <f>INDIRECT("'Закуп'!o" &amp; A832)</f>
        <v/>
      </c>
      <c r="T832" s="226">
        <f>INDIRECT("'Закуп'!p" &amp; A832)</f>
        <v/>
      </c>
      <c r="U832" s="235">
        <f>INDIRECT("'Закуп'!v" &amp; A832)</f>
        <v/>
      </c>
      <c r="V832" s="222">
        <f>INDIRECT("'Закуп'!w" &amp; A832)</f>
        <v/>
      </c>
      <c r="W832" s="229">
        <f>INDIRECT("'Закуп'!H" &amp; A832)</f>
        <v/>
      </c>
      <c r="X832" s="237">
        <f>INDIRECT("'Закуп'!g" &amp; A832)</f>
        <v/>
      </c>
      <c r="Y832" s="229">
        <f>INDIRECT("'Закуп'!i" &amp; A832)</f>
        <v/>
      </c>
      <c r="Z832" s="236">
        <f>INDIRECT("'Закуп'!x" &amp; A832)</f>
        <v/>
      </c>
      <c r="AA832" s="237">
        <f>INDIRECT("'Закуп'!y" &amp; A832)</f>
        <v/>
      </c>
      <c r="AB832" s="238">
        <f>INDIRECT("'Закуп'!z" &amp; A832)</f>
        <v/>
      </c>
      <c r="AC832" s="223">
        <f>SUBSTITUTE(INDEX(F:F, ROUNDUP((ROW(A831))/5,0)*5 - 3), "х", "x")</f>
        <v/>
      </c>
      <c r="AD832" s="222">
        <f>SUBSTITUTE(INDEX(F:F, ROUNDUP((ROW(A831))/5,0)*5 - 3), "х", "x") &amp; " - " &amp; SUBSTITUTE(SUBSTITUTE(INDEX(F:F, ROUNDUP((ROW(A831))/5,0)*5 - 3), "х", "*"), "x", "*") &amp; " мм"</f>
        <v/>
      </c>
      <c r="AE832" t="n">
        <v>4.06</v>
      </c>
    </row>
    <row r="833">
      <c r="B833" s="42" t="n">
        <v>168</v>
      </c>
      <c r="C833" s="118">
        <f>INDIRECT("'Закуп'!A" &amp; B833)</f>
        <v/>
      </c>
      <c r="D833" s="119">
        <f>C833*1.2</f>
        <v/>
      </c>
      <c r="G833" s="172">
        <f>IF(INDIRECT("'Закуп'!L" &amp; B833)="Sale","Sale","")</f>
        <v/>
      </c>
      <c r="H833" s="158">
        <f>IF(INDIRECT("'Закуп'!F" &amp; B833)=0,"",INDIRECT("'Закуп'!F" &amp; B833))</f>
        <v/>
      </c>
      <c r="I833" s="120" t="n">
        <v>100</v>
      </c>
      <c r="J833" s="121">
        <f>K833/1.2</f>
        <v/>
      </c>
      <c r="K833" s="242" t="n">
        <v>2.33</v>
      </c>
      <c r="L833" s="122">
        <f>J833-C833-(J833-C833)*0.2</f>
        <v/>
      </c>
      <c r="M833" s="123">
        <f>L833*I833</f>
        <v/>
      </c>
      <c r="N833" s="124" t="inlineStr">
        <is>
          <t xml:space="preserve">100-290 шт - </t>
        </is>
      </c>
      <c r="O833" s="47" t="inlineStr">
        <is>
          <t xml:space="preserve"> руб / шт с НДС</t>
        </is>
      </c>
      <c r="P833" s="125">
        <f>ROUND(K833,2)</f>
        <v/>
      </c>
      <c r="Q833" s="207">
        <f>CONCATENATE(N833,P833,O833,)</f>
        <v/>
      </c>
      <c r="R833" s="240" t="n"/>
      <c r="T833" s="241" t="n"/>
      <c r="U833" s="240" t="n"/>
      <c r="V833" s="241" t="n"/>
      <c r="Z833" s="240" t="n"/>
      <c r="AB833" s="241" t="n"/>
      <c r="AC833" s="240" t="n"/>
      <c r="AD833" s="241" t="n"/>
      <c r="AE833" t="n">
        <v>3.21</v>
      </c>
    </row>
    <row r="834">
      <c r="B834" s="42" t="n">
        <v>168</v>
      </c>
      <c r="C834" s="118">
        <f>INDIRECT("'Закуп'!A" &amp; B834)</f>
        <v/>
      </c>
      <c r="D834" s="119">
        <f>C834*1.2</f>
        <v/>
      </c>
      <c r="G834" s="172">
        <f>IF(INDIRECT("'Закуп'!L" &amp; B834)="Sale","Sale","")</f>
        <v/>
      </c>
      <c r="H834" s="158">
        <f>IF(INDIRECT("'Закуп'!F" &amp; B834)=0,"",INDIRECT("'Закуп'!F" &amp; B834))</f>
        <v/>
      </c>
      <c r="I834" s="120" t="n">
        <v>300</v>
      </c>
      <c r="J834" s="121">
        <f>K834/1.2</f>
        <v/>
      </c>
      <c r="K834" s="242" t="n">
        <v>2.2</v>
      </c>
      <c r="L834" s="122">
        <f>J834-C834-(J834-C834)*0.2</f>
        <v/>
      </c>
      <c r="M834" s="123">
        <f>L834*I834</f>
        <v/>
      </c>
      <c r="N834" s="124" t="inlineStr">
        <is>
          <t xml:space="preserve">300-490 шт - </t>
        </is>
      </c>
      <c r="O834" s="47" t="inlineStr">
        <is>
          <t xml:space="preserve"> руб / шт с НДС</t>
        </is>
      </c>
      <c r="P834" s="125">
        <f>ROUND(K834,2)</f>
        <v/>
      </c>
      <c r="Q834" s="207">
        <f>CONCATENATE(N834,P834,O834,)</f>
        <v/>
      </c>
      <c r="R834" s="240" t="n"/>
      <c r="T834" s="241" t="n"/>
      <c r="U834" s="240" t="n"/>
      <c r="V834" s="241" t="n"/>
      <c r="Z834" s="240" t="n"/>
      <c r="AB834" s="241" t="n"/>
      <c r="AC834" s="240" t="n"/>
      <c r="AD834" s="241" t="n"/>
      <c r="AE834" t="n">
        <v>2.7</v>
      </c>
    </row>
    <row r="835">
      <c r="B835" s="42" t="n">
        <v>168</v>
      </c>
      <c r="C835" s="118">
        <f>INDIRECT("'Закуп'!A" &amp; B835)</f>
        <v/>
      </c>
      <c r="D835" s="119">
        <f>C835*1.2</f>
        <v/>
      </c>
      <c r="G835" s="172">
        <f>IF(INDIRECT("'Закуп'!L" &amp; B835)="Sale","Sale","")</f>
        <v/>
      </c>
      <c r="H835" s="158">
        <f>IF(INDIRECT("'Закуп'!F" &amp; B835)=0,"",INDIRECT("'Закуп'!F" &amp; B835))</f>
        <v/>
      </c>
      <c r="I835" s="120" t="n">
        <v>500</v>
      </c>
      <c r="J835" s="121">
        <f>K835/1.2</f>
        <v/>
      </c>
      <c r="K835" s="242" t="n">
        <v>1.96</v>
      </c>
      <c r="L835" s="122">
        <f>J835-C835-(J835-C835)*0.2</f>
        <v/>
      </c>
      <c r="M835" s="123">
        <f>L835*I835</f>
        <v/>
      </c>
      <c r="N835" s="124" t="inlineStr">
        <is>
          <t xml:space="preserve">500-990 шт - </t>
        </is>
      </c>
      <c r="O835" s="47" t="inlineStr">
        <is>
          <t xml:space="preserve"> руб / шт с НДС</t>
        </is>
      </c>
      <c r="P835" s="125">
        <f>ROUND(K835,2)</f>
        <v/>
      </c>
      <c r="Q835" s="207">
        <f>CONCATENATE(N835,P835,O835,)</f>
        <v/>
      </c>
      <c r="R835" s="240" t="n"/>
      <c r="T835" s="241" t="n"/>
      <c r="U835" s="240" t="n"/>
      <c r="V835" s="241" t="n"/>
      <c r="Z835" s="240" t="n"/>
      <c r="AB835" s="241" t="n"/>
      <c r="AC835" s="240" t="n"/>
      <c r="AD835" s="241" t="n"/>
      <c r="AE835" t="n">
        <v>2.56</v>
      </c>
    </row>
    <row r="836">
      <c r="B836" s="42" t="n">
        <v>168</v>
      </c>
      <c r="C836" s="118">
        <f>INDIRECT("'Закуп'!A" &amp; B836)</f>
        <v/>
      </c>
      <c r="D836" s="119">
        <f>C836*1.2</f>
        <v/>
      </c>
      <c r="G836" s="172">
        <f>IF(INDIRECT("'Закуп'!L" &amp; B836)="Sale","Sale","")</f>
        <v/>
      </c>
      <c r="H836" s="158">
        <f>IF(INDIRECT("'Закуп'!F" &amp; B836)=0,"",INDIRECT("'Закуп'!F" &amp; B836))</f>
        <v/>
      </c>
      <c r="I836" s="120" t="n">
        <v>1000</v>
      </c>
      <c r="J836" s="121">
        <f>K836/1.2</f>
        <v/>
      </c>
      <c r="K836" s="242" t="n">
        <v>1.9</v>
      </c>
      <c r="L836" s="122">
        <f>J836-C836-(J836-C836)*0.2</f>
        <v/>
      </c>
      <c r="M836" s="123">
        <f>L836*I836</f>
        <v/>
      </c>
      <c r="N836" s="124" t="inlineStr">
        <is>
          <t xml:space="preserve">1000 + шт - </t>
        </is>
      </c>
      <c r="O836" s="47" t="inlineStr">
        <is>
          <t xml:space="preserve"> руб / шт с НДС</t>
        </is>
      </c>
      <c r="P836" s="125">
        <f>ROUND(K836,2)</f>
        <v/>
      </c>
      <c r="Q836" s="207">
        <f>CONCATENATE(N836,P836,O836,)</f>
        <v/>
      </c>
      <c r="R836" s="240" t="n"/>
      <c r="T836" s="241" t="n"/>
      <c r="U836" s="240" t="n"/>
      <c r="V836" s="241" t="n"/>
      <c r="Z836" s="240" t="n"/>
      <c r="AB836" s="241" t="n"/>
      <c r="AC836" s="240" t="n"/>
      <c r="AD836" s="241" t="n"/>
      <c r="AE836" t="n">
        <v>2.47</v>
      </c>
    </row>
    <row r="837">
      <c r="A837" s="232" t="n">
        <v>169</v>
      </c>
      <c r="B837" s="42" t="n">
        <v>169</v>
      </c>
      <c r="C837" s="118">
        <f>INDIRECT("'Закуп'!A" &amp; B837)</f>
        <v/>
      </c>
      <c r="D837" s="119">
        <f>C837*1.2</f>
        <v/>
      </c>
      <c r="E837" s="224">
        <f>INDIRECT("'Закуп'!D" &amp; A837)</f>
        <v/>
      </c>
      <c r="F837" s="231">
        <f>INDIRECT("'Закуп'!E" &amp; B837)</f>
        <v/>
      </c>
      <c r="G837" s="172">
        <f>IF(INDIRECT("'Закуп'!L" &amp; B837)="Sale","Sale","")</f>
        <v/>
      </c>
      <c r="H837" s="158">
        <f>IF(INDIRECT("'Закуп'!F" &amp; B837)=0,"",INDIRECT("'Закуп'!F" &amp; B837))</f>
        <v/>
      </c>
      <c r="I837" s="120" t="n">
        <v>50</v>
      </c>
      <c r="J837" s="121">
        <f>K837/1.2</f>
        <v/>
      </c>
      <c r="K837" s="242" t="n">
        <v>6.42</v>
      </c>
      <c r="L837" s="122">
        <f>J837-C837-(J837-C837)*0.2</f>
        <v/>
      </c>
      <c r="M837" s="123">
        <f>L837*I837</f>
        <v/>
      </c>
      <c r="N837" s="124" t="inlineStr">
        <is>
          <t xml:space="preserve">50-90 шт - </t>
        </is>
      </c>
      <c r="O837" s="47" t="inlineStr">
        <is>
          <t xml:space="preserve"> руб / шт с НДС</t>
        </is>
      </c>
      <c r="P837" s="125">
        <f>ROUND(K837,2)</f>
        <v/>
      </c>
      <c r="Q837" s="207">
        <f>CONCATENATE(N837,P837,O837,)</f>
        <v/>
      </c>
      <c r="R837" s="235">
        <f>INDIRECT("'Закуп'!k" &amp; A837)</f>
        <v/>
      </c>
      <c r="S837" s="239">
        <f>INDIRECT("'Закуп'!o" &amp; A837)</f>
        <v/>
      </c>
      <c r="T837" s="226">
        <f>INDIRECT("'Закуп'!p" &amp; A837)</f>
        <v/>
      </c>
      <c r="U837" s="235">
        <f>INDIRECT("'Закуп'!v" &amp; A837)</f>
        <v/>
      </c>
      <c r="V837" s="222">
        <f>INDIRECT("'Закуп'!w" &amp; A837)</f>
        <v/>
      </c>
      <c r="W837" s="229">
        <f>INDIRECT("'Закуп'!H" &amp; A837)</f>
        <v/>
      </c>
      <c r="X837" s="237">
        <f>INDIRECT("'Закуп'!g" &amp; A837)</f>
        <v/>
      </c>
      <c r="Y837" s="229">
        <f>INDIRECT("'Закуп'!i" &amp; A837)</f>
        <v/>
      </c>
      <c r="Z837" s="236">
        <f>INDIRECT("'Закуп'!x" &amp; A837)</f>
        <v/>
      </c>
      <c r="AA837" s="237">
        <f>INDIRECT("'Закуп'!y" &amp; A837)</f>
        <v/>
      </c>
      <c r="AB837" s="238">
        <f>INDIRECT("'Закуп'!z" &amp; A837)</f>
        <v/>
      </c>
      <c r="AC837" s="223">
        <f>SUBSTITUTE(INDEX(F:F, ROUNDUP((ROW(A836))/5,0)*5 - 3), "х", "x")</f>
        <v/>
      </c>
      <c r="AD837" s="222">
        <f>SUBSTITUTE(INDEX(F:F, ROUNDUP((ROW(A836))/5,0)*5 - 3), "х", "x") &amp; " - " &amp; SUBSTITUTE(SUBSTITUTE(INDEX(F:F, ROUNDUP((ROW(A836))/5,0)*5 - 3), "х", "*"), "x", "*") &amp; " мм"</f>
        <v/>
      </c>
      <c r="AE837" t="n">
        <v>10.25</v>
      </c>
    </row>
    <row r="838">
      <c r="B838" s="42" t="n">
        <v>169</v>
      </c>
      <c r="C838" s="118">
        <f>INDIRECT("'Закуп'!A" &amp; B838)</f>
        <v/>
      </c>
      <c r="D838" s="119">
        <f>C838*1.2</f>
        <v/>
      </c>
      <c r="G838" s="172">
        <f>IF(INDIRECT("'Закуп'!L" &amp; B838)="Sale","Sale","")</f>
        <v/>
      </c>
      <c r="H838" s="158">
        <f>IF(INDIRECT("'Закуп'!F" &amp; B838)=0,"",INDIRECT("'Закуп'!F" &amp; B838))</f>
        <v/>
      </c>
      <c r="I838" s="120" t="n">
        <v>100</v>
      </c>
      <c r="J838" s="121">
        <f>K838/1.2</f>
        <v/>
      </c>
      <c r="K838" s="242" t="n">
        <v>5.46</v>
      </c>
      <c r="L838" s="122">
        <f>J838-C838-(J838-C838)*0.2</f>
        <v/>
      </c>
      <c r="M838" s="123">
        <f>L838*I838</f>
        <v/>
      </c>
      <c r="N838" s="124" t="inlineStr">
        <is>
          <t xml:space="preserve">100-290 шт - </t>
        </is>
      </c>
      <c r="O838" s="47" t="inlineStr">
        <is>
          <t xml:space="preserve"> руб / шт с НДС</t>
        </is>
      </c>
      <c r="P838" s="125">
        <f>ROUND(K838,2)</f>
        <v/>
      </c>
      <c r="Q838" s="207">
        <f>CONCATENATE(N838,P838,O838,)</f>
        <v/>
      </c>
      <c r="R838" s="240" t="n"/>
      <c r="T838" s="241" t="n"/>
      <c r="U838" s="240" t="n"/>
      <c r="V838" s="241" t="n"/>
      <c r="Z838" s="240" t="n"/>
      <c r="AB838" s="241" t="n"/>
      <c r="AC838" s="240" t="n"/>
      <c r="AD838" s="241" t="n"/>
      <c r="AE838" t="n">
        <v>8.74</v>
      </c>
    </row>
    <row r="839">
      <c r="B839" s="42" t="n">
        <v>169</v>
      </c>
      <c r="C839" s="118">
        <f>INDIRECT("'Закуп'!A" &amp; B839)</f>
        <v/>
      </c>
      <c r="D839" s="119">
        <f>C839*1.2</f>
        <v/>
      </c>
      <c r="G839" s="172">
        <f>IF(INDIRECT("'Закуп'!L" &amp; B839)="Sale","Sale","")</f>
        <v/>
      </c>
      <c r="H839" s="158">
        <f>IF(INDIRECT("'Закуп'!F" &amp; B839)=0,"",INDIRECT("'Закуп'!F" &amp; B839))</f>
        <v/>
      </c>
      <c r="I839" s="120" t="n">
        <v>300</v>
      </c>
      <c r="J839" s="121">
        <f>K839/1.2</f>
        <v/>
      </c>
      <c r="K839" s="242" t="n">
        <v>5.14</v>
      </c>
      <c r="L839" s="122">
        <f>J839-C839-(J839-C839)*0.2</f>
        <v/>
      </c>
      <c r="M839" s="123">
        <f>L839*I839</f>
        <v/>
      </c>
      <c r="N839" s="124" t="inlineStr">
        <is>
          <t xml:space="preserve">300-490 шт - </t>
        </is>
      </c>
      <c r="O839" s="47" t="inlineStr">
        <is>
          <t xml:space="preserve"> руб / шт с НДС</t>
        </is>
      </c>
      <c r="P839" s="125">
        <f>ROUND(K839,2)</f>
        <v/>
      </c>
      <c r="Q839" s="207">
        <f>CONCATENATE(N839,P839,O839,)</f>
        <v/>
      </c>
      <c r="R839" s="240" t="n"/>
      <c r="T839" s="241" t="n"/>
      <c r="U839" s="240" t="n"/>
      <c r="V839" s="241" t="n"/>
      <c r="Z839" s="240" t="n"/>
      <c r="AB839" s="241" t="n"/>
      <c r="AC839" s="240" t="n"/>
      <c r="AD839" s="241" t="n"/>
      <c r="AE839" t="n">
        <v>8.029999999999999</v>
      </c>
    </row>
    <row r="840">
      <c r="B840" s="42" t="n">
        <v>169</v>
      </c>
      <c r="C840" s="118">
        <f>INDIRECT("'Закуп'!A" &amp; B840)</f>
        <v/>
      </c>
      <c r="D840" s="119">
        <f>C840*1.2</f>
        <v/>
      </c>
      <c r="G840" s="172">
        <f>IF(INDIRECT("'Закуп'!L" &amp; B840)="Sale","Sale","")</f>
        <v/>
      </c>
      <c r="H840" s="158">
        <f>IF(INDIRECT("'Закуп'!F" &amp; B840)=0,"",INDIRECT("'Закуп'!F" &amp; B840))</f>
        <v/>
      </c>
      <c r="I840" s="120" t="n">
        <v>500</v>
      </c>
      <c r="J840" s="121">
        <f>K840/1.2</f>
        <v/>
      </c>
      <c r="K840" s="242" t="n">
        <v>4.87</v>
      </c>
      <c r="L840" s="122">
        <f>J840-C840-(J840-C840)*0.2</f>
        <v/>
      </c>
      <c r="M840" s="123">
        <f>L840*I840</f>
        <v/>
      </c>
      <c r="N840" s="124" t="inlineStr">
        <is>
          <t xml:space="preserve">500-990 шт - </t>
        </is>
      </c>
      <c r="O840" s="47" t="inlineStr">
        <is>
          <t xml:space="preserve"> руб / шт с НДС</t>
        </is>
      </c>
      <c r="P840" s="125">
        <f>ROUND(K840,2)</f>
        <v/>
      </c>
      <c r="Q840" s="207">
        <f>CONCATENATE(N840,P840,O840,)</f>
        <v/>
      </c>
      <c r="R840" s="240" t="n"/>
      <c r="T840" s="241" t="n"/>
      <c r="U840" s="240" t="n"/>
      <c r="V840" s="241" t="n"/>
      <c r="Z840" s="240" t="n"/>
      <c r="AB840" s="241" t="n"/>
      <c r="AC840" s="240" t="n"/>
      <c r="AD840" s="241" t="n"/>
      <c r="AE840" t="n">
        <v>7.89</v>
      </c>
    </row>
    <row r="841">
      <c r="B841" s="42" t="n">
        <v>169</v>
      </c>
      <c r="C841" s="118">
        <f>INDIRECT("'Закуп'!A" &amp; B841)</f>
        <v/>
      </c>
      <c r="D841" s="119">
        <f>C841*1.2</f>
        <v/>
      </c>
      <c r="G841" s="172">
        <f>IF(INDIRECT("'Закуп'!L" &amp; B841)="Sale","Sale","")</f>
        <v/>
      </c>
      <c r="H841" s="158">
        <f>IF(INDIRECT("'Закуп'!F" &amp; B841)=0,"",INDIRECT("'Закуп'!F" &amp; B841))</f>
        <v/>
      </c>
      <c r="I841" s="120" t="n">
        <v>1000</v>
      </c>
      <c r="J841" s="121">
        <f>K841/1.2</f>
        <v/>
      </c>
      <c r="K841" s="242" t="n">
        <v>4.71</v>
      </c>
      <c r="L841" s="122">
        <f>J841-C841-(J841-C841)*0.2</f>
        <v/>
      </c>
      <c r="M841" s="123">
        <f>L841*I841</f>
        <v/>
      </c>
      <c r="N841" s="124" t="inlineStr">
        <is>
          <t xml:space="preserve">1000 + шт - </t>
        </is>
      </c>
      <c r="O841" s="47" t="inlineStr">
        <is>
          <t xml:space="preserve"> руб / шт с НДС</t>
        </is>
      </c>
      <c r="P841" s="125">
        <f>ROUND(K841,2)</f>
        <v/>
      </c>
      <c r="Q841" s="207">
        <f>CONCATENATE(N841,P841,O841,)</f>
        <v/>
      </c>
      <c r="R841" s="240" t="n"/>
      <c r="T841" s="241" t="n"/>
      <c r="U841" s="240" t="n"/>
      <c r="V841" s="241" t="n"/>
      <c r="Z841" s="240" t="n"/>
      <c r="AB841" s="241" t="n"/>
      <c r="AC841" s="240" t="n"/>
      <c r="AD841" s="241" t="n"/>
      <c r="AE841" t="n">
        <v>7.82</v>
      </c>
    </row>
    <row r="842">
      <c r="A842" s="232" t="n">
        <v>170</v>
      </c>
      <c r="B842" s="42" t="n">
        <v>170</v>
      </c>
      <c r="C842" s="118">
        <f>INDIRECT("'Закуп'!A" &amp; B842)</f>
        <v/>
      </c>
      <c r="D842" s="119">
        <f>C842*1.2</f>
        <v/>
      </c>
      <c r="E842" s="224">
        <f>INDIRECT("'Закуп'!D" &amp; A842)</f>
        <v/>
      </c>
      <c r="F842" s="231">
        <f>INDIRECT("'Закуп'!E" &amp; B842)</f>
        <v/>
      </c>
      <c r="G842" s="172">
        <f>IF(INDIRECT("'Закуп'!L" &amp; B842)="Sale","Sale","")</f>
        <v/>
      </c>
      <c r="H842" s="158">
        <f>IF(INDIRECT("'Закуп'!F" &amp; B842)=0,"",INDIRECT("'Закуп'!F" &amp; B842))</f>
        <v/>
      </c>
      <c r="I842" s="120" t="n">
        <v>50</v>
      </c>
      <c r="J842" s="121">
        <f>K842/1.2</f>
        <v/>
      </c>
      <c r="K842" s="242" t="n">
        <v>1.11</v>
      </c>
      <c r="L842" s="122">
        <f>J842-C842-(J842-C842)*0.2</f>
        <v/>
      </c>
      <c r="M842" s="123">
        <f>L842*I842</f>
        <v/>
      </c>
      <c r="N842" s="124" t="inlineStr">
        <is>
          <t xml:space="preserve">50-90 шт - </t>
        </is>
      </c>
      <c r="O842" s="47" t="inlineStr">
        <is>
          <t xml:space="preserve"> руб / шт с НДС</t>
        </is>
      </c>
      <c r="P842" s="125">
        <f>ROUND(K842,2)</f>
        <v/>
      </c>
      <c r="Q842" s="207">
        <f>CONCATENATE(N842,P842,O842,)</f>
        <v/>
      </c>
      <c r="R842" s="235">
        <f>INDIRECT("'Закуп'!k" &amp; A842)</f>
        <v/>
      </c>
      <c r="S842" s="239">
        <f>INDIRECT("'Закуп'!o" &amp; A842)</f>
        <v/>
      </c>
      <c r="T842" s="226">
        <f>INDIRECT("'Закуп'!p" &amp; A842)</f>
        <v/>
      </c>
      <c r="U842" s="235">
        <f>INDIRECT("'Закуп'!v" &amp; A842)</f>
        <v/>
      </c>
      <c r="V842" s="222">
        <f>INDIRECT("'Закуп'!w" &amp; A842)</f>
        <v/>
      </c>
      <c r="W842" s="229">
        <f>INDIRECT("'Закуп'!H" &amp; A842)</f>
        <v/>
      </c>
      <c r="X842" s="237">
        <f>INDIRECT("'Закуп'!g" &amp; A842)</f>
        <v/>
      </c>
      <c r="Y842" s="229">
        <f>INDIRECT("'Закуп'!i" &amp; A842)</f>
        <v/>
      </c>
      <c r="Z842" s="236">
        <f>INDIRECT("'Закуп'!x" &amp; A842)</f>
        <v/>
      </c>
      <c r="AA842" s="237">
        <f>INDIRECT("'Закуп'!y" &amp; A842)</f>
        <v/>
      </c>
      <c r="AB842" s="238">
        <f>INDIRECT("'Закуп'!z" &amp; A842)</f>
        <v/>
      </c>
      <c r="AC842" s="223">
        <f>SUBSTITUTE(INDEX(F:F, ROUNDUP((ROW(A841))/5,0)*5 - 3), "х", "x")</f>
        <v/>
      </c>
      <c r="AD842" s="222">
        <f>SUBSTITUTE(INDEX(F:F, ROUNDUP((ROW(A841))/5,0)*5 - 3), "х", "x") &amp; " - " &amp; SUBSTITUTE(SUBSTITUTE(INDEX(F:F, ROUNDUP((ROW(A841))/5,0)*5 - 3), "х", "*"), "x", "*") &amp; " мм"</f>
        <v/>
      </c>
      <c r="AE842" t="n">
        <v>1.06</v>
      </c>
    </row>
    <row r="843">
      <c r="B843" s="42" t="n">
        <v>170</v>
      </c>
      <c r="C843" s="118">
        <f>INDIRECT("'Закуп'!A" &amp; B843)</f>
        <v/>
      </c>
      <c r="D843" s="119">
        <f>C843*1.2</f>
        <v/>
      </c>
      <c r="G843" s="172">
        <f>IF(INDIRECT("'Закуп'!L" &amp; B843)="Sale","Sale","")</f>
        <v/>
      </c>
      <c r="H843" s="158">
        <f>IF(INDIRECT("'Закуп'!F" &amp; B843)=0,"",INDIRECT("'Закуп'!F" &amp; B843))</f>
        <v/>
      </c>
      <c r="I843" s="120" t="n">
        <v>100</v>
      </c>
      <c r="J843" s="121">
        <f>K843/1.2</f>
        <v/>
      </c>
      <c r="K843" s="242" t="n">
        <v>0.98</v>
      </c>
      <c r="L843" s="122">
        <f>J843-C843-(J843-C843)*0.2</f>
        <v/>
      </c>
      <c r="M843" s="123">
        <f>L843*I843</f>
        <v/>
      </c>
      <c r="N843" s="124" t="inlineStr">
        <is>
          <t xml:space="preserve">100-290 шт - </t>
        </is>
      </c>
      <c r="O843" s="47" t="inlineStr">
        <is>
          <t xml:space="preserve"> руб / шт с НДС</t>
        </is>
      </c>
      <c r="P843" s="125">
        <f>ROUND(K843,2)</f>
        <v/>
      </c>
      <c r="Q843" s="207">
        <f>CONCATENATE(N843,P843,O843,)</f>
        <v/>
      </c>
      <c r="R843" s="240" t="n"/>
      <c r="T843" s="241" t="n"/>
      <c r="U843" s="240" t="n"/>
      <c r="V843" s="241" t="n"/>
      <c r="Z843" s="240" t="n"/>
      <c r="AB843" s="241" t="n"/>
      <c r="AC843" s="240" t="n"/>
      <c r="AD843" s="241" t="n"/>
      <c r="AE843" t="n">
        <v>0.9</v>
      </c>
    </row>
    <row r="844">
      <c r="B844" s="42" t="n">
        <v>170</v>
      </c>
      <c r="C844" s="118">
        <f>INDIRECT("'Закуп'!A" &amp; B844)</f>
        <v/>
      </c>
      <c r="D844" s="119">
        <f>C844*1.2</f>
        <v/>
      </c>
      <c r="G844" s="172">
        <f>IF(INDIRECT("'Закуп'!L" &amp; B844)="Sale","Sale","")</f>
        <v/>
      </c>
      <c r="H844" s="158">
        <f>IF(INDIRECT("'Закуп'!F" &amp; B844)=0,"",INDIRECT("'Закуп'!F" &amp; B844))</f>
        <v/>
      </c>
      <c r="I844" s="120" t="n">
        <v>300</v>
      </c>
      <c r="J844" s="121">
        <f>K844/1.2</f>
        <v/>
      </c>
      <c r="K844" s="242" t="n">
        <v>0.85</v>
      </c>
      <c r="L844" s="122">
        <f>J844-C844-(J844-C844)*0.2</f>
        <v/>
      </c>
      <c r="M844" s="123">
        <f>L844*I844</f>
        <v/>
      </c>
      <c r="N844" s="124" t="inlineStr">
        <is>
          <t xml:space="preserve">300-490 шт - </t>
        </is>
      </c>
      <c r="O844" s="47" t="inlineStr">
        <is>
          <t xml:space="preserve"> руб / шт с НДС</t>
        </is>
      </c>
      <c r="P844" s="125">
        <f>ROUND(K844,2)</f>
        <v/>
      </c>
      <c r="Q844" s="207">
        <f>CONCATENATE(N844,P844,O844,)</f>
        <v/>
      </c>
      <c r="R844" s="240" t="n"/>
      <c r="T844" s="241" t="n"/>
      <c r="U844" s="240" t="n"/>
      <c r="V844" s="241" t="n"/>
      <c r="Z844" s="240" t="n"/>
      <c r="AB844" s="241" t="n"/>
      <c r="AC844" s="240" t="n"/>
      <c r="AD844" s="241" t="n"/>
      <c r="AE844" t="n">
        <v>0.72</v>
      </c>
    </row>
    <row r="845">
      <c r="B845" s="42" t="n">
        <v>170</v>
      </c>
      <c r="C845" s="118">
        <f>INDIRECT("'Закуп'!A" &amp; B845)</f>
        <v/>
      </c>
      <c r="D845" s="119">
        <f>C845*1.2</f>
        <v/>
      </c>
      <c r="G845" s="172">
        <f>IF(INDIRECT("'Закуп'!L" &amp; B845)="Sale","Sale","")</f>
        <v/>
      </c>
      <c r="H845" s="158">
        <f>IF(INDIRECT("'Закуп'!F" &amp; B845)=0,"",INDIRECT("'Закуп'!F" &amp; B845))</f>
        <v/>
      </c>
      <c r="I845" s="120" t="n">
        <v>500</v>
      </c>
      <c r="J845" s="121">
        <f>K845/1.2</f>
        <v/>
      </c>
      <c r="K845" s="242" t="n">
        <v>0.78</v>
      </c>
      <c r="L845" s="122">
        <f>J845-C845-(J845-C845)*0.2</f>
        <v/>
      </c>
      <c r="M845" s="123">
        <f>L845*I845</f>
        <v/>
      </c>
      <c r="N845" s="124" t="inlineStr">
        <is>
          <t xml:space="preserve">500-990 шт - </t>
        </is>
      </c>
      <c r="O845" s="47" t="inlineStr">
        <is>
          <t xml:space="preserve"> руб / шт с НДС</t>
        </is>
      </c>
      <c r="P845" s="125">
        <f>ROUND(K845,2)</f>
        <v/>
      </c>
      <c r="Q845" s="207">
        <f>CONCATENATE(N845,P845,O845,)</f>
        <v/>
      </c>
      <c r="R845" s="240" t="n"/>
      <c r="T845" s="241" t="n"/>
      <c r="U845" s="240" t="n"/>
      <c r="V845" s="241" t="n"/>
      <c r="Z845" s="240" t="n"/>
      <c r="AB845" s="241" t="n"/>
      <c r="AC845" s="240" t="n"/>
      <c r="AD845" s="241" t="n"/>
      <c r="AE845" t="n">
        <v>0.68</v>
      </c>
    </row>
    <row r="846">
      <c r="B846" s="42" t="n">
        <v>170</v>
      </c>
      <c r="C846" s="118">
        <f>INDIRECT("'Закуп'!A" &amp; B846)</f>
        <v/>
      </c>
      <c r="D846" s="119">
        <f>C846*1.2</f>
        <v/>
      </c>
      <c r="G846" s="172">
        <f>IF(INDIRECT("'Закуп'!L" &amp; B846)="Sale","Sale","")</f>
        <v/>
      </c>
      <c r="H846" s="158">
        <f>IF(INDIRECT("'Закуп'!F" &amp; B846)=0,"",INDIRECT("'Закуп'!F" &amp; B846))</f>
        <v/>
      </c>
      <c r="I846" s="120" t="n">
        <v>1000</v>
      </c>
      <c r="J846" s="121">
        <f>K846/1.2</f>
        <v/>
      </c>
      <c r="K846" s="242" t="n">
        <v>0.65</v>
      </c>
      <c r="L846" s="122">
        <f>J846-C846-(J846-C846)*0.2</f>
        <v/>
      </c>
      <c r="M846" s="123">
        <f>L846*I846</f>
        <v/>
      </c>
      <c r="N846" s="124" t="inlineStr">
        <is>
          <t xml:space="preserve">1000 + шт - </t>
        </is>
      </c>
      <c r="O846" s="47" t="inlineStr">
        <is>
          <t xml:space="preserve"> руб / шт с НДС</t>
        </is>
      </c>
      <c r="P846" s="125">
        <f>ROUND(K846,2)</f>
        <v/>
      </c>
      <c r="Q846" s="207">
        <f>CONCATENATE(N846,P846,O846,)</f>
        <v/>
      </c>
      <c r="R846" s="240" t="n"/>
      <c r="T846" s="241" t="n"/>
      <c r="U846" s="240" t="n"/>
      <c r="V846" s="241" t="n"/>
      <c r="Z846" s="240" t="n"/>
      <c r="AB846" s="241" t="n"/>
      <c r="AC846" s="240" t="n"/>
      <c r="AD846" s="241" t="n"/>
      <c r="AE846" t="n">
        <v>0.63</v>
      </c>
    </row>
    <row r="847">
      <c r="A847" s="232" t="n">
        <v>171</v>
      </c>
      <c r="B847" s="42" t="n">
        <v>171</v>
      </c>
      <c r="C847" s="118">
        <f>INDIRECT("'Закуп'!A" &amp; B847)</f>
        <v/>
      </c>
      <c r="D847" s="119">
        <f>C847*1.2</f>
        <v/>
      </c>
      <c r="E847" s="224">
        <f>INDIRECT("'Закуп'!D" &amp; A847)</f>
        <v/>
      </c>
      <c r="F847" s="231">
        <f>INDIRECT("'Закуп'!E" &amp; B847)</f>
        <v/>
      </c>
      <c r="G847" s="172">
        <f>IF(INDIRECT("'Закуп'!L" &amp; B847)="Sale","Sale","")</f>
        <v/>
      </c>
      <c r="H847" s="158">
        <f>IF(INDIRECT("'Закуп'!F" &amp; B847)=0,"",INDIRECT("'Закуп'!F" &amp; B847))</f>
        <v/>
      </c>
      <c r="I847" s="120" t="n">
        <v>50</v>
      </c>
      <c r="J847" s="121">
        <f>K847/1.2</f>
        <v/>
      </c>
      <c r="K847" s="242" t="n">
        <v>1.2</v>
      </c>
      <c r="L847" s="122">
        <f>J847-C847-(J847-C847)*0.2</f>
        <v/>
      </c>
      <c r="M847" s="123">
        <f>L847*I847</f>
        <v/>
      </c>
      <c r="N847" s="124" t="inlineStr">
        <is>
          <t xml:space="preserve">50-90 шт - </t>
        </is>
      </c>
      <c r="O847" s="47" t="inlineStr">
        <is>
          <t xml:space="preserve"> руб / шт с НДС</t>
        </is>
      </c>
      <c r="P847" s="125">
        <f>ROUND(K847,2)</f>
        <v/>
      </c>
      <c r="Q847" s="207">
        <f>CONCATENATE(N847,P847,O847,)</f>
        <v/>
      </c>
      <c r="R847" s="235">
        <f>INDIRECT("'Закуп'!k" &amp; A847)</f>
        <v/>
      </c>
      <c r="S847" s="239">
        <f>INDIRECT("'Закуп'!o" &amp; A847)</f>
        <v/>
      </c>
      <c r="T847" s="226">
        <f>INDIRECT("'Закуп'!p" &amp; A847)</f>
        <v/>
      </c>
      <c r="U847" s="235">
        <f>INDIRECT("'Закуп'!v" &amp; A847)</f>
        <v/>
      </c>
      <c r="V847" s="222">
        <f>INDIRECT("'Закуп'!w" &amp; A847)</f>
        <v/>
      </c>
      <c r="W847" s="229">
        <f>INDIRECT("'Закуп'!H" &amp; A847)</f>
        <v/>
      </c>
      <c r="X847" s="237">
        <f>INDIRECT("'Закуп'!g" &amp; A847)</f>
        <v/>
      </c>
      <c r="Y847" s="229">
        <f>INDIRECT("'Закуп'!i" &amp; A847)</f>
        <v/>
      </c>
      <c r="Z847" s="236">
        <f>INDIRECT("'Закуп'!x" &amp; A847)</f>
        <v/>
      </c>
      <c r="AA847" s="237">
        <f>INDIRECT("'Закуп'!y" &amp; A847)</f>
        <v/>
      </c>
      <c r="AB847" s="238">
        <f>INDIRECT("'Закуп'!z" &amp; A847)</f>
        <v/>
      </c>
      <c r="AC847" s="223">
        <f>SUBSTITUTE(INDEX(F:F, ROUNDUP((ROW(A846))/5,0)*5 - 3), "х", "x")</f>
        <v/>
      </c>
      <c r="AD847" s="222">
        <f>SUBSTITUTE(INDEX(F:F, ROUNDUP((ROW(A846))/5,0)*5 - 3), "х", "x") &amp; " - " &amp; SUBSTITUTE(SUBSTITUTE(INDEX(F:F, ROUNDUP((ROW(A846))/5,0)*5 - 3), "х", "*"), "x", "*") &amp; " мм"</f>
        <v/>
      </c>
      <c r="AE847" t="n">
        <v>1.64</v>
      </c>
    </row>
    <row r="848">
      <c r="B848" s="42" t="n">
        <v>171</v>
      </c>
      <c r="C848" s="118">
        <f>INDIRECT("'Закуп'!A" &amp; B848)</f>
        <v/>
      </c>
      <c r="D848" s="119">
        <f>C848*1.2</f>
        <v/>
      </c>
      <c r="G848" s="172">
        <f>IF(INDIRECT("'Закуп'!L" &amp; B848)="Sale","Sale","")</f>
        <v/>
      </c>
      <c r="H848" s="158">
        <f>IF(INDIRECT("'Закуп'!F" &amp; B848)=0,"",INDIRECT("'Закуп'!F" &amp; B848))</f>
        <v/>
      </c>
      <c r="I848" s="120" t="n">
        <v>100</v>
      </c>
      <c r="J848" s="121">
        <f>K848/1.2</f>
        <v/>
      </c>
      <c r="K848" s="242" t="n">
        <v>1.03</v>
      </c>
      <c r="L848" s="122">
        <f>J848-C848-(J848-C848)*0.2</f>
        <v/>
      </c>
      <c r="M848" s="123">
        <f>L848*I848</f>
        <v/>
      </c>
      <c r="N848" s="124" t="inlineStr">
        <is>
          <t xml:space="preserve">100-290 шт - </t>
        </is>
      </c>
      <c r="O848" s="47" t="inlineStr">
        <is>
          <t xml:space="preserve"> руб / шт с НДС</t>
        </is>
      </c>
      <c r="P848" s="125">
        <f>ROUND(K848,2)</f>
        <v/>
      </c>
      <c r="Q848" s="207">
        <f>CONCATENATE(N848,P848,O848,)</f>
        <v/>
      </c>
      <c r="R848" s="240" t="n"/>
      <c r="T848" s="241" t="n"/>
      <c r="U848" s="240" t="n"/>
      <c r="V848" s="241" t="n"/>
      <c r="Z848" s="240" t="n"/>
      <c r="AB848" s="241" t="n"/>
      <c r="AC848" s="240" t="n"/>
      <c r="AD848" s="241" t="n"/>
      <c r="AE848" t="n">
        <v>1.49</v>
      </c>
    </row>
    <row r="849">
      <c r="B849" s="42" t="n">
        <v>171</v>
      </c>
      <c r="C849" s="118">
        <f>INDIRECT("'Закуп'!A" &amp; B849)</f>
        <v/>
      </c>
      <c r="D849" s="119">
        <f>C849*1.2</f>
        <v/>
      </c>
      <c r="G849" s="172">
        <f>IF(INDIRECT("'Закуп'!L" &amp; B849)="Sale","Sale","")</f>
        <v/>
      </c>
      <c r="H849" s="158">
        <f>IF(INDIRECT("'Закуп'!F" &amp; B849)=0,"",INDIRECT("'Закуп'!F" &amp; B849))</f>
        <v/>
      </c>
      <c r="I849" s="120" t="n">
        <v>300</v>
      </c>
      <c r="J849" s="121">
        <f>K849/1.2</f>
        <v/>
      </c>
      <c r="K849" s="242" t="n">
        <v>0.97</v>
      </c>
      <c r="L849" s="122">
        <f>J849-C849-(J849-C849)*0.2</f>
        <v/>
      </c>
      <c r="M849" s="123">
        <f>L849*I849</f>
        <v/>
      </c>
      <c r="N849" s="124" t="inlineStr">
        <is>
          <t xml:space="preserve">300-490 шт - </t>
        </is>
      </c>
      <c r="O849" s="47" t="inlineStr">
        <is>
          <t xml:space="preserve"> руб / шт с НДС</t>
        </is>
      </c>
      <c r="P849" s="125">
        <f>ROUND(K849,2)</f>
        <v/>
      </c>
      <c r="Q849" s="207">
        <f>CONCATENATE(N849,P849,O849,)</f>
        <v/>
      </c>
      <c r="R849" s="240" t="n"/>
      <c r="T849" s="241" t="n"/>
      <c r="U849" s="240" t="n"/>
      <c r="V849" s="241" t="n"/>
      <c r="Z849" s="240" t="n"/>
      <c r="AB849" s="241" t="n"/>
      <c r="AC849" s="240" t="n"/>
      <c r="AD849" s="241" t="n"/>
      <c r="AE849" t="n">
        <v>1.18</v>
      </c>
    </row>
    <row r="850">
      <c r="B850" s="42" t="n">
        <v>171</v>
      </c>
      <c r="C850" s="118">
        <f>INDIRECT("'Закуп'!A" &amp; B850)</f>
        <v/>
      </c>
      <c r="D850" s="119">
        <f>C850*1.2</f>
        <v/>
      </c>
      <c r="G850" s="172">
        <f>IF(INDIRECT("'Закуп'!L" &amp; B850)="Sale","Sale","")</f>
        <v/>
      </c>
      <c r="H850" s="158">
        <f>IF(INDIRECT("'Закуп'!F" &amp; B850)=0,"",INDIRECT("'Закуп'!F" &amp; B850))</f>
        <v/>
      </c>
      <c r="I850" s="120" t="n">
        <v>500</v>
      </c>
      <c r="J850" s="121">
        <f>K850/1.2</f>
        <v/>
      </c>
      <c r="K850" s="242" t="n">
        <v>0.92</v>
      </c>
      <c r="L850" s="122">
        <f>J850-C850-(J850-C850)*0.2</f>
        <v/>
      </c>
      <c r="M850" s="123">
        <f>L850*I850</f>
        <v/>
      </c>
      <c r="N850" s="124" t="inlineStr">
        <is>
          <t xml:space="preserve">500-990 шт - </t>
        </is>
      </c>
      <c r="O850" s="47" t="inlineStr">
        <is>
          <t xml:space="preserve"> руб / шт с НДС</t>
        </is>
      </c>
      <c r="P850" s="125">
        <f>ROUND(K850,2)</f>
        <v/>
      </c>
      <c r="Q850" s="207">
        <f>CONCATENATE(N850,P850,O850,)</f>
        <v/>
      </c>
      <c r="R850" s="240" t="n"/>
      <c r="T850" s="241" t="n"/>
      <c r="U850" s="240" t="n"/>
      <c r="V850" s="241" t="n"/>
      <c r="Z850" s="240" t="n"/>
      <c r="AB850" s="241" t="n"/>
      <c r="AC850" s="240" t="n"/>
      <c r="AD850" s="241" t="n"/>
      <c r="AE850" t="n">
        <v>1.1</v>
      </c>
    </row>
    <row r="851">
      <c r="B851" s="42" t="n">
        <v>171</v>
      </c>
      <c r="C851" s="118">
        <f>INDIRECT("'Закуп'!A" &amp; B851)</f>
        <v/>
      </c>
      <c r="D851" s="119">
        <f>C851*1.2</f>
        <v/>
      </c>
      <c r="G851" s="172">
        <f>IF(INDIRECT("'Закуп'!L" &amp; B851)="Sale","Sale","")</f>
        <v/>
      </c>
      <c r="H851" s="158">
        <f>IF(INDIRECT("'Закуп'!F" &amp; B851)=0,"",INDIRECT("'Закуп'!F" &amp; B851))</f>
        <v/>
      </c>
      <c r="I851" s="120" t="n">
        <v>1000</v>
      </c>
      <c r="J851" s="121">
        <f>K851/1.2</f>
        <v/>
      </c>
      <c r="K851" s="242" t="n">
        <v>0.86</v>
      </c>
      <c r="L851" s="122">
        <f>J851-C851-(J851-C851)*0.2</f>
        <v/>
      </c>
      <c r="M851" s="123">
        <f>L851*I851</f>
        <v/>
      </c>
      <c r="N851" s="124" t="inlineStr">
        <is>
          <t xml:space="preserve">1000 + шт - </t>
        </is>
      </c>
      <c r="O851" s="47" t="inlineStr">
        <is>
          <t xml:space="preserve"> руб / шт с НДС</t>
        </is>
      </c>
      <c r="P851" s="125">
        <f>ROUND(K851,2)</f>
        <v/>
      </c>
      <c r="Q851" s="207">
        <f>CONCATENATE(N851,P851,O851,)</f>
        <v/>
      </c>
      <c r="R851" s="240" t="n"/>
      <c r="T851" s="241" t="n"/>
      <c r="U851" s="240" t="n"/>
      <c r="V851" s="241" t="n"/>
      <c r="Z851" s="240" t="n"/>
      <c r="AB851" s="241" t="n"/>
      <c r="AC851" s="240" t="n"/>
      <c r="AD851" s="241" t="n"/>
      <c r="AE851" t="n">
        <v>1.04</v>
      </c>
    </row>
    <row r="852">
      <c r="A852" s="232" t="n">
        <v>172</v>
      </c>
      <c r="B852" s="42" t="n">
        <v>172</v>
      </c>
      <c r="C852" s="118">
        <f>INDIRECT("'Закуп'!A" &amp; B852)</f>
        <v/>
      </c>
      <c r="D852" s="119">
        <f>C852*1.2</f>
        <v/>
      </c>
      <c r="E852" s="224">
        <f>INDIRECT("'Закуп'!D" &amp; A852)</f>
        <v/>
      </c>
      <c r="F852" s="231">
        <f>INDIRECT("'Закуп'!E" &amp; B852)</f>
        <v/>
      </c>
      <c r="G852" s="172">
        <f>IF(INDIRECT("'Закуп'!L" &amp; B852)="Sale","Sale","")</f>
        <v/>
      </c>
      <c r="H852" s="158">
        <f>IF(INDIRECT("'Закуп'!F" &amp; B852)=0,"",INDIRECT("'Закуп'!F" &amp; B852))</f>
        <v/>
      </c>
      <c r="I852" s="120" t="n">
        <v>50</v>
      </c>
      <c r="J852" s="121">
        <f>K852/1.2</f>
        <v/>
      </c>
      <c r="K852" s="242" t="n">
        <v>1.05</v>
      </c>
      <c r="L852" s="122">
        <f>J852-C852-(J852-C852)*0.2</f>
        <v/>
      </c>
      <c r="M852" s="123">
        <f>L852*I852</f>
        <v/>
      </c>
      <c r="N852" s="124" t="inlineStr">
        <is>
          <t xml:space="preserve">50-90 шт - </t>
        </is>
      </c>
      <c r="O852" s="47" t="inlineStr">
        <is>
          <t xml:space="preserve"> руб / шт с НДС</t>
        </is>
      </c>
      <c r="P852" s="125">
        <f>ROUND(K852,2)</f>
        <v/>
      </c>
      <c r="Q852" s="207">
        <f>CONCATENATE(N852,P852,O852,)</f>
        <v/>
      </c>
      <c r="R852" s="235">
        <f>INDIRECT("'Закуп'!k" &amp; A852)</f>
        <v/>
      </c>
      <c r="S852" s="239">
        <f>INDIRECT("'Закуп'!o" &amp; A852)</f>
        <v/>
      </c>
      <c r="T852" s="226">
        <f>INDIRECT("'Закуп'!p" &amp; A852)</f>
        <v/>
      </c>
      <c r="U852" s="235">
        <f>INDIRECT("'Закуп'!v" &amp; A852)</f>
        <v/>
      </c>
      <c r="V852" s="222">
        <f>INDIRECT("'Закуп'!w" &amp; A852)</f>
        <v/>
      </c>
      <c r="W852" s="229">
        <f>INDIRECT("'Закуп'!H" &amp; A852)</f>
        <v/>
      </c>
      <c r="X852" s="237">
        <f>INDIRECT("'Закуп'!g" &amp; A852)</f>
        <v/>
      </c>
      <c r="Y852" s="229">
        <f>INDIRECT("'Закуп'!i" &amp; A852)</f>
        <v/>
      </c>
      <c r="Z852" s="236">
        <f>INDIRECT("'Закуп'!x" &amp; A852)</f>
        <v/>
      </c>
      <c r="AA852" s="237">
        <f>INDIRECT("'Закуп'!y" &amp; A852)</f>
        <v/>
      </c>
      <c r="AB852" s="238">
        <f>INDIRECT("'Закуп'!z" &amp; A852)</f>
        <v/>
      </c>
      <c r="AC852" s="223">
        <f>SUBSTITUTE(INDEX(F:F, ROUNDUP((ROW(A851))/5,0)*5 - 3), "х", "x")</f>
        <v/>
      </c>
      <c r="AD852" s="222">
        <f>SUBSTITUTE(INDEX(F:F, ROUNDUP((ROW(A851))/5,0)*5 - 3), "х", "x") &amp; " - " &amp; SUBSTITUTE(SUBSTITUTE(INDEX(F:F, ROUNDUP((ROW(A851))/5,0)*5 - 3), "х", "*"), "x", "*") &amp; " мм"</f>
        <v/>
      </c>
      <c r="AE852" t="n">
        <v>1.06</v>
      </c>
    </row>
    <row r="853">
      <c r="B853" s="42" t="n">
        <v>172</v>
      </c>
      <c r="C853" s="118">
        <f>INDIRECT("'Закуп'!A" &amp; B853)</f>
        <v/>
      </c>
      <c r="D853" s="119">
        <f>C853*1.2</f>
        <v/>
      </c>
      <c r="G853" s="172">
        <f>IF(INDIRECT("'Закуп'!L" &amp; B853)="Sale","Sale","")</f>
        <v/>
      </c>
      <c r="H853" s="158">
        <f>IF(INDIRECT("'Закуп'!F" &amp; B853)=0,"",INDIRECT("'Закуп'!F" &amp; B853))</f>
        <v/>
      </c>
      <c r="I853" s="120" t="n">
        <v>100</v>
      </c>
      <c r="J853" s="121">
        <f>K853/1.2</f>
        <v/>
      </c>
      <c r="K853" s="242" t="n">
        <v>0.92</v>
      </c>
      <c r="L853" s="122">
        <f>J853-C853-(J853-C853)*0.2</f>
        <v/>
      </c>
      <c r="M853" s="123">
        <f>L853*I853</f>
        <v/>
      </c>
      <c r="N853" s="124" t="inlineStr">
        <is>
          <t xml:space="preserve">100-290 шт - </t>
        </is>
      </c>
      <c r="O853" s="47" t="inlineStr">
        <is>
          <t xml:space="preserve"> руб / шт с НДС</t>
        </is>
      </c>
      <c r="P853" s="125">
        <f>ROUND(K853,2)</f>
        <v/>
      </c>
      <c r="Q853" s="207">
        <f>CONCATENATE(N853,P853,O853,)</f>
        <v/>
      </c>
      <c r="R853" s="240" t="n"/>
      <c r="T853" s="241" t="n"/>
      <c r="U853" s="240" t="n"/>
      <c r="V853" s="241" t="n"/>
      <c r="Z853" s="240" t="n"/>
      <c r="AB853" s="241" t="n"/>
      <c r="AC853" s="240" t="n"/>
      <c r="AD853" s="241" t="n"/>
      <c r="AE853" t="n">
        <v>0.91</v>
      </c>
    </row>
    <row r="854">
      <c r="B854" s="42" t="n">
        <v>172</v>
      </c>
      <c r="C854" s="118">
        <f>INDIRECT("'Закуп'!A" &amp; B854)</f>
        <v/>
      </c>
      <c r="D854" s="119">
        <f>C854*1.2</f>
        <v/>
      </c>
      <c r="G854" s="172">
        <f>IF(INDIRECT("'Закуп'!L" &amp; B854)="Sale","Sale","")</f>
        <v/>
      </c>
      <c r="H854" s="158">
        <f>IF(INDIRECT("'Закуп'!F" &amp; B854)=0,"",INDIRECT("'Закуп'!F" &amp; B854))</f>
        <v/>
      </c>
      <c r="I854" s="120" t="n">
        <v>300</v>
      </c>
      <c r="J854" s="121">
        <f>K854/1.2</f>
        <v/>
      </c>
      <c r="K854" s="242" t="n">
        <v>0.8</v>
      </c>
      <c r="L854" s="122">
        <f>J854-C854-(J854-C854)*0.2</f>
        <v/>
      </c>
      <c r="M854" s="123">
        <f>L854*I854</f>
        <v/>
      </c>
      <c r="N854" s="124" t="inlineStr">
        <is>
          <t xml:space="preserve">300-490 шт - </t>
        </is>
      </c>
      <c r="O854" s="47" t="inlineStr">
        <is>
          <t xml:space="preserve"> руб / шт с НДС</t>
        </is>
      </c>
      <c r="P854" s="125">
        <f>ROUND(K854,2)</f>
        <v/>
      </c>
      <c r="Q854" s="207">
        <f>CONCATENATE(N854,P854,O854,)</f>
        <v/>
      </c>
      <c r="R854" s="240" t="n"/>
      <c r="T854" s="241" t="n"/>
      <c r="U854" s="240" t="n"/>
      <c r="V854" s="241" t="n"/>
      <c r="Z854" s="240" t="n"/>
      <c r="AB854" s="241" t="n"/>
      <c r="AC854" s="240" t="n"/>
      <c r="AD854" s="241" t="n"/>
      <c r="AE854" t="n">
        <v>0.7</v>
      </c>
    </row>
    <row r="855">
      <c r="B855" s="42" t="n">
        <v>172</v>
      </c>
      <c r="C855" s="118">
        <f>INDIRECT("'Закуп'!A" &amp; B855)</f>
        <v/>
      </c>
      <c r="D855" s="119">
        <f>C855*1.2</f>
        <v/>
      </c>
      <c r="G855" s="172">
        <f>IF(INDIRECT("'Закуп'!L" &amp; B855)="Sale","Sale","")</f>
        <v/>
      </c>
      <c r="H855" s="158">
        <f>IF(INDIRECT("'Закуп'!F" &amp; B855)=0,"",INDIRECT("'Закуп'!F" &amp; B855))</f>
        <v/>
      </c>
      <c r="I855" s="120" t="n">
        <v>500</v>
      </c>
      <c r="J855" s="121">
        <f>K855/1.2</f>
        <v/>
      </c>
      <c r="K855" s="242" t="n">
        <v>0.74</v>
      </c>
      <c r="L855" s="122">
        <f>J855-C855-(J855-C855)*0.2</f>
        <v/>
      </c>
      <c r="M855" s="123">
        <f>L855*I855</f>
        <v/>
      </c>
      <c r="N855" s="124" t="inlineStr">
        <is>
          <t xml:space="preserve">500-990 шт - </t>
        </is>
      </c>
      <c r="O855" s="47" t="inlineStr">
        <is>
          <t xml:space="preserve"> руб / шт с НДС</t>
        </is>
      </c>
      <c r="P855" s="125">
        <f>ROUND(K855,2)</f>
        <v/>
      </c>
      <c r="Q855" s="207">
        <f>CONCATENATE(N855,P855,O855,)</f>
        <v/>
      </c>
      <c r="R855" s="240" t="n"/>
      <c r="T855" s="241" t="n"/>
      <c r="U855" s="240" t="n"/>
      <c r="V855" s="241" t="n"/>
      <c r="Z855" s="240" t="n"/>
      <c r="AB855" s="241" t="n"/>
      <c r="AC855" s="240" t="n"/>
      <c r="AD855" s="241" t="n"/>
      <c r="AE855" t="n">
        <v>0.65</v>
      </c>
    </row>
    <row r="856">
      <c r="B856" s="42" t="n">
        <v>172</v>
      </c>
      <c r="C856" s="118">
        <f>INDIRECT("'Закуп'!A" &amp; B856)</f>
        <v/>
      </c>
      <c r="D856" s="119">
        <f>C856*1.2</f>
        <v/>
      </c>
      <c r="G856" s="172">
        <f>IF(INDIRECT("'Закуп'!L" &amp; B856)="Sale","Sale","")</f>
        <v/>
      </c>
      <c r="H856" s="158">
        <f>IF(INDIRECT("'Закуп'!F" &amp; B856)=0,"",INDIRECT("'Закуп'!F" &amp; B856))</f>
        <v/>
      </c>
      <c r="I856" s="120" t="n">
        <v>1000</v>
      </c>
      <c r="J856" s="121">
        <f>K856/1.2</f>
        <v/>
      </c>
      <c r="K856" s="70" t="n">
        <v>0.62</v>
      </c>
      <c r="L856" s="122">
        <f>J856-C856-(J856-C856)*0.2</f>
        <v/>
      </c>
      <c r="M856" s="123">
        <f>L856*I856</f>
        <v/>
      </c>
      <c r="N856" s="124" t="inlineStr">
        <is>
          <t xml:space="preserve">1000 + шт - </t>
        </is>
      </c>
      <c r="O856" s="47" t="inlineStr">
        <is>
          <t xml:space="preserve"> руб / шт с НДС</t>
        </is>
      </c>
      <c r="P856" s="125">
        <f>ROUND(K856,2)</f>
        <v/>
      </c>
      <c r="Q856" s="207">
        <f>CONCATENATE(N856,P856,O856,)</f>
        <v/>
      </c>
      <c r="R856" s="240" t="n"/>
      <c r="T856" s="241" t="n"/>
      <c r="U856" s="240" t="n"/>
      <c r="V856" s="241" t="n"/>
      <c r="Z856" s="240" t="n"/>
      <c r="AB856" s="241" t="n"/>
      <c r="AC856" s="240" t="n"/>
      <c r="AD856" s="241" t="n"/>
    </row>
    <row r="857">
      <c r="A857" s="232" t="n">
        <v>173</v>
      </c>
      <c r="B857" s="42" t="n">
        <v>173</v>
      </c>
      <c r="C857" s="118">
        <f>INDIRECT("'Закуп'!A" &amp; B857)</f>
        <v/>
      </c>
      <c r="D857" s="119">
        <f>C857*1.2</f>
        <v/>
      </c>
      <c r="E857" s="224">
        <f>INDIRECT("'Закуп'!D" &amp; A857)</f>
        <v/>
      </c>
      <c r="F857" s="231">
        <f>INDIRECT("'Закуп'!E" &amp; B857)</f>
        <v/>
      </c>
      <c r="G857" s="172">
        <f>IF(INDIRECT("'Закуп'!L" &amp; B857)="Sale","Sale","")</f>
        <v/>
      </c>
      <c r="H857" s="158">
        <f>IF(INDIRECT("'Закуп'!F" &amp; B857)=0,"",INDIRECT("'Закуп'!F" &amp; B857))</f>
        <v/>
      </c>
      <c r="I857" s="120" t="n">
        <v>50</v>
      </c>
      <c r="J857" s="121">
        <f>K857/1.2</f>
        <v/>
      </c>
      <c r="K857" s="70" t="n">
        <v>1</v>
      </c>
      <c r="L857" s="122">
        <f>J857-C857-(J857-C857)*0.2</f>
        <v/>
      </c>
      <c r="M857" s="123">
        <f>L857*I857</f>
        <v/>
      </c>
      <c r="N857" s="124" t="inlineStr">
        <is>
          <t xml:space="preserve">50-90 шт - </t>
        </is>
      </c>
      <c r="O857" s="47" t="inlineStr">
        <is>
          <t xml:space="preserve"> руб / шт с НДС</t>
        </is>
      </c>
      <c r="P857" s="125">
        <f>ROUND(K857,2)</f>
        <v/>
      </c>
      <c r="Q857" s="207">
        <f>CONCATENATE(N857,P857,O857,)</f>
        <v/>
      </c>
      <c r="R857" s="235">
        <f>INDIRECT("'Закуп'!k" &amp; A857)</f>
        <v/>
      </c>
      <c r="S857" s="239">
        <f>INDIRECT("'Закуп'!o" &amp; A857)</f>
        <v/>
      </c>
      <c r="T857" s="226">
        <f>INDIRECT("'Закуп'!p" &amp; A857)</f>
        <v/>
      </c>
      <c r="U857" s="235">
        <f>INDIRECT("'Закуп'!v" &amp; A857)</f>
        <v/>
      </c>
      <c r="V857" s="222">
        <f>INDIRECT("'Закуп'!w" &amp; A857)</f>
        <v/>
      </c>
      <c r="W857" s="229">
        <f>INDIRECT("'Закуп'!H" &amp; A857)</f>
        <v/>
      </c>
      <c r="X857" s="237">
        <f>INDIRECT("'Закуп'!g" &amp; A857)</f>
        <v/>
      </c>
      <c r="Y857" s="229">
        <f>INDIRECT("'Закуп'!i" &amp; A857)</f>
        <v/>
      </c>
      <c r="Z857" s="236">
        <f>INDIRECT("'Закуп'!x" &amp; A857)</f>
        <v/>
      </c>
      <c r="AA857" s="237">
        <f>INDIRECT("'Закуп'!y" &amp; A857)</f>
        <v/>
      </c>
      <c r="AB857" s="238">
        <f>INDIRECT("'Закуп'!z" &amp; A857)</f>
        <v/>
      </c>
      <c r="AC857" s="223">
        <f>SUBSTITUTE(INDEX(F:F, ROUNDUP((ROW(A856))/5,0)*5 - 3), "х", "x")</f>
        <v/>
      </c>
      <c r="AD857" s="222">
        <f>SUBSTITUTE(INDEX(F:F, ROUNDUP((ROW(A856))/5,0)*5 - 3), "х", "x") &amp; " - " &amp; SUBSTITUTE(SUBSTITUTE(INDEX(F:F, ROUNDUP((ROW(A856))/5,0)*5 - 3), "х", "*"), "x", "*") &amp; " мм"</f>
        <v/>
      </c>
    </row>
    <row r="858">
      <c r="B858" s="42" t="n">
        <v>173</v>
      </c>
      <c r="C858" s="118">
        <f>INDIRECT("'Закуп'!A" &amp; B858)</f>
        <v/>
      </c>
      <c r="D858" s="119">
        <f>C858*1.2</f>
        <v/>
      </c>
      <c r="G858" s="172">
        <f>IF(INDIRECT("'Закуп'!L" &amp; B858)="Sale","Sale","")</f>
        <v/>
      </c>
      <c r="H858" s="158">
        <f>IF(INDIRECT("'Закуп'!F" &amp; B858)=0,"",INDIRECT("'Закуп'!F" &amp; B858))</f>
        <v/>
      </c>
      <c r="I858" s="120" t="n">
        <v>100</v>
      </c>
      <c r="J858" s="121">
        <f>K858/1.2</f>
        <v/>
      </c>
      <c r="K858" s="70" t="n">
        <v>0.9</v>
      </c>
      <c r="L858" s="122">
        <f>J858-C858-(J858-C858)*0.2</f>
        <v/>
      </c>
      <c r="M858" s="123">
        <f>L858*I858</f>
        <v/>
      </c>
      <c r="N858" s="124" t="inlineStr">
        <is>
          <t xml:space="preserve">100-290 шт - </t>
        </is>
      </c>
      <c r="O858" s="47" t="inlineStr">
        <is>
          <t xml:space="preserve"> руб / шт с НДС</t>
        </is>
      </c>
      <c r="P858" s="125">
        <f>ROUND(K858,2)</f>
        <v/>
      </c>
      <c r="Q858" s="207">
        <f>CONCATENATE(N858,P858,O858,)</f>
        <v/>
      </c>
      <c r="R858" s="240" t="n"/>
      <c r="T858" s="241" t="n"/>
      <c r="U858" s="240" t="n"/>
      <c r="V858" s="241" t="n"/>
      <c r="Z858" s="240" t="n"/>
      <c r="AB858" s="241" t="n"/>
      <c r="AC858" s="240" t="n"/>
      <c r="AD858" s="241" t="n"/>
    </row>
    <row r="859">
      <c r="B859" s="42" t="n">
        <v>173</v>
      </c>
      <c r="C859" s="118">
        <f>INDIRECT("'Закуп'!A" &amp; B859)</f>
        <v/>
      </c>
      <c r="D859" s="119">
        <f>C859*1.2</f>
        <v/>
      </c>
      <c r="G859" s="172">
        <f>IF(INDIRECT("'Закуп'!L" &amp; B859)="Sale","Sale","")</f>
        <v/>
      </c>
      <c r="H859" s="158">
        <f>IF(INDIRECT("'Закуп'!F" &amp; B859)=0,"",INDIRECT("'Закуп'!F" &amp; B859))</f>
        <v/>
      </c>
      <c r="I859" s="120" t="n">
        <v>300</v>
      </c>
      <c r="J859" s="121">
        <f>K859/1.2</f>
        <v/>
      </c>
      <c r="K859" s="70" t="n">
        <v>0.8</v>
      </c>
      <c r="L859" s="122">
        <f>J859-C859-(J859-C859)*0.2</f>
        <v/>
      </c>
      <c r="M859" s="123">
        <f>L859*I859</f>
        <v/>
      </c>
      <c r="N859" s="124" t="inlineStr">
        <is>
          <t xml:space="preserve">300-490 шт - </t>
        </is>
      </c>
      <c r="O859" s="47" t="inlineStr">
        <is>
          <t xml:space="preserve"> руб / шт с НДС</t>
        </is>
      </c>
      <c r="P859" s="125">
        <f>ROUND(K859,2)</f>
        <v/>
      </c>
      <c r="Q859" s="207">
        <f>CONCATENATE(N859,P859,O859,)</f>
        <v/>
      </c>
      <c r="R859" s="240" t="n"/>
      <c r="T859" s="241" t="n"/>
      <c r="U859" s="240" t="n"/>
      <c r="V859" s="241" t="n"/>
      <c r="Z859" s="240" t="n"/>
      <c r="AB859" s="241" t="n"/>
      <c r="AC859" s="240" t="n"/>
      <c r="AD859" s="241" t="n"/>
    </row>
    <row r="860">
      <c r="B860" s="42" t="n">
        <v>173</v>
      </c>
      <c r="C860" s="118">
        <f>INDIRECT("'Закуп'!A" &amp; B860)</f>
        <v/>
      </c>
      <c r="D860" s="119">
        <f>C860*1.2</f>
        <v/>
      </c>
      <c r="G860" s="172">
        <f>IF(INDIRECT("'Закуп'!L" &amp; B860)="Sale","Sale","")</f>
        <v/>
      </c>
      <c r="H860" s="158">
        <f>IF(INDIRECT("'Закуп'!F" &amp; B860)=0,"",INDIRECT("'Закуп'!F" &amp; B860))</f>
        <v/>
      </c>
      <c r="I860" s="120" t="n">
        <v>500</v>
      </c>
      <c r="J860" s="121">
        <f>K860/1.2</f>
        <v/>
      </c>
      <c r="K860" s="70" t="n">
        <v>0.7</v>
      </c>
      <c r="L860" s="122">
        <f>J860-C860-(J860-C860)*0.2</f>
        <v/>
      </c>
      <c r="M860" s="123">
        <f>L860*I860</f>
        <v/>
      </c>
      <c r="N860" s="124" t="inlineStr">
        <is>
          <t xml:space="preserve">500-990 шт - </t>
        </is>
      </c>
      <c r="O860" s="47" t="inlineStr">
        <is>
          <t xml:space="preserve"> руб / шт с НДС</t>
        </is>
      </c>
      <c r="P860" s="125">
        <f>ROUND(K860,2)</f>
        <v/>
      </c>
      <c r="Q860" s="207">
        <f>CONCATENATE(N860,P860,O860,)</f>
        <v/>
      </c>
      <c r="R860" s="240" t="n"/>
      <c r="T860" s="241" t="n"/>
      <c r="U860" s="240" t="n"/>
      <c r="V860" s="241" t="n"/>
      <c r="Z860" s="240" t="n"/>
      <c r="AB860" s="241" t="n"/>
      <c r="AC860" s="240" t="n"/>
      <c r="AD860" s="241" t="n"/>
    </row>
    <row r="861">
      <c r="B861" s="42" t="n">
        <v>173</v>
      </c>
      <c r="C861" s="118">
        <f>INDIRECT("'Закуп'!A" &amp; B861)</f>
        <v/>
      </c>
      <c r="D861" s="119">
        <f>C861*1.2</f>
        <v/>
      </c>
      <c r="G861" s="172">
        <f>IF(INDIRECT("'Закуп'!L" &amp; B861)="Sale","Sale","")</f>
        <v/>
      </c>
      <c r="H861" s="158">
        <f>IF(INDIRECT("'Закуп'!F" &amp; B861)=0,"",INDIRECT("'Закуп'!F" &amp; B861))</f>
        <v/>
      </c>
      <c r="I861" s="120" t="n">
        <v>1000</v>
      </c>
      <c r="J861" s="121">
        <f>K861/1.2</f>
        <v/>
      </c>
      <c r="K861" s="70" t="n">
        <v>0.6</v>
      </c>
      <c r="L861" s="122">
        <f>J861-C861-(J861-C861)*0.2</f>
        <v/>
      </c>
      <c r="M861" s="123">
        <f>L861*I861</f>
        <v/>
      </c>
      <c r="N861" s="124" t="inlineStr">
        <is>
          <t xml:space="preserve">1000 + шт - </t>
        </is>
      </c>
      <c r="O861" s="47" t="inlineStr">
        <is>
          <t xml:space="preserve"> руб / шт с НДС</t>
        </is>
      </c>
      <c r="P861" s="125">
        <f>ROUND(K861,2)</f>
        <v/>
      </c>
      <c r="Q861" s="207">
        <f>CONCATENATE(N861,P861,O861,)</f>
        <v/>
      </c>
      <c r="R861" s="240" t="n"/>
      <c r="T861" s="241" t="n"/>
      <c r="U861" s="240" t="n"/>
      <c r="V861" s="241" t="n"/>
      <c r="Z861" s="240" t="n"/>
      <c r="AB861" s="241" t="n"/>
      <c r="AC861" s="240" t="n"/>
      <c r="AD861" s="241" t="n"/>
    </row>
    <row r="862">
      <c r="A862" s="232" t="n">
        <v>174</v>
      </c>
      <c r="B862" s="42" t="n">
        <v>174</v>
      </c>
      <c r="C862" s="118">
        <f>INDIRECT("'Закуп'!A" &amp; B862)</f>
        <v/>
      </c>
      <c r="D862" s="119">
        <f>C862*1.2</f>
        <v/>
      </c>
      <c r="E862" s="224">
        <f>INDIRECT("'Закуп'!D" &amp; A862)</f>
        <v/>
      </c>
      <c r="F862" s="231">
        <f>INDIRECT("'Закуп'!E" &amp; B862)</f>
        <v/>
      </c>
      <c r="G862" s="172">
        <f>IF(INDIRECT("'Закуп'!L" &amp; B862)="Sale","Sale","")</f>
        <v/>
      </c>
      <c r="H862" s="158">
        <f>IF(INDIRECT("'Закуп'!F" &amp; B862)=0,"",INDIRECT("'Закуп'!F" &amp; B862))</f>
        <v/>
      </c>
      <c r="I862" s="120" t="n">
        <v>50</v>
      </c>
      <c r="J862" s="121">
        <f>K862/1.2</f>
        <v/>
      </c>
      <c r="K862" s="242" t="n">
        <v>1.55</v>
      </c>
      <c r="L862" s="122">
        <f>J862-C862-(J862-C862)*0.2</f>
        <v/>
      </c>
      <c r="M862" s="123">
        <f>L862*I862</f>
        <v/>
      </c>
      <c r="N862" s="124" t="inlineStr">
        <is>
          <t xml:space="preserve">50-90 шт - </t>
        </is>
      </c>
      <c r="O862" s="47" t="inlineStr">
        <is>
          <t xml:space="preserve"> руб / шт с НДС</t>
        </is>
      </c>
      <c r="P862" s="125">
        <f>ROUND(K862,2)</f>
        <v/>
      </c>
      <c r="Q862" s="207">
        <f>CONCATENATE(N862,P862,O862,)</f>
        <v/>
      </c>
      <c r="R862" s="235">
        <f>INDIRECT("'Закуп'!k" &amp; A862)</f>
        <v/>
      </c>
      <c r="S862" s="239">
        <f>INDIRECT("'Закуп'!o" &amp; A862)</f>
        <v/>
      </c>
      <c r="T862" s="226">
        <f>INDIRECT("'Закуп'!p" &amp; A862)</f>
        <v/>
      </c>
      <c r="U862" s="235">
        <f>INDIRECT("'Закуп'!v" &amp; A862)</f>
        <v/>
      </c>
      <c r="V862" s="222">
        <f>INDIRECT("'Закуп'!w" &amp; A862)</f>
        <v/>
      </c>
      <c r="W862" s="229">
        <f>INDIRECT("'Закуп'!H" &amp; A862)</f>
        <v/>
      </c>
      <c r="X862" s="237">
        <f>INDIRECT("'Закуп'!g" &amp; A862)</f>
        <v/>
      </c>
      <c r="Y862" s="229">
        <f>INDIRECT("'Закуп'!i" &amp; A862)</f>
        <v/>
      </c>
      <c r="Z862" s="236">
        <f>INDIRECT("'Закуп'!x" &amp; A862)</f>
        <v/>
      </c>
      <c r="AA862" s="237">
        <f>INDIRECT("'Закуп'!y" &amp; A862)</f>
        <v/>
      </c>
      <c r="AB862" s="238">
        <f>INDIRECT("'Закуп'!z" &amp; A862)</f>
        <v/>
      </c>
      <c r="AC862" s="223">
        <f>SUBSTITUTE(INDEX(F:F, ROUNDUP((ROW(A861))/5,0)*5 - 3), "х", "x")</f>
        <v/>
      </c>
      <c r="AD862" s="222">
        <f>SUBSTITUTE(INDEX(F:F, ROUNDUP((ROW(A861))/5,0)*5 - 3), "х", "x") &amp; " - " &amp; SUBSTITUTE(SUBSTITUTE(INDEX(F:F, ROUNDUP((ROW(A861))/5,0)*5 - 3), "х", "*"), "x", "*") &amp; " мм"</f>
        <v/>
      </c>
      <c r="AE862" t="n">
        <v>1.24</v>
      </c>
    </row>
    <row r="863">
      <c r="B863" s="42" t="n">
        <v>174</v>
      </c>
      <c r="C863" s="118">
        <f>INDIRECT("'Закуп'!A" &amp; B863)</f>
        <v/>
      </c>
      <c r="D863" s="119">
        <f>C863*1.2</f>
        <v/>
      </c>
      <c r="G863" s="172">
        <f>IF(INDIRECT("'Закуп'!L" &amp; B863)="Sale","Sale","")</f>
        <v/>
      </c>
      <c r="H863" s="158">
        <f>IF(INDIRECT("'Закуп'!F" &amp; B863)=0,"",INDIRECT("'Закуп'!F" &amp; B863))</f>
        <v/>
      </c>
      <c r="I863" s="120" t="n">
        <v>100</v>
      </c>
      <c r="J863" s="121">
        <f>K863/1.2</f>
        <v/>
      </c>
      <c r="K863" s="242" t="n">
        <v>1.37</v>
      </c>
      <c r="L863" s="122">
        <f>J863-C863-(J863-C863)*0.2</f>
        <v/>
      </c>
      <c r="M863" s="123">
        <f>L863*I863</f>
        <v/>
      </c>
      <c r="N863" s="124" t="inlineStr">
        <is>
          <t xml:space="preserve">100-290 шт - </t>
        </is>
      </c>
      <c r="O863" s="47" t="inlineStr">
        <is>
          <t xml:space="preserve"> руб / шт с НДС</t>
        </is>
      </c>
      <c r="P863" s="125">
        <f>ROUND(K863,2)</f>
        <v/>
      </c>
      <c r="Q863" s="207">
        <f>CONCATENATE(N863,P863,O863,)</f>
        <v/>
      </c>
      <c r="R863" s="240" t="n"/>
      <c r="T863" s="241" t="n"/>
      <c r="U863" s="240" t="n"/>
      <c r="V863" s="241" t="n"/>
      <c r="Z863" s="240" t="n"/>
      <c r="AB863" s="241" t="n"/>
      <c r="AC863" s="240" t="n"/>
      <c r="AD863" s="241" t="n"/>
      <c r="AE863" t="n">
        <v>1.08</v>
      </c>
    </row>
    <row r="864">
      <c r="B864" s="42" t="n">
        <v>174</v>
      </c>
      <c r="C864" s="118">
        <f>INDIRECT("'Закуп'!A" &amp; B864)</f>
        <v/>
      </c>
      <c r="D864" s="119">
        <f>C864*1.2</f>
        <v/>
      </c>
      <c r="G864" s="172">
        <f>IF(INDIRECT("'Закуп'!L" &amp; B864)="Sale","Sale","")</f>
        <v/>
      </c>
      <c r="H864" s="158">
        <f>IF(INDIRECT("'Закуп'!F" &amp; B864)=0,"",INDIRECT("'Закуп'!F" &amp; B864))</f>
        <v/>
      </c>
      <c r="I864" s="120" t="n">
        <v>300</v>
      </c>
      <c r="J864" s="121">
        <f>K864/1.2</f>
        <v/>
      </c>
      <c r="K864" s="242" t="n">
        <v>1.19</v>
      </c>
      <c r="L864" s="122">
        <f>J864-C864-(J864-C864)*0.2</f>
        <v/>
      </c>
      <c r="M864" s="123">
        <f>L864*I864</f>
        <v/>
      </c>
      <c r="N864" s="124" t="inlineStr">
        <is>
          <t xml:space="preserve">300-490 шт - </t>
        </is>
      </c>
      <c r="O864" s="47" t="inlineStr">
        <is>
          <t xml:space="preserve"> руб / шт с НДС</t>
        </is>
      </c>
      <c r="P864" s="125">
        <f>ROUND(K864,2)</f>
        <v/>
      </c>
      <c r="Q864" s="207">
        <f>CONCATENATE(N864,P864,O864,)</f>
        <v/>
      </c>
      <c r="R864" s="240" t="n"/>
      <c r="T864" s="241" t="n"/>
      <c r="U864" s="240" t="n"/>
      <c r="V864" s="241" t="n"/>
      <c r="Z864" s="240" t="n"/>
      <c r="AB864" s="241" t="n"/>
      <c r="AC864" s="240" t="n"/>
      <c r="AD864" s="241" t="n"/>
      <c r="AE864" t="n">
        <v>0.92</v>
      </c>
    </row>
    <row r="865">
      <c r="B865" s="42" t="n">
        <v>174</v>
      </c>
      <c r="C865" s="118">
        <f>INDIRECT("'Закуп'!A" &amp; B865)</f>
        <v/>
      </c>
      <c r="D865" s="119">
        <f>C865*1.2</f>
        <v/>
      </c>
      <c r="G865" s="172">
        <f>IF(INDIRECT("'Закуп'!L" &amp; B865)="Sale","Sale","")</f>
        <v/>
      </c>
      <c r="H865" s="158">
        <f>IF(INDIRECT("'Закуп'!F" &amp; B865)=0,"",INDIRECT("'Закуп'!F" &amp; B865))</f>
        <v/>
      </c>
      <c r="I865" s="120" t="n">
        <v>500</v>
      </c>
      <c r="J865" s="121">
        <f>K865/1.2</f>
        <v/>
      </c>
      <c r="K865" s="242" t="n">
        <v>1.09</v>
      </c>
      <c r="L865" s="122">
        <f>J865-C865-(J865-C865)*0.2</f>
        <v/>
      </c>
      <c r="M865" s="123">
        <f>L865*I865</f>
        <v/>
      </c>
      <c r="N865" s="124" t="inlineStr">
        <is>
          <t xml:space="preserve">500-990 шт - </t>
        </is>
      </c>
      <c r="O865" s="47" t="inlineStr">
        <is>
          <t xml:space="preserve"> руб / шт с НДС</t>
        </is>
      </c>
      <c r="P865" s="125">
        <f>ROUND(K865,2)</f>
        <v/>
      </c>
      <c r="Q865" s="207">
        <f>CONCATENATE(N865,P865,O865,)</f>
        <v/>
      </c>
      <c r="R865" s="240" t="n"/>
      <c r="T865" s="241" t="n"/>
      <c r="U865" s="240" t="n"/>
      <c r="V865" s="241" t="n"/>
      <c r="Z865" s="240" t="n"/>
      <c r="AB865" s="241" t="n"/>
      <c r="AC865" s="240" t="n"/>
      <c r="AD865" s="241" t="n"/>
      <c r="AE865" t="n">
        <v>0.87</v>
      </c>
    </row>
    <row r="866">
      <c r="B866" s="42" t="n">
        <v>174</v>
      </c>
      <c r="C866" s="118">
        <f>INDIRECT("'Закуп'!A" &amp; B866)</f>
        <v/>
      </c>
      <c r="D866" s="119">
        <f>C866*1.2</f>
        <v/>
      </c>
      <c r="G866" s="172">
        <f>IF(INDIRECT("'Закуп'!L" &amp; B866)="Sale","Sale","")</f>
        <v/>
      </c>
      <c r="H866" s="158">
        <f>IF(INDIRECT("'Закуп'!F" &amp; B866)=0,"",INDIRECT("'Закуп'!F" &amp; B866))</f>
        <v/>
      </c>
      <c r="I866" s="120" t="n">
        <v>1000</v>
      </c>
      <c r="J866" s="121">
        <f>K866/1.2</f>
        <v/>
      </c>
      <c r="K866" s="242" t="n">
        <v>0.91</v>
      </c>
      <c r="L866" s="122">
        <f>J866-C866-(J866-C866)*0.2</f>
        <v/>
      </c>
      <c r="M866" s="123">
        <f>L866*I866</f>
        <v/>
      </c>
      <c r="N866" s="124" t="inlineStr">
        <is>
          <t xml:space="preserve">1000 + шт - </t>
        </is>
      </c>
      <c r="O866" s="47" t="inlineStr">
        <is>
          <t xml:space="preserve"> руб / шт с НДС</t>
        </is>
      </c>
      <c r="P866" s="125">
        <f>ROUND(K866,2)</f>
        <v/>
      </c>
      <c r="Q866" s="207">
        <f>CONCATENATE(N866,P866,O866,)</f>
        <v/>
      </c>
      <c r="R866" s="240" t="n"/>
      <c r="T866" s="241" t="n"/>
      <c r="U866" s="240" t="n"/>
      <c r="V866" s="241" t="n"/>
      <c r="Z866" s="240" t="n"/>
      <c r="AB866" s="241" t="n"/>
      <c r="AC866" s="240" t="n"/>
      <c r="AD866" s="241" t="n"/>
      <c r="AE866" t="n">
        <v>0.8</v>
      </c>
    </row>
    <row r="867">
      <c r="A867" s="232" t="n">
        <v>175</v>
      </c>
      <c r="B867" s="42" t="n">
        <v>175</v>
      </c>
      <c r="C867" s="118">
        <f>INDIRECT("'Закуп'!A" &amp; B867)</f>
        <v/>
      </c>
      <c r="D867" s="119">
        <f>C867*1.2</f>
        <v/>
      </c>
      <c r="E867" s="224">
        <f>INDIRECT("'Закуп'!D" &amp; A867)</f>
        <v/>
      </c>
      <c r="F867" s="231">
        <f>INDIRECT("'Закуп'!E" &amp; B867)</f>
        <v/>
      </c>
      <c r="G867" s="172">
        <f>IF(INDIRECT("'Закуп'!L" &amp; B867)="Sale","Sale","")</f>
        <v/>
      </c>
      <c r="H867" s="158">
        <f>IF(INDIRECT("'Закуп'!F" &amp; B867)=0,"",INDIRECT("'Закуп'!F" &amp; B867))</f>
        <v/>
      </c>
      <c r="I867" s="120" t="n">
        <v>50</v>
      </c>
      <c r="J867" s="121">
        <f>K867/1.2</f>
        <v/>
      </c>
      <c r="K867" s="242" t="n">
        <v>1.44</v>
      </c>
      <c r="L867" s="122">
        <f>J867-C867-(J867-C867)*0.2</f>
        <v/>
      </c>
      <c r="M867" s="123">
        <f>L867*I867</f>
        <v/>
      </c>
      <c r="N867" s="124" t="inlineStr">
        <is>
          <t xml:space="preserve">50-90 шт - </t>
        </is>
      </c>
      <c r="O867" s="47" t="inlineStr">
        <is>
          <t xml:space="preserve"> руб / шт с НДС</t>
        </is>
      </c>
      <c r="P867" s="125">
        <f>ROUND(K867,2)</f>
        <v/>
      </c>
      <c r="Q867" s="207">
        <f>CONCATENATE(N867,P867,O867,)</f>
        <v/>
      </c>
      <c r="R867" s="235">
        <f>INDIRECT("'Закуп'!k" &amp; A867)</f>
        <v/>
      </c>
      <c r="S867" s="239">
        <f>INDIRECT("'Закуп'!o" &amp; A867)</f>
        <v/>
      </c>
      <c r="T867" s="226">
        <f>INDIRECT("'Закуп'!p" &amp; A867)</f>
        <v/>
      </c>
      <c r="U867" s="235">
        <f>INDIRECT("'Закуп'!v" &amp; A867)</f>
        <v/>
      </c>
      <c r="V867" s="222">
        <f>INDIRECT("'Закуп'!w" &amp; A867)</f>
        <v/>
      </c>
      <c r="W867" s="229">
        <f>INDIRECT("'Закуп'!H" &amp; A867)</f>
        <v/>
      </c>
      <c r="X867" s="237">
        <f>INDIRECT("'Закуп'!g" &amp; A867)</f>
        <v/>
      </c>
      <c r="Y867" s="229">
        <f>INDIRECT("'Закуп'!i" &amp; A867)</f>
        <v/>
      </c>
      <c r="Z867" s="236">
        <f>INDIRECT("'Закуп'!x" &amp; A867)</f>
        <v/>
      </c>
      <c r="AA867" s="237">
        <f>INDIRECT("'Закуп'!y" &amp; A867)</f>
        <v/>
      </c>
      <c r="AB867" s="238">
        <f>INDIRECT("'Закуп'!z" &amp; A867)</f>
        <v/>
      </c>
      <c r="AC867" s="223">
        <f>SUBSTITUTE(INDEX(F:F, ROUNDUP((ROW(A866))/5,0)*5 - 3), "х", "x")</f>
        <v/>
      </c>
      <c r="AD867" s="222">
        <f>SUBSTITUTE(INDEX(F:F, ROUNDUP((ROW(A866))/5,0)*5 - 3), "х", "x") &amp; " - " &amp; SUBSTITUTE(SUBSTITUTE(INDEX(F:F, ROUNDUP((ROW(A866))/5,0)*5 - 3), "х", "*"), "x", "*") &amp; " мм"</f>
        <v/>
      </c>
      <c r="AE867" t="n">
        <v>2.26</v>
      </c>
    </row>
    <row r="868">
      <c r="B868" s="42" t="n">
        <v>175</v>
      </c>
      <c r="C868" s="118">
        <f>INDIRECT("'Закуп'!A" &amp; B868)</f>
        <v/>
      </c>
      <c r="D868" s="119">
        <f>C868*1.2</f>
        <v/>
      </c>
      <c r="G868" s="172">
        <f>IF(INDIRECT("'Закуп'!L" &amp; B868)="Sale","Sale","")</f>
        <v/>
      </c>
      <c r="H868" s="158">
        <f>IF(INDIRECT("'Закуп'!F" &amp; B868)=0,"",INDIRECT("'Закуп'!F" &amp; B868))</f>
        <v/>
      </c>
      <c r="I868" s="120" t="n">
        <v>100</v>
      </c>
      <c r="J868" s="121">
        <f>K868/1.2</f>
        <v/>
      </c>
      <c r="K868" s="242" t="n">
        <v>1.22</v>
      </c>
      <c r="L868" s="122">
        <f>J868-C868-(J868-C868)*0.2</f>
        <v/>
      </c>
      <c r="M868" s="123">
        <f>L868*I868</f>
        <v/>
      </c>
      <c r="N868" s="124" t="inlineStr">
        <is>
          <t xml:space="preserve">100-290 шт - </t>
        </is>
      </c>
      <c r="O868" s="47" t="inlineStr">
        <is>
          <t xml:space="preserve"> руб / шт с НДС</t>
        </is>
      </c>
      <c r="P868" s="125">
        <f>ROUND(K868,2)</f>
        <v/>
      </c>
      <c r="Q868" s="207">
        <f>CONCATENATE(N868,P868,O868,)</f>
        <v/>
      </c>
      <c r="R868" s="240" t="n"/>
      <c r="T868" s="241" t="n"/>
      <c r="U868" s="240" t="n"/>
      <c r="V868" s="241" t="n"/>
      <c r="Z868" s="240" t="n"/>
      <c r="AB868" s="241" t="n"/>
      <c r="AC868" s="240" t="n"/>
      <c r="AD868" s="241" t="n"/>
      <c r="AE868" t="n">
        <v>2.05</v>
      </c>
    </row>
    <row r="869">
      <c r="B869" s="42" t="n">
        <v>175</v>
      </c>
      <c r="C869" s="118">
        <f>INDIRECT("'Закуп'!A" &amp; B869)</f>
        <v/>
      </c>
      <c r="D869" s="119">
        <f>C869*1.2</f>
        <v/>
      </c>
      <c r="G869" s="172">
        <f>IF(INDIRECT("'Закуп'!L" &amp; B869)="Sale","Sale","")</f>
        <v/>
      </c>
      <c r="H869" s="158">
        <f>IF(INDIRECT("'Закуп'!F" &amp; B869)=0,"",INDIRECT("'Закуп'!F" &amp; B869))</f>
        <v/>
      </c>
      <c r="I869" s="120" t="n">
        <v>300</v>
      </c>
      <c r="J869" s="121">
        <f>K869/1.2</f>
        <v/>
      </c>
      <c r="K869" s="242" t="n">
        <v>1.15</v>
      </c>
      <c r="L869" s="122">
        <f>J869-C869-(J869-C869)*0.2</f>
        <v/>
      </c>
      <c r="M869" s="123">
        <f>L869*I869</f>
        <v/>
      </c>
      <c r="N869" s="124" t="inlineStr">
        <is>
          <t xml:space="preserve">300-490 шт - </t>
        </is>
      </c>
      <c r="O869" s="47" t="inlineStr">
        <is>
          <t xml:space="preserve"> руб / шт с НДС</t>
        </is>
      </c>
      <c r="P869" s="125">
        <f>ROUND(K869,2)</f>
        <v/>
      </c>
      <c r="Q869" s="207">
        <f>CONCATENATE(N869,P869,O869,)</f>
        <v/>
      </c>
      <c r="R869" s="240" t="n"/>
      <c r="T869" s="241" t="n"/>
      <c r="U869" s="240" t="n"/>
      <c r="V869" s="241" t="n"/>
      <c r="Z869" s="240" t="n"/>
      <c r="AB869" s="241" t="n"/>
      <c r="AC869" s="240" t="n"/>
      <c r="AD869" s="241" t="n"/>
      <c r="AE869" t="n">
        <v>1.61</v>
      </c>
    </row>
    <row r="870">
      <c r="B870" s="42" t="n">
        <v>175</v>
      </c>
      <c r="C870" s="118">
        <f>INDIRECT("'Закуп'!A" &amp; B870)</f>
        <v/>
      </c>
      <c r="D870" s="119">
        <f>C870*1.2</f>
        <v/>
      </c>
      <c r="G870" s="172">
        <f>IF(INDIRECT("'Закуп'!L" &amp; B870)="Sale","Sale","")</f>
        <v/>
      </c>
      <c r="H870" s="158">
        <f>IF(INDIRECT("'Закуп'!F" &amp; B870)=0,"",INDIRECT("'Закуп'!F" &amp; B870))</f>
        <v/>
      </c>
      <c r="I870" s="120" t="n">
        <v>500</v>
      </c>
      <c r="J870" s="121">
        <f>K870/1.2</f>
        <v/>
      </c>
      <c r="K870" s="242" t="n">
        <v>1.09</v>
      </c>
      <c r="L870" s="122">
        <f>J870-C870-(J870-C870)*0.2</f>
        <v/>
      </c>
      <c r="M870" s="123">
        <f>L870*I870</f>
        <v/>
      </c>
      <c r="N870" s="124" t="inlineStr">
        <is>
          <t xml:space="preserve">500-990 шт - </t>
        </is>
      </c>
      <c r="O870" s="47" t="inlineStr">
        <is>
          <t xml:space="preserve"> руб / шт с НДС</t>
        </is>
      </c>
      <c r="P870" s="125">
        <f>ROUND(K870,2)</f>
        <v/>
      </c>
      <c r="Q870" s="207">
        <f>CONCATENATE(N870,P870,O870,)</f>
        <v/>
      </c>
      <c r="R870" s="240" t="n"/>
      <c r="T870" s="241" t="n"/>
      <c r="U870" s="240" t="n"/>
      <c r="V870" s="241" t="n"/>
      <c r="Z870" s="240" t="n"/>
      <c r="AB870" s="241" t="n"/>
      <c r="AC870" s="240" t="n"/>
      <c r="AD870" s="241" t="n"/>
      <c r="AE870" t="n">
        <v>1.39</v>
      </c>
    </row>
    <row r="871">
      <c r="B871" s="42" t="n">
        <v>175</v>
      </c>
      <c r="C871" s="118">
        <f>INDIRECT("'Закуп'!A" &amp; B871)</f>
        <v/>
      </c>
      <c r="D871" s="119">
        <f>C871*1.2</f>
        <v/>
      </c>
      <c r="G871" s="172">
        <f>IF(INDIRECT("'Закуп'!L" &amp; B871)="Sale","Sale","")</f>
        <v/>
      </c>
      <c r="H871" s="158">
        <f>IF(INDIRECT("'Закуп'!F" &amp; B871)=0,"",INDIRECT("'Закуп'!F" &amp; B871))</f>
        <v/>
      </c>
      <c r="I871" s="120" t="n">
        <v>1000</v>
      </c>
      <c r="J871" s="121">
        <f>K871/1.2</f>
        <v/>
      </c>
      <c r="K871" s="242" t="n">
        <v>1.05</v>
      </c>
      <c r="L871" s="122">
        <f>J871-C871-(J871-C871)*0.2</f>
        <v/>
      </c>
      <c r="M871" s="123">
        <f>L871*I871</f>
        <v/>
      </c>
      <c r="N871" s="124" t="inlineStr">
        <is>
          <t xml:space="preserve">1000 + шт - </t>
        </is>
      </c>
      <c r="O871" s="47" t="inlineStr">
        <is>
          <t xml:space="preserve"> руб / шт с НДС</t>
        </is>
      </c>
      <c r="P871" s="125">
        <f>ROUND(K871,2)</f>
        <v/>
      </c>
      <c r="Q871" s="207">
        <f>CONCATENATE(N871,P871,O871,)</f>
        <v/>
      </c>
      <c r="R871" s="240" t="n"/>
      <c r="T871" s="241" t="n"/>
      <c r="U871" s="240" t="n"/>
      <c r="V871" s="241" t="n"/>
      <c r="Z871" s="240" t="n"/>
      <c r="AB871" s="241" t="n"/>
      <c r="AC871" s="240" t="n"/>
      <c r="AD871" s="241" t="n"/>
      <c r="AE871" t="n">
        <v>1.29</v>
      </c>
    </row>
    <row r="872">
      <c r="A872" s="232" t="n">
        <v>176</v>
      </c>
      <c r="B872" s="42" t="n">
        <v>176</v>
      </c>
      <c r="C872" s="118">
        <f>INDIRECT("'Закуп'!A" &amp; B872)</f>
        <v/>
      </c>
      <c r="D872" s="119">
        <f>C872*1.2</f>
        <v/>
      </c>
      <c r="E872" s="224">
        <f>INDIRECT("'Закуп'!D" &amp; A872)</f>
        <v/>
      </c>
      <c r="F872" s="231">
        <f>INDIRECT("'Закуп'!E" &amp; B872)</f>
        <v/>
      </c>
      <c r="G872" s="172">
        <f>IF(INDIRECT("'Закуп'!L" &amp; B872)="Sale","Sale","")</f>
        <v/>
      </c>
      <c r="H872" s="158">
        <f>IF(INDIRECT("'Закуп'!F" &amp; B872)=0,"",INDIRECT("'Закуп'!F" &amp; B872))</f>
        <v/>
      </c>
      <c r="I872" s="120" t="n">
        <v>50</v>
      </c>
      <c r="J872" s="121">
        <f>K872/1.2</f>
        <v/>
      </c>
      <c r="K872" s="70" t="n">
        <v>1.13</v>
      </c>
      <c r="L872" s="122">
        <f>J872-C872-(J872-C872)*0.2</f>
        <v/>
      </c>
      <c r="M872" s="123">
        <f>L872*I872</f>
        <v/>
      </c>
      <c r="N872" s="124" t="inlineStr">
        <is>
          <t xml:space="preserve">50-90 шт - </t>
        </is>
      </c>
      <c r="O872" s="47" t="inlineStr">
        <is>
          <t xml:space="preserve"> руб / шт с НДС</t>
        </is>
      </c>
      <c r="P872" s="125">
        <f>ROUND(K872,2)</f>
        <v/>
      </c>
      <c r="Q872" s="207">
        <f>CONCATENATE(N872,P872,O872,)</f>
        <v/>
      </c>
      <c r="R872" s="235">
        <f>INDIRECT("'Закуп'!k" &amp; A872)</f>
        <v/>
      </c>
      <c r="S872" s="239">
        <f>INDIRECT("'Закуп'!o" &amp; A872)</f>
        <v/>
      </c>
      <c r="T872" s="226">
        <f>INDIRECT("'Закуп'!p" &amp; A872)</f>
        <v/>
      </c>
      <c r="U872" s="235">
        <f>INDIRECT("'Закуп'!v" &amp; A872)</f>
        <v/>
      </c>
      <c r="V872" s="222">
        <f>INDIRECT("'Закуп'!w" &amp; A872)</f>
        <v/>
      </c>
      <c r="W872" s="229">
        <f>INDIRECT("'Закуп'!H" &amp; A872)</f>
        <v/>
      </c>
      <c r="X872" s="237">
        <f>INDIRECT("'Закуп'!g" &amp; A872)</f>
        <v/>
      </c>
      <c r="Y872" s="229">
        <f>INDIRECT("'Закуп'!i" &amp; A872)</f>
        <v/>
      </c>
      <c r="Z872" s="236">
        <f>INDIRECT("'Закуп'!x" &amp; A872)</f>
        <v/>
      </c>
      <c r="AA872" s="237">
        <f>INDIRECT("'Закуп'!y" &amp; A872)</f>
        <v/>
      </c>
      <c r="AB872" s="238">
        <f>INDIRECT("'Закуп'!z" &amp; A872)</f>
        <v/>
      </c>
      <c r="AC872" s="223">
        <f>SUBSTITUTE(INDEX(F:F, ROUNDUP((ROW(A871))/5,0)*5 - 3), "х", "x")</f>
        <v/>
      </c>
      <c r="AD872" s="222">
        <f>SUBSTITUTE(INDEX(F:F, ROUNDUP((ROW(A871))/5,0)*5 - 3), "х", "x") &amp; " - " &amp; SUBSTITUTE(SUBSTITUTE(INDEX(F:F, ROUNDUP((ROW(A871))/5,0)*5 - 3), "х", "*"), "x", "*") &amp; " мм"</f>
        <v/>
      </c>
    </row>
    <row r="873">
      <c r="B873" s="42" t="n">
        <v>176</v>
      </c>
      <c r="C873" s="118">
        <f>INDIRECT("'Закуп'!A" &amp; B873)</f>
        <v/>
      </c>
      <c r="D873" s="119">
        <f>C873*1.2</f>
        <v/>
      </c>
      <c r="G873" s="172">
        <f>IF(INDIRECT("'Закуп'!L" &amp; B873)="Sale","Sale","")</f>
        <v/>
      </c>
      <c r="H873" s="158">
        <f>IF(INDIRECT("'Закуп'!F" &amp; B873)=0,"",INDIRECT("'Закуп'!F" &amp; B873))</f>
        <v/>
      </c>
      <c r="I873" s="120" t="n">
        <v>100</v>
      </c>
      <c r="J873" s="121">
        <f>K873/1.2</f>
        <v/>
      </c>
      <c r="K873" s="70" t="n">
        <v>0.9399999999999999</v>
      </c>
      <c r="L873" s="122">
        <f>J873-C873-(J873-C873)*0.2</f>
        <v/>
      </c>
      <c r="M873" s="123">
        <f>L873*I873</f>
        <v/>
      </c>
      <c r="N873" s="124" t="inlineStr">
        <is>
          <t xml:space="preserve">100-290 шт - </t>
        </is>
      </c>
      <c r="O873" s="47" t="inlineStr">
        <is>
          <t xml:space="preserve"> руб / шт с НДС</t>
        </is>
      </c>
      <c r="P873" s="125">
        <f>ROUND(K873,2)</f>
        <v/>
      </c>
      <c r="Q873" s="207">
        <f>CONCATENATE(N873,P873,O873,)</f>
        <v/>
      </c>
      <c r="R873" s="240" t="n"/>
      <c r="T873" s="241" t="n"/>
      <c r="U873" s="240" t="n"/>
      <c r="V873" s="241" t="n"/>
      <c r="Z873" s="240" t="n"/>
      <c r="AB873" s="241" t="n"/>
      <c r="AC873" s="240" t="n"/>
      <c r="AD873" s="241" t="n"/>
    </row>
    <row r="874">
      <c r="B874" s="42" t="n">
        <v>176</v>
      </c>
      <c r="C874" s="118">
        <f>INDIRECT("'Закуп'!A" &amp; B874)</f>
        <v/>
      </c>
      <c r="D874" s="119">
        <f>C874*1.2</f>
        <v/>
      </c>
      <c r="G874" s="172">
        <f>IF(INDIRECT("'Закуп'!L" &amp; B874)="Sale","Sale","")</f>
        <v/>
      </c>
      <c r="H874" s="158">
        <f>IF(INDIRECT("'Закуп'!F" &amp; B874)=0,"",INDIRECT("'Закуп'!F" &amp; B874))</f>
        <v/>
      </c>
      <c r="I874" s="120" t="n">
        <v>300</v>
      </c>
      <c r="J874" s="121">
        <f>K874/1.2</f>
        <v/>
      </c>
      <c r="K874" s="70" t="n">
        <v>0.77</v>
      </c>
      <c r="L874" s="122">
        <f>J874-C874-(J874-C874)*0.2</f>
        <v/>
      </c>
      <c r="M874" s="123">
        <f>L874*I874</f>
        <v/>
      </c>
      <c r="N874" s="124" t="inlineStr">
        <is>
          <t xml:space="preserve">300-490 шт - </t>
        </is>
      </c>
      <c r="O874" s="47" t="inlineStr">
        <is>
          <t xml:space="preserve"> руб / шт с НДС</t>
        </is>
      </c>
      <c r="P874" s="125">
        <f>ROUND(K874,2)</f>
        <v/>
      </c>
      <c r="Q874" s="207">
        <f>CONCATENATE(N874,P874,O874,)</f>
        <v/>
      </c>
      <c r="R874" s="240" t="n"/>
      <c r="T874" s="241" t="n"/>
      <c r="U874" s="240" t="n"/>
      <c r="V874" s="241" t="n"/>
      <c r="Z874" s="240" t="n"/>
      <c r="AB874" s="241" t="n"/>
      <c r="AC874" s="240" t="n"/>
      <c r="AD874" s="241" t="n"/>
    </row>
    <row r="875">
      <c r="B875" s="42" t="n">
        <v>176</v>
      </c>
      <c r="C875" s="118">
        <f>INDIRECT("'Закуп'!A" &amp; B875)</f>
        <v/>
      </c>
      <c r="D875" s="119">
        <f>C875*1.2</f>
        <v/>
      </c>
      <c r="G875" s="172">
        <f>IF(INDIRECT("'Закуп'!L" &amp; B875)="Sale","Sale","")</f>
        <v/>
      </c>
      <c r="H875" s="158">
        <f>IF(INDIRECT("'Закуп'!F" &amp; B875)=0,"",INDIRECT("'Закуп'!F" &amp; B875))</f>
        <v/>
      </c>
      <c r="I875" s="120" t="n">
        <v>500</v>
      </c>
      <c r="J875" s="121">
        <f>K875/1.2</f>
        <v/>
      </c>
      <c r="K875" s="70" t="n">
        <v>0.72</v>
      </c>
      <c r="L875" s="122">
        <f>J875-C875-(J875-C875)*0.2</f>
        <v/>
      </c>
      <c r="M875" s="123">
        <f>L875*I875</f>
        <v/>
      </c>
      <c r="N875" s="124" t="inlineStr">
        <is>
          <t xml:space="preserve">500-990 шт - </t>
        </is>
      </c>
      <c r="O875" s="47" t="inlineStr">
        <is>
          <t xml:space="preserve"> руб / шт с НДС</t>
        </is>
      </c>
      <c r="P875" s="125">
        <f>ROUND(K875,2)</f>
        <v/>
      </c>
      <c r="Q875" s="207">
        <f>CONCATENATE(N875,P875,O875,)</f>
        <v/>
      </c>
      <c r="R875" s="240" t="n"/>
      <c r="T875" s="241" t="n"/>
      <c r="U875" s="240" t="n"/>
      <c r="V875" s="241" t="n"/>
      <c r="Z875" s="240" t="n"/>
      <c r="AB875" s="241" t="n"/>
      <c r="AC875" s="240" t="n"/>
      <c r="AD875" s="241" t="n"/>
    </row>
    <row r="876">
      <c r="B876" s="42" t="n">
        <v>176</v>
      </c>
      <c r="C876" s="118">
        <f>INDIRECT("'Закуп'!A" &amp; B876)</f>
        <v/>
      </c>
      <c r="D876" s="119">
        <f>C876*1.2</f>
        <v/>
      </c>
      <c r="G876" s="172">
        <f>IF(INDIRECT("'Закуп'!L" &amp; B876)="Sale","Sale","")</f>
        <v/>
      </c>
      <c r="H876" s="158">
        <f>IF(INDIRECT("'Закуп'!F" &amp; B876)=0,"",INDIRECT("'Закуп'!F" &amp; B876))</f>
        <v/>
      </c>
      <c r="I876" s="120" t="n">
        <v>1000</v>
      </c>
      <c r="J876" s="121">
        <f>K876/1.2</f>
        <v/>
      </c>
      <c r="K876" s="70" t="n">
        <v>0.68</v>
      </c>
      <c r="L876" s="122">
        <f>J876-C876-(J876-C876)*0.2</f>
        <v/>
      </c>
      <c r="M876" s="123">
        <f>L876*I876</f>
        <v/>
      </c>
      <c r="N876" s="124" t="inlineStr">
        <is>
          <t xml:space="preserve">1000 + шт - </t>
        </is>
      </c>
      <c r="O876" s="47" t="inlineStr">
        <is>
          <t xml:space="preserve"> руб / шт с НДС</t>
        </is>
      </c>
      <c r="P876" s="125">
        <f>ROUND(K876,2)</f>
        <v/>
      </c>
      <c r="Q876" s="207">
        <f>CONCATENATE(N876,P876,O876,)</f>
        <v/>
      </c>
      <c r="R876" s="240" t="n"/>
      <c r="T876" s="241" t="n"/>
      <c r="U876" s="240" t="n"/>
      <c r="V876" s="241" t="n"/>
      <c r="Z876" s="240" t="n"/>
      <c r="AB876" s="241" t="n"/>
      <c r="AC876" s="240" t="n"/>
      <c r="AD876" s="241" t="n"/>
    </row>
    <row r="877">
      <c r="A877" s="232" t="n">
        <v>177</v>
      </c>
      <c r="B877" s="42" t="n">
        <v>177</v>
      </c>
      <c r="C877" s="118">
        <f>INDIRECT("'Закуп'!A" &amp; B877)</f>
        <v/>
      </c>
      <c r="D877" s="119">
        <f>C877*1.2</f>
        <v/>
      </c>
      <c r="E877" s="224">
        <f>INDIRECT("'Закуп'!D" &amp; A877)</f>
        <v/>
      </c>
      <c r="F877" s="231">
        <f>INDIRECT("'Закуп'!E" &amp; B877)</f>
        <v/>
      </c>
      <c r="G877" s="172">
        <f>IF(INDIRECT("'Закуп'!L" &amp; B877)="Sale","Sale","")</f>
        <v/>
      </c>
      <c r="H877" s="158">
        <f>IF(INDIRECT("'Закуп'!F" &amp; B877)=0,"",INDIRECT("'Закуп'!F" &amp; B877))</f>
        <v/>
      </c>
      <c r="I877" s="120" t="n">
        <v>50</v>
      </c>
      <c r="J877" s="121">
        <f>K877/1.2</f>
        <v/>
      </c>
      <c r="K877" s="70" t="n">
        <v>1.81</v>
      </c>
      <c r="L877" s="122">
        <f>J877-C877-(J877-C877)*0.2</f>
        <v/>
      </c>
      <c r="M877" s="123">
        <f>L877*I877</f>
        <v/>
      </c>
      <c r="N877" s="124" t="inlineStr">
        <is>
          <t xml:space="preserve">50-90 шт - </t>
        </is>
      </c>
      <c r="O877" s="47" t="inlineStr">
        <is>
          <t xml:space="preserve"> руб / шт с НДС</t>
        </is>
      </c>
      <c r="P877" s="125">
        <f>ROUND(K877,2)</f>
        <v/>
      </c>
      <c r="Q877" s="207">
        <f>CONCATENATE(N877,P877,O877,)</f>
        <v/>
      </c>
      <c r="R877" s="235">
        <f>INDIRECT("'Закуп'!k" &amp; A877)</f>
        <v/>
      </c>
      <c r="S877" s="239">
        <f>INDIRECT("'Закуп'!o" &amp; A877)</f>
        <v/>
      </c>
      <c r="T877" s="226">
        <f>INDIRECT("'Закуп'!p" &amp; A877)</f>
        <v/>
      </c>
      <c r="U877" s="235">
        <f>INDIRECT("'Закуп'!v" &amp; A877)</f>
        <v/>
      </c>
      <c r="V877" s="222">
        <f>INDIRECT("'Закуп'!w" &amp; A877)</f>
        <v/>
      </c>
      <c r="W877" s="229">
        <f>INDIRECT("'Закуп'!H" &amp; A877)</f>
        <v/>
      </c>
      <c r="X877" s="237">
        <f>INDIRECT("'Закуп'!g" &amp; A877)</f>
        <v/>
      </c>
      <c r="Y877" s="229">
        <f>INDIRECT("'Закуп'!i" &amp; A877)</f>
        <v/>
      </c>
      <c r="Z877" s="236">
        <f>INDIRECT("'Закуп'!x" &amp; A877)</f>
        <v/>
      </c>
      <c r="AA877" s="237">
        <f>INDIRECT("'Закуп'!y" &amp; A877)</f>
        <v/>
      </c>
      <c r="AB877" s="238">
        <f>INDIRECT("'Закуп'!z" &amp; A877)</f>
        <v/>
      </c>
      <c r="AC877" s="223">
        <f>SUBSTITUTE(INDEX(F:F, ROUNDUP((ROW(A876))/5,0)*5 - 3), "х", "x")</f>
        <v/>
      </c>
      <c r="AD877" s="222">
        <f>SUBSTITUTE(INDEX(F:F, ROUNDUP((ROW(A876))/5,0)*5 - 3), "х", "x") &amp; " - " &amp; SUBSTITUTE(SUBSTITUTE(INDEX(F:F, ROUNDUP((ROW(A876))/5,0)*5 - 3), "х", "*"), "x", "*") &amp; " мм"</f>
        <v/>
      </c>
    </row>
    <row r="878">
      <c r="B878" s="42" t="n">
        <v>177</v>
      </c>
      <c r="C878" s="118">
        <f>INDIRECT("'Закуп'!A" &amp; B878)</f>
        <v/>
      </c>
      <c r="D878" s="119">
        <f>C878*1.2</f>
        <v/>
      </c>
      <c r="G878" s="172">
        <f>IF(INDIRECT("'Закуп'!L" &amp; B878)="Sale","Sale","")</f>
        <v/>
      </c>
      <c r="H878" s="158">
        <f>IF(INDIRECT("'Закуп'!F" &amp; B878)=0,"",INDIRECT("'Закуп'!F" &amp; B878))</f>
        <v/>
      </c>
      <c r="I878" s="120" t="n">
        <v>100</v>
      </c>
      <c r="J878" s="121">
        <f>K878/1.2</f>
        <v/>
      </c>
      <c r="K878" s="70" t="n">
        <v>1.65</v>
      </c>
      <c r="L878" s="122">
        <f>J878-C878-(J878-C878)*0.2</f>
        <v/>
      </c>
      <c r="M878" s="123">
        <f>L878*I878</f>
        <v/>
      </c>
      <c r="N878" s="124" t="inlineStr">
        <is>
          <t xml:space="preserve">100-290 шт - </t>
        </is>
      </c>
      <c r="O878" s="47" t="inlineStr">
        <is>
          <t xml:space="preserve"> руб / шт с НДС</t>
        </is>
      </c>
      <c r="P878" s="125">
        <f>ROUND(K878,2)</f>
        <v/>
      </c>
      <c r="Q878" s="207">
        <f>CONCATENATE(N878,P878,O878,)</f>
        <v/>
      </c>
      <c r="R878" s="240" t="n"/>
      <c r="T878" s="241" t="n"/>
      <c r="U878" s="240" t="n"/>
      <c r="V878" s="241" t="n"/>
      <c r="Z878" s="240" t="n"/>
      <c r="AB878" s="241" t="n"/>
      <c r="AC878" s="240" t="n"/>
      <c r="AD878" s="241" t="n"/>
    </row>
    <row r="879">
      <c r="B879" s="42" t="n">
        <v>177</v>
      </c>
      <c r="C879" s="118">
        <f>INDIRECT("'Закуп'!A" &amp; B879)</f>
        <v/>
      </c>
      <c r="D879" s="119">
        <f>C879*1.2</f>
        <v/>
      </c>
      <c r="G879" s="172">
        <f>IF(INDIRECT("'Закуп'!L" &amp; B879)="Sale","Sale","")</f>
        <v/>
      </c>
      <c r="H879" s="158">
        <f>IF(INDIRECT("'Закуп'!F" &amp; B879)=0,"",INDIRECT("'Закуп'!F" &amp; B879))</f>
        <v/>
      </c>
      <c r="I879" s="120" t="n">
        <v>300</v>
      </c>
      <c r="J879" s="121">
        <f>K879/1.2</f>
        <v/>
      </c>
      <c r="K879" s="70" t="n">
        <v>1.5</v>
      </c>
      <c r="L879" s="122">
        <f>J879-C879-(J879-C879)*0.2</f>
        <v/>
      </c>
      <c r="M879" s="123">
        <f>L879*I879</f>
        <v/>
      </c>
      <c r="N879" s="124" t="inlineStr">
        <is>
          <t xml:space="preserve">300-490 шт - </t>
        </is>
      </c>
      <c r="O879" s="47" t="inlineStr">
        <is>
          <t xml:space="preserve"> руб / шт с НДС</t>
        </is>
      </c>
      <c r="P879" s="125">
        <f>ROUND(K879,2)</f>
        <v/>
      </c>
      <c r="Q879" s="207">
        <f>CONCATENATE(N879,P879,O879,)</f>
        <v/>
      </c>
      <c r="R879" s="240" t="n"/>
      <c r="T879" s="241" t="n"/>
      <c r="U879" s="240" t="n"/>
      <c r="V879" s="241" t="n"/>
      <c r="Z879" s="240" t="n"/>
      <c r="AB879" s="241" t="n"/>
      <c r="AC879" s="240" t="n"/>
      <c r="AD879" s="241" t="n"/>
    </row>
    <row r="880">
      <c r="B880" s="42" t="n">
        <v>177</v>
      </c>
      <c r="C880" s="118">
        <f>INDIRECT("'Закуп'!A" &amp; B880)</f>
        <v/>
      </c>
      <c r="D880" s="119">
        <f>C880*1.2</f>
        <v/>
      </c>
      <c r="G880" s="172">
        <f>IF(INDIRECT("'Закуп'!L" &amp; B880)="Sale","Sale","")</f>
        <v/>
      </c>
      <c r="H880" s="158">
        <f>IF(INDIRECT("'Закуп'!F" &amp; B880)=0,"",INDIRECT("'Закуп'!F" &amp; B880))</f>
        <v/>
      </c>
      <c r="I880" s="120" t="n">
        <v>500</v>
      </c>
      <c r="J880" s="121">
        <f>K880/1.2</f>
        <v/>
      </c>
      <c r="K880" s="70" t="n">
        <v>1.39</v>
      </c>
      <c r="L880" s="122">
        <f>J880-C880-(J880-C880)*0.2</f>
        <v/>
      </c>
      <c r="M880" s="123">
        <f>L880*I880</f>
        <v/>
      </c>
      <c r="N880" s="124" t="inlineStr">
        <is>
          <t xml:space="preserve">500-990 шт - </t>
        </is>
      </c>
      <c r="O880" s="47" t="inlineStr">
        <is>
          <t xml:space="preserve"> руб / шт с НДС</t>
        </is>
      </c>
      <c r="P880" s="125">
        <f>ROUND(K880,2)</f>
        <v/>
      </c>
      <c r="Q880" s="207">
        <f>CONCATENATE(N880,P880,O880,)</f>
        <v/>
      </c>
      <c r="R880" s="240" t="n"/>
      <c r="T880" s="241" t="n"/>
      <c r="U880" s="240" t="n"/>
      <c r="V880" s="241" t="n"/>
      <c r="Z880" s="240" t="n"/>
      <c r="AB880" s="241" t="n"/>
      <c r="AC880" s="240" t="n"/>
      <c r="AD880" s="241" t="n"/>
    </row>
    <row r="881">
      <c r="B881" s="42" t="n">
        <v>177</v>
      </c>
      <c r="C881" s="118">
        <f>INDIRECT("'Закуп'!A" &amp; B881)</f>
        <v/>
      </c>
      <c r="D881" s="119">
        <f>C881*1.2</f>
        <v/>
      </c>
      <c r="G881" s="172">
        <f>IF(INDIRECT("'Закуп'!L" &amp; B881)="Sale","Sale","")</f>
        <v/>
      </c>
      <c r="H881" s="158">
        <f>IF(INDIRECT("'Закуп'!F" &amp; B881)=0,"",INDIRECT("'Закуп'!F" &amp; B881))</f>
        <v/>
      </c>
      <c r="I881" s="120" t="n">
        <v>1000</v>
      </c>
      <c r="J881" s="121">
        <f>K881/1.2</f>
        <v/>
      </c>
      <c r="K881" s="70" t="n">
        <v>1.23</v>
      </c>
      <c r="L881" s="122">
        <f>J881-C881-(J881-C881)*0.2</f>
        <v/>
      </c>
      <c r="M881" s="123">
        <f>L881*I881</f>
        <v/>
      </c>
      <c r="N881" s="124" t="inlineStr">
        <is>
          <t xml:space="preserve">1000 + шт - </t>
        </is>
      </c>
      <c r="O881" s="47" t="inlineStr">
        <is>
          <t xml:space="preserve"> руб / шт с НДС</t>
        </is>
      </c>
      <c r="P881" s="125">
        <f>ROUND(K881,2)</f>
        <v/>
      </c>
      <c r="Q881" s="207">
        <f>CONCATENATE(N881,P881,O881,)</f>
        <v/>
      </c>
      <c r="R881" s="240" t="n"/>
      <c r="T881" s="241" t="n"/>
      <c r="U881" s="240" t="n"/>
      <c r="V881" s="241" t="n"/>
      <c r="Z881" s="240" t="n"/>
      <c r="AB881" s="241" t="n"/>
      <c r="AC881" s="240" t="n"/>
      <c r="AD881" s="241" t="n"/>
    </row>
    <row r="882">
      <c r="A882" s="232" t="n">
        <v>178</v>
      </c>
      <c r="B882" s="42" t="n">
        <v>178</v>
      </c>
      <c r="C882" s="118">
        <f>INDIRECT("'Закуп'!A" &amp; B882)</f>
        <v/>
      </c>
      <c r="D882" s="119">
        <f>C882*1.2</f>
        <v/>
      </c>
      <c r="E882" s="224">
        <f>INDIRECT("'Закуп'!D" &amp; A882)</f>
        <v/>
      </c>
      <c r="F882" s="231">
        <f>INDIRECT("'Закуп'!E" &amp; B882)</f>
        <v/>
      </c>
      <c r="G882" s="172">
        <f>IF(INDIRECT("'Закуп'!L" &amp; B882)="Sale","Sale","")</f>
        <v/>
      </c>
      <c r="H882" s="158">
        <f>IF(INDIRECT("'Закуп'!F" &amp; B882)=0,"",INDIRECT("'Закуп'!F" &amp; B882))</f>
        <v/>
      </c>
      <c r="I882" s="120" t="n">
        <v>50</v>
      </c>
      <c r="J882" s="121">
        <f>K882/1.2</f>
        <v/>
      </c>
      <c r="K882" s="70" t="n">
        <v>1.1</v>
      </c>
      <c r="L882" s="122">
        <f>J882-C882-(J882-C882)*0.2</f>
        <v/>
      </c>
      <c r="M882" s="123">
        <f>L882*I882</f>
        <v/>
      </c>
      <c r="N882" s="124" t="inlineStr">
        <is>
          <t xml:space="preserve">50-90 шт - </t>
        </is>
      </c>
      <c r="O882" s="47" t="inlineStr">
        <is>
          <t xml:space="preserve"> руб / шт с НДС</t>
        </is>
      </c>
      <c r="P882" s="125">
        <f>ROUND(K882,2)</f>
        <v/>
      </c>
      <c r="Q882" s="207">
        <f>CONCATENATE(N882,P882,O882,)</f>
        <v/>
      </c>
      <c r="R882" s="235">
        <f>INDIRECT("'Закуп'!k" &amp; A882)</f>
        <v/>
      </c>
      <c r="S882" s="239">
        <f>INDIRECT("'Закуп'!o" &amp; A882)</f>
        <v/>
      </c>
      <c r="T882" s="226">
        <f>INDIRECT("'Закуп'!p" &amp; A882)</f>
        <v/>
      </c>
      <c r="U882" s="235">
        <f>INDIRECT("'Закуп'!v" &amp; A882)</f>
        <v/>
      </c>
      <c r="V882" s="222">
        <f>INDIRECT("'Закуп'!w" &amp; A882)</f>
        <v/>
      </c>
      <c r="W882" s="229">
        <f>INDIRECT("'Закуп'!H" &amp; A882)</f>
        <v/>
      </c>
      <c r="X882" s="237">
        <f>INDIRECT("'Закуп'!g" &amp; A882)</f>
        <v/>
      </c>
      <c r="Y882" s="229">
        <f>INDIRECT("'Закуп'!i" &amp; A882)</f>
        <v/>
      </c>
      <c r="Z882" s="236">
        <f>INDIRECT("'Закуп'!x" &amp; A882)</f>
        <v/>
      </c>
      <c r="AA882" s="237">
        <f>INDIRECT("'Закуп'!y" &amp; A882)</f>
        <v/>
      </c>
      <c r="AB882" s="238">
        <f>INDIRECT("'Закуп'!z" &amp; A882)</f>
        <v/>
      </c>
      <c r="AC882" s="223">
        <f>SUBSTITUTE(INDEX(F:F, ROUNDUP((ROW(A881))/5,0)*5 - 3), "х", "x")</f>
        <v/>
      </c>
      <c r="AD882" s="222">
        <f>SUBSTITUTE(INDEX(F:F, ROUNDUP((ROW(A881))/5,0)*5 - 3), "х", "x") &amp; " - " &amp; SUBSTITUTE(SUBSTITUTE(INDEX(F:F, ROUNDUP((ROW(A881))/5,0)*5 - 3), "х", "*"), "x", "*") &amp; " мм"</f>
        <v/>
      </c>
    </row>
    <row r="883">
      <c r="B883" s="42" t="n">
        <v>178</v>
      </c>
      <c r="C883" s="118">
        <f>INDIRECT("'Закуп'!A" &amp; B883)</f>
        <v/>
      </c>
      <c r="D883" s="119">
        <f>C883*1.2</f>
        <v/>
      </c>
      <c r="G883" s="172">
        <f>IF(INDIRECT("'Закуп'!L" &amp; B883)="Sale","Sale","")</f>
        <v/>
      </c>
      <c r="H883" s="158">
        <f>IF(INDIRECT("'Закуп'!F" &amp; B883)=0,"",INDIRECT("'Закуп'!F" &amp; B883))</f>
        <v/>
      </c>
      <c r="I883" s="120" t="n">
        <v>100</v>
      </c>
      <c r="J883" s="121">
        <f>K883/1.2</f>
        <v/>
      </c>
      <c r="K883" s="70" t="n">
        <v>0.92</v>
      </c>
      <c r="L883" s="122">
        <f>J883-C883-(J883-C883)*0.2</f>
        <v/>
      </c>
      <c r="M883" s="123">
        <f>L883*I883</f>
        <v/>
      </c>
      <c r="N883" s="124" t="inlineStr">
        <is>
          <t xml:space="preserve">100-290 шт - </t>
        </is>
      </c>
      <c r="O883" s="47" t="inlineStr">
        <is>
          <t xml:space="preserve"> руб / шт с НДС</t>
        </is>
      </c>
      <c r="P883" s="125">
        <f>ROUND(K883,2)</f>
        <v/>
      </c>
      <c r="Q883" s="207">
        <f>CONCATENATE(N883,P883,O883,)</f>
        <v/>
      </c>
      <c r="R883" s="240" t="n"/>
      <c r="T883" s="241" t="n"/>
      <c r="U883" s="240" t="n"/>
      <c r="V883" s="241" t="n"/>
      <c r="Z883" s="240" t="n"/>
      <c r="AB883" s="241" t="n"/>
      <c r="AC883" s="240" t="n"/>
      <c r="AD883" s="241" t="n"/>
    </row>
    <row r="884">
      <c r="B884" s="42" t="n">
        <v>178</v>
      </c>
      <c r="C884" s="118">
        <f>INDIRECT("'Закуп'!A" &amp; B884)</f>
        <v/>
      </c>
      <c r="D884" s="119">
        <f>C884*1.2</f>
        <v/>
      </c>
      <c r="G884" s="172">
        <f>IF(INDIRECT("'Закуп'!L" &amp; B884)="Sale","Sale","")</f>
        <v/>
      </c>
      <c r="H884" s="158">
        <f>IF(INDIRECT("'Закуп'!F" &amp; B884)=0,"",INDIRECT("'Закуп'!F" &amp; B884))</f>
        <v/>
      </c>
      <c r="I884" s="120" t="n">
        <v>300</v>
      </c>
      <c r="J884" s="121">
        <f>K884/1.2</f>
        <v/>
      </c>
      <c r="K884" s="70" t="n">
        <v>0.75</v>
      </c>
      <c r="L884" s="122">
        <f>J884-C884-(J884-C884)*0.2</f>
        <v/>
      </c>
      <c r="M884" s="123">
        <f>L884*I884</f>
        <v/>
      </c>
      <c r="N884" s="124" t="inlineStr">
        <is>
          <t xml:space="preserve">300-490 шт - </t>
        </is>
      </c>
      <c r="O884" s="47" t="inlineStr">
        <is>
          <t xml:space="preserve"> руб / шт с НДС</t>
        </is>
      </c>
      <c r="P884" s="125">
        <f>ROUND(K884,2)</f>
        <v/>
      </c>
      <c r="Q884" s="207">
        <f>CONCATENATE(N884,P884,O884,)</f>
        <v/>
      </c>
      <c r="R884" s="240" t="n"/>
      <c r="T884" s="241" t="n"/>
      <c r="U884" s="240" t="n"/>
      <c r="V884" s="241" t="n"/>
      <c r="Z884" s="240" t="n"/>
      <c r="AB884" s="241" t="n"/>
      <c r="AC884" s="240" t="n"/>
      <c r="AD884" s="241" t="n"/>
    </row>
    <row r="885">
      <c r="B885" s="42" t="n">
        <v>178</v>
      </c>
      <c r="C885" s="118">
        <f>INDIRECT("'Закуп'!A" &amp; B885)</f>
        <v/>
      </c>
      <c r="D885" s="119">
        <f>C885*1.2</f>
        <v/>
      </c>
      <c r="G885" s="172">
        <f>IF(INDIRECT("'Закуп'!L" &amp; B885)="Sale","Sale","")</f>
        <v/>
      </c>
      <c r="H885" s="158">
        <f>IF(INDIRECT("'Закуп'!F" &amp; B885)=0,"",INDIRECT("'Закуп'!F" &amp; B885))</f>
        <v/>
      </c>
      <c r="I885" s="120" t="n">
        <v>500</v>
      </c>
      <c r="J885" s="121">
        <f>K885/1.2</f>
        <v/>
      </c>
      <c r="K885" s="70" t="n">
        <v>0.71</v>
      </c>
      <c r="L885" s="122">
        <f>J885-C885-(J885-C885)*0.2</f>
        <v/>
      </c>
      <c r="M885" s="123">
        <f>L885*I885</f>
        <v/>
      </c>
      <c r="N885" s="124" t="inlineStr">
        <is>
          <t xml:space="preserve">500-990 шт - </t>
        </is>
      </c>
      <c r="O885" s="47" t="inlineStr">
        <is>
          <t xml:space="preserve"> руб / шт с НДС</t>
        </is>
      </c>
      <c r="P885" s="125">
        <f>ROUND(K885,2)</f>
        <v/>
      </c>
      <c r="Q885" s="207">
        <f>CONCATENATE(N885,P885,O885,)</f>
        <v/>
      </c>
      <c r="R885" s="240" t="n"/>
      <c r="T885" s="241" t="n"/>
      <c r="U885" s="240" t="n"/>
      <c r="V885" s="241" t="n"/>
      <c r="Z885" s="240" t="n"/>
      <c r="AB885" s="241" t="n"/>
      <c r="AC885" s="240" t="n"/>
      <c r="AD885" s="241" t="n"/>
    </row>
    <row r="886">
      <c r="B886" s="42" t="n">
        <v>178</v>
      </c>
      <c r="C886" s="118">
        <f>INDIRECT("'Закуп'!A" &amp; B886)</f>
        <v/>
      </c>
      <c r="D886" s="119">
        <f>C886*1.2</f>
        <v/>
      </c>
      <c r="G886" s="172">
        <f>IF(INDIRECT("'Закуп'!L" &amp; B886)="Sale","Sale","")</f>
        <v/>
      </c>
      <c r="H886" s="158">
        <f>IF(INDIRECT("'Закуп'!F" &amp; B886)=0,"",INDIRECT("'Закуп'!F" &amp; B886))</f>
        <v/>
      </c>
      <c r="I886" s="120" t="n">
        <v>1000</v>
      </c>
      <c r="J886" s="121">
        <f>K886/1.2</f>
        <v/>
      </c>
      <c r="K886" s="70" t="n">
        <v>0.66</v>
      </c>
      <c r="L886" s="122">
        <f>J886-C886-(J886-C886)*0.2</f>
        <v/>
      </c>
      <c r="M886" s="123">
        <f>L886*I886</f>
        <v/>
      </c>
      <c r="N886" s="124" t="inlineStr">
        <is>
          <t xml:space="preserve">1000 + шт - </t>
        </is>
      </c>
      <c r="O886" s="47" t="inlineStr">
        <is>
          <t xml:space="preserve"> руб / шт с НДС</t>
        </is>
      </c>
      <c r="P886" s="125">
        <f>ROUND(K886,2)</f>
        <v/>
      </c>
      <c r="Q886" s="207">
        <f>CONCATENATE(N886,P886,O886,)</f>
        <v/>
      </c>
      <c r="R886" s="240" t="n"/>
      <c r="T886" s="241" t="n"/>
      <c r="U886" s="240" t="n"/>
      <c r="V886" s="241" t="n"/>
      <c r="Z886" s="240" t="n"/>
      <c r="AB886" s="241" t="n"/>
      <c r="AC886" s="240" t="n"/>
      <c r="AD886" s="241" t="n"/>
    </row>
    <row r="887">
      <c r="A887" s="232" t="n">
        <v>179</v>
      </c>
      <c r="B887" s="42" t="n">
        <v>179</v>
      </c>
      <c r="C887" s="118">
        <f>INDIRECT("'Закуп'!A" &amp; B887)</f>
        <v/>
      </c>
      <c r="D887" s="119">
        <f>C887*1.2</f>
        <v/>
      </c>
      <c r="E887" s="224">
        <f>INDIRECT("'Закуп'!D" &amp; A887)</f>
        <v/>
      </c>
      <c r="F887" s="231">
        <f>INDIRECT("'Закуп'!E" &amp; B887)</f>
        <v/>
      </c>
      <c r="G887" s="172">
        <f>IF(INDIRECT("'Закуп'!L" &amp; B887)="Sale","Sale","")</f>
        <v/>
      </c>
      <c r="H887" s="158">
        <f>IF(INDIRECT("'Закуп'!F" &amp; B887)=0,"",INDIRECT("'Закуп'!F" &amp; B887))</f>
        <v/>
      </c>
      <c r="I887" s="120" t="n">
        <v>50</v>
      </c>
      <c r="J887" s="121">
        <f>K887/1.2</f>
        <v/>
      </c>
      <c r="K887" s="242" t="n">
        <v>1.84</v>
      </c>
      <c r="L887" s="122">
        <f>J887-C887-(J887-C887)*0.2</f>
        <v/>
      </c>
      <c r="M887" s="123">
        <f>L887*I887</f>
        <v/>
      </c>
      <c r="N887" s="124" t="inlineStr">
        <is>
          <t xml:space="preserve">50-90 шт - </t>
        </is>
      </c>
      <c r="O887" s="47" t="inlineStr">
        <is>
          <t xml:space="preserve"> руб / шт с НДС</t>
        </is>
      </c>
      <c r="P887" s="125">
        <f>ROUND(K887,2)</f>
        <v/>
      </c>
      <c r="Q887" s="207">
        <f>CONCATENATE(N887,P887,O887,)</f>
        <v/>
      </c>
      <c r="R887" s="235">
        <f>INDIRECT("'Закуп'!k" &amp; A887)</f>
        <v/>
      </c>
      <c r="S887" s="239">
        <f>INDIRECT("'Закуп'!o" &amp; A887)</f>
        <v/>
      </c>
      <c r="T887" s="226">
        <f>INDIRECT("'Закуп'!p" &amp; A887)</f>
        <v/>
      </c>
      <c r="U887" s="235">
        <f>INDIRECT("'Закуп'!v" &amp; A887)</f>
        <v/>
      </c>
      <c r="V887" s="222">
        <f>INDIRECT("'Закуп'!w" &amp; A887)</f>
        <v/>
      </c>
      <c r="W887" s="229">
        <f>INDIRECT("'Закуп'!H" &amp; A887)</f>
        <v/>
      </c>
      <c r="X887" s="237">
        <f>INDIRECT("'Закуп'!g" &amp; A887)</f>
        <v/>
      </c>
      <c r="Y887" s="229">
        <f>INDIRECT("'Закуп'!i" &amp; A887)</f>
        <v/>
      </c>
      <c r="Z887" s="236">
        <f>INDIRECT("'Закуп'!x" &amp; A887)</f>
        <v/>
      </c>
      <c r="AA887" s="237">
        <f>INDIRECT("'Закуп'!y" &amp; A887)</f>
        <v/>
      </c>
      <c r="AB887" s="238">
        <f>INDIRECT("'Закуп'!z" &amp; A887)</f>
        <v/>
      </c>
      <c r="AC887" s="223">
        <f>SUBSTITUTE(INDEX(F:F, ROUNDUP((ROW(A886))/5,0)*5 - 3), "х", "x")</f>
        <v/>
      </c>
      <c r="AD887" s="222">
        <f>SUBSTITUTE(INDEX(F:F, ROUNDUP((ROW(A886))/5,0)*5 - 3), "х", "x") &amp; " - " &amp; SUBSTITUTE(SUBSTITUTE(INDEX(F:F, ROUNDUP((ROW(A886))/5,0)*5 - 3), "х", "*"), "x", "*") &amp; " мм"</f>
        <v/>
      </c>
      <c r="AE887" t="n">
        <v>1.5</v>
      </c>
    </row>
    <row r="888">
      <c r="B888" s="42" t="n">
        <v>179</v>
      </c>
      <c r="C888" s="118">
        <f>INDIRECT("'Закуп'!A" &amp; B888)</f>
        <v/>
      </c>
      <c r="D888" s="119">
        <f>C888*1.2</f>
        <v/>
      </c>
      <c r="G888" s="172">
        <f>IF(INDIRECT("'Закуп'!L" &amp; B888)="Sale","Sale","")</f>
        <v/>
      </c>
      <c r="H888" s="158">
        <f>IF(INDIRECT("'Закуп'!F" &amp; B888)=0,"",INDIRECT("'Закуп'!F" &amp; B888))</f>
        <v/>
      </c>
      <c r="I888" s="120" t="n">
        <v>100</v>
      </c>
      <c r="J888" s="121">
        <f>K888/1.2</f>
        <v/>
      </c>
      <c r="K888" s="242" t="n">
        <v>1.62</v>
      </c>
      <c r="L888" s="122">
        <f>J888-C888-(J888-C888)*0.2</f>
        <v/>
      </c>
      <c r="M888" s="123">
        <f>L888*I888</f>
        <v/>
      </c>
      <c r="N888" s="124" t="inlineStr">
        <is>
          <t xml:space="preserve">100-290 шт - </t>
        </is>
      </c>
      <c r="O888" s="47" t="inlineStr">
        <is>
          <t xml:space="preserve"> руб / шт с НДС</t>
        </is>
      </c>
      <c r="P888" s="125">
        <f>ROUND(K888,2)</f>
        <v/>
      </c>
      <c r="Q888" s="207">
        <f>CONCATENATE(N888,P888,O888,)</f>
        <v/>
      </c>
      <c r="R888" s="240" t="n"/>
      <c r="T888" s="241" t="n"/>
      <c r="U888" s="240" t="n"/>
      <c r="V888" s="241" t="n"/>
      <c r="Z888" s="240" t="n"/>
      <c r="AB888" s="241" t="n"/>
      <c r="AC888" s="240" t="n"/>
      <c r="AD888" s="241" t="n"/>
      <c r="AE888" t="n">
        <v>1.36</v>
      </c>
    </row>
    <row r="889">
      <c r="B889" s="42" t="n">
        <v>179</v>
      </c>
      <c r="C889" s="118">
        <f>INDIRECT("'Закуп'!A" &amp; B889)</f>
        <v/>
      </c>
      <c r="D889" s="119">
        <f>C889*1.2</f>
        <v/>
      </c>
      <c r="G889" s="172">
        <f>IF(INDIRECT("'Закуп'!L" &amp; B889)="Sale","Sale","")</f>
        <v/>
      </c>
      <c r="H889" s="158">
        <f>IF(INDIRECT("'Закуп'!F" &amp; B889)=0,"",INDIRECT("'Закуп'!F" &amp; B889))</f>
        <v/>
      </c>
      <c r="I889" s="120" t="n">
        <v>300</v>
      </c>
      <c r="J889" s="121">
        <f>K889/1.2</f>
        <v/>
      </c>
      <c r="K889" s="242" t="n">
        <v>1.41</v>
      </c>
      <c r="L889" s="122">
        <f>J889-C889-(J889-C889)*0.2</f>
        <v/>
      </c>
      <c r="M889" s="123">
        <f>L889*I889</f>
        <v/>
      </c>
      <c r="N889" s="124" t="inlineStr">
        <is>
          <t xml:space="preserve">300-490 шт - </t>
        </is>
      </c>
      <c r="O889" s="47" t="inlineStr">
        <is>
          <t xml:space="preserve"> руб / шт с НДС</t>
        </is>
      </c>
      <c r="P889" s="125">
        <f>ROUND(K889,2)</f>
        <v/>
      </c>
      <c r="Q889" s="207">
        <f>CONCATENATE(N889,P889,O889,)</f>
        <v/>
      </c>
      <c r="R889" s="240" t="n"/>
      <c r="T889" s="241" t="n"/>
      <c r="U889" s="240" t="n"/>
      <c r="V889" s="241" t="n"/>
      <c r="Z889" s="240" t="n"/>
      <c r="AB889" s="241" t="n"/>
      <c r="AC889" s="240" t="n"/>
      <c r="AD889" s="241" t="n"/>
      <c r="AE889" t="n">
        <v>1.07</v>
      </c>
    </row>
    <row r="890">
      <c r="B890" s="42" t="n">
        <v>179</v>
      </c>
      <c r="C890" s="118">
        <f>INDIRECT("'Закуп'!A" &amp; B890)</f>
        <v/>
      </c>
      <c r="D890" s="119">
        <f>C890*1.2</f>
        <v/>
      </c>
      <c r="G890" s="172">
        <f>IF(INDIRECT("'Закуп'!L" &amp; B890)="Sale","Sale","")</f>
        <v/>
      </c>
      <c r="H890" s="158">
        <f>IF(INDIRECT("'Закуп'!F" &amp; B890)=0,"",INDIRECT("'Закуп'!F" &amp; B890))</f>
        <v/>
      </c>
      <c r="I890" s="120" t="n">
        <v>500</v>
      </c>
      <c r="J890" s="121">
        <f>K890/1.2</f>
        <v/>
      </c>
      <c r="K890" s="242" t="n">
        <v>1.3</v>
      </c>
      <c r="L890" s="122">
        <f>J890-C890-(J890-C890)*0.2</f>
        <v/>
      </c>
      <c r="M890" s="123">
        <f>L890*I890</f>
        <v/>
      </c>
      <c r="N890" s="124" t="inlineStr">
        <is>
          <t xml:space="preserve">500-990 шт - </t>
        </is>
      </c>
      <c r="O890" s="47" t="inlineStr">
        <is>
          <t xml:space="preserve"> руб / шт с НДС</t>
        </is>
      </c>
      <c r="P890" s="125">
        <f>ROUND(K890,2)</f>
        <v/>
      </c>
      <c r="Q890" s="207">
        <f>CONCATENATE(N890,P890,O890,)</f>
        <v/>
      </c>
      <c r="R890" s="240" t="n"/>
      <c r="T890" s="241" t="n"/>
      <c r="U890" s="240" t="n"/>
      <c r="V890" s="241" t="n"/>
      <c r="Z890" s="240" t="n"/>
      <c r="AB890" s="241" t="n"/>
      <c r="AC890" s="240" t="n"/>
      <c r="AD890" s="241" t="n"/>
      <c r="AE890" t="n">
        <v>1.01</v>
      </c>
    </row>
    <row r="891">
      <c r="B891" s="42" t="n">
        <v>179</v>
      </c>
      <c r="C891" s="118">
        <f>INDIRECT("'Закуп'!A" &amp; B891)</f>
        <v/>
      </c>
      <c r="D891" s="119">
        <f>C891*1.2</f>
        <v/>
      </c>
      <c r="G891" s="172">
        <f>IF(INDIRECT("'Закуп'!L" &amp; B891)="Sale","Sale","")</f>
        <v/>
      </c>
      <c r="H891" s="158">
        <f>IF(INDIRECT("'Закуп'!F" &amp; B891)=0,"",INDIRECT("'Закуп'!F" &amp; B891))</f>
        <v/>
      </c>
      <c r="I891" s="120" t="n">
        <v>1000</v>
      </c>
      <c r="J891" s="121">
        <f>K891/1.2</f>
        <v/>
      </c>
      <c r="K891" s="242" t="n">
        <v>1.08</v>
      </c>
      <c r="L891" s="122">
        <f>J891-C891-(J891-C891)*0.2</f>
        <v/>
      </c>
      <c r="M891" s="123">
        <f>L891*I891</f>
        <v/>
      </c>
      <c r="N891" s="124" t="inlineStr">
        <is>
          <t xml:space="preserve">1000 + шт - </t>
        </is>
      </c>
      <c r="O891" s="47" t="inlineStr">
        <is>
          <t xml:space="preserve"> руб / шт с НДС</t>
        </is>
      </c>
      <c r="P891" s="125">
        <f>ROUND(K891,2)</f>
        <v/>
      </c>
      <c r="Q891" s="207">
        <f>CONCATENATE(N891,P891,O891,)</f>
        <v/>
      </c>
      <c r="R891" s="240" t="n"/>
      <c r="T891" s="241" t="n"/>
      <c r="U891" s="240" t="n"/>
      <c r="V891" s="241" t="n"/>
      <c r="Z891" s="240" t="n"/>
      <c r="AB891" s="241" t="n"/>
      <c r="AC891" s="240" t="n"/>
      <c r="AD891" s="241" t="n"/>
      <c r="AE891" t="n">
        <v>0.95</v>
      </c>
    </row>
    <row r="892">
      <c r="A892" s="232" t="n">
        <v>180</v>
      </c>
      <c r="B892" s="42" t="n">
        <v>180</v>
      </c>
      <c r="C892" s="118">
        <f>INDIRECT("'Закуп'!A" &amp; B892)</f>
        <v/>
      </c>
      <c r="D892" s="119">
        <f>C892*1.2</f>
        <v/>
      </c>
      <c r="E892" s="224">
        <f>INDIRECT("'Закуп'!D" &amp; A892)</f>
        <v/>
      </c>
      <c r="F892" s="231">
        <f>INDIRECT("'Закуп'!E" &amp; B892)</f>
        <v/>
      </c>
      <c r="G892" s="172">
        <f>IF(INDIRECT("'Закуп'!L" &amp; B892)="Sale","Sale","")</f>
        <v/>
      </c>
      <c r="H892" s="158">
        <f>IF(INDIRECT("'Закуп'!F" &amp; B892)=0,"",INDIRECT("'Закуп'!F" &amp; B892))</f>
        <v/>
      </c>
      <c r="I892" s="120" t="n">
        <v>50</v>
      </c>
      <c r="J892" s="121">
        <f>K892/1.2</f>
        <v/>
      </c>
      <c r="K892" s="242" t="n">
        <v>1.55</v>
      </c>
      <c r="L892" s="122">
        <f>J892-C892-(J892-C892)*0.2</f>
        <v/>
      </c>
      <c r="M892" s="123">
        <f>L892*I892</f>
        <v/>
      </c>
      <c r="N892" s="124" t="inlineStr">
        <is>
          <t xml:space="preserve">50-90 шт - </t>
        </is>
      </c>
      <c r="O892" s="47" t="inlineStr">
        <is>
          <t xml:space="preserve"> руб / шт с НДС</t>
        </is>
      </c>
      <c r="P892" s="125">
        <f>ROUND(K892,2)</f>
        <v/>
      </c>
      <c r="Q892" s="207">
        <f>CONCATENATE(N892,P892,O892,)</f>
        <v/>
      </c>
      <c r="R892" s="235">
        <f>INDIRECT("'Закуп'!k" &amp; A892)</f>
        <v/>
      </c>
      <c r="S892" s="239">
        <f>INDIRECT("'Закуп'!o" &amp; A892)</f>
        <v/>
      </c>
      <c r="T892" s="226">
        <f>INDIRECT("'Закуп'!p" &amp; A892)</f>
        <v/>
      </c>
      <c r="U892" s="235">
        <f>INDIRECT("'Закуп'!v" &amp; A892)</f>
        <v/>
      </c>
      <c r="V892" s="222">
        <f>INDIRECT("'Закуп'!w" &amp; A892)</f>
        <v/>
      </c>
      <c r="W892" s="229">
        <f>INDIRECT("'Закуп'!H" &amp; A892)</f>
        <v/>
      </c>
      <c r="X892" s="237">
        <f>INDIRECT("'Закуп'!g" &amp; A892)</f>
        <v/>
      </c>
      <c r="Y892" s="229">
        <f>INDIRECT("'Закуп'!i" &amp; A892)</f>
        <v/>
      </c>
      <c r="Z892" s="236">
        <f>INDIRECT("'Закуп'!x" &amp; A892)</f>
        <v/>
      </c>
      <c r="AA892" s="237">
        <f>INDIRECT("'Закуп'!y" &amp; A892)</f>
        <v/>
      </c>
      <c r="AB892" s="238">
        <f>INDIRECT("'Закуп'!z" &amp; A892)</f>
        <v/>
      </c>
      <c r="AC892" s="223">
        <f>SUBSTITUTE(INDEX(F:F, ROUNDUP((ROW(A891))/5,0)*5 - 3), "х", "x")</f>
        <v/>
      </c>
      <c r="AD892" s="222">
        <f>SUBSTITUTE(INDEX(F:F, ROUNDUP((ROW(A891))/5,0)*5 - 3), "х", "x") &amp; " - " &amp; SUBSTITUTE(SUBSTITUTE(INDEX(F:F, ROUNDUP((ROW(A891))/5,0)*5 - 3), "х", "*"), "x", "*") &amp; " мм"</f>
        <v/>
      </c>
      <c r="AE892" t="n">
        <v>1.27</v>
      </c>
    </row>
    <row r="893">
      <c r="B893" s="42" t="n">
        <v>180</v>
      </c>
      <c r="C893" s="118">
        <f>INDIRECT("'Закуп'!A" &amp; B893)</f>
        <v/>
      </c>
      <c r="D893" s="119">
        <f>C893*1.2</f>
        <v/>
      </c>
      <c r="G893" s="172">
        <f>IF(INDIRECT("'Закуп'!L" &amp; B893)="Sale","Sale","")</f>
        <v/>
      </c>
      <c r="H893" s="158">
        <f>IF(INDIRECT("'Закуп'!F" &amp; B893)=0,"",INDIRECT("'Закуп'!F" &amp; B893))</f>
        <v/>
      </c>
      <c r="I893" s="120" t="n">
        <v>100</v>
      </c>
      <c r="J893" s="121">
        <f>K893/1.2</f>
        <v/>
      </c>
      <c r="K893" s="242" t="n">
        <v>1.36</v>
      </c>
      <c r="L893" s="122">
        <f>J893-C893-(J893-C893)*0.2</f>
        <v/>
      </c>
      <c r="M893" s="123">
        <f>L893*I893</f>
        <v/>
      </c>
      <c r="N893" s="124" t="inlineStr">
        <is>
          <t xml:space="preserve">100-290 шт - </t>
        </is>
      </c>
      <c r="O893" s="47" t="inlineStr">
        <is>
          <t xml:space="preserve"> руб / шт с НДС</t>
        </is>
      </c>
      <c r="P893" s="125">
        <f>ROUND(K893,2)</f>
        <v/>
      </c>
      <c r="Q893" s="207">
        <f>CONCATENATE(N893,P893,O893,)</f>
        <v/>
      </c>
      <c r="R893" s="240" t="n"/>
      <c r="T893" s="241" t="n"/>
      <c r="U893" s="240" t="n"/>
      <c r="V893" s="241" t="n"/>
      <c r="Z893" s="240" t="n"/>
      <c r="AB893" s="241" t="n"/>
      <c r="AC893" s="240" t="n"/>
      <c r="AD893" s="241" t="n"/>
      <c r="AE893" t="n">
        <v>1.1</v>
      </c>
    </row>
    <row r="894">
      <c r="B894" s="42" t="n">
        <v>180</v>
      </c>
      <c r="C894" s="118">
        <f>INDIRECT("'Закуп'!A" &amp; B894)</f>
        <v/>
      </c>
      <c r="D894" s="119">
        <f>C894*1.2</f>
        <v/>
      </c>
      <c r="G894" s="172">
        <f>IF(INDIRECT("'Закуп'!L" &amp; B894)="Sale","Sale","")</f>
        <v/>
      </c>
      <c r="H894" s="158">
        <f>IF(INDIRECT("'Закуп'!F" &amp; B894)=0,"",INDIRECT("'Закуп'!F" &amp; B894))</f>
        <v/>
      </c>
      <c r="I894" s="120" t="n">
        <v>300</v>
      </c>
      <c r="J894" s="121">
        <f>K894/1.2</f>
        <v/>
      </c>
      <c r="K894" s="242" t="n">
        <v>1.18</v>
      </c>
      <c r="L894" s="122">
        <f>J894-C894-(J894-C894)*0.2</f>
        <v/>
      </c>
      <c r="M894" s="123">
        <f>L894*I894</f>
        <v/>
      </c>
      <c r="N894" s="124" t="inlineStr">
        <is>
          <t xml:space="preserve">300-490 шт - </t>
        </is>
      </c>
      <c r="O894" s="47" t="inlineStr">
        <is>
          <t xml:space="preserve"> руб / шт с НДС</t>
        </is>
      </c>
      <c r="P894" s="125">
        <f>ROUND(K894,2)</f>
        <v/>
      </c>
      <c r="Q894" s="207">
        <f>CONCATENATE(N894,P894,O894,)</f>
        <v/>
      </c>
      <c r="R894" s="240" t="n"/>
      <c r="T894" s="241" t="n"/>
      <c r="U894" s="240" t="n"/>
      <c r="V894" s="241" t="n"/>
      <c r="Z894" s="240" t="n"/>
      <c r="AB894" s="241" t="n"/>
      <c r="AC894" s="240" t="n"/>
      <c r="AD894" s="241" t="n"/>
      <c r="AE894" t="n">
        <v>0.9399999999999999</v>
      </c>
    </row>
    <row r="895">
      <c r="B895" s="42" t="n">
        <v>180</v>
      </c>
      <c r="C895" s="118">
        <f>INDIRECT("'Закуп'!A" &amp; B895)</f>
        <v/>
      </c>
      <c r="D895" s="119">
        <f>C895*1.2</f>
        <v/>
      </c>
      <c r="G895" s="172">
        <f>IF(INDIRECT("'Закуп'!L" &amp; B895)="Sale","Sale","")</f>
        <v/>
      </c>
      <c r="H895" s="158">
        <f>IF(INDIRECT("'Закуп'!F" &amp; B895)=0,"",INDIRECT("'Закуп'!F" &amp; B895))</f>
        <v/>
      </c>
      <c r="I895" s="120" t="n">
        <v>500</v>
      </c>
      <c r="J895" s="121">
        <f>K895/1.2</f>
        <v/>
      </c>
      <c r="K895" s="242" t="n">
        <v>1.09</v>
      </c>
      <c r="L895" s="122">
        <f>J895-C895-(J895-C895)*0.2</f>
        <v/>
      </c>
      <c r="M895" s="123">
        <f>L895*I895</f>
        <v/>
      </c>
      <c r="N895" s="124" t="inlineStr">
        <is>
          <t xml:space="preserve">500-990 шт - </t>
        </is>
      </c>
      <c r="O895" s="47" t="inlineStr">
        <is>
          <t xml:space="preserve"> руб / шт с НДС</t>
        </is>
      </c>
      <c r="P895" s="125">
        <f>ROUND(K895,2)</f>
        <v/>
      </c>
      <c r="Q895" s="207">
        <f>CONCATENATE(N895,P895,O895,)</f>
        <v/>
      </c>
      <c r="R895" s="240" t="n"/>
      <c r="T895" s="241" t="n"/>
      <c r="U895" s="240" t="n"/>
      <c r="V895" s="241" t="n"/>
      <c r="Z895" s="240" t="n"/>
      <c r="AB895" s="241" t="n"/>
      <c r="AC895" s="240" t="n"/>
      <c r="AD895" s="241" t="n"/>
      <c r="AE895" t="n">
        <v>0.89</v>
      </c>
    </row>
    <row r="896">
      <c r="B896" s="42" t="n">
        <v>180</v>
      </c>
      <c r="C896" s="118">
        <f>INDIRECT("'Закуп'!A" &amp; B896)</f>
        <v/>
      </c>
      <c r="D896" s="119">
        <f>C896*1.2</f>
        <v/>
      </c>
      <c r="G896" s="172">
        <f>IF(INDIRECT("'Закуп'!L" &amp; B896)="Sale","Sale","")</f>
        <v/>
      </c>
      <c r="H896" s="158">
        <f>IF(INDIRECT("'Закуп'!F" &amp; B896)=0,"",INDIRECT("'Закуп'!F" &amp; B896))</f>
        <v/>
      </c>
      <c r="I896" s="120" t="n">
        <v>1000</v>
      </c>
      <c r="J896" s="121">
        <f>K896/1.2</f>
        <v/>
      </c>
      <c r="K896" s="242" t="n">
        <v>0.91</v>
      </c>
      <c r="L896" s="122">
        <f>J896-C896-(J896-C896)*0.2</f>
        <v/>
      </c>
      <c r="M896" s="123">
        <f>L896*I896</f>
        <v/>
      </c>
      <c r="N896" s="124" t="inlineStr">
        <is>
          <t xml:space="preserve">1000 + шт - </t>
        </is>
      </c>
      <c r="O896" s="47" t="inlineStr">
        <is>
          <t xml:space="preserve"> руб / шт с НДС</t>
        </is>
      </c>
      <c r="P896" s="125">
        <f>ROUND(K896,2)</f>
        <v/>
      </c>
      <c r="Q896" s="207">
        <f>CONCATENATE(N896,P896,O896,)</f>
        <v/>
      </c>
      <c r="R896" s="240" t="n"/>
      <c r="T896" s="241" t="n"/>
      <c r="U896" s="240" t="n"/>
      <c r="V896" s="241" t="n"/>
      <c r="Z896" s="240" t="n"/>
      <c r="AB896" s="241" t="n"/>
      <c r="AC896" s="240" t="n"/>
      <c r="AD896" s="241" t="n"/>
      <c r="AE896" t="n">
        <v>0.82</v>
      </c>
    </row>
    <row r="897">
      <c r="A897" s="232" t="n">
        <v>181</v>
      </c>
      <c r="B897" s="42" t="n">
        <v>181</v>
      </c>
      <c r="C897" s="118">
        <f>INDIRECT("'Закуп'!A" &amp; B897)</f>
        <v/>
      </c>
      <c r="D897" s="119">
        <f>C897*1.2</f>
        <v/>
      </c>
      <c r="E897" s="224">
        <f>INDIRECT("'Закуп'!D" &amp; A897)</f>
        <v/>
      </c>
      <c r="F897" s="231">
        <f>INDIRECT("'Закуп'!E" &amp; B897)</f>
        <v/>
      </c>
      <c r="G897" s="172">
        <f>IF(INDIRECT("'Закуп'!L" &amp; B897)="Sale","Sale","")</f>
        <v/>
      </c>
      <c r="H897" s="158">
        <f>IF(INDIRECT("'Закуп'!F" &amp; B897)=0,"",INDIRECT("'Закуп'!F" &amp; B897))</f>
        <v/>
      </c>
      <c r="I897" s="120" t="n">
        <v>50</v>
      </c>
      <c r="J897" s="121">
        <f>K897/1.2</f>
        <v/>
      </c>
      <c r="K897" s="242" t="n">
        <v>2.64</v>
      </c>
      <c r="L897" s="122">
        <f>J897-C897-(J897-C897)*0.2</f>
        <v/>
      </c>
      <c r="M897" s="123">
        <f>L897*I897</f>
        <v/>
      </c>
      <c r="N897" s="124" t="inlineStr">
        <is>
          <t xml:space="preserve">50-90 шт - </t>
        </is>
      </c>
      <c r="O897" s="47" t="inlineStr">
        <is>
          <t xml:space="preserve"> руб / шт с НДС</t>
        </is>
      </c>
      <c r="P897" s="125">
        <f>ROUND(K897,2)</f>
        <v/>
      </c>
      <c r="Q897" s="207">
        <f>CONCATENATE(N897,P897,O897,)</f>
        <v/>
      </c>
      <c r="R897" s="235">
        <f>INDIRECT("'Закуп'!k" &amp; A897)</f>
        <v/>
      </c>
      <c r="S897" s="239">
        <f>INDIRECT("'Закуп'!o" &amp; A897)</f>
        <v/>
      </c>
      <c r="T897" s="226">
        <f>INDIRECT("'Закуп'!p" &amp; A897)</f>
        <v/>
      </c>
      <c r="U897" s="235">
        <f>INDIRECT("'Закуп'!v" &amp; A897)</f>
        <v/>
      </c>
      <c r="V897" s="222">
        <f>INDIRECT("'Закуп'!w" &amp; A897)</f>
        <v/>
      </c>
      <c r="W897" s="229">
        <f>INDIRECT("'Закуп'!H" &amp; A897)</f>
        <v/>
      </c>
      <c r="X897" s="237">
        <f>INDIRECT("'Закуп'!g" &amp; A897)</f>
        <v/>
      </c>
      <c r="Y897" s="229">
        <f>INDIRECT("'Закуп'!i" &amp; A897)</f>
        <v/>
      </c>
      <c r="Z897" s="236">
        <f>INDIRECT("'Закуп'!x" &amp; A897)</f>
        <v/>
      </c>
      <c r="AA897" s="237">
        <f>INDIRECT("'Закуп'!y" &amp; A897)</f>
        <v/>
      </c>
      <c r="AB897" s="238">
        <f>INDIRECT("'Закуп'!z" &amp; A897)</f>
        <v/>
      </c>
      <c r="AC897" s="223">
        <f>SUBSTITUTE(INDEX(F:F, ROUNDUP((ROW(A896))/5,0)*5 - 3), "х", "x")</f>
        <v/>
      </c>
      <c r="AD897" s="222">
        <f>SUBSTITUTE(INDEX(F:F, ROUNDUP((ROW(A896))/5,0)*5 - 3), "х", "x") &amp; " - " &amp; SUBSTITUTE(SUBSTITUTE(INDEX(F:F, ROUNDUP((ROW(A896))/5,0)*5 - 3), "х", "*"), "x", "*") &amp; " мм"</f>
        <v/>
      </c>
      <c r="AE897" t="n">
        <v>2.14</v>
      </c>
    </row>
    <row r="898">
      <c r="B898" s="42" t="n">
        <v>181</v>
      </c>
      <c r="C898" s="118">
        <f>INDIRECT("'Закуп'!A" &amp; B898)</f>
        <v/>
      </c>
      <c r="D898" s="119">
        <f>C898*1.2</f>
        <v/>
      </c>
      <c r="G898" s="172">
        <f>IF(INDIRECT("'Закуп'!L" &amp; B898)="Sale","Sale","")</f>
        <v/>
      </c>
      <c r="H898" s="158">
        <f>IF(INDIRECT("'Закуп'!F" &amp; B898)=0,"",INDIRECT("'Закуп'!F" &amp; B898))</f>
        <v/>
      </c>
      <c r="I898" s="120" t="n">
        <v>100</v>
      </c>
      <c r="J898" s="121">
        <f>K898/1.2</f>
        <v/>
      </c>
      <c r="K898" s="242" t="n">
        <v>2.33</v>
      </c>
      <c r="L898" s="122">
        <f>J898-C898-(J898-C898)*0.2</f>
        <v/>
      </c>
      <c r="M898" s="123">
        <f>L898*I898</f>
        <v/>
      </c>
      <c r="N898" s="124" t="inlineStr">
        <is>
          <t xml:space="preserve">100-290 шт - </t>
        </is>
      </c>
      <c r="O898" s="47" t="inlineStr">
        <is>
          <t xml:space="preserve"> руб / шт с НДС</t>
        </is>
      </c>
      <c r="P898" s="125">
        <f>ROUND(K898,2)</f>
        <v/>
      </c>
      <c r="Q898" s="207">
        <f>CONCATENATE(N898,P898,O898,)</f>
        <v/>
      </c>
      <c r="R898" s="240" t="n"/>
      <c r="T898" s="241" t="n"/>
      <c r="U898" s="240" t="n"/>
      <c r="V898" s="241" t="n"/>
      <c r="Z898" s="240" t="n"/>
      <c r="AB898" s="241" t="n"/>
      <c r="AC898" s="240" t="n"/>
      <c r="AD898" s="241" t="n"/>
      <c r="AE898" t="n">
        <v>1.93</v>
      </c>
    </row>
    <row r="899">
      <c r="B899" s="42" t="n">
        <v>181</v>
      </c>
      <c r="C899" s="118">
        <f>INDIRECT("'Закуп'!A" &amp; B899)</f>
        <v/>
      </c>
      <c r="D899" s="119">
        <f>C899*1.2</f>
        <v/>
      </c>
      <c r="G899" s="172">
        <f>IF(INDIRECT("'Закуп'!L" &amp; B899)="Sale","Sale","")</f>
        <v/>
      </c>
      <c r="H899" s="158">
        <f>IF(INDIRECT("'Закуп'!F" &amp; B899)=0,"",INDIRECT("'Закуп'!F" &amp; B899))</f>
        <v/>
      </c>
      <c r="I899" s="120" t="n">
        <v>300</v>
      </c>
      <c r="J899" s="121">
        <f>K899/1.2</f>
        <v/>
      </c>
      <c r="K899" s="242" t="n">
        <v>2.02</v>
      </c>
      <c r="L899" s="122">
        <f>J899-C899-(J899-C899)*0.2</f>
        <v/>
      </c>
      <c r="M899" s="123">
        <f>L899*I899</f>
        <v/>
      </c>
      <c r="N899" s="124" t="inlineStr">
        <is>
          <t xml:space="preserve">300-490 шт - </t>
        </is>
      </c>
      <c r="O899" s="47" t="inlineStr">
        <is>
          <t xml:space="preserve"> руб / шт с НДС</t>
        </is>
      </c>
      <c r="P899" s="125">
        <f>ROUND(K899,2)</f>
        <v/>
      </c>
      <c r="Q899" s="207">
        <f>CONCATENATE(N899,P899,O899,)</f>
        <v/>
      </c>
      <c r="R899" s="240" t="n"/>
      <c r="T899" s="241" t="n"/>
      <c r="U899" s="240" t="n"/>
      <c r="V899" s="241" t="n"/>
      <c r="Z899" s="240" t="n"/>
      <c r="AB899" s="241" t="n"/>
      <c r="AC899" s="240" t="n"/>
      <c r="AD899" s="241" t="n"/>
      <c r="AE899" t="n">
        <v>1.71</v>
      </c>
    </row>
    <row r="900">
      <c r="B900" s="42" t="n">
        <v>181</v>
      </c>
      <c r="C900" s="118">
        <f>INDIRECT("'Закуп'!A" &amp; B900)</f>
        <v/>
      </c>
      <c r="D900" s="119">
        <f>C900*1.2</f>
        <v/>
      </c>
      <c r="G900" s="172">
        <f>IF(INDIRECT("'Закуп'!L" &amp; B900)="Sale","Sale","")</f>
        <v/>
      </c>
      <c r="H900" s="158">
        <f>IF(INDIRECT("'Закуп'!F" &amp; B900)=0,"",INDIRECT("'Закуп'!F" &amp; B900))</f>
        <v/>
      </c>
      <c r="I900" s="120" t="n">
        <v>500</v>
      </c>
      <c r="J900" s="121">
        <f>K900/1.2</f>
        <v/>
      </c>
      <c r="K900" s="242" t="n">
        <v>1.87</v>
      </c>
      <c r="L900" s="122">
        <f>J900-C900-(J900-C900)*0.2</f>
        <v/>
      </c>
      <c r="M900" s="123">
        <f>L900*I900</f>
        <v/>
      </c>
      <c r="N900" s="124" t="inlineStr">
        <is>
          <t xml:space="preserve">500-990 шт - </t>
        </is>
      </c>
      <c r="O900" s="47" t="inlineStr">
        <is>
          <t xml:space="preserve"> руб / шт с НДС</t>
        </is>
      </c>
      <c r="P900" s="125">
        <f>ROUND(K900,2)</f>
        <v/>
      </c>
      <c r="Q900" s="207">
        <f>CONCATENATE(N900,P900,O900,)</f>
        <v/>
      </c>
      <c r="R900" s="240" t="n"/>
      <c r="T900" s="241" t="n"/>
      <c r="U900" s="240" t="n"/>
      <c r="V900" s="241" t="n"/>
      <c r="Z900" s="240" t="n"/>
      <c r="AB900" s="241" t="n"/>
      <c r="AC900" s="240" t="n"/>
      <c r="AD900" s="241" t="n"/>
      <c r="AE900" t="n">
        <v>1.61</v>
      </c>
    </row>
    <row r="901">
      <c r="B901" s="42" t="n">
        <v>181</v>
      </c>
      <c r="C901" s="118">
        <f>INDIRECT("'Закуп'!A" &amp; B901)</f>
        <v/>
      </c>
      <c r="D901" s="119">
        <f>C901*1.2</f>
        <v/>
      </c>
      <c r="G901" s="172">
        <f>IF(INDIRECT("'Закуп'!L" &amp; B901)="Sale","Sale","")</f>
        <v/>
      </c>
      <c r="H901" s="158">
        <f>IF(INDIRECT("'Закуп'!F" &amp; B901)=0,"",INDIRECT("'Закуп'!F" &amp; B901))</f>
        <v/>
      </c>
      <c r="I901" s="120" t="n">
        <v>1000</v>
      </c>
      <c r="J901" s="121">
        <f>K901/1.2</f>
        <v/>
      </c>
      <c r="K901" s="242" t="n">
        <v>1.56</v>
      </c>
      <c r="L901" s="122">
        <f>J901-C901-(J901-C901)*0.2</f>
        <v/>
      </c>
      <c r="M901" s="123">
        <f>L901*I901</f>
        <v/>
      </c>
      <c r="N901" s="124" t="inlineStr">
        <is>
          <t xml:space="preserve">1000 + шт - </t>
        </is>
      </c>
      <c r="O901" s="47" t="inlineStr">
        <is>
          <t xml:space="preserve"> руб / шт с НДС</t>
        </is>
      </c>
      <c r="P901" s="125">
        <f>ROUND(K901,2)</f>
        <v/>
      </c>
      <c r="Q901" s="207">
        <f>CONCATENATE(N901,P901,O901,)</f>
        <v/>
      </c>
      <c r="R901" s="240" t="n"/>
      <c r="T901" s="241" t="n"/>
      <c r="U901" s="240" t="n"/>
      <c r="V901" s="241" t="n"/>
      <c r="Z901" s="240" t="n"/>
      <c r="AB901" s="241" t="n"/>
      <c r="AC901" s="240" t="n"/>
      <c r="AD901" s="241" t="n"/>
      <c r="AE901" t="n">
        <v>1.5</v>
      </c>
    </row>
    <row r="902">
      <c r="A902" s="232" t="n">
        <v>182</v>
      </c>
      <c r="B902" s="42" t="n">
        <v>182</v>
      </c>
      <c r="C902" s="118">
        <f>INDIRECT("'Закуп'!A" &amp; B902)</f>
        <v/>
      </c>
      <c r="D902" s="119">
        <f>C902*1.2</f>
        <v/>
      </c>
      <c r="E902" s="224">
        <f>INDIRECT("'Закуп'!D" &amp; A902)</f>
        <v/>
      </c>
      <c r="F902" s="231">
        <f>INDIRECT("'Закуп'!E" &amp; B902)</f>
        <v/>
      </c>
      <c r="G902" s="172">
        <f>IF(INDIRECT("'Закуп'!L" &amp; B902)="Sale","Sale","")</f>
        <v/>
      </c>
      <c r="H902" s="158">
        <f>IF(INDIRECT("'Закуп'!F" &amp; B902)=0,"",INDIRECT("'Закуп'!F" &amp; B902))</f>
        <v/>
      </c>
      <c r="I902" s="120" t="n">
        <v>50</v>
      </c>
      <c r="J902" s="121">
        <f>K902/1.2</f>
        <v/>
      </c>
      <c r="K902" s="242" t="n">
        <v>1.21</v>
      </c>
      <c r="L902" s="122">
        <f>J902-C902-(J902-C902)*0.2</f>
        <v/>
      </c>
      <c r="M902" s="123">
        <f>L902*I902</f>
        <v/>
      </c>
      <c r="N902" s="124" t="inlineStr">
        <is>
          <t xml:space="preserve">50-90 шт - </t>
        </is>
      </c>
      <c r="O902" s="47" t="inlineStr">
        <is>
          <t xml:space="preserve"> руб / шт с НДС</t>
        </is>
      </c>
      <c r="P902" s="125">
        <f>ROUND(K902,2)</f>
        <v/>
      </c>
      <c r="Q902" s="207">
        <f>CONCATENATE(N902,P902,O902,)</f>
        <v/>
      </c>
      <c r="R902" s="235">
        <f>INDIRECT("'Закуп'!k" &amp; A902)</f>
        <v/>
      </c>
      <c r="S902" s="239">
        <f>INDIRECT("'Закуп'!o" &amp; A902)</f>
        <v/>
      </c>
      <c r="T902" s="226">
        <f>INDIRECT("'Закуп'!p" &amp; A902)</f>
        <v/>
      </c>
      <c r="U902" s="235">
        <f>INDIRECT("'Закуп'!v" &amp; A902)</f>
        <v/>
      </c>
      <c r="V902" s="222">
        <f>INDIRECT("'Закуп'!w" &amp; A902)</f>
        <v/>
      </c>
      <c r="W902" s="229">
        <f>INDIRECT("'Закуп'!H" &amp; A902)</f>
        <v/>
      </c>
      <c r="X902" s="237">
        <f>INDIRECT("'Закуп'!g" &amp; A902)</f>
        <v/>
      </c>
      <c r="Y902" s="229">
        <f>INDIRECT("'Закуп'!i" &amp; A902)</f>
        <v/>
      </c>
      <c r="Z902" s="236">
        <f>INDIRECT("'Закуп'!x" &amp; A902)</f>
        <v/>
      </c>
      <c r="AA902" s="237">
        <f>INDIRECT("'Закуп'!y" &amp; A902)</f>
        <v/>
      </c>
      <c r="AB902" s="238">
        <f>INDIRECT("'Закуп'!z" &amp; A902)</f>
        <v/>
      </c>
      <c r="AC902" s="223">
        <f>SUBSTITUTE(INDEX(F:F, ROUNDUP((ROW(A901))/5,0)*5 - 3), "х", "x")</f>
        <v/>
      </c>
      <c r="AD902" s="222">
        <f>SUBSTITUTE(INDEX(F:F, ROUNDUP((ROW(A901))/5,0)*5 - 3), "х", "x") &amp; " - " &amp; SUBSTITUTE(SUBSTITUTE(INDEX(F:F, ROUNDUP((ROW(A901))/5,0)*5 - 3), "х", "*"), "x", "*") &amp; " мм"</f>
        <v/>
      </c>
      <c r="AE902" t="n">
        <v>1.64</v>
      </c>
    </row>
    <row r="903">
      <c r="B903" s="42" t="n">
        <v>182</v>
      </c>
      <c r="C903" s="118">
        <f>INDIRECT("'Закуп'!A" &amp; B903)</f>
        <v/>
      </c>
      <c r="D903" s="119">
        <f>C903*1.2</f>
        <v/>
      </c>
      <c r="G903" s="172">
        <f>IF(INDIRECT("'Закуп'!L" &amp; B903)="Sale","Sale","")</f>
        <v/>
      </c>
      <c r="H903" s="158">
        <f>IF(INDIRECT("'Закуп'!F" &amp; B903)=0,"",INDIRECT("'Закуп'!F" &amp; B903))</f>
        <v/>
      </c>
      <c r="I903" s="120" t="n">
        <v>100</v>
      </c>
      <c r="J903" s="121">
        <f>K903/1.2</f>
        <v/>
      </c>
      <c r="K903" s="242" t="n">
        <v>1.03</v>
      </c>
      <c r="L903" s="122">
        <f>J903-C903-(J903-C903)*0.2</f>
        <v/>
      </c>
      <c r="M903" s="123">
        <f>L903*I903</f>
        <v/>
      </c>
      <c r="N903" s="124" t="inlineStr">
        <is>
          <t xml:space="preserve">100-290 шт - </t>
        </is>
      </c>
      <c r="O903" s="47" t="inlineStr">
        <is>
          <t xml:space="preserve"> руб / шт с НДС</t>
        </is>
      </c>
      <c r="P903" s="125">
        <f>ROUND(K903,2)</f>
        <v/>
      </c>
      <c r="Q903" s="207">
        <f>CONCATENATE(N903,P903,O903,)</f>
        <v/>
      </c>
      <c r="R903" s="240" t="n"/>
      <c r="T903" s="241" t="n"/>
      <c r="U903" s="240" t="n"/>
      <c r="V903" s="241" t="n"/>
      <c r="Z903" s="240" t="n"/>
      <c r="AB903" s="241" t="n"/>
      <c r="AC903" s="240" t="n"/>
      <c r="AD903" s="241" t="n"/>
      <c r="AE903" t="n">
        <v>1.49</v>
      </c>
    </row>
    <row r="904">
      <c r="B904" s="42" t="n">
        <v>182</v>
      </c>
      <c r="C904" s="118">
        <f>INDIRECT("'Закуп'!A" &amp; B904)</f>
        <v/>
      </c>
      <c r="D904" s="119">
        <f>C904*1.2</f>
        <v/>
      </c>
      <c r="G904" s="172">
        <f>IF(INDIRECT("'Закуп'!L" &amp; B904)="Sale","Sale","")</f>
        <v/>
      </c>
      <c r="H904" s="158">
        <f>IF(INDIRECT("'Закуп'!F" &amp; B904)=0,"",INDIRECT("'Закуп'!F" &amp; B904))</f>
        <v/>
      </c>
      <c r="I904" s="120" t="n">
        <v>300</v>
      </c>
      <c r="J904" s="121">
        <f>K904/1.2</f>
        <v/>
      </c>
      <c r="K904" s="242" t="n">
        <v>0.98</v>
      </c>
      <c r="L904" s="122">
        <f>J904-C904-(J904-C904)*0.2</f>
        <v/>
      </c>
      <c r="M904" s="123">
        <f>L904*I904</f>
        <v/>
      </c>
      <c r="N904" s="124" t="inlineStr">
        <is>
          <t xml:space="preserve">300-490 шт - </t>
        </is>
      </c>
      <c r="O904" s="47" t="inlineStr">
        <is>
          <t xml:space="preserve"> руб / шт с НДС</t>
        </is>
      </c>
      <c r="P904" s="125">
        <f>ROUND(K904,2)</f>
        <v/>
      </c>
      <c r="Q904" s="207">
        <f>CONCATENATE(N904,P904,O904,)</f>
        <v/>
      </c>
      <c r="R904" s="240" t="n"/>
      <c r="T904" s="241" t="n"/>
      <c r="U904" s="240" t="n"/>
      <c r="V904" s="241" t="n"/>
      <c r="Z904" s="240" t="n"/>
      <c r="AB904" s="241" t="n"/>
      <c r="AC904" s="240" t="n"/>
      <c r="AD904" s="241" t="n"/>
      <c r="AE904" t="n">
        <v>1.18</v>
      </c>
    </row>
    <row r="905">
      <c r="B905" s="42" t="n">
        <v>182</v>
      </c>
      <c r="C905" s="118">
        <f>INDIRECT("'Закуп'!A" &amp; B905)</f>
        <v/>
      </c>
      <c r="D905" s="119">
        <f>C905*1.2</f>
        <v/>
      </c>
      <c r="G905" s="172">
        <f>IF(INDIRECT("'Закуп'!L" &amp; B905)="Sale","Sale","")</f>
        <v/>
      </c>
      <c r="H905" s="158">
        <f>IF(INDIRECT("'Закуп'!F" &amp; B905)=0,"",INDIRECT("'Закуп'!F" &amp; B905))</f>
        <v/>
      </c>
      <c r="I905" s="120" t="n">
        <v>500</v>
      </c>
      <c r="J905" s="121">
        <f>K905/1.2</f>
        <v/>
      </c>
      <c r="K905" s="242" t="n">
        <v>0.93</v>
      </c>
      <c r="L905" s="122">
        <f>J905-C905-(J905-C905)*0.2</f>
        <v/>
      </c>
      <c r="M905" s="123">
        <f>L905*I905</f>
        <v/>
      </c>
      <c r="N905" s="124" t="inlineStr">
        <is>
          <t xml:space="preserve">500-990 шт - </t>
        </is>
      </c>
      <c r="O905" s="47" t="inlineStr">
        <is>
          <t xml:space="preserve"> руб / шт с НДС</t>
        </is>
      </c>
      <c r="P905" s="125">
        <f>ROUND(K905,2)</f>
        <v/>
      </c>
      <c r="Q905" s="207">
        <f>CONCATENATE(N905,P905,O905,)</f>
        <v/>
      </c>
      <c r="R905" s="240" t="n"/>
      <c r="T905" s="241" t="n"/>
      <c r="U905" s="240" t="n"/>
      <c r="V905" s="241" t="n"/>
      <c r="Z905" s="240" t="n"/>
      <c r="AB905" s="241" t="n"/>
      <c r="AC905" s="240" t="n"/>
      <c r="AD905" s="241" t="n"/>
      <c r="AE905" t="n">
        <v>1.1</v>
      </c>
    </row>
    <row r="906">
      <c r="B906" s="42" t="n">
        <v>182</v>
      </c>
      <c r="C906" s="118">
        <f>INDIRECT("'Закуп'!A" &amp; B906)</f>
        <v/>
      </c>
      <c r="D906" s="119">
        <f>C906*1.2</f>
        <v/>
      </c>
      <c r="G906" s="172">
        <f>IF(INDIRECT("'Закуп'!L" &amp; B906)="Sale","Sale","")</f>
        <v/>
      </c>
      <c r="H906" s="158">
        <f>IF(INDIRECT("'Закуп'!F" &amp; B906)=0,"",INDIRECT("'Закуп'!F" &amp; B906))</f>
        <v/>
      </c>
      <c r="I906" s="120" t="n">
        <v>1000</v>
      </c>
      <c r="J906" s="121">
        <f>K906/1.2</f>
        <v/>
      </c>
      <c r="K906" s="242" t="n">
        <v>0.86</v>
      </c>
      <c r="L906" s="122">
        <f>J906-C906-(J906-C906)*0.2</f>
        <v/>
      </c>
      <c r="M906" s="123">
        <f>L906*I906</f>
        <v/>
      </c>
      <c r="N906" s="124" t="inlineStr">
        <is>
          <t xml:space="preserve">1000 + шт - </t>
        </is>
      </c>
      <c r="O906" s="47" t="inlineStr">
        <is>
          <t xml:space="preserve"> руб / шт с НДС</t>
        </is>
      </c>
      <c r="P906" s="125">
        <f>ROUND(K906,2)</f>
        <v/>
      </c>
      <c r="Q906" s="207">
        <f>CONCATENATE(N906,P906,O906,)</f>
        <v/>
      </c>
      <c r="R906" s="240" t="n"/>
      <c r="T906" s="241" t="n"/>
      <c r="U906" s="240" t="n"/>
      <c r="V906" s="241" t="n"/>
      <c r="Z906" s="240" t="n"/>
      <c r="AB906" s="241" t="n"/>
      <c r="AC906" s="240" t="n"/>
      <c r="AD906" s="241" t="n"/>
      <c r="AE906" t="n">
        <v>1.04</v>
      </c>
    </row>
    <row r="907">
      <c r="A907" s="232" t="n">
        <v>183</v>
      </c>
      <c r="B907" s="42" t="n">
        <v>183</v>
      </c>
      <c r="C907" s="118">
        <f>INDIRECT("'Закуп'!A" &amp; B907)</f>
        <v/>
      </c>
      <c r="D907" s="119">
        <f>C907*1.2</f>
        <v/>
      </c>
      <c r="E907" s="224">
        <f>INDIRECT("'Закуп'!D" &amp; A907)</f>
        <v/>
      </c>
      <c r="F907" s="231">
        <f>INDIRECT("'Закуп'!E" &amp; B907)</f>
        <v/>
      </c>
      <c r="G907" s="172">
        <f>IF(INDIRECT("'Закуп'!L" &amp; B907)="Sale","Sale","")</f>
        <v/>
      </c>
      <c r="H907" s="158">
        <f>IF(INDIRECT("'Закуп'!F" &amp; B907)=0,"",INDIRECT("'Закуп'!F" &amp; B907))</f>
        <v/>
      </c>
      <c r="I907" s="120" t="n">
        <v>50</v>
      </c>
      <c r="J907" s="121">
        <f>K907/1.2</f>
        <v/>
      </c>
      <c r="K907" s="70" t="n">
        <v>1.06</v>
      </c>
      <c r="L907" s="122">
        <f>J907-C907-(J907-C907)*0.2</f>
        <v/>
      </c>
      <c r="M907" s="123">
        <f>L907*I907</f>
        <v/>
      </c>
      <c r="N907" s="124" t="inlineStr">
        <is>
          <t xml:space="preserve">50-90 шт - </t>
        </is>
      </c>
      <c r="O907" s="47" t="inlineStr">
        <is>
          <t xml:space="preserve"> руб / шт с НДС</t>
        </is>
      </c>
      <c r="P907" s="125">
        <f>ROUND(K907,2)</f>
        <v/>
      </c>
      <c r="Q907" s="207">
        <f>CONCATENATE(N907,P907,O907,)</f>
        <v/>
      </c>
      <c r="R907" s="235">
        <f>INDIRECT("'Закуп'!k" &amp; A907)</f>
        <v/>
      </c>
      <c r="S907" s="239">
        <f>INDIRECT("'Закуп'!o" &amp; A907)</f>
        <v/>
      </c>
      <c r="T907" s="226">
        <f>INDIRECT("'Закуп'!p" &amp; A907)</f>
        <v/>
      </c>
      <c r="U907" s="235">
        <f>INDIRECT("'Закуп'!v" &amp; A907)</f>
        <v/>
      </c>
      <c r="V907" s="222">
        <f>INDIRECT("'Закуп'!w" &amp; A907)</f>
        <v/>
      </c>
      <c r="W907" s="229">
        <f>INDIRECT("'Закуп'!H" &amp; A907)</f>
        <v/>
      </c>
      <c r="X907" s="237">
        <f>INDIRECT("'Закуп'!g" &amp; A907)</f>
        <v/>
      </c>
      <c r="Y907" s="229">
        <f>INDIRECT("'Закуп'!i" &amp; A907)</f>
        <v/>
      </c>
      <c r="Z907" s="236">
        <f>INDIRECT("'Закуп'!x" &amp; A907)</f>
        <v/>
      </c>
      <c r="AA907" s="237">
        <f>INDIRECT("'Закуп'!y" &amp; A907)</f>
        <v/>
      </c>
      <c r="AB907" s="238">
        <f>INDIRECT("'Закуп'!z" &amp; A907)</f>
        <v/>
      </c>
      <c r="AC907" s="223">
        <f>SUBSTITUTE(INDEX(F:F, ROUNDUP((ROW(A906))/5,0)*5 - 3), "х", "x")</f>
        <v/>
      </c>
      <c r="AD907" s="222">
        <f>SUBSTITUTE(INDEX(F:F, ROUNDUP((ROW(A906))/5,0)*5 - 3), "х", "x") &amp; " - " &amp; SUBSTITUTE(SUBSTITUTE(INDEX(F:F, ROUNDUP((ROW(A906))/5,0)*5 - 3), "х", "*"), "x", "*") &amp; " мм"</f>
        <v/>
      </c>
    </row>
    <row r="908">
      <c r="B908" s="42" t="n">
        <v>183</v>
      </c>
      <c r="C908" s="118">
        <f>INDIRECT("'Закуп'!A" &amp; B908)</f>
        <v/>
      </c>
      <c r="D908" s="119">
        <f>C908*1.2</f>
        <v/>
      </c>
      <c r="G908" s="172">
        <f>IF(INDIRECT("'Закуп'!L" &amp; B908)="Sale","Sale","")</f>
        <v/>
      </c>
      <c r="H908" s="158">
        <f>IF(INDIRECT("'Закуп'!F" &amp; B908)=0,"",INDIRECT("'Закуп'!F" &amp; B908))</f>
        <v/>
      </c>
      <c r="I908" s="120" t="n">
        <v>100</v>
      </c>
      <c r="J908" s="121">
        <f>K908/1.2</f>
        <v/>
      </c>
      <c r="K908" s="70" t="n">
        <v>0.9399999999999999</v>
      </c>
      <c r="L908" s="122">
        <f>J908-C908-(J908-C908)*0.2</f>
        <v/>
      </c>
      <c r="M908" s="123">
        <f>L908*I908</f>
        <v/>
      </c>
      <c r="N908" s="124" t="inlineStr">
        <is>
          <t xml:space="preserve">100-290 шт - </t>
        </is>
      </c>
      <c r="O908" s="47" t="inlineStr">
        <is>
          <t xml:space="preserve"> руб / шт с НДС</t>
        </is>
      </c>
      <c r="P908" s="125">
        <f>ROUND(K908,2)</f>
        <v/>
      </c>
      <c r="Q908" s="207">
        <f>CONCATENATE(N908,P908,O908,)</f>
        <v/>
      </c>
      <c r="R908" s="240" t="n"/>
      <c r="T908" s="241" t="n"/>
      <c r="U908" s="240" t="n"/>
      <c r="V908" s="241" t="n"/>
      <c r="Z908" s="240" t="n"/>
      <c r="AB908" s="241" t="n"/>
      <c r="AC908" s="240" t="n"/>
      <c r="AD908" s="241" t="n"/>
    </row>
    <row r="909">
      <c r="B909" s="42" t="n">
        <v>183</v>
      </c>
      <c r="C909" s="118">
        <f>INDIRECT("'Закуп'!A" &amp; B909)</f>
        <v/>
      </c>
      <c r="D909" s="119">
        <f>C909*1.2</f>
        <v/>
      </c>
      <c r="G909" s="172">
        <f>IF(INDIRECT("'Закуп'!L" &amp; B909)="Sale","Sale","")</f>
        <v/>
      </c>
      <c r="H909" s="158">
        <f>IF(INDIRECT("'Закуп'!F" &amp; B909)=0,"",INDIRECT("'Закуп'!F" &amp; B909))</f>
        <v/>
      </c>
      <c r="I909" s="120" t="n">
        <v>300</v>
      </c>
      <c r="J909" s="121">
        <f>K909/1.2</f>
        <v/>
      </c>
      <c r="K909" s="70" t="n">
        <v>0.82</v>
      </c>
      <c r="L909" s="122">
        <f>J909-C909-(J909-C909)*0.2</f>
        <v/>
      </c>
      <c r="M909" s="123">
        <f>L909*I909</f>
        <v/>
      </c>
      <c r="N909" s="124" t="inlineStr">
        <is>
          <t xml:space="preserve">300-490 шт - </t>
        </is>
      </c>
      <c r="O909" s="47" t="inlineStr">
        <is>
          <t xml:space="preserve"> руб / шт с НДС</t>
        </is>
      </c>
      <c r="P909" s="125">
        <f>ROUND(K909,2)</f>
        <v/>
      </c>
      <c r="Q909" s="207">
        <f>CONCATENATE(N909,P909,O909,)</f>
        <v/>
      </c>
      <c r="R909" s="240" t="n"/>
      <c r="T909" s="241" t="n"/>
      <c r="U909" s="240" t="n"/>
      <c r="V909" s="241" t="n"/>
      <c r="Z909" s="240" t="n"/>
      <c r="AB909" s="241" t="n"/>
      <c r="AC909" s="240" t="n"/>
      <c r="AD909" s="241" t="n"/>
    </row>
    <row r="910">
      <c r="B910" s="42" t="n">
        <v>183</v>
      </c>
      <c r="C910" s="118">
        <f>INDIRECT("'Закуп'!A" &amp; B910)</f>
        <v/>
      </c>
      <c r="D910" s="119">
        <f>C910*1.2</f>
        <v/>
      </c>
      <c r="G910" s="172">
        <f>IF(INDIRECT("'Закуп'!L" &amp; B910)="Sale","Sale","")</f>
        <v/>
      </c>
      <c r="H910" s="158">
        <f>IF(INDIRECT("'Закуп'!F" &amp; B910)=0,"",INDIRECT("'Закуп'!F" &amp; B910))</f>
        <v/>
      </c>
      <c r="I910" s="120" t="n">
        <v>500</v>
      </c>
      <c r="J910" s="121">
        <f>K910/1.2</f>
        <v/>
      </c>
      <c r="K910" s="70" t="n">
        <v>0.71</v>
      </c>
      <c r="L910" s="122">
        <f>J910-C910-(J910-C910)*0.2</f>
        <v/>
      </c>
      <c r="M910" s="123">
        <f>L910*I910</f>
        <v/>
      </c>
      <c r="N910" s="124" t="inlineStr">
        <is>
          <t xml:space="preserve">500-990 шт - </t>
        </is>
      </c>
      <c r="O910" s="47" t="inlineStr">
        <is>
          <t xml:space="preserve"> руб / шт с НДС</t>
        </is>
      </c>
      <c r="P910" s="125">
        <f>ROUND(K910,2)</f>
        <v/>
      </c>
      <c r="Q910" s="207">
        <f>CONCATENATE(N910,P910,O910,)</f>
        <v/>
      </c>
      <c r="R910" s="240" t="n"/>
      <c r="T910" s="241" t="n"/>
      <c r="U910" s="240" t="n"/>
      <c r="V910" s="241" t="n"/>
      <c r="Z910" s="240" t="n"/>
      <c r="AB910" s="241" t="n"/>
      <c r="AC910" s="240" t="n"/>
      <c r="AD910" s="241" t="n"/>
    </row>
    <row r="911">
      <c r="B911" s="42" t="n">
        <v>183</v>
      </c>
      <c r="C911" s="118">
        <f>INDIRECT("'Закуп'!A" &amp; B911)</f>
        <v/>
      </c>
      <c r="D911" s="119">
        <f>C911*1.2</f>
        <v/>
      </c>
      <c r="G911" s="172">
        <f>IF(INDIRECT("'Закуп'!L" &amp; B911)="Sale","Sale","")</f>
        <v/>
      </c>
      <c r="H911" s="158">
        <f>IF(INDIRECT("'Закуп'!F" &amp; B911)=0,"",INDIRECT("'Закуп'!F" &amp; B911))</f>
        <v/>
      </c>
      <c r="I911" s="120" t="n">
        <v>1000</v>
      </c>
      <c r="J911" s="121">
        <f>K911/1.2</f>
        <v/>
      </c>
      <c r="K911" s="70" t="n">
        <v>0.59</v>
      </c>
      <c r="L911" s="122">
        <f>J911-C911-(J911-C911)*0.2</f>
        <v/>
      </c>
      <c r="M911" s="123">
        <f>L911*I911</f>
        <v/>
      </c>
      <c r="N911" s="124" t="inlineStr">
        <is>
          <t xml:space="preserve">1000 + шт - </t>
        </is>
      </c>
      <c r="O911" s="47" t="inlineStr">
        <is>
          <t xml:space="preserve"> руб / шт с НДС</t>
        </is>
      </c>
      <c r="P911" s="125">
        <f>ROUND(K911,2)</f>
        <v/>
      </c>
      <c r="Q911" s="207">
        <f>CONCATENATE(N911,P911,O911,)</f>
        <v/>
      </c>
      <c r="R911" s="240" t="n"/>
      <c r="T911" s="241" t="n"/>
      <c r="U911" s="240" t="n"/>
      <c r="V911" s="241" t="n"/>
      <c r="Z911" s="240" t="n"/>
      <c r="AB911" s="241" t="n"/>
      <c r="AC911" s="240" t="n"/>
      <c r="AD911" s="241" t="n"/>
    </row>
    <row r="912">
      <c r="A912" s="232" t="n">
        <v>184</v>
      </c>
      <c r="B912" s="42" t="n">
        <v>184</v>
      </c>
      <c r="C912" s="118">
        <f>INDIRECT("'Закуп'!A" &amp; B912)</f>
        <v/>
      </c>
      <c r="D912" s="119">
        <f>C912*1.2</f>
        <v/>
      </c>
      <c r="E912" s="224">
        <f>INDIRECT("'Закуп'!D" &amp; A912)</f>
        <v/>
      </c>
      <c r="F912" s="231">
        <f>INDIRECT("'Закуп'!E" &amp; B912)</f>
        <v/>
      </c>
      <c r="G912" s="172">
        <f>IF(INDIRECT("'Закуп'!L" &amp; B912)="Sale","Sale","")</f>
        <v/>
      </c>
      <c r="H912" s="158">
        <f>IF(INDIRECT("'Закуп'!F" &amp; B912)=0,"",INDIRECT("'Закуп'!F" &amp; B912))</f>
        <v/>
      </c>
      <c r="I912" s="120" t="n">
        <v>50</v>
      </c>
      <c r="J912" s="121">
        <f>K912/1.2</f>
        <v/>
      </c>
      <c r="K912" s="242" t="n">
        <v>1.86</v>
      </c>
      <c r="L912" s="122">
        <f>J912-C912-(J912-C912)*0.2</f>
        <v/>
      </c>
      <c r="M912" s="123">
        <f>L912*I912</f>
        <v/>
      </c>
      <c r="N912" s="124" t="inlineStr">
        <is>
          <t xml:space="preserve">50-90 шт - </t>
        </is>
      </c>
      <c r="O912" s="47" t="inlineStr">
        <is>
          <t xml:space="preserve"> руб / шт с НДС</t>
        </is>
      </c>
      <c r="P912" s="125">
        <f>ROUND(K912,2)</f>
        <v/>
      </c>
      <c r="Q912" s="207">
        <f>CONCATENATE(N912,P912,O912,)</f>
        <v/>
      </c>
      <c r="R912" s="235">
        <f>INDIRECT("'Закуп'!k" &amp; A912)</f>
        <v/>
      </c>
      <c r="S912" s="239">
        <f>INDIRECT("'Закуп'!o" &amp; A912)</f>
        <v/>
      </c>
      <c r="T912" s="226">
        <f>INDIRECT("'Закуп'!p" &amp; A912)</f>
        <v/>
      </c>
      <c r="U912" s="235">
        <f>INDIRECT("'Закуп'!v" &amp; A912)</f>
        <v/>
      </c>
      <c r="V912" s="222">
        <f>INDIRECT("'Закуп'!w" &amp; A912)</f>
        <v/>
      </c>
      <c r="W912" s="229">
        <f>INDIRECT("'Закуп'!H" &amp; A912)</f>
        <v/>
      </c>
      <c r="X912" s="237">
        <f>INDIRECT("'Закуп'!g" &amp; A912)</f>
        <v/>
      </c>
      <c r="Y912" s="229">
        <f>INDIRECT("'Закуп'!i" &amp; A912)</f>
        <v/>
      </c>
      <c r="Z912" s="236">
        <f>INDIRECT("'Закуп'!x" &amp; A912)</f>
        <v/>
      </c>
      <c r="AA912" s="237">
        <f>INDIRECT("'Закуп'!y" &amp; A912)</f>
        <v/>
      </c>
      <c r="AB912" s="238">
        <f>INDIRECT("'Закуп'!z" &amp; A912)</f>
        <v/>
      </c>
      <c r="AC912" s="223">
        <f>SUBSTITUTE(INDEX(F:F, ROUNDUP((ROW(A911))/5,0)*5 - 3), "х", "x")</f>
        <v/>
      </c>
      <c r="AD912" s="222">
        <f>SUBSTITUTE(INDEX(F:F, ROUNDUP((ROW(A911))/5,0)*5 - 3), "х", "x") &amp; " - " &amp; SUBSTITUTE(SUBSTITUTE(INDEX(F:F, ROUNDUP((ROW(A911))/5,0)*5 - 3), "х", "*"), "x", "*") &amp; " мм"</f>
        <v/>
      </c>
      <c r="AE912" t="n">
        <v>3</v>
      </c>
    </row>
    <row r="913">
      <c r="B913" s="42" t="n">
        <v>184</v>
      </c>
      <c r="C913" s="118">
        <f>INDIRECT("'Закуп'!A" &amp; B913)</f>
        <v/>
      </c>
      <c r="D913" s="119">
        <f>C913*1.2</f>
        <v/>
      </c>
      <c r="G913" s="172">
        <f>IF(INDIRECT("'Закуп'!L" &amp; B913)="Sale","Sale","")</f>
        <v/>
      </c>
      <c r="H913" s="158">
        <f>IF(INDIRECT("'Закуп'!F" &amp; B913)=0,"",INDIRECT("'Закуп'!F" &amp; B913))</f>
        <v/>
      </c>
      <c r="I913" s="120" t="n">
        <v>100</v>
      </c>
      <c r="J913" s="121">
        <f>K913/1.2</f>
        <v/>
      </c>
      <c r="K913" s="242" t="n">
        <v>1.58</v>
      </c>
      <c r="L913" s="122">
        <f>J913-C913-(J913-C913)*0.2</f>
        <v/>
      </c>
      <c r="M913" s="123">
        <f>L913*I913</f>
        <v/>
      </c>
      <c r="N913" s="124" t="inlineStr">
        <is>
          <t xml:space="preserve">100-290 шт - </t>
        </is>
      </c>
      <c r="O913" s="47" t="inlineStr">
        <is>
          <t xml:space="preserve"> руб / шт с НДС</t>
        </is>
      </c>
      <c r="P913" s="125">
        <f>ROUND(K913,2)</f>
        <v/>
      </c>
      <c r="Q913" s="207">
        <f>CONCATENATE(N913,P913,O913,)</f>
        <v/>
      </c>
      <c r="R913" s="240" t="n"/>
      <c r="T913" s="241" t="n"/>
      <c r="U913" s="240" t="n"/>
      <c r="V913" s="241" t="n"/>
      <c r="Z913" s="240" t="n"/>
      <c r="AB913" s="241" t="n"/>
      <c r="AC913" s="240" t="n"/>
      <c r="AD913" s="241" t="n"/>
      <c r="AE913" t="n">
        <v>2.78</v>
      </c>
    </row>
    <row r="914">
      <c r="B914" s="42" t="n">
        <v>184</v>
      </c>
      <c r="C914" s="118">
        <f>INDIRECT("'Закуп'!A" &amp; B914)</f>
        <v/>
      </c>
      <c r="D914" s="119">
        <f>C914*1.2</f>
        <v/>
      </c>
      <c r="G914" s="172">
        <f>IF(INDIRECT("'Закуп'!L" &amp; B914)="Sale","Sale","")</f>
        <v/>
      </c>
      <c r="H914" s="158">
        <f>IF(INDIRECT("'Закуп'!F" &amp; B914)=0,"",INDIRECT("'Закуп'!F" &amp; B914))</f>
        <v/>
      </c>
      <c r="I914" s="120" t="n">
        <v>300</v>
      </c>
      <c r="J914" s="121">
        <f>K914/1.2</f>
        <v/>
      </c>
      <c r="K914" s="242" t="n">
        <v>1.49</v>
      </c>
      <c r="L914" s="122">
        <f>J914-C914-(J914-C914)*0.2</f>
        <v/>
      </c>
      <c r="M914" s="123">
        <f>L914*I914</f>
        <v/>
      </c>
      <c r="N914" s="124" t="inlineStr">
        <is>
          <t xml:space="preserve">300-490 шт - </t>
        </is>
      </c>
      <c r="O914" s="47" t="inlineStr">
        <is>
          <t xml:space="preserve"> руб / шт с НДС</t>
        </is>
      </c>
      <c r="P914" s="125">
        <f>ROUND(K914,2)</f>
        <v/>
      </c>
      <c r="Q914" s="207">
        <f>CONCATENATE(N914,P914,O914,)</f>
        <v/>
      </c>
      <c r="R914" s="240" t="n"/>
      <c r="T914" s="241" t="n"/>
      <c r="U914" s="240" t="n"/>
      <c r="V914" s="241" t="n"/>
      <c r="Z914" s="240" t="n"/>
      <c r="AB914" s="241" t="n"/>
      <c r="AC914" s="240" t="n"/>
      <c r="AD914" s="241" t="n"/>
      <c r="AE914" t="n">
        <v>2.57</v>
      </c>
    </row>
    <row r="915">
      <c r="B915" s="42" t="n">
        <v>184</v>
      </c>
      <c r="C915" s="118">
        <f>INDIRECT("'Закуп'!A" &amp; B915)</f>
        <v/>
      </c>
      <c r="D915" s="119">
        <f>C915*1.2</f>
        <v/>
      </c>
      <c r="G915" s="172">
        <f>IF(INDIRECT("'Закуп'!L" &amp; B915)="Sale","Sale","")</f>
        <v/>
      </c>
      <c r="H915" s="158">
        <f>IF(INDIRECT("'Закуп'!F" &amp; B915)=0,"",INDIRECT("'Закуп'!F" &amp; B915))</f>
        <v/>
      </c>
      <c r="I915" s="120" t="n">
        <v>500</v>
      </c>
      <c r="J915" s="121">
        <f>K915/1.2</f>
        <v/>
      </c>
      <c r="K915" s="242" t="n">
        <v>1.41</v>
      </c>
      <c r="L915" s="122">
        <f>J915-C915-(J915-C915)*0.2</f>
        <v/>
      </c>
      <c r="M915" s="123">
        <f>L915*I915</f>
        <v/>
      </c>
      <c r="N915" s="124" t="inlineStr">
        <is>
          <t xml:space="preserve">500-990 шт - </t>
        </is>
      </c>
      <c r="O915" s="47" t="inlineStr">
        <is>
          <t xml:space="preserve"> руб / шт с НДС</t>
        </is>
      </c>
      <c r="P915" s="125">
        <f>ROUND(K915,2)</f>
        <v/>
      </c>
      <c r="Q915" s="207">
        <f>CONCATENATE(N915,P915,O915,)</f>
        <v/>
      </c>
      <c r="R915" s="240" t="n"/>
      <c r="T915" s="241" t="n"/>
      <c r="U915" s="240" t="n"/>
      <c r="V915" s="241" t="n"/>
      <c r="Z915" s="240" t="n"/>
      <c r="AB915" s="241" t="n"/>
      <c r="AC915" s="240" t="n"/>
      <c r="AD915" s="241" t="n"/>
      <c r="AE915" t="n">
        <v>2.14</v>
      </c>
    </row>
    <row r="916">
      <c r="B916" s="42" t="n">
        <v>184</v>
      </c>
      <c r="C916" s="118">
        <f>INDIRECT("'Закуп'!A" &amp; B916)</f>
        <v/>
      </c>
      <c r="D916" s="119">
        <f>C916*1.2</f>
        <v/>
      </c>
      <c r="G916" s="172">
        <f>IF(INDIRECT("'Закуп'!L" &amp; B916)="Sale","Sale","")</f>
        <v/>
      </c>
      <c r="H916" s="158">
        <f>IF(INDIRECT("'Закуп'!F" &amp; B916)=0,"",INDIRECT("'Закуп'!F" &amp; B916))</f>
        <v/>
      </c>
      <c r="I916" s="120" t="n">
        <v>1000</v>
      </c>
      <c r="J916" s="121">
        <f>K916/1.2</f>
        <v/>
      </c>
      <c r="K916" s="242" t="n">
        <v>1.36</v>
      </c>
      <c r="L916" s="122">
        <f>J916-C916-(J916-C916)*0.2</f>
        <v/>
      </c>
      <c r="M916" s="123">
        <f>L916*I916</f>
        <v/>
      </c>
      <c r="N916" s="124" t="inlineStr">
        <is>
          <t xml:space="preserve">1000 + шт - </t>
        </is>
      </c>
      <c r="O916" s="47" t="inlineStr">
        <is>
          <t xml:space="preserve"> руб / шт с НДС</t>
        </is>
      </c>
      <c r="P916" s="125">
        <f>ROUND(K916,2)</f>
        <v/>
      </c>
      <c r="Q916" s="207">
        <f>CONCATENATE(N916,P916,O916,)</f>
        <v/>
      </c>
      <c r="R916" s="240" t="n"/>
      <c r="T916" s="241" t="n"/>
      <c r="U916" s="240" t="n"/>
      <c r="V916" s="241" t="n"/>
      <c r="Z916" s="240" t="n"/>
      <c r="AB916" s="241" t="n"/>
      <c r="AC916" s="240" t="n"/>
      <c r="AD916" s="241" t="n"/>
      <c r="AE916" t="n">
        <v>1.93</v>
      </c>
    </row>
    <row r="917">
      <c r="A917" s="232" t="n">
        <v>185</v>
      </c>
      <c r="B917" s="42" t="n">
        <v>185</v>
      </c>
      <c r="C917" s="118">
        <f>INDIRECT("'Закуп'!A" &amp; B917)</f>
        <v/>
      </c>
      <c r="D917" s="119">
        <f>C917*1.2</f>
        <v/>
      </c>
      <c r="E917" s="224">
        <f>INDIRECT("'Закуп'!D" &amp; A917)</f>
        <v/>
      </c>
      <c r="F917" s="231">
        <f>INDIRECT("'Закуп'!E" &amp; B917)</f>
        <v/>
      </c>
      <c r="G917" s="172">
        <f>IF(INDIRECT("'Закуп'!L" &amp; B917)="Sale","Sale","")</f>
        <v/>
      </c>
      <c r="H917" s="158">
        <f>IF(INDIRECT("'Закуп'!F" &amp; B917)=0,"",INDIRECT("'Закуп'!F" &amp; B917))</f>
        <v/>
      </c>
      <c r="I917" s="120" t="n">
        <v>50</v>
      </c>
      <c r="J917" s="121">
        <f>K917/1.2</f>
        <v/>
      </c>
      <c r="K917" s="242" t="n">
        <v>1.31</v>
      </c>
      <c r="L917" s="122">
        <f>J917-C917-(J917-C917)*0.2</f>
        <v/>
      </c>
      <c r="M917" s="123">
        <f>L917*I917</f>
        <v/>
      </c>
      <c r="N917" s="124" t="inlineStr">
        <is>
          <t xml:space="preserve">50-90 шт - </t>
        </is>
      </c>
      <c r="O917" s="47" t="inlineStr">
        <is>
          <t xml:space="preserve"> руб / шт с НДС</t>
        </is>
      </c>
      <c r="P917" s="125">
        <f>ROUND(K917,2)</f>
        <v/>
      </c>
      <c r="Q917" s="207">
        <f>CONCATENATE(N917,P917,O917,)</f>
        <v/>
      </c>
      <c r="R917" s="235">
        <f>INDIRECT("'Закуп'!k" &amp; A917)</f>
        <v/>
      </c>
      <c r="S917" s="239">
        <f>INDIRECT("'Закуп'!o" &amp; A917)</f>
        <v/>
      </c>
      <c r="T917" s="226">
        <f>INDIRECT("'Закуп'!p" &amp; A917)</f>
        <v/>
      </c>
      <c r="U917" s="235">
        <f>INDIRECT("'Закуп'!v" &amp; A917)</f>
        <v/>
      </c>
      <c r="V917" s="222">
        <f>INDIRECT("'Закуп'!w" &amp; A917)</f>
        <v/>
      </c>
      <c r="W917" s="229">
        <f>INDIRECT("'Закуп'!H" &amp; A917)</f>
        <v/>
      </c>
      <c r="X917" s="237">
        <f>INDIRECT("'Закуп'!g" &amp; A917)</f>
        <v/>
      </c>
      <c r="Y917" s="229">
        <f>INDIRECT("'Закуп'!i" &amp; A917)</f>
        <v/>
      </c>
      <c r="Z917" s="236">
        <f>INDIRECT("'Закуп'!x" &amp; A917)</f>
        <v/>
      </c>
      <c r="AA917" s="237">
        <f>INDIRECT("'Закуп'!y" &amp; A917)</f>
        <v/>
      </c>
      <c r="AB917" s="238">
        <f>INDIRECT("'Закуп'!z" &amp; A917)</f>
        <v/>
      </c>
      <c r="AC917" s="223">
        <f>SUBSTITUTE(INDEX(F:F, ROUNDUP((ROW(A916))/5,0)*5 - 3), "х", "x")</f>
        <v/>
      </c>
      <c r="AD917" s="222">
        <f>SUBSTITUTE(INDEX(F:F, ROUNDUP((ROW(A916))/5,0)*5 - 3), "х", "x") &amp; " - " &amp; SUBSTITUTE(SUBSTITUTE(INDEX(F:F, ROUNDUP((ROW(A916))/5,0)*5 - 3), "х", "*"), "x", "*") &amp; " мм"</f>
        <v/>
      </c>
      <c r="AE917" t="n">
        <v>2.14</v>
      </c>
    </row>
    <row r="918">
      <c r="B918" s="42" t="n">
        <v>185</v>
      </c>
      <c r="C918" s="118">
        <f>INDIRECT("'Закуп'!A" &amp; B918)</f>
        <v/>
      </c>
      <c r="D918" s="119">
        <f>C918*1.2</f>
        <v/>
      </c>
      <c r="G918" s="172">
        <f>IF(INDIRECT("'Закуп'!L" &amp; B918)="Sale","Sale","")</f>
        <v/>
      </c>
      <c r="H918" s="158">
        <f>IF(INDIRECT("'Закуп'!F" &amp; B918)=0,"",INDIRECT("'Закуп'!F" &amp; B918))</f>
        <v/>
      </c>
      <c r="I918" s="120" t="n">
        <v>100</v>
      </c>
      <c r="J918" s="121">
        <f>K918/1.2</f>
        <v/>
      </c>
      <c r="K918" s="242" t="n">
        <v>1.12</v>
      </c>
      <c r="L918" s="122">
        <f>J918-C918-(J918-C918)*0.2</f>
        <v/>
      </c>
      <c r="M918" s="123">
        <f>L918*I918</f>
        <v/>
      </c>
      <c r="N918" s="124" t="inlineStr">
        <is>
          <t xml:space="preserve">100-290 шт - </t>
        </is>
      </c>
      <c r="O918" s="47" t="inlineStr">
        <is>
          <t xml:space="preserve"> руб / шт с НДС</t>
        </is>
      </c>
      <c r="P918" s="125">
        <f>ROUND(K918,2)</f>
        <v/>
      </c>
      <c r="Q918" s="207">
        <f>CONCATENATE(N918,P918,O918,)</f>
        <v/>
      </c>
      <c r="R918" s="240" t="n"/>
      <c r="T918" s="241" t="n"/>
      <c r="U918" s="240" t="n"/>
      <c r="V918" s="241" t="n"/>
      <c r="Z918" s="240" t="n"/>
      <c r="AB918" s="241" t="n"/>
      <c r="AC918" s="240" t="n"/>
      <c r="AD918" s="241" t="n"/>
      <c r="AE918" t="n">
        <v>1.93</v>
      </c>
    </row>
    <row r="919">
      <c r="B919" s="42" t="n">
        <v>185</v>
      </c>
      <c r="C919" s="118">
        <f>INDIRECT("'Закуп'!A" &amp; B919)</f>
        <v/>
      </c>
      <c r="D919" s="119">
        <f>C919*1.2</f>
        <v/>
      </c>
      <c r="G919" s="172">
        <f>IF(INDIRECT("'Закуп'!L" &amp; B919)="Sale","Sale","")</f>
        <v/>
      </c>
      <c r="H919" s="158">
        <f>IF(INDIRECT("'Закуп'!F" &amp; B919)=0,"",INDIRECT("'Закуп'!F" &amp; B919))</f>
        <v/>
      </c>
      <c r="I919" s="120" t="n">
        <v>300</v>
      </c>
      <c r="J919" s="121">
        <f>K919/1.2</f>
        <v/>
      </c>
      <c r="K919" s="242" t="n">
        <v>1.05</v>
      </c>
      <c r="L919" s="122">
        <f>J919-C919-(J919-C919)*0.2</f>
        <v/>
      </c>
      <c r="M919" s="123">
        <f>L919*I919</f>
        <v/>
      </c>
      <c r="N919" s="124" t="inlineStr">
        <is>
          <t xml:space="preserve">300-490 шт - </t>
        </is>
      </c>
      <c r="O919" s="47" t="inlineStr">
        <is>
          <t xml:space="preserve"> руб / шт с НДС</t>
        </is>
      </c>
      <c r="P919" s="125">
        <f>ROUND(K919,2)</f>
        <v/>
      </c>
      <c r="Q919" s="207">
        <f>CONCATENATE(N919,P919,O919,)</f>
        <v/>
      </c>
      <c r="R919" s="240" t="n"/>
      <c r="T919" s="241" t="n"/>
      <c r="U919" s="240" t="n"/>
      <c r="V919" s="241" t="n"/>
      <c r="Z919" s="240" t="n"/>
      <c r="AB919" s="241" t="n"/>
      <c r="AC919" s="240" t="n"/>
      <c r="AD919" s="241" t="n"/>
      <c r="AE919" t="n">
        <v>1.71</v>
      </c>
    </row>
    <row r="920">
      <c r="B920" s="42" t="n">
        <v>185</v>
      </c>
      <c r="C920" s="118">
        <f>INDIRECT("'Закуп'!A" &amp; B920)</f>
        <v/>
      </c>
      <c r="D920" s="119">
        <f>C920*1.2</f>
        <v/>
      </c>
      <c r="G920" s="172">
        <f>IF(INDIRECT("'Закуп'!L" &amp; B920)="Sale","Sale","")</f>
        <v/>
      </c>
      <c r="H920" s="158">
        <f>IF(INDIRECT("'Закуп'!F" &amp; B920)=0,"",INDIRECT("'Закуп'!F" &amp; B920))</f>
        <v/>
      </c>
      <c r="I920" s="120" t="n">
        <v>500</v>
      </c>
      <c r="J920" s="121">
        <f>K920/1.2</f>
        <v/>
      </c>
      <c r="K920" s="242" t="n">
        <v>1</v>
      </c>
      <c r="L920" s="122">
        <f>J920-C920-(J920-C920)*0.2</f>
        <v/>
      </c>
      <c r="M920" s="123">
        <f>L920*I920</f>
        <v/>
      </c>
      <c r="N920" s="124" t="inlineStr">
        <is>
          <t xml:space="preserve">500-990 шт - </t>
        </is>
      </c>
      <c r="O920" s="47" t="inlineStr">
        <is>
          <t xml:space="preserve"> руб / шт с НДС</t>
        </is>
      </c>
      <c r="P920" s="125">
        <f>ROUND(K920,2)</f>
        <v/>
      </c>
      <c r="Q920" s="207">
        <f>CONCATENATE(N920,P920,O920,)</f>
        <v/>
      </c>
      <c r="R920" s="240" t="n"/>
      <c r="T920" s="241" t="n"/>
      <c r="U920" s="240" t="n"/>
      <c r="V920" s="241" t="n"/>
      <c r="Z920" s="240" t="n"/>
      <c r="AB920" s="241" t="n"/>
      <c r="AC920" s="240" t="n"/>
      <c r="AD920" s="241" t="n"/>
      <c r="AE920" t="n">
        <v>1.61</v>
      </c>
    </row>
    <row r="921">
      <c r="B921" s="42" t="n">
        <v>185</v>
      </c>
      <c r="C921" s="118">
        <f>INDIRECT("'Закуп'!A" &amp; B921)</f>
        <v/>
      </c>
      <c r="D921" s="119">
        <f>C921*1.2</f>
        <v/>
      </c>
      <c r="G921" s="172">
        <f>IF(INDIRECT("'Закуп'!L" &amp; B921)="Sale","Sale","")</f>
        <v/>
      </c>
      <c r="H921" s="158">
        <f>IF(INDIRECT("'Закуп'!F" &amp; B921)=0,"",INDIRECT("'Закуп'!F" &amp; B921))</f>
        <v/>
      </c>
      <c r="I921" s="120" t="n">
        <v>1000</v>
      </c>
      <c r="J921" s="121">
        <f>K921/1.2</f>
        <v/>
      </c>
      <c r="K921" s="242" t="n">
        <v>0.95</v>
      </c>
      <c r="L921" s="122">
        <f>J921-C921-(J921-C921)*0.2</f>
        <v/>
      </c>
      <c r="M921" s="123">
        <f>L921*I921</f>
        <v/>
      </c>
      <c r="N921" s="124" t="inlineStr">
        <is>
          <t xml:space="preserve">1000 + шт - </t>
        </is>
      </c>
      <c r="O921" s="47" t="inlineStr">
        <is>
          <t xml:space="preserve"> руб / шт с НДС</t>
        </is>
      </c>
      <c r="P921" s="125">
        <f>ROUND(K921,2)</f>
        <v/>
      </c>
      <c r="Q921" s="207">
        <f>CONCATENATE(N921,P921,O921,)</f>
        <v/>
      </c>
      <c r="R921" s="240" t="n"/>
      <c r="T921" s="241" t="n"/>
      <c r="U921" s="240" t="n"/>
      <c r="V921" s="241" t="n"/>
      <c r="Z921" s="240" t="n"/>
      <c r="AB921" s="241" t="n"/>
      <c r="AC921" s="240" t="n"/>
      <c r="AD921" s="241" t="n"/>
      <c r="AE921" t="n">
        <v>1.5</v>
      </c>
    </row>
    <row r="922">
      <c r="A922" s="232" t="n">
        <v>186</v>
      </c>
      <c r="B922" s="42" t="n">
        <v>186</v>
      </c>
      <c r="C922" s="118">
        <f>INDIRECT("'Закуп'!A" &amp; B922)</f>
        <v/>
      </c>
      <c r="D922" s="119">
        <f>C922*1.2</f>
        <v/>
      </c>
      <c r="E922" s="224">
        <f>INDIRECT("'Закуп'!D" &amp; A922)</f>
        <v/>
      </c>
      <c r="F922" s="231">
        <f>INDIRECT("'Закуп'!E" &amp; B922)</f>
        <v/>
      </c>
      <c r="G922" s="172">
        <f>IF(INDIRECT("'Закуп'!L" &amp; B922)="Sale","Sale","")</f>
        <v/>
      </c>
      <c r="H922" s="158">
        <f>IF(INDIRECT("'Закуп'!F" &amp; B922)=0,"",INDIRECT("'Закуп'!F" &amp; B922))</f>
        <v/>
      </c>
      <c r="I922" s="120" t="n">
        <v>50</v>
      </c>
      <c r="J922" s="121">
        <f>K922/1.2</f>
        <v/>
      </c>
      <c r="K922" s="242" t="n">
        <v>1.51</v>
      </c>
      <c r="L922" s="122">
        <f>J922-C922-(J922-C922)*0.2</f>
        <v/>
      </c>
      <c r="M922" s="123">
        <f>L922*I922</f>
        <v/>
      </c>
      <c r="N922" s="124" t="inlineStr">
        <is>
          <t xml:space="preserve">50-90 шт - </t>
        </is>
      </c>
      <c r="O922" s="47" t="inlineStr">
        <is>
          <t xml:space="preserve"> руб / шт с НДС</t>
        </is>
      </c>
      <c r="P922" s="125">
        <f>ROUND(K922,2)</f>
        <v/>
      </c>
      <c r="Q922" s="207">
        <f>CONCATENATE(N922,P922,O922,)</f>
        <v/>
      </c>
      <c r="R922" s="235">
        <f>INDIRECT("'Закуп'!k" &amp; A922)</f>
        <v/>
      </c>
      <c r="S922" s="239">
        <f>INDIRECT("'Закуп'!o" &amp; A922)</f>
        <v/>
      </c>
      <c r="T922" s="226">
        <f>INDIRECT("'Закуп'!p" &amp; A922)</f>
        <v/>
      </c>
      <c r="U922" s="235">
        <f>INDIRECT("'Закуп'!v" &amp; A922)</f>
        <v/>
      </c>
      <c r="V922" s="222">
        <f>INDIRECT("'Закуп'!w" &amp; A922)</f>
        <v/>
      </c>
      <c r="W922" s="229">
        <f>INDIRECT("'Закуп'!H" &amp; A922)</f>
        <v/>
      </c>
      <c r="X922" s="237">
        <f>INDIRECT("'Закуп'!g" &amp; A922)</f>
        <v/>
      </c>
      <c r="Y922" s="229">
        <f>INDIRECT("'Закуп'!i" &amp; A922)</f>
        <v/>
      </c>
      <c r="Z922" s="236">
        <f>INDIRECT("'Закуп'!x" &amp; A922)</f>
        <v/>
      </c>
      <c r="AA922" s="237">
        <f>INDIRECT("'Закуп'!y" &amp; A922)</f>
        <v/>
      </c>
      <c r="AB922" s="238">
        <f>INDIRECT("'Закуп'!z" &amp; A922)</f>
        <v/>
      </c>
      <c r="AC922" s="223">
        <f>SUBSTITUTE(INDEX(F:F, ROUNDUP((ROW(A921))/5,0)*5 - 3), "х", "x")</f>
        <v/>
      </c>
      <c r="AD922" s="222">
        <f>SUBSTITUTE(INDEX(F:F, ROUNDUP((ROW(A921))/5,0)*5 - 3), "х", "x") &amp; " - " &amp; SUBSTITUTE(SUBSTITUTE(INDEX(F:F, ROUNDUP((ROW(A921))/5,0)*5 - 3), "х", "*"), "x", "*") &amp; " мм"</f>
        <v/>
      </c>
      <c r="AE922" t="n">
        <v>2.46</v>
      </c>
    </row>
    <row r="923">
      <c r="B923" s="42" t="n">
        <v>186</v>
      </c>
      <c r="C923" s="118">
        <f>INDIRECT("'Закуп'!A" &amp; B923)</f>
        <v/>
      </c>
      <c r="D923" s="119">
        <f>C923*1.2</f>
        <v/>
      </c>
      <c r="G923" s="172">
        <f>IF(INDIRECT("'Закуп'!L" &amp; B923)="Sale","Sale","")</f>
        <v/>
      </c>
      <c r="H923" s="158">
        <f>IF(INDIRECT("'Закуп'!F" &amp; B923)=0,"",INDIRECT("'Закуп'!F" &amp; B923))</f>
        <v/>
      </c>
      <c r="I923" s="120" t="n">
        <v>100</v>
      </c>
      <c r="J923" s="121">
        <f>K923/1.2</f>
        <v/>
      </c>
      <c r="K923" s="242" t="n">
        <v>1.29</v>
      </c>
      <c r="L923" s="122">
        <f>J923-C923-(J923-C923)*0.2</f>
        <v/>
      </c>
      <c r="M923" s="123">
        <f>L923*I923</f>
        <v/>
      </c>
      <c r="N923" s="124" t="inlineStr">
        <is>
          <t xml:space="preserve">100-290 шт - </t>
        </is>
      </c>
      <c r="O923" s="47" t="inlineStr">
        <is>
          <t xml:space="preserve"> руб / шт с НДС</t>
        </is>
      </c>
      <c r="P923" s="125">
        <f>ROUND(K923,2)</f>
        <v/>
      </c>
      <c r="Q923" s="207">
        <f>CONCATENATE(N923,P923,O923,)</f>
        <v/>
      </c>
      <c r="R923" s="240" t="n"/>
      <c r="T923" s="241" t="n"/>
      <c r="U923" s="240" t="n"/>
      <c r="V923" s="241" t="n"/>
      <c r="Z923" s="240" t="n"/>
      <c r="AB923" s="241" t="n"/>
      <c r="AC923" s="240" t="n"/>
      <c r="AD923" s="241" t="n"/>
      <c r="AE923" t="n">
        <v>2.14</v>
      </c>
    </row>
    <row r="924">
      <c r="B924" s="42" t="n">
        <v>186</v>
      </c>
      <c r="C924" s="118">
        <f>INDIRECT("'Закуп'!A" &amp; B924)</f>
        <v/>
      </c>
      <c r="D924" s="119">
        <f>C924*1.2</f>
        <v/>
      </c>
      <c r="G924" s="172">
        <f>IF(INDIRECT("'Закуп'!L" &amp; B924)="Sale","Sale","")</f>
        <v/>
      </c>
      <c r="H924" s="158">
        <f>IF(INDIRECT("'Закуп'!F" &amp; B924)=0,"",INDIRECT("'Закуп'!F" &amp; B924))</f>
        <v/>
      </c>
      <c r="I924" s="120" t="n">
        <v>300</v>
      </c>
      <c r="J924" s="121">
        <f>K924/1.2</f>
        <v/>
      </c>
      <c r="K924" s="242" t="n">
        <v>1.21</v>
      </c>
      <c r="L924" s="122">
        <f>J924-C924-(J924-C924)*0.2</f>
        <v/>
      </c>
      <c r="M924" s="123">
        <f>L924*I924</f>
        <v/>
      </c>
      <c r="N924" s="124" t="inlineStr">
        <is>
          <t xml:space="preserve">300-490 шт - </t>
        </is>
      </c>
      <c r="O924" s="47" t="inlineStr">
        <is>
          <t xml:space="preserve"> руб / шт с НДС</t>
        </is>
      </c>
      <c r="P924" s="125">
        <f>ROUND(K924,2)</f>
        <v/>
      </c>
      <c r="Q924" s="207">
        <f>CONCATENATE(N924,P924,O924,)</f>
        <v/>
      </c>
      <c r="R924" s="240" t="n"/>
      <c r="T924" s="241" t="n"/>
      <c r="U924" s="240" t="n"/>
      <c r="V924" s="241" t="n"/>
      <c r="Z924" s="240" t="n"/>
      <c r="AB924" s="241" t="n"/>
      <c r="AC924" s="240" t="n"/>
      <c r="AD924" s="241" t="n"/>
      <c r="AE924" t="n">
        <v>1.93</v>
      </c>
    </row>
    <row r="925">
      <c r="B925" s="42" t="n">
        <v>186</v>
      </c>
      <c r="C925" s="118">
        <f>INDIRECT("'Закуп'!A" &amp; B925)</f>
        <v/>
      </c>
      <c r="D925" s="119">
        <f>C925*1.2</f>
        <v/>
      </c>
      <c r="G925" s="172">
        <f>IF(INDIRECT("'Закуп'!L" &amp; B925)="Sale","Sale","")</f>
        <v/>
      </c>
      <c r="H925" s="158">
        <f>IF(INDIRECT("'Закуп'!F" &amp; B925)=0,"",INDIRECT("'Закуп'!F" &amp; B925))</f>
        <v/>
      </c>
      <c r="I925" s="120" t="n">
        <v>500</v>
      </c>
      <c r="J925" s="121">
        <f>K925/1.2</f>
        <v/>
      </c>
      <c r="K925" s="242" t="n">
        <v>1.15</v>
      </c>
      <c r="L925" s="122">
        <f>J925-C925-(J925-C925)*0.2</f>
        <v/>
      </c>
      <c r="M925" s="123">
        <f>L925*I925</f>
        <v/>
      </c>
      <c r="N925" s="124" t="inlineStr">
        <is>
          <t xml:space="preserve">500-990 шт - </t>
        </is>
      </c>
      <c r="O925" s="47" t="inlineStr">
        <is>
          <t xml:space="preserve"> руб / шт с НДС</t>
        </is>
      </c>
      <c r="P925" s="125">
        <f>ROUND(K925,2)</f>
        <v/>
      </c>
      <c r="Q925" s="207">
        <f>CONCATENATE(N925,P925,O925,)</f>
        <v/>
      </c>
      <c r="R925" s="240" t="n"/>
      <c r="T925" s="241" t="n"/>
      <c r="U925" s="240" t="n"/>
      <c r="V925" s="241" t="n"/>
      <c r="Z925" s="240" t="n"/>
      <c r="AB925" s="241" t="n"/>
      <c r="AC925" s="240" t="n"/>
      <c r="AD925" s="241" t="n"/>
      <c r="AE925" t="n">
        <v>1.71</v>
      </c>
    </row>
    <row r="926">
      <c r="B926" s="42" t="n">
        <v>186</v>
      </c>
      <c r="C926" s="118">
        <f>INDIRECT("'Закуп'!A" &amp; B926)</f>
        <v/>
      </c>
      <c r="D926" s="119">
        <f>C926*1.2</f>
        <v/>
      </c>
      <c r="G926" s="172">
        <f>IF(INDIRECT("'Закуп'!L" &amp; B926)="Sale","Sale","")</f>
        <v/>
      </c>
      <c r="H926" s="158">
        <f>IF(INDIRECT("'Закуп'!F" &amp; B926)=0,"",INDIRECT("'Закуп'!F" &amp; B926))</f>
        <v/>
      </c>
      <c r="I926" s="120" t="n">
        <v>1000</v>
      </c>
      <c r="J926" s="121">
        <f>K926/1.2</f>
        <v/>
      </c>
      <c r="K926" s="242" t="n">
        <v>1.11</v>
      </c>
      <c r="L926" s="122">
        <f>J926-C926-(J926-C926)*0.2</f>
        <v/>
      </c>
      <c r="M926" s="123">
        <f>L926*I926</f>
        <v/>
      </c>
      <c r="N926" s="124" t="inlineStr">
        <is>
          <t xml:space="preserve">1000 + шт - </t>
        </is>
      </c>
      <c r="O926" s="47" t="inlineStr">
        <is>
          <t xml:space="preserve"> руб / шт с НДС</t>
        </is>
      </c>
      <c r="P926" s="125">
        <f>ROUND(K926,2)</f>
        <v/>
      </c>
      <c r="Q926" s="207">
        <f>CONCATENATE(N926,P926,O926,)</f>
        <v/>
      </c>
      <c r="R926" s="240" t="n"/>
      <c r="T926" s="241" t="n"/>
      <c r="U926" s="240" t="n"/>
      <c r="V926" s="241" t="n"/>
      <c r="Z926" s="240" t="n"/>
      <c r="AB926" s="241" t="n"/>
      <c r="AC926" s="240" t="n"/>
      <c r="AD926" s="241" t="n"/>
      <c r="AE926" t="n">
        <v>1.61</v>
      </c>
    </row>
    <row r="927">
      <c r="A927" s="232" t="n">
        <v>187</v>
      </c>
      <c r="B927" s="42" t="n">
        <v>187</v>
      </c>
      <c r="C927" s="118">
        <f>INDIRECT("'Закуп'!A" &amp; B927)</f>
        <v/>
      </c>
      <c r="D927" s="119">
        <f>C927*1.2</f>
        <v/>
      </c>
      <c r="E927" s="224">
        <f>INDIRECT("'Закуп'!D" &amp; A927)</f>
        <v/>
      </c>
      <c r="F927" s="231">
        <f>INDIRECT("'Закуп'!E" &amp; B927)</f>
        <v/>
      </c>
      <c r="G927" s="172">
        <f>IF(INDIRECT("'Закуп'!L" &amp; B927)="Sale","Sale","")</f>
        <v/>
      </c>
      <c r="H927" s="158">
        <f>IF(INDIRECT("'Закуп'!F" &amp; B927)=0,"",INDIRECT("'Закуп'!F" &amp; B927))</f>
        <v/>
      </c>
      <c r="I927" s="120" t="n">
        <v>50</v>
      </c>
      <c r="J927" s="121">
        <f>K927/1.2</f>
        <v/>
      </c>
      <c r="K927" s="242" t="n">
        <v>1.98</v>
      </c>
      <c r="L927" s="122">
        <f>J927-C927-(J927-C927)*0.2</f>
        <v/>
      </c>
      <c r="M927" s="123">
        <f>L927*I927</f>
        <v/>
      </c>
      <c r="N927" s="124" t="inlineStr">
        <is>
          <t xml:space="preserve">50-90 шт - </t>
        </is>
      </c>
      <c r="O927" s="47" t="inlineStr">
        <is>
          <t xml:space="preserve"> руб / шт с НДС</t>
        </is>
      </c>
      <c r="P927" s="125">
        <f>ROUND(K927,2)</f>
        <v/>
      </c>
      <c r="Q927" s="207">
        <f>CONCATENATE(N927,P927,O927,)</f>
        <v/>
      </c>
      <c r="R927" s="235">
        <f>INDIRECT("'Закуп'!k" &amp; A927)</f>
        <v/>
      </c>
      <c r="S927" s="239">
        <f>INDIRECT("'Закуп'!o" &amp; A927)</f>
        <v/>
      </c>
      <c r="T927" s="226">
        <f>INDIRECT("'Закуп'!p" &amp; A927)</f>
        <v/>
      </c>
      <c r="U927" s="235">
        <f>INDIRECT("'Закуп'!v" &amp; A927)</f>
        <v/>
      </c>
      <c r="V927" s="222">
        <f>INDIRECT("'Закуп'!w" &amp; A927)</f>
        <v/>
      </c>
      <c r="W927" s="229">
        <f>INDIRECT("'Закуп'!H" &amp; A927)</f>
        <v/>
      </c>
      <c r="X927" s="237">
        <f>INDIRECT("'Закуп'!g" &amp; A927)</f>
        <v/>
      </c>
      <c r="Y927" s="229">
        <f>INDIRECT("'Закуп'!i" &amp; A927)</f>
        <v/>
      </c>
      <c r="Z927" s="236">
        <f>INDIRECT("'Закуп'!x" &amp; A927)</f>
        <v/>
      </c>
      <c r="AA927" s="237">
        <f>INDIRECT("'Закуп'!y" &amp; A927)</f>
        <v/>
      </c>
      <c r="AB927" s="238">
        <f>INDIRECT("'Закуп'!z" &amp; A927)</f>
        <v/>
      </c>
      <c r="AC927" s="223">
        <f>SUBSTITUTE(INDEX(F:F, ROUNDUP((ROW(A926))/5,0)*5 - 3), "х", "x")</f>
        <v/>
      </c>
      <c r="AD927" s="222">
        <f>SUBSTITUTE(INDEX(F:F, ROUNDUP((ROW(A926))/5,0)*5 - 3), "х", "x") &amp; " - " &amp; SUBSTITUTE(SUBSTITUTE(INDEX(F:F, ROUNDUP((ROW(A926))/5,0)*5 - 3), "х", "*"), "x", "*") &amp; " мм"</f>
        <v/>
      </c>
      <c r="AE927" t="n">
        <v>2.14</v>
      </c>
    </row>
    <row r="928">
      <c r="B928" s="42" t="n">
        <v>187</v>
      </c>
      <c r="C928" s="118">
        <f>INDIRECT("'Закуп'!A" &amp; B928)</f>
        <v/>
      </c>
      <c r="D928" s="119">
        <f>C928*1.2</f>
        <v/>
      </c>
      <c r="G928" s="172">
        <f>IF(INDIRECT("'Закуп'!L" &amp; B928)="Sale","Sale","")</f>
        <v/>
      </c>
      <c r="H928" s="158">
        <f>IF(INDIRECT("'Закуп'!F" &amp; B928)=0,"",INDIRECT("'Закуп'!F" &amp; B928))</f>
        <v/>
      </c>
      <c r="I928" s="120" t="n">
        <v>100</v>
      </c>
      <c r="J928" s="121">
        <f>K928/1.2</f>
        <v/>
      </c>
      <c r="K928" s="242" t="n">
        <v>1.75</v>
      </c>
      <c r="L928" s="122">
        <f>J928-C928-(J928-C928)*0.2</f>
        <v/>
      </c>
      <c r="M928" s="123">
        <f>L928*I928</f>
        <v/>
      </c>
      <c r="N928" s="124" t="inlineStr">
        <is>
          <t xml:space="preserve">100-290 шт - </t>
        </is>
      </c>
      <c r="O928" s="47" t="inlineStr">
        <is>
          <t xml:space="preserve"> руб / шт с НДС</t>
        </is>
      </c>
      <c r="P928" s="125">
        <f>ROUND(K928,2)</f>
        <v/>
      </c>
      <c r="Q928" s="207">
        <f>CONCATENATE(N928,P928,O928,)</f>
        <v/>
      </c>
      <c r="R928" s="240" t="n"/>
      <c r="T928" s="241" t="n"/>
      <c r="U928" s="240" t="n"/>
      <c r="V928" s="241" t="n"/>
      <c r="Z928" s="240" t="n"/>
      <c r="AB928" s="241" t="n"/>
      <c r="AC928" s="240" t="n"/>
      <c r="AD928" s="241" t="n"/>
      <c r="AE928" t="n">
        <v>1.87</v>
      </c>
    </row>
    <row r="929">
      <c r="B929" s="42" t="n">
        <v>187</v>
      </c>
      <c r="C929" s="118">
        <f>INDIRECT("'Закуп'!A" &amp; B929)</f>
        <v/>
      </c>
      <c r="D929" s="119">
        <f>C929*1.2</f>
        <v/>
      </c>
      <c r="G929" s="172">
        <f>IF(INDIRECT("'Закуп'!L" &amp; B929)="Sale","Sale","")</f>
        <v/>
      </c>
      <c r="H929" s="158">
        <f>IF(INDIRECT("'Закуп'!F" &amp; B929)=0,"",INDIRECT("'Закуп'!F" &amp; B929))</f>
        <v/>
      </c>
      <c r="I929" s="120" t="n">
        <v>300</v>
      </c>
      <c r="J929" s="121">
        <f>K929/1.2</f>
        <v/>
      </c>
      <c r="K929" s="242" t="n">
        <v>1.52</v>
      </c>
      <c r="L929" s="122">
        <f>J929-C929-(J929-C929)*0.2</f>
        <v/>
      </c>
      <c r="M929" s="123">
        <f>L929*I929</f>
        <v/>
      </c>
      <c r="N929" s="124" t="inlineStr">
        <is>
          <t xml:space="preserve">300-490 шт - </t>
        </is>
      </c>
      <c r="O929" s="47" t="inlineStr">
        <is>
          <t xml:space="preserve"> руб / шт с НДС</t>
        </is>
      </c>
      <c r="P929" s="125">
        <f>ROUND(K929,2)</f>
        <v/>
      </c>
      <c r="Q929" s="207">
        <f>CONCATENATE(N929,P929,O929,)</f>
        <v/>
      </c>
      <c r="R929" s="240" t="n"/>
      <c r="T929" s="241" t="n"/>
      <c r="U929" s="240" t="n"/>
      <c r="V929" s="241" t="n"/>
      <c r="Z929" s="240" t="n"/>
      <c r="AB929" s="241" t="n"/>
      <c r="AC929" s="240" t="n"/>
      <c r="AD929" s="241" t="n"/>
      <c r="AE929" t="n">
        <v>1.61</v>
      </c>
    </row>
    <row r="930">
      <c r="B930" s="42" t="n">
        <v>187</v>
      </c>
      <c r="C930" s="118">
        <f>INDIRECT("'Закуп'!A" &amp; B930)</f>
        <v/>
      </c>
      <c r="D930" s="119">
        <f>C930*1.2</f>
        <v/>
      </c>
      <c r="G930" s="172">
        <f>IF(INDIRECT("'Закуп'!L" &amp; B930)="Sale","Sale","")</f>
        <v/>
      </c>
      <c r="H930" s="158">
        <f>IF(INDIRECT("'Закуп'!F" &amp; B930)=0,"",INDIRECT("'Закуп'!F" &amp; B930))</f>
        <v/>
      </c>
      <c r="I930" s="120" t="n">
        <v>500</v>
      </c>
      <c r="J930" s="121">
        <f>K930/1.2</f>
        <v/>
      </c>
      <c r="K930" s="242" t="n">
        <v>1.4</v>
      </c>
      <c r="L930" s="122">
        <f>J930-C930-(J930-C930)*0.2</f>
        <v/>
      </c>
      <c r="M930" s="123">
        <f>L930*I930</f>
        <v/>
      </c>
      <c r="N930" s="124" t="inlineStr">
        <is>
          <t xml:space="preserve">500-990 шт - </t>
        </is>
      </c>
      <c r="O930" s="47" t="inlineStr">
        <is>
          <t xml:space="preserve"> руб / шт с НДС</t>
        </is>
      </c>
      <c r="P930" s="125">
        <f>ROUND(K930,2)</f>
        <v/>
      </c>
      <c r="Q930" s="207">
        <f>CONCATENATE(N930,P930,O930,)</f>
        <v/>
      </c>
      <c r="R930" s="240" t="n"/>
      <c r="T930" s="241" t="n"/>
      <c r="U930" s="240" t="n"/>
      <c r="V930" s="241" t="n"/>
      <c r="Z930" s="240" t="n"/>
      <c r="AB930" s="241" t="n"/>
      <c r="AC930" s="240" t="n"/>
      <c r="AD930" s="241" t="n"/>
      <c r="AE930" t="n">
        <v>1.39</v>
      </c>
    </row>
    <row r="931">
      <c r="B931" s="42" t="n">
        <v>187</v>
      </c>
      <c r="C931" s="118">
        <f>INDIRECT("'Закуп'!A" &amp; B931)</f>
        <v/>
      </c>
      <c r="D931" s="119">
        <f>C931*1.2</f>
        <v/>
      </c>
      <c r="G931" s="172">
        <f>IF(INDIRECT("'Закуп'!L" &amp; B931)="Sale","Sale","")</f>
        <v/>
      </c>
      <c r="H931" s="158">
        <f>IF(INDIRECT("'Закуп'!F" &amp; B931)=0,"",INDIRECT("'Закуп'!F" &amp; B931))</f>
        <v/>
      </c>
      <c r="I931" s="120" t="n">
        <v>1000</v>
      </c>
      <c r="J931" s="121">
        <f>K931/1.2</f>
        <v/>
      </c>
      <c r="K931" s="242" t="n">
        <v>1.17</v>
      </c>
      <c r="L931" s="122">
        <f>J931-C931-(J931-C931)*0.2</f>
        <v/>
      </c>
      <c r="M931" s="123">
        <f>L931*I931</f>
        <v/>
      </c>
      <c r="N931" s="124" t="inlineStr">
        <is>
          <t xml:space="preserve">1000 + шт - </t>
        </is>
      </c>
      <c r="O931" s="47" t="inlineStr">
        <is>
          <t xml:space="preserve"> руб / шт с НДС</t>
        </is>
      </c>
      <c r="P931" s="125">
        <f>ROUND(K931,2)</f>
        <v/>
      </c>
      <c r="Q931" s="207">
        <f>CONCATENATE(N931,P931,O931,)</f>
        <v/>
      </c>
      <c r="R931" s="240" t="n"/>
      <c r="T931" s="241" t="n"/>
      <c r="U931" s="240" t="n"/>
      <c r="V931" s="241" t="n"/>
      <c r="Z931" s="240" t="n"/>
      <c r="AB931" s="241" t="n"/>
      <c r="AC931" s="240" t="n"/>
      <c r="AD931" s="241" t="n"/>
      <c r="AE931" t="n">
        <v>1.28</v>
      </c>
    </row>
    <row r="932">
      <c r="A932" s="232" t="n">
        <v>188</v>
      </c>
      <c r="B932" s="42" t="n">
        <v>188</v>
      </c>
      <c r="C932" s="118">
        <f>INDIRECT("'Закуп'!A" &amp; B932)</f>
        <v/>
      </c>
      <c r="D932" s="119">
        <f>C932*1.2</f>
        <v/>
      </c>
      <c r="E932" s="224">
        <f>INDIRECT("'Закуп'!D" &amp; A932)</f>
        <v/>
      </c>
      <c r="F932" s="231">
        <f>INDIRECT("'Закуп'!E" &amp; B932)</f>
        <v/>
      </c>
      <c r="G932" s="172">
        <f>IF(INDIRECT("'Закуп'!L" &amp; B932)="Sale","Sale","")</f>
        <v/>
      </c>
      <c r="H932" s="158">
        <f>IF(INDIRECT("'Закуп'!F" &amp; B932)=0,"",INDIRECT("'Закуп'!F" &amp; B932))</f>
        <v/>
      </c>
      <c r="I932" s="120" t="n">
        <v>50</v>
      </c>
      <c r="J932" s="121">
        <f>K932/1.2</f>
        <v/>
      </c>
      <c r="K932" s="242" t="n">
        <v>2.89</v>
      </c>
      <c r="L932" s="122">
        <f>J932-C932-(J932-C932)*0.2</f>
        <v/>
      </c>
      <c r="M932" s="123">
        <f>L932*I932</f>
        <v/>
      </c>
      <c r="N932" s="124" t="inlineStr">
        <is>
          <t xml:space="preserve">50-90 шт - </t>
        </is>
      </c>
      <c r="O932" s="47" t="inlineStr">
        <is>
          <t xml:space="preserve"> руб / шт с НДС</t>
        </is>
      </c>
      <c r="P932" s="125">
        <f>ROUND(K932,2)</f>
        <v/>
      </c>
      <c r="Q932" s="207">
        <f>CONCATENATE(N932,P932,O932,)</f>
        <v/>
      </c>
      <c r="R932" s="235">
        <f>INDIRECT("'Закуп'!k" &amp; A932)</f>
        <v/>
      </c>
      <c r="S932" s="239">
        <f>INDIRECT("'Закуп'!o" &amp; A932)</f>
        <v/>
      </c>
      <c r="T932" s="226">
        <f>INDIRECT("'Закуп'!p" &amp; A932)</f>
        <v/>
      </c>
      <c r="U932" s="235">
        <f>INDIRECT("'Закуп'!v" &amp; A932)</f>
        <v/>
      </c>
      <c r="V932" s="222">
        <f>INDIRECT("'Закуп'!w" &amp; A932)</f>
        <v/>
      </c>
      <c r="W932" s="229">
        <f>INDIRECT("'Закуп'!H" &amp; A932)</f>
        <v/>
      </c>
      <c r="X932" s="237">
        <f>INDIRECT("'Закуп'!g" &amp; A932)</f>
        <v/>
      </c>
      <c r="Y932" s="229">
        <f>INDIRECT("'Закуп'!i" &amp; A932)</f>
        <v/>
      </c>
      <c r="Z932" s="236">
        <f>INDIRECT("'Закуп'!x" &amp; A932)</f>
        <v/>
      </c>
      <c r="AA932" s="237">
        <f>INDIRECT("'Закуп'!y" &amp; A932)</f>
        <v/>
      </c>
      <c r="AB932" s="238">
        <f>INDIRECT("'Закуп'!z" &amp; A932)</f>
        <v/>
      </c>
      <c r="AC932" s="223">
        <f>SUBSTITUTE(INDEX(F:F, ROUNDUP((ROW(A931))/5,0)*5 - 3), "х", "x")</f>
        <v/>
      </c>
      <c r="AD932" s="222">
        <f>SUBSTITUTE(INDEX(F:F, ROUNDUP((ROW(A931))/5,0)*5 - 3), "х", "x") &amp; " - " &amp; SUBSTITUTE(SUBSTITUTE(INDEX(F:F, ROUNDUP((ROW(A931))/5,0)*5 - 3), "х", "*"), "x", "*") &amp; " мм"</f>
        <v/>
      </c>
      <c r="AE932" t="n">
        <v>4.39</v>
      </c>
    </row>
    <row r="933">
      <c r="B933" s="42" t="n">
        <v>188</v>
      </c>
      <c r="C933" s="118">
        <f>INDIRECT("'Закуп'!A" &amp; B933)</f>
        <v/>
      </c>
      <c r="D933" s="119">
        <f>C933*1.2</f>
        <v/>
      </c>
      <c r="G933" s="172">
        <f>IF(INDIRECT("'Закуп'!L" &amp; B933)="Sale","Sale","")</f>
        <v/>
      </c>
      <c r="H933" s="158">
        <f>IF(INDIRECT("'Закуп'!F" &amp; B933)=0,"",INDIRECT("'Закуп'!F" &amp; B933))</f>
        <v/>
      </c>
      <c r="I933" s="120" t="n">
        <v>100</v>
      </c>
      <c r="J933" s="121">
        <f>K933/1.2</f>
        <v/>
      </c>
      <c r="K933" s="242" t="n">
        <v>2.49</v>
      </c>
      <c r="L933" s="122">
        <f>J933-C933-(J933-C933)*0.2</f>
        <v/>
      </c>
      <c r="M933" s="123">
        <f>L933*I933</f>
        <v/>
      </c>
      <c r="N933" s="124" t="inlineStr">
        <is>
          <t xml:space="preserve">100-290 шт - </t>
        </is>
      </c>
      <c r="O933" s="47" t="inlineStr">
        <is>
          <t xml:space="preserve"> руб / шт с НДС</t>
        </is>
      </c>
      <c r="P933" s="125">
        <f>ROUND(K933,2)</f>
        <v/>
      </c>
      <c r="Q933" s="207">
        <f>CONCATENATE(N933,P933,O933,)</f>
        <v/>
      </c>
      <c r="R933" s="240" t="n"/>
      <c r="T933" s="241" t="n"/>
      <c r="U933" s="240" t="n"/>
      <c r="V933" s="241" t="n"/>
      <c r="Z933" s="240" t="n"/>
      <c r="AB933" s="241" t="n"/>
      <c r="AC933" s="240" t="n"/>
      <c r="AD933" s="241" t="n"/>
      <c r="AE933" t="n">
        <v>3.47</v>
      </c>
    </row>
    <row r="934">
      <c r="B934" s="42" t="n">
        <v>188</v>
      </c>
      <c r="C934" s="118">
        <f>INDIRECT("'Закуп'!A" &amp; B934)</f>
        <v/>
      </c>
      <c r="D934" s="119">
        <f>C934*1.2</f>
        <v/>
      </c>
      <c r="G934" s="172">
        <f>IF(INDIRECT("'Закуп'!L" &amp; B934)="Sale","Sale","")</f>
        <v/>
      </c>
      <c r="H934" s="158">
        <f>IF(INDIRECT("'Закуп'!F" &amp; B934)=0,"",INDIRECT("'Закуп'!F" &amp; B934))</f>
        <v/>
      </c>
      <c r="I934" s="120" t="n">
        <v>300</v>
      </c>
      <c r="J934" s="121">
        <f>K934/1.2</f>
        <v/>
      </c>
      <c r="K934" s="242" t="n">
        <v>2.14</v>
      </c>
      <c r="L934" s="122">
        <f>J934-C934-(J934-C934)*0.2</f>
        <v/>
      </c>
      <c r="M934" s="123">
        <f>L934*I934</f>
        <v/>
      </c>
      <c r="N934" s="124" t="inlineStr">
        <is>
          <t xml:space="preserve">300-490 шт - </t>
        </is>
      </c>
      <c r="O934" s="47" t="inlineStr">
        <is>
          <t xml:space="preserve"> руб / шт с НДС</t>
        </is>
      </c>
      <c r="P934" s="125">
        <f>ROUND(K934,2)</f>
        <v/>
      </c>
      <c r="Q934" s="207">
        <f>CONCATENATE(N934,P934,O934,)</f>
        <v/>
      </c>
      <c r="R934" s="240" t="n"/>
      <c r="T934" s="241" t="n"/>
      <c r="U934" s="240" t="n"/>
      <c r="V934" s="241" t="n"/>
      <c r="Z934" s="240" t="n"/>
      <c r="AB934" s="241" t="n"/>
      <c r="AC934" s="240" t="n"/>
      <c r="AD934" s="241" t="n"/>
      <c r="AE934" t="n">
        <v>2.86</v>
      </c>
    </row>
    <row r="935">
      <c r="B935" s="42" t="n">
        <v>188</v>
      </c>
      <c r="C935" s="118">
        <f>INDIRECT("'Закуп'!A" &amp; B935)</f>
        <v/>
      </c>
      <c r="D935" s="119">
        <f>C935*1.2</f>
        <v/>
      </c>
      <c r="G935" s="172">
        <f>IF(INDIRECT("'Закуп'!L" &amp; B935)="Sale","Sale","")</f>
        <v/>
      </c>
      <c r="H935" s="158">
        <f>IF(INDIRECT("'Закуп'!F" &amp; B935)=0,"",INDIRECT("'Закуп'!F" &amp; B935))</f>
        <v/>
      </c>
      <c r="I935" s="120" t="n">
        <v>500</v>
      </c>
      <c r="J935" s="121">
        <f>K935/1.2</f>
        <v/>
      </c>
      <c r="K935" s="242" t="n">
        <v>2.03</v>
      </c>
      <c r="L935" s="122">
        <f>J935-C935-(J935-C935)*0.2</f>
        <v/>
      </c>
      <c r="M935" s="123">
        <f>L935*I935</f>
        <v/>
      </c>
      <c r="N935" s="124" t="inlineStr">
        <is>
          <t xml:space="preserve">500-990 шт - </t>
        </is>
      </c>
      <c r="O935" s="47" t="inlineStr">
        <is>
          <t xml:space="preserve"> руб / шт с НДС</t>
        </is>
      </c>
      <c r="P935" s="125">
        <f>ROUND(K935,2)</f>
        <v/>
      </c>
      <c r="Q935" s="207">
        <f>CONCATENATE(N935,P935,O935,)</f>
        <v/>
      </c>
      <c r="R935" s="240" t="n"/>
      <c r="T935" s="241" t="n"/>
      <c r="U935" s="240" t="n"/>
      <c r="V935" s="241" t="n"/>
      <c r="Z935" s="240" t="n"/>
      <c r="AB935" s="241" t="n"/>
      <c r="AC935" s="240" t="n"/>
      <c r="AD935" s="241" t="n"/>
      <c r="AE935" t="n">
        <v>2.77</v>
      </c>
    </row>
    <row r="936">
      <c r="B936" s="42" t="n">
        <v>188</v>
      </c>
      <c r="C936" s="118">
        <f>INDIRECT("'Закуп'!A" &amp; B936)</f>
        <v/>
      </c>
      <c r="D936" s="119">
        <f>C936*1.2</f>
        <v/>
      </c>
      <c r="G936" s="172">
        <f>IF(INDIRECT("'Закуп'!L" &amp; B936)="Sale","Sale","")</f>
        <v/>
      </c>
      <c r="H936" s="158">
        <f>IF(INDIRECT("'Закуп'!F" &amp; B936)=0,"",INDIRECT("'Закуп'!F" &amp; B936))</f>
        <v/>
      </c>
      <c r="I936" s="120" t="n">
        <v>1000</v>
      </c>
      <c r="J936" s="121">
        <f>K936/1.2</f>
        <v/>
      </c>
      <c r="K936" s="242" t="n">
        <v>1.96</v>
      </c>
      <c r="L936" s="122">
        <f>J936-C936-(J936-C936)*0.2</f>
        <v/>
      </c>
      <c r="M936" s="123">
        <f>L936*I936</f>
        <v/>
      </c>
      <c r="N936" s="124" t="inlineStr">
        <is>
          <t xml:space="preserve">1000 + шт - </t>
        </is>
      </c>
      <c r="O936" s="47" t="inlineStr">
        <is>
          <t xml:space="preserve"> руб / шт с НДС</t>
        </is>
      </c>
      <c r="P936" s="125">
        <f>ROUND(K936,2)</f>
        <v/>
      </c>
      <c r="Q936" s="207">
        <f>CONCATENATE(N936,P936,O936,)</f>
        <v/>
      </c>
      <c r="R936" s="240" t="n"/>
      <c r="T936" s="241" t="n"/>
      <c r="U936" s="240" t="n"/>
      <c r="V936" s="241" t="n"/>
      <c r="Z936" s="240" t="n"/>
      <c r="AB936" s="241" t="n"/>
      <c r="AC936" s="240" t="n"/>
      <c r="AD936" s="241" t="n"/>
      <c r="AE936" t="n">
        <v>2.68</v>
      </c>
    </row>
    <row r="937">
      <c r="A937" s="232" t="n">
        <v>189</v>
      </c>
      <c r="B937" s="42" t="n">
        <v>189</v>
      </c>
      <c r="C937" s="118">
        <f>INDIRECT("'Закуп'!A" &amp; B937)</f>
        <v/>
      </c>
      <c r="D937" s="119">
        <f>C937*1.2</f>
        <v/>
      </c>
      <c r="E937" s="224">
        <f>INDIRECT("'Закуп'!D" &amp; A937)</f>
        <v/>
      </c>
      <c r="F937" s="231">
        <f>INDIRECT("'Закуп'!E" &amp; B937)</f>
        <v/>
      </c>
      <c r="G937" s="172">
        <f>IF(INDIRECT("'Закуп'!L" &amp; B937)="Sale","Sale","")</f>
        <v/>
      </c>
      <c r="H937" s="158">
        <f>IF(INDIRECT("'Закуп'!F" &amp; B937)=0,"",INDIRECT("'Закуп'!F" &amp; B937))</f>
        <v/>
      </c>
      <c r="I937" s="120" t="n">
        <v>50</v>
      </c>
      <c r="J937" s="121">
        <f>K937/1.2</f>
        <v/>
      </c>
      <c r="K937" s="242" t="n">
        <v>2.16</v>
      </c>
      <c r="L937" s="122">
        <f>J937-C937-(J937-C937)*0.2</f>
        <v/>
      </c>
      <c r="M937" s="123">
        <f>L937*I937</f>
        <v/>
      </c>
      <c r="N937" s="124" t="inlineStr">
        <is>
          <t xml:space="preserve">50-90 шт - </t>
        </is>
      </c>
      <c r="O937" s="47" t="inlineStr">
        <is>
          <t xml:space="preserve"> руб / шт с НДС</t>
        </is>
      </c>
      <c r="P937" s="125">
        <f>ROUND(K937,2)</f>
        <v/>
      </c>
      <c r="Q937" s="207">
        <f>CONCATENATE(N937,P937,O937,)</f>
        <v/>
      </c>
      <c r="R937" s="235">
        <f>INDIRECT("'Закуп'!k" &amp; A937)</f>
        <v/>
      </c>
      <c r="S937" s="239">
        <f>INDIRECT("'Закуп'!o" &amp; A937)</f>
        <v/>
      </c>
      <c r="T937" s="226">
        <f>INDIRECT("'Закуп'!p" &amp; A937)</f>
        <v/>
      </c>
      <c r="U937" s="235">
        <f>INDIRECT("'Закуп'!v" &amp; A937)</f>
        <v/>
      </c>
      <c r="V937" s="222">
        <f>INDIRECT("'Закуп'!w" &amp; A937)</f>
        <v/>
      </c>
      <c r="W937" s="229">
        <f>INDIRECT("'Закуп'!H" &amp; A937)</f>
        <v/>
      </c>
      <c r="X937" s="237">
        <f>INDIRECT("'Закуп'!g" &amp; A937)</f>
        <v/>
      </c>
      <c r="Y937" s="229">
        <f>INDIRECT("'Закуп'!i" &amp; A937)</f>
        <v/>
      </c>
      <c r="Z937" s="236">
        <f>INDIRECT("'Закуп'!x" &amp; A937)</f>
        <v/>
      </c>
      <c r="AA937" s="237">
        <f>INDIRECT("'Закуп'!y" &amp; A937)</f>
        <v/>
      </c>
      <c r="AB937" s="238">
        <f>INDIRECT("'Закуп'!z" &amp; A937)</f>
        <v/>
      </c>
      <c r="AC937" s="223">
        <f>SUBSTITUTE(INDEX(F:F, ROUNDUP((ROW(A936))/5,0)*5 - 3), "х", "x")</f>
        <v/>
      </c>
      <c r="AD937" s="222">
        <f>SUBSTITUTE(INDEX(F:F, ROUNDUP((ROW(A936))/5,0)*5 - 3), "х", "x") &amp; " - " &amp; SUBSTITUTE(SUBSTITUTE(INDEX(F:F, ROUNDUP((ROW(A936))/5,0)*5 - 3), "х", "*"), "x", "*") &amp; " мм"</f>
        <v/>
      </c>
      <c r="AE937" t="n">
        <v>3.23</v>
      </c>
    </row>
    <row r="938">
      <c r="B938" s="42" t="n">
        <v>189</v>
      </c>
      <c r="C938" s="118">
        <f>INDIRECT("'Закуп'!A" &amp; B938)</f>
        <v/>
      </c>
      <c r="D938" s="119">
        <f>C938*1.2</f>
        <v/>
      </c>
      <c r="G938" s="172">
        <f>IF(INDIRECT("'Закуп'!L" &amp; B938)="Sale","Sale","")</f>
        <v/>
      </c>
      <c r="H938" s="158">
        <f>IF(INDIRECT("'Закуп'!F" &amp; B938)=0,"",INDIRECT("'Закуп'!F" &amp; B938))</f>
        <v/>
      </c>
      <c r="I938" s="120" t="n">
        <v>100</v>
      </c>
      <c r="J938" s="121">
        <f>K938/1.2</f>
        <v/>
      </c>
      <c r="K938" s="242" t="n">
        <v>1.84</v>
      </c>
      <c r="L938" s="122">
        <f>J938-C938-(J938-C938)*0.2</f>
        <v/>
      </c>
      <c r="M938" s="123">
        <f>L938*I938</f>
        <v/>
      </c>
      <c r="N938" s="124" t="inlineStr">
        <is>
          <t xml:space="preserve">100-290 шт - </t>
        </is>
      </c>
      <c r="O938" s="47" t="inlineStr">
        <is>
          <t xml:space="preserve"> руб / шт с НДС</t>
        </is>
      </c>
      <c r="P938" s="125">
        <f>ROUND(K938,2)</f>
        <v/>
      </c>
      <c r="Q938" s="207">
        <f>CONCATENATE(N938,P938,O938,)</f>
        <v/>
      </c>
      <c r="R938" s="240" t="n"/>
      <c r="T938" s="241" t="n"/>
      <c r="U938" s="240" t="n"/>
      <c r="V938" s="241" t="n"/>
      <c r="Z938" s="240" t="n"/>
      <c r="AB938" s="241" t="n"/>
      <c r="AC938" s="240" t="n"/>
      <c r="AD938" s="241" t="n"/>
      <c r="AE938" t="n">
        <v>2.59</v>
      </c>
    </row>
    <row r="939">
      <c r="B939" s="42" t="n">
        <v>189</v>
      </c>
      <c r="C939" s="118">
        <f>INDIRECT("'Закуп'!A" &amp; B939)</f>
        <v/>
      </c>
      <c r="D939" s="119">
        <f>C939*1.2</f>
        <v/>
      </c>
      <c r="G939" s="172">
        <f>IF(INDIRECT("'Закуп'!L" &amp; B939)="Sale","Sale","")</f>
        <v/>
      </c>
      <c r="H939" s="158">
        <f>IF(INDIRECT("'Закуп'!F" &amp; B939)=0,"",INDIRECT("'Закуп'!F" &amp; B939))</f>
        <v/>
      </c>
      <c r="I939" s="120" t="n">
        <v>300</v>
      </c>
      <c r="J939" s="121">
        <f>K939/1.2</f>
        <v/>
      </c>
      <c r="K939" s="242" t="n">
        <v>1.73</v>
      </c>
      <c r="L939" s="122">
        <f>J939-C939-(J939-C939)*0.2</f>
        <v/>
      </c>
      <c r="M939" s="123">
        <f>L939*I939</f>
        <v/>
      </c>
      <c r="N939" s="124" t="inlineStr">
        <is>
          <t xml:space="preserve">300-490 шт - </t>
        </is>
      </c>
      <c r="O939" s="47" t="inlineStr">
        <is>
          <t xml:space="preserve"> руб / шт с НДС</t>
        </is>
      </c>
      <c r="P939" s="125">
        <f>ROUND(K939,2)</f>
        <v/>
      </c>
      <c r="Q939" s="207">
        <f>CONCATENATE(N939,P939,O939,)</f>
        <v/>
      </c>
      <c r="R939" s="240" t="n"/>
      <c r="T939" s="241" t="n"/>
      <c r="U939" s="240" t="n"/>
      <c r="V939" s="241" t="n"/>
      <c r="Z939" s="240" t="n"/>
      <c r="AB939" s="241" t="n"/>
      <c r="AC939" s="240" t="n"/>
      <c r="AD939" s="241" t="n"/>
      <c r="AE939" t="n">
        <v>2.33</v>
      </c>
    </row>
    <row r="940">
      <c r="B940" s="42" t="n">
        <v>189</v>
      </c>
      <c r="C940" s="118">
        <f>INDIRECT("'Закуп'!A" &amp; B940)</f>
        <v/>
      </c>
      <c r="D940" s="119">
        <f>C940*1.2</f>
        <v/>
      </c>
      <c r="G940" s="172">
        <f>IF(INDIRECT("'Закуп'!L" &amp; B940)="Sale","Sale","")</f>
        <v/>
      </c>
      <c r="H940" s="158">
        <f>IF(INDIRECT("'Закуп'!F" &amp; B940)=0,"",INDIRECT("'Закуп'!F" &amp; B940))</f>
        <v/>
      </c>
      <c r="I940" s="120" t="n">
        <v>500</v>
      </c>
      <c r="J940" s="121">
        <f>K940/1.2</f>
        <v/>
      </c>
      <c r="K940" s="242" t="n">
        <v>1.61</v>
      </c>
      <c r="L940" s="122">
        <f>J940-C940-(J940-C940)*0.2</f>
        <v/>
      </c>
      <c r="M940" s="123">
        <f>L940*I940</f>
        <v/>
      </c>
      <c r="N940" s="124" t="inlineStr">
        <is>
          <t xml:space="preserve">500-990 шт - </t>
        </is>
      </c>
      <c r="O940" s="47" t="inlineStr">
        <is>
          <t xml:space="preserve"> руб / шт с НДС</t>
        </is>
      </c>
      <c r="P940" s="125">
        <f>ROUND(K940,2)</f>
        <v/>
      </c>
      <c r="Q940" s="207">
        <f>CONCATENATE(N940,P940,O940,)</f>
        <v/>
      </c>
      <c r="R940" s="240" t="n"/>
      <c r="T940" s="241" t="n"/>
      <c r="U940" s="240" t="n"/>
      <c r="V940" s="241" t="n"/>
      <c r="Z940" s="240" t="n"/>
      <c r="AB940" s="241" t="n"/>
      <c r="AC940" s="240" t="n"/>
      <c r="AD940" s="241" t="n"/>
      <c r="AE940" t="n">
        <v>2.11</v>
      </c>
    </row>
    <row r="941">
      <c r="B941" s="42" t="n">
        <v>189</v>
      </c>
      <c r="C941" s="118">
        <f>INDIRECT("'Закуп'!A" &amp; B941)</f>
        <v/>
      </c>
      <c r="D941" s="119">
        <f>C941*1.2</f>
        <v/>
      </c>
      <c r="G941" s="172">
        <f>IF(INDIRECT("'Закуп'!L" &amp; B941)="Sale","Sale","")</f>
        <v/>
      </c>
      <c r="H941" s="158">
        <f>IF(INDIRECT("'Закуп'!F" &amp; B941)=0,"",INDIRECT("'Закуп'!F" &amp; B941))</f>
        <v/>
      </c>
      <c r="I941" s="120" t="n">
        <v>1000</v>
      </c>
      <c r="J941" s="121">
        <f>K941/1.2</f>
        <v/>
      </c>
      <c r="K941" s="242" t="n">
        <v>1.56</v>
      </c>
      <c r="L941" s="122">
        <f>J941-C941-(J941-C941)*0.2</f>
        <v/>
      </c>
      <c r="M941" s="123">
        <f>L941*I941</f>
        <v/>
      </c>
      <c r="N941" s="124" t="inlineStr">
        <is>
          <t xml:space="preserve">1000 + шт - </t>
        </is>
      </c>
      <c r="O941" s="47" t="inlineStr">
        <is>
          <t xml:space="preserve"> руб / шт с НДС</t>
        </is>
      </c>
      <c r="P941" s="125">
        <f>ROUND(K941,2)</f>
        <v/>
      </c>
      <c r="Q941" s="207">
        <f>CONCATENATE(N941,P941,O941,)</f>
        <v/>
      </c>
      <c r="R941" s="240" t="n"/>
      <c r="T941" s="241" t="n"/>
      <c r="U941" s="240" t="n"/>
      <c r="V941" s="241" t="n"/>
      <c r="Z941" s="240" t="n"/>
      <c r="AB941" s="241" t="n"/>
      <c r="AC941" s="240" t="n"/>
      <c r="AD941" s="241" t="n"/>
      <c r="AE941" t="n">
        <v>2</v>
      </c>
    </row>
    <row r="942">
      <c r="A942" s="232" t="n">
        <v>190</v>
      </c>
      <c r="B942" s="42" t="n">
        <v>190</v>
      </c>
      <c r="C942" s="118">
        <f>INDIRECT("'Закуп'!A" &amp; B942)</f>
        <v/>
      </c>
      <c r="D942" s="119">
        <f>C942*1.2</f>
        <v/>
      </c>
      <c r="E942" s="224">
        <f>INDIRECT("'Закуп'!D" &amp; A942)</f>
        <v/>
      </c>
      <c r="F942" s="231">
        <f>INDIRECT("'Закуп'!E" &amp; B942)</f>
        <v/>
      </c>
      <c r="G942" s="172">
        <f>IF(INDIRECT("'Закуп'!L" &amp; B942)="Sale","Sale","")</f>
        <v/>
      </c>
      <c r="H942" s="158">
        <f>IF(INDIRECT("'Закуп'!F" &amp; B942)=0,"",INDIRECT("'Закуп'!F" &amp; B942))</f>
        <v/>
      </c>
      <c r="I942" s="120" t="n">
        <v>50</v>
      </c>
      <c r="J942" s="121">
        <f>K942/1.2</f>
        <v/>
      </c>
      <c r="K942" s="242" t="n">
        <v>1.22</v>
      </c>
      <c r="L942" s="122">
        <f>J942-C942-(J942-C942)*0.2</f>
        <v/>
      </c>
      <c r="M942" s="123">
        <f>L942*I942</f>
        <v/>
      </c>
      <c r="N942" s="124" t="inlineStr">
        <is>
          <t xml:space="preserve">50-90 шт - </t>
        </is>
      </c>
      <c r="O942" s="47" t="inlineStr">
        <is>
          <t xml:space="preserve"> руб / шт с НДС</t>
        </is>
      </c>
      <c r="P942" s="125">
        <f>ROUND(K942,2)</f>
        <v/>
      </c>
      <c r="Q942" s="207">
        <f>CONCATENATE(N942,P942,O942,)</f>
        <v/>
      </c>
      <c r="R942" s="235">
        <f>INDIRECT("'Закуп'!k" &amp; A942)</f>
        <v/>
      </c>
      <c r="S942" s="239">
        <f>INDIRECT("'Закуп'!o" &amp; A942)</f>
        <v/>
      </c>
      <c r="T942" s="226">
        <f>INDIRECT("'Закуп'!p" &amp; A942)</f>
        <v/>
      </c>
      <c r="U942" s="235">
        <f>INDIRECT("'Закуп'!v" &amp; A942)</f>
        <v/>
      </c>
      <c r="V942" s="222">
        <f>INDIRECT("'Закуп'!w" &amp; A942)</f>
        <v/>
      </c>
      <c r="W942" s="229">
        <f>INDIRECT("'Закуп'!H" &amp; A942)</f>
        <v/>
      </c>
      <c r="X942" s="237">
        <f>INDIRECT("'Закуп'!g" &amp; A942)</f>
        <v/>
      </c>
      <c r="Y942" s="229">
        <f>INDIRECT("'Закуп'!i" &amp; A942)</f>
        <v/>
      </c>
      <c r="Z942" s="236">
        <f>INDIRECT("'Закуп'!x" &amp; A942)</f>
        <v/>
      </c>
      <c r="AA942" s="237">
        <f>INDIRECT("'Закуп'!y" &amp; A942)</f>
        <v/>
      </c>
      <c r="AB942" s="238">
        <f>INDIRECT("'Закуп'!z" &amp; A942)</f>
        <v/>
      </c>
      <c r="AC942" s="223">
        <f>SUBSTITUTE(INDEX(F:F, ROUNDUP((ROW(A941))/5,0)*5 - 3), "х", "x")</f>
        <v/>
      </c>
      <c r="AD942" s="222">
        <f>SUBSTITUTE(INDEX(F:F, ROUNDUP((ROW(A941))/5,0)*5 - 3), "х", "x") &amp; " - " &amp; SUBSTITUTE(SUBSTITUTE(INDEX(F:F, ROUNDUP((ROW(A941))/5,0)*5 - 3), "х", "*"), "x", "*") &amp; " мм"</f>
        <v/>
      </c>
      <c r="AE942" t="n">
        <v>0.95</v>
      </c>
    </row>
    <row r="943">
      <c r="B943" s="42" t="n">
        <v>190</v>
      </c>
      <c r="C943" s="118">
        <f>INDIRECT("'Закуп'!A" &amp; B943)</f>
        <v/>
      </c>
      <c r="D943" s="119">
        <f>C943*1.2</f>
        <v/>
      </c>
      <c r="G943" s="172">
        <f>IF(INDIRECT("'Закуп'!L" &amp; B943)="Sale","Sale","")</f>
        <v/>
      </c>
      <c r="H943" s="158">
        <f>IF(INDIRECT("'Закуп'!F" &amp; B943)=0,"",INDIRECT("'Закуп'!F" &amp; B943))</f>
        <v/>
      </c>
      <c r="I943" s="120" t="n">
        <v>100</v>
      </c>
      <c r="J943" s="121">
        <f>K943/1.2</f>
        <v/>
      </c>
      <c r="K943" s="242" t="n">
        <v>1.07</v>
      </c>
      <c r="L943" s="122">
        <f>J943-C943-(J943-C943)*0.2</f>
        <v/>
      </c>
      <c r="M943" s="123">
        <f>L943*I943</f>
        <v/>
      </c>
      <c r="N943" s="124" t="inlineStr">
        <is>
          <t xml:space="preserve">100-290 шт - </t>
        </is>
      </c>
      <c r="O943" s="47" t="inlineStr">
        <is>
          <t xml:space="preserve"> руб / шт с НДС</t>
        </is>
      </c>
      <c r="P943" s="125">
        <f>ROUND(K943,2)</f>
        <v/>
      </c>
      <c r="Q943" s="207">
        <f>CONCATENATE(N943,P943,O943,)</f>
        <v/>
      </c>
      <c r="R943" s="240" t="n"/>
      <c r="T943" s="241" t="n"/>
      <c r="U943" s="240" t="n"/>
      <c r="V943" s="241" t="n"/>
      <c r="Z943" s="240" t="n"/>
      <c r="AB943" s="241" t="n"/>
      <c r="AC943" s="240" t="n"/>
      <c r="AD943" s="241" t="n"/>
      <c r="AE943" t="n">
        <v>0.79</v>
      </c>
    </row>
    <row r="944">
      <c r="B944" s="42" t="n">
        <v>190</v>
      </c>
      <c r="C944" s="118">
        <f>INDIRECT("'Закуп'!A" &amp; B944)</f>
        <v/>
      </c>
      <c r="D944" s="119">
        <f>C944*1.2</f>
        <v/>
      </c>
      <c r="G944" s="172">
        <f>IF(INDIRECT("'Закуп'!L" &amp; B944)="Sale","Sale","")</f>
        <v/>
      </c>
      <c r="H944" s="158">
        <f>IF(INDIRECT("'Закуп'!F" &amp; B944)=0,"",INDIRECT("'Закуп'!F" &amp; B944))</f>
        <v/>
      </c>
      <c r="I944" s="120" t="n">
        <v>300</v>
      </c>
      <c r="J944" s="121">
        <f>K944/1.2</f>
        <v/>
      </c>
      <c r="K944" s="242" t="n">
        <v>0.93</v>
      </c>
      <c r="L944" s="122">
        <f>J944-C944-(J944-C944)*0.2</f>
        <v/>
      </c>
      <c r="M944" s="123">
        <f>L944*I944</f>
        <v/>
      </c>
      <c r="N944" s="124" t="inlineStr">
        <is>
          <t xml:space="preserve">300-490 шт - </t>
        </is>
      </c>
      <c r="O944" s="47" t="inlineStr">
        <is>
          <t xml:space="preserve"> руб / шт с НДС</t>
        </is>
      </c>
      <c r="P944" s="125">
        <f>ROUND(K944,2)</f>
        <v/>
      </c>
      <c r="Q944" s="207">
        <f>CONCATENATE(N944,P944,O944,)</f>
        <v/>
      </c>
      <c r="R944" s="240" t="n"/>
      <c r="T944" s="241" t="n"/>
      <c r="U944" s="240" t="n"/>
      <c r="V944" s="241" t="n"/>
      <c r="Z944" s="240" t="n"/>
      <c r="AB944" s="241" t="n"/>
      <c r="AC944" s="240" t="n"/>
      <c r="AD944" s="241" t="n"/>
      <c r="AE944" t="n">
        <v>0.73</v>
      </c>
    </row>
    <row r="945">
      <c r="B945" s="42" t="n">
        <v>190</v>
      </c>
      <c r="C945" s="118">
        <f>INDIRECT("'Закуп'!A" &amp; B945)</f>
        <v/>
      </c>
      <c r="D945" s="119">
        <f>C945*1.2</f>
        <v/>
      </c>
      <c r="G945" s="172">
        <f>IF(INDIRECT("'Закуп'!L" &amp; B945)="Sale","Sale","")</f>
        <v/>
      </c>
      <c r="H945" s="158">
        <f>IF(INDIRECT("'Закуп'!F" &amp; B945)=0,"",INDIRECT("'Закуп'!F" &amp; B945))</f>
        <v/>
      </c>
      <c r="I945" s="120" t="n">
        <v>500</v>
      </c>
      <c r="J945" s="121">
        <f>K945/1.2</f>
        <v/>
      </c>
      <c r="K945" s="242" t="n">
        <v>0.86</v>
      </c>
      <c r="L945" s="122">
        <f>J945-C945-(J945-C945)*0.2</f>
        <v/>
      </c>
      <c r="M945" s="123">
        <f>L945*I945</f>
        <v/>
      </c>
      <c r="N945" s="124" t="inlineStr">
        <is>
          <t xml:space="preserve">500-990 шт - </t>
        </is>
      </c>
      <c r="O945" s="47" t="inlineStr">
        <is>
          <t xml:space="preserve"> руб / шт с НДС</t>
        </is>
      </c>
      <c r="P945" s="125">
        <f>ROUND(K945,2)</f>
        <v/>
      </c>
      <c r="Q945" s="207">
        <f>CONCATENATE(N945,P945,O945,)</f>
        <v/>
      </c>
      <c r="R945" s="240" t="n"/>
      <c r="T945" s="241" t="n"/>
      <c r="U945" s="240" t="n"/>
      <c r="V945" s="241" t="n"/>
      <c r="Z945" s="240" t="n"/>
      <c r="AB945" s="241" t="n"/>
      <c r="AC945" s="240" t="n"/>
      <c r="AD945" s="241" t="n"/>
      <c r="AE945" t="n">
        <v>0.66</v>
      </c>
    </row>
    <row r="946">
      <c r="B946" s="42" t="n">
        <v>190</v>
      </c>
      <c r="C946" s="118">
        <f>INDIRECT("'Закуп'!A" &amp; B946)</f>
        <v/>
      </c>
      <c r="D946" s="119">
        <f>C946*1.2</f>
        <v/>
      </c>
      <c r="G946" s="172">
        <f>IF(INDIRECT("'Закуп'!L" &amp; B946)="Sale","Sale","")</f>
        <v/>
      </c>
      <c r="H946" s="158">
        <f>IF(INDIRECT("'Закуп'!F" &amp; B946)=0,"",INDIRECT("'Закуп'!F" &amp; B946))</f>
        <v/>
      </c>
      <c r="I946" s="120" t="n">
        <v>1000</v>
      </c>
      <c r="J946" s="121">
        <f>K946/1.2</f>
        <v/>
      </c>
      <c r="K946" s="242" t="n">
        <v>0.72</v>
      </c>
      <c r="L946" s="122">
        <f>J946-C946-(J946-C946)*0.2</f>
        <v/>
      </c>
      <c r="M946" s="123">
        <f>L946*I946</f>
        <v/>
      </c>
      <c r="N946" s="124" t="inlineStr">
        <is>
          <t xml:space="preserve">1000 + шт - </t>
        </is>
      </c>
      <c r="O946" s="47" t="inlineStr">
        <is>
          <t xml:space="preserve"> руб / шт с НДС</t>
        </is>
      </c>
      <c r="P946" s="125">
        <f>ROUND(K946,2)</f>
        <v/>
      </c>
      <c r="Q946" s="207">
        <f>CONCATENATE(N946,P946,O946,)</f>
        <v/>
      </c>
      <c r="R946" s="240" t="n"/>
      <c r="T946" s="241" t="n"/>
      <c r="U946" s="240" t="n"/>
      <c r="V946" s="241" t="n"/>
      <c r="Z946" s="240" t="n"/>
      <c r="AB946" s="241" t="n"/>
      <c r="AC946" s="240" t="n"/>
      <c r="AD946" s="241" t="n"/>
      <c r="AE946" t="n">
        <v>0.62</v>
      </c>
    </row>
    <row r="947">
      <c r="A947" s="232" t="n">
        <v>191</v>
      </c>
      <c r="B947" s="42" t="n">
        <v>191</v>
      </c>
      <c r="C947" s="118">
        <f>INDIRECT("'Закуп'!A" &amp; B947)</f>
        <v/>
      </c>
      <c r="D947" s="119">
        <f>C947*1.2</f>
        <v/>
      </c>
      <c r="E947" s="224">
        <f>INDIRECT("'Закуп'!D" &amp; A947)</f>
        <v/>
      </c>
      <c r="F947" s="231">
        <f>INDIRECT("'Закуп'!E" &amp; B947)</f>
        <v/>
      </c>
      <c r="G947" s="172">
        <f>IF(INDIRECT("'Закуп'!L" &amp; B947)="Sale","Sale","")</f>
        <v/>
      </c>
      <c r="H947" s="158">
        <f>IF(INDIRECT("'Закуп'!F" &amp; B947)=0,"",INDIRECT("'Закуп'!F" &amp; B947))</f>
        <v/>
      </c>
      <c r="I947" s="120" t="n">
        <v>50</v>
      </c>
      <c r="J947" s="121">
        <f>K947/1.2</f>
        <v/>
      </c>
      <c r="K947" s="242" t="n">
        <v>1.5</v>
      </c>
      <c r="L947" s="122">
        <f>J947-C947-(J947-C947)*0.2</f>
        <v/>
      </c>
      <c r="M947" s="123">
        <f>L947*I947</f>
        <v/>
      </c>
      <c r="N947" s="124" t="inlineStr">
        <is>
          <t xml:space="preserve">50-90 шт - </t>
        </is>
      </c>
      <c r="O947" s="47" t="inlineStr">
        <is>
          <t xml:space="preserve"> руб / шт с НДС</t>
        </is>
      </c>
      <c r="P947" s="125">
        <f>ROUND(K947,2)</f>
        <v/>
      </c>
      <c r="Q947" s="207">
        <f>CONCATENATE(N947,P947,O947,)</f>
        <v/>
      </c>
      <c r="R947" s="235">
        <f>INDIRECT("'Закуп'!k" &amp; A947)</f>
        <v/>
      </c>
      <c r="S947" s="239">
        <f>INDIRECT("'Закуп'!o" &amp; A947)</f>
        <v/>
      </c>
      <c r="T947" s="226">
        <f>INDIRECT("'Закуп'!p" &amp; A947)</f>
        <v/>
      </c>
      <c r="U947" s="235">
        <f>INDIRECT("'Закуп'!v" &amp; A947)</f>
        <v/>
      </c>
      <c r="V947" s="222">
        <f>INDIRECT("'Закуп'!w" &amp; A947)</f>
        <v/>
      </c>
      <c r="W947" s="229">
        <f>INDIRECT("'Закуп'!H" &amp; A947)</f>
        <v/>
      </c>
      <c r="X947" s="237">
        <f>INDIRECT("'Закуп'!g" &amp; A947)</f>
        <v/>
      </c>
      <c r="Y947" s="229">
        <f>INDIRECT("'Закуп'!i" &amp; A947)</f>
        <v/>
      </c>
      <c r="Z947" s="236">
        <f>INDIRECT("'Закуп'!x" &amp; A947)</f>
        <v/>
      </c>
      <c r="AA947" s="237">
        <f>INDIRECT("'Закуп'!y" &amp; A947)</f>
        <v/>
      </c>
      <c r="AB947" s="238">
        <f>INDIRECT("'Закуп'!z" &amp; A947)</f>
        <v/>
      </c>
      <c r="AC947" s="223">
        <f>SUBSTITUTE(INDEX(F:F, ROUNDUP((ROW(A946))/5,0)*5 - 3), "х", "x")</f>
        <v/>
      </c>
      <c r="AD947" s="222">
        <f>SUBSTITUTE(INDEX(F:F, ROUNDUP((ROW(A946))/5,0)*5 - 3), "х", "x") &amp; " - " &amp; SUBSTITUTE(SUBSTITUTE(INDEX(F:F, ROUNDUP((ROW(A946))/5,0)*5 - 3), "х", "*"), "x", "*") &amp; " мм"</f>
        <v/>
      </c>
      <c r="AE947" t="n">
        <v>1.19</v>
      </c>
    </row>
    <row r="948">
      <c r="B948" s="42" t="n">
        <v>191</v>
      </c>
      <c r="C948" s="118">
        <f>INDIRECT("'Закуп'!A" &amp; B948)</f>
        <v/>
      </c>
      <c r="D948" s="119">
        <f>C948*1.2</f>
        <v/>
      </c>
      <c r="G948" s="172">
        <f>IF(INDIRECT("'Закуп'!L" &amp; B948)="Sale","Sale","")</f>
        <v/>
      </c>
      <c r="H948" s="158">
        <f>IF(INDIRECT("'Закуп'!F" &amp; B948)=0,"",INDIRECT("'Закуп'!F" &amp; B948))</f>
        <v/>
      </c>
      <c r="I948" s="120" t="n">
        <v>100</v>
      </c>
      <c r="J948" s="121">
        <f>K948/1.2</f>
        <v/>
      </c>
      <c r="K948" s="242" t="n">
        <v>1.32</v>
      </c>
      <c r="L948" s="122">
        <f>J948-C948-(J948-C948)*0.2</f>
        <v/>
      </c>
      <c r="M948" s="123">
        <f>L948*I948</f>
        <v/>
      </c>
      <c r="N948" s="124" t="inlineStr">
        <is>
          <t xml:space="preserve">100-290 шт - </t>
        </is>
      </c>
      <c r="O948" s="47" t="inlineStr">
        <is>
          <t xml:space="preserve"> руб / шт с НДС</t>
        </is>
      </c>
      <c r="P948" s="125">
        <f>ROUND(K948,2)</f>
        <v/>
      </c>
      <c r="Q948" s="207">
        <f>CONCATENATE(N948,P948,O948,)</f>
        <v/>
      </c>
      <c r="R948" s="240" t="n"/>
      <c r="T948" s="241" t="n"/>
      <c r="U948" s="240" t="n"/>
      <c r="V948" s="241" t="n"/>
      <c r="Z948" s="240" t="n"/>
      <c r="AB948" s="241" t="n"/>
      <c r="AC948" s="240" t="n"/>
      <c r="AD948" s="241" t="n"/>
      <c r="AE948" t="n">
        <v>1.01</v>
      </c>
    </row>
    <row r="949">
      <c r="B949" s="42" t="n">
        <v>191</v>
      </c>
      <c r="C949" s="118">
        <f>INDIRECT("'Закуп'!A" &amp; B949)</f>
        <v/>
      </c>
      <c r="D949" s="119">
        <f>C949*1.2</f>
        <v/>
      </c>
      <c r="G949" s="172">
        <f>IF(INDIRECT("'Закуп'!L" &amp; B949)="Sale","Sale","")</f>
        <v/>
      </c>
      <c r="H949" s="158">
        <f>IF(INDIRECT("'Закуп'!F" &amp; B949)=0,"",INDIRECT("'Закуп'!F" &amp; B949))</f>
        <v/>
      </c>
      <c r="I949" s="120" t="n">
        <v>300</v>
      </c>
      <c r="J949" s="121">
        <f>K949/1.2</f>
        <v/>
      </c>
      <c r="K949" s="242" t="n">
        <v>1.15</v>
      </c>
      <c r="L949" s="122">
        <f>J949-C949-(J949-C949)*0.2</f>
        <v/>
      </c>
      <c r="M949" s="123">
        <f>L949*I949</f>
        <v/>
      </c>
      <c r="N949" s="124" t="inlineStr">
        <is>
          <t xml:space="preserve">300-490 шт - </t>
        </is>
      </c>
      <c r="O949" s="47" t="inlineStr">
        <is>
          <t xml:space="preserve"> руб / шт с НДС</t>
        </is>
      </c>
      <c r="P949" s="125">
        <f>ROUND(K949,2)</f>
        <v/>
      </c>
      <c r="Q949" s="207">
        <f>CONCATENATE(N949,P949,O949,)</f>
        <v/>
      </c>
      <c r="R949" s="240" t="n"/>
      <c r="T949" s="241" t="n"/>
      <c r="U949" s="240" t="n"/>
      <c r="V949" s="241" t="n"/>
      <c r="Z949" s="240" t="n"/>
      <c r="AB949" s="241" t="n"/>
      <c r="AC949" s="240" t="n"/>
      <c r="AD949" s="241" t="n"/>
      <c r="AE949" t="n">
        <v>0.92</v>
      </c>
    </row>
    <row r="950">
      <c r="B950" s="42" t="n">
        <v>191</v>
      </c>
      <c r="C950" s="118">
        <f>INDIRECT("'Закуп'!A" &amp; B950)</f>
        <v/>
      </c>
      <c r="D950" s="119">
        <f>C950*1.2</f>
        <v/>
      </c>
      <c r="G950" s="172">
        <f>IF(INDIRECT("'Закуп'!L" &amp; B950)="Sale","Sale","")</f>
        <v/>
      </c>
      <c r="H950" s="158">
        <f>IF(INDIRECT("'Закуп'!F" &amp; B950)=0,"",INDIRECT("'Закуп'!F" &amp; B950))</f>
        <v/>
      </c>
      <c r="I950" s="120" t="n">
        <v>500</v>
      </c>
      <c r="J950" s="121">
        <f>K950/1.2</f>
        <v/>
      </c>
      <c r="K950" s="242" t="n">
        <v>1.06</v>
      </c>
      <c r="L950" s="122">
        <f>J950-C950-(J950-C950)*0.2</f>
        <v/>
      </c>
      <c r="M950" s="123">
        <f>L950*I950</f>
        <v/>
      </c>
      <c r="N950" s="124" t="inlineStr">
        <is>
          <t xml:space="preserve">500-990 шт - </t>
        </is>
      </c>
      <c r="O950" s="47" t="inlineStr">
        <is>
          <t xml:space="preserve"> руб / шт с НДС</t>
        </is>
      </c>
      <c r="P950" s="125">
        <f>ROUND(K950,2)</f>
        <v/>
      </c>
      <c r="Q950" s="207">
        <f>CONCATENATE(N950,P950,O950,)</f>
        <v/>
      </c>
      <c r="R950" s="240" t="n"/>
      <c r="T950" s="241" t="n"/>
      <c r="U950" s="240" t="n"/>
      <c r="V950" s="241" t="n"/>
      <c r="Z950" s="240" t="n"/>
      <c r="AB950" s="241" t="n"/>
      <c r="AC950" s="240" t="n"/>
      <c r="AD950" s="241" t="n"/>
      <c r="AE950" t="n">
        <v>0.83</v>
      </c>
    </row>
    <row r="951">
      <c r="B951" s="42" t="n">
        <v>191</v>
      </c>
      <c r="C951" s="118">
        <f>INDIRECT("'Закуп'!A" &amp; B951)</f>
        <v/>
      </c>
      <c r="D951" s="119">
        <f>C951*1.2</f>
        <v/>
      </c>
      <c r="G951" s="172">
        <f>IF(INDIRECT("'Закуп'!L" &amp; B951)="Sale","Sale","")</f>
        <v/>
      </c>
      <c r="H951" s="158">
        <f>IF(INDIRECT("'Закуп'!F" &amp; B951)=0,"",INDIRECT("'Закуп'!F" &amp; B951))</f>
        <v/>
      </c>
      <c r="I951" s="120" t="n">
        <v>1000</v>
      </c>
      <c r="J951" s="121">
        <f>K951/1.2</f>
        <v/>
      </c>
      <c r="K951" s="242" t="n">
        <v>0.88</v>
      </c>
      <c r="L951" s="122">
        <f>J951-C951-(J951-C951)*0.2</f>
        <v/>
      </c>
      <c r="M951" s="123">
        <f>L951*I951</f>
        <v/>
      </c>
      <c r="N951" s="124" t="inlineStr">
        <is>
          <t xml:space="preserve">1000 + шт - </t>
        </is>
      </c>
      <c r="O951" s="47" t="inlineStr">
        <is>
          <t xml:space="preserve"> руб / шт с НДС</t>
        </is>
      </c>
      <c r="P951" s="125">
        <f>ROUND(K951,2)</f>
        <v/>
      </c>
      <c r="Q951" s="207">
        <f>CONCATENATE(N951,P951,O951,)</f>
        <v/>
      </c>
      <c r="R951" s="240" t="n"/>
      <c r="T951" s="241" t="n"/>
      <c r="U951" s="240" t="n"/>
      <c r="V951" s="241" t="n"/>
      <c r="Z951" s="240" t="n"/>
      <c r="AB951" s="241" t="n"/>
      <c r="AC951" s="240" t="n"/>
      <c r="AD951" s="241" t="n"/>
      <c r="AE951" t="n">
        <v>0.78</v>
      </c>
    </row>
    <row r="952">
      <c r="A952" s="232" t="n">
        <v>192</v>
      </c>
      <c r="B952" s="42" t="n">
        <v>192</v>
      </c>
      <c r="C952" s="118">
        <f>INDIRECT("'Закуп'!A" &amp; B952)</f>
        <v/>
      </c>
      <c r="D952" s="119">
        <f>C952*1.2</f>
        <v/>
      </c>
      <c r="E952" s="224">
        <f>INDIRECT("'Закуп'!D" &amp; A952)</f>
        <v/>
      </c>
      <c r="F952" s="231">
        <f>INDIRECT("'Закуп'!E" &amp; B952)</f>
        <v/>
      </c>
      <c r="G952" s="172">
        <f>IF(INDIRECT("'Закуп'!L" &amp; B952)="Sale","Sale","")</f>
        <v/>
      </c>
      <c r="H952" s="158">
        <f>IF(INDIRECT("'Закуп'!F" &amp; B952)=0,"",INDIRECT("'Закуп'!F" &amp; B952))</f>
        <v/>
      </c>
      <c r="I952" s="120" t="n">
        <v>50</v>
      </c>
      <c r="J952" s="121">
        <f>K952/1.2</f>
        <v/>
      </c>
      <c r="K952" s="70" t="n">
        <v>1.07</v>
      </c>
      <c r="L952" s="122">
        <f>J952-C952-(J952-C952)*0.2</f>
        <v/>
      </c>
      <c r="M952" s="123">
        <f>L952*I952</f>
        <v/>
      </c>
      <c r="N952" s="124" t="inlineStr">
        <is>
          <t xml:space="preserve">50-90 шт - </t>
        </is>
      </c>
      <c r="O952" s="47" t="inlineStr">
        <is>
          <t xml:space="preserve"> руб / шт с НДС</t>
        </is>
      </c>
      <c r="P952" s="125">
        <f>ROUND(K952,2)</f>
        <v/>
      </c>
      <c r="Q952" s="207">
        <f>CONCATENATE(N952,P952,O952,)</f>
        <v/>
      </c>
      <c r="R952" s="235">
        <f>INDIRECT("'Закуп'!k" &amp; A952)</f>
        <v/>
      </c>
      <c r="S952" s="239">
        <f>INDIRECT("'Закуп'!o" &amp; A952)</f>
        <v/>
      </c>
      <c r="T952" s="226">
        <f>INDIRECT("'Закуп'!p" &amp; A952)</f>
        <v/>
      </c>
      <c r="U952" s="235">
        <f>INDIRECT("'Закуп'!v" &amp; A952)</f>
        <v/>
      </c>
      <c r="V952" s="222">
        <f>INDIRECT("'Закуп'!w" &amp; A952)</f>
        <v/>
      </c>
      <c r="W952" s="229">
        <f>INDIRECT("'Закуп'!H" &amp; A952)</f>
        <v/>
      </c>
      <c r="X952" s="237">
        <f>INDIRECT("'Закуп'!g" &amp; A952)</f>
        <v/>
      </c>
      <c r="Y952" s="229">
        <f>INDIRECT("'Закуп'!i" &amp; A952)</f>
        <v/>
      </c>
      <c r="Z952" s="236">
        <f>INDIRECT("'Закуп'!x" &amp; A952)</f>
        <v/>
      </c>
      <c r="AA952" s="237">
        <f>INDIRECT("'Закуп'!y" &amp; A952)</f>
        <v/>
      </c>
      <c r="AB952" s="238">
        <f>INDIRECT("'Закуп'!z" &amp; A952)</f>
        <v/>
      </c>
      <c r="AC952" s="223">
        <f>SUBSTITUTE(INDEX(F:F, ROUNDUP((ROW(A951))/5,0)*5 - 3), "х", "x")</f>
        <v/>
      </c>
      <c r="AD952" s="222">
        <f>SUBSTITUTE(INDEX(F:F, ROUNDUP((ROW(A951))/5,0)*5 - 3), "х", "x") &amp; " - " &amp; SUBSTITUTE(SUBSTITUTE(INDEX(F:F, ROUNDUP((ROW(A951))/5,0)*5 - 3), "х", "*"), "x", "*") &amp; " мм"</f>
        <v/>
      </c>
    </row>
    <row r="953">
      <c r="B953" s="42" t="n">
        <v>192</v>
      </c>
      <c r="C953" s="118">
        <f>INDIRECT("'Закуп'!A" &amp; B953)</f>
        <v/>
      </c>
      <c r="D953" s="119">
        <f>C953*1.2</f>
        <v/>
      </c>
      <c r="G953" s="172">
        <f>IF(INDIRECT("'Закуп'!L" &amp; B953)="Sale","Sale","")</f>
        <v/>
      </c>
      <c r="H953" s="158">
        <f>IF(INDIRECT("'Закуп'!F" &amp; B953)=0,"",INDIRECT("'Закуп'!F" &amp; B953))</f>
        <v/>
      </c>
      <c r="I953" s="120" t="n">
        <v>100</v>
      </c>
      <c r="J953" s="121">
        <f>K953/1.2</f>
        <v/>
      </c>
      <c r="K953" s="70" t="n">
        <v>0.96</v>
      </c>
      <c r="L953" s="122">
        <f>J953-C953-(J953-C953)*0.2</f>
        <v/>
      </c>
      <c r="M953" s="123">
        <f>L953*I953</f>
        <v/>
      </c>
      <c r="N953" s="124" t="inlineStr">
        <is>
          <t xml:space="preserve">100-290 шт - </t>
        </is>
      </c>
      <c r="O953" s="47" t="inlineStr">
        <is>
          <t xml:space="preserve"> руб / шт с НДС</t>
        </is>
      </c>
      <c r="P953" s="125">
        <f>ROUND(K953,2)</f>
        <v/>
      </c>
      <c r="Q953" s="207">
        <f>CONCATENATE(N953,P953,O953,)</f>
        <v/>
      </c>
      <c r="R953" s="240" t="n"/>
      <c r="T953" s="241" t="n"/>
      <c r="U953" s="240" t="n"/>
      <c r="V953" s="241" t="n"/>
      <c r="Z953" s="240" t="n"/>
      <c r="AB953" s="241" t="n"/>
      <c r="AC953" s="240" t="n"/>
      <c r="AD953" s="241" t="n"/>
    </row>
    <row r="954">
      <c r="B954" s="42" t="n">
        <v>192</v>
      </c>
      <c r="C954" s="118">
        <f>INDIRECT("'Закуп'!A" &amp; B954)</f>
        <v/>
      </c>
      <c r="D954" s="119">
        <f>C954*1.2</f>
        <v/>
      </c>
      <c r="G954" s="172">
        <f>IF(INDIRECT("'Закуп'!L" &amp; B954)="Sale","Sale","")</f>
        <v/>
      </c>
      <c r="H954" s="158">
        <f>IF(INDIRECT("'Закуп'!F" &amp; B954)=0,"",INDIRECT("'Закуп'!F" &amp; B954))</f>
        <v/>
      </c>
      <c r="I954" s="120" t="n">
        <v>300</v>
      </c>
      <c r="J954" s="121">
        <f>K954/1.2</f>
        <v/>
      </c>
      <c r="K954" s="70" t="n">
        <v>0.86</v>
      </c>
      <c r="L954" s="122">
        <f>J954-C954-(J954-C954)*0.2</f>
        <v/>
      </c>
      <c r="M954" s="123">
        <f>L954*I954</f>
        <v/>
      </c>
      <c r="N954" s="124" t="inlineStr">
        <is>
          <t xml:space="preserve">300-490 шт - </t>
        </is>
      </c>
      <c r="O954" s="47" t="inlineStr">
        <is>
          <t xml:space="preserve"> руб / шт с НДС</t>
        </is>
      </c>
      <c r="P954" s="125">
        <f>ROUND(K954,2)</f>
        <v/>
      </c>
      <c r="Q954" s="207">
        <f>CONCATENATE(N954,P954,O954,)</f>
        <v/>
      </c>
      <c r="R954" s="240" t="n"/>
      <c r="T954" s="241" t="n"/>
      <c r="U954" s="240" t="n"/>
      <c r="V954" s="241" t="n"/>
      <c r="Z954" s="240" t="n"/>
      <c r="AB954" s="241" t="n"/>
      <c r="AC954" s="240" t="n"/>
      <c r="AD954" s="241" t="n"/>
    </row>
    <row r="955">
      <c r="B955" s="42" t="n">
        <v>192</v>
      </c>
      <c r="C955" s="118">
        <f>INDIRECT("'Закуп'!A" &amp; B955)</f>
        <v/>
      </c>
      <c r="D955" s="119">
        <f>C955*1.2</f>
        <v/>
      </c>
      <c r="G955" s="172">
        <f>IF(INDIRECT("'Закуп'!L" &amp; B955)="Sale","Sale","")</f>
        <v/>
      </c>
      <c r="H955" s="158">
        <f>IF(INDIRECT("'Закуп'!F" &amp; B955)=0,"",INDIRECT("'Закуп'!F" &amp; B955))</f>
        <v/>
      </c>
      <c r="I955" s="120" t="n">
        <v>500</v>
      </c>
      <c r="J955" s="121">
        <f>K955/1.2</f>
        <v/>
      </c>
      <c r="K955" s="70" t="n">
        <v>0.75</v>
      </c>
      <c r="L955" s="122">
        <f>J955-C955-(J955-C955)*0.2</f>
        <v/>
      </c>
      <c r="M955" s="123">
        <f>L955*I955</f>
        <v/>
      </c>
      <c r="N955" s="124" t="inlineStr">
        <is>
          <t xml:space="preserve">500-990 шт - </t>
        </is>
      </c>
      <c r="O955" s="47" t="inlineStr">
        <is>
          <t xml:space="preserve"> руб / шт с НДС</t>
        </is>
      </c>
      <c r="P955" s="125">
        <f>ROUND(K955,2)</f>
        <v/>
      </c>
      <c r="Q955" s="207">
        <f>CONCATENATE(N955,P955,O955,)</f>
        <v/>
      </c>
      <c r="R955" s="240" t="n"/>
      <c r="T955" s="241" t="n"/>
      <c r="U955" s="240" t="n"/>
      <c r="V955" s="241" t="n"/>
      <c r="Z955" s="240" t="n"/>
      <c r="AB955" s="241" t="n"/>
      <c r="AC955" s="240" t="n"/>
      <c r="AD955" s="241" t="n"/>
    </row>
    <row r="956">
      <c r="B956" s="42" t="n">
        <v>192</v>
      </c>
      <c r="C956" s="118">
        <f>INDIRECT("'Закуп'!A" &amp; B956)</f>
        <v/>
      </c>
      <c r="D956" s="119">
        <f>C956*1.2</f>
        <v/>
      </c>
      <c r="G956" s="172">
        <f>IF(INDIRECT("'Закуп'!L" &amp; B956)="Sale","Sale","")</f>
        <v/>
      </c>
      <c r="H956" s="158">
        <f>IF(INDIRECT("'Закуп'!F" &amp; B956)=0,"",INDIRECT("'Закуп'!F" &amp; B956))</f>
        <v/>
      </c>
      <c r="I956" s="120" t="n">
        <v>1000</v>
      </c>
      <c r="J956" s="121">
        <f>K956/1.2</f>
        <v/>
      </c>
      <c r="K956" s="70" t="n">
        <v>0.64</v>
      </c>
      <c r="L956" s="122">
        <f>J956-C956-(J956-C956)*0.2</f>
        <v/>
      </c>
      <c r="M956" s="123">
        <f>L956*I956</f>
        <v/>
      </c>
      <c r="N956" s="124" t="inlineStr">
        <is>
          <t xml:space="preserve">1000 + шт - </t>
        </is>
      </c>
      <c r="O956" s="47" t="inlineStr">
        <is>
          <t xml:space="preserve"> руб / шт с НДС</t>
        </is>
      </c>
      <c r="P956" s="125">
        <f>ROUND(K956,2)</f>
        <v/>
      </c>
      <c r="Q956" s="207">
        <f>CONCATENATE(N956,P956,O956,)</f>
        <v/>
      </c>
      <c r="R956" s="240" t="n"/>
      <c r="T956" s="241" t="n"/>
      <c r="U956" s="240" t="n"/>
      <c r="V956" s="241" t="n"/>
      <c r="Z956" s="240" t="n"/>
      <c r="AB956" s="241" t="n"/>
      <c r="AC956" s="240" t="n"/>
      <c r="AD956" s="241" t="n"/>
    </row>
    <row r="957">
      <c r="A957" s="232" t="n">
        <v>193</v>
      </c>
      <c r="B957" s="42" t="n">
        <v>193</v>
      </c>
      <c r="C957" s="118">
        <f>INDIRECT("'Закуп'!A" &amp; B957)</f>
        <v/>
      </c>
      <c r="D957" s="119">
        <f>C957*1.2</f>
        <v/>
      </c>
      <c r="E957" s="224">
        <f>INDIRECT("'Закуп'!D" &amp; A957)</f>
        <v/>
      </c>
      <c r="F957" s="231">
        <f>INDIRECT("'Закуп'!E" &amp; B957)</f>
        <v/>
      </c>
      <c r="G957" s="172">
        <f>IF(INDIRECT("'Закуп'!L" &amp; B957)="Sale","Sale","")</f>
        <v/>
      </c>
      <c r="H957" s="158">
        <f>IF(INDIRECT("'Закуп'!F" &amp; B957)=0,"",INDIRECT("'Закуп'!F" &amp; B957))</f>
        <v/>
      </c>
      <c r="I957" s="120" t="n">
        <v>50</v>
      </c>
      <c r="J957" s="121">
        <f>K957/1.2</f>
        <v/>
      </c>
      <c r="K957" s="70" t="n">
        <v>0.43</v>
      </c>
      <c r="L957" s="122">
        <f>J957-C957-(J957-C957)*0.2</f>
        <v/>
      </c>
      <c r="M957" s="123">
        <f>L957*I957</f>
        <v/>
      </c>
      <c r="N957" s="124" t="inlineStr">
        <is>
          <t xml:space="preserve">50-90 шт - </t>
        </is>
      </c>
      <c r="O957" s="47" t="inlineStr">
        <is>
          <t xml:space="preserve"> руб / шт с НДС</t>
        </is>
      </c>
      <c r="P957" s="125">
        <f>ROUND(K957,2)</f>
        <v/>
      </c>
      <c r="Q957" s="207">
        <f>CONCATENATE(N957,P957,O957,)</f>
        <v/>
      </c>
      <c r="R957" s="235">
        <f>INDIRECT("'Закуп'!k" &amp; A957)</f>
        <v/>
      </c>
      <c r="S957" s="239">
        <f>INDIRECT("'Закуп'!o" &amp; A957)</f>
        <v/>
      </c>
      <c r="T957" s="226">
        <f>INDIRECT("'Закуп'!p" &amp; A957)</f>
        <v/>
      </c>
      <c r="U957" s="235">
        <f>INDIRECT("'Закуп'!v" &amp; A957)</f>
        <v/>
      </c>
      <c r="V957" s="222">
        <f>INDIRECT("'Закуп'!w" &amp; A957)</f>
        <v/>
      </c>
      <c r="W957" s="229">
        <f>INDIRECT("'Закуп'!H" &amp; A957)</f>
        <v/>
      </c>
      <c r="X957" s="237">
        <f>INDIRECT("'Закуп'!g" &amp; A957)</f>
        <v/>
      </c>
      <c r="Y957" s="229">
        <f>INDIRECT("'Закуп'!i" &amp; A957)</f>
        <v/>
      </c>
      <c r="Z957" s="236">
        <f>INDIRECT("'Закуп'!x" &amp; A957)</f>
        <v/>
      </c>
      <c r="AA957" s="237">
        <f>INDIRECT("'Закуп'!y" &amp; A957)</f>
        <v/>
      </c>
      <c r="AB957" s="238">
        <f>INDIRECT("'Закуп'!z" &amp; A957)</f>
        <v/>
      </c>
      <c r="AC957" s="223">
        <f>SUBSTITUTE(INDEX(F:F, ROUNDUP((ROW(A956))/5,0)*5 - 3), "х", "x")</f>
        <v/>
      </c>
      <c r="AD957" s="222">
        <f>SUBSTITUTE(INDEX(F:F, ROUNDUP((ROW(A956))/5,0)*5 - 3), "х", "x") &amp; " - " &amp; SUBSTITUTE(SUBSTITUTE(INDEX(F:F, ROUNDUP((ROW(A956))/5,0)*5 - 3), "х", "*"), "x", "*") &amp; " мм"</f>
        <v/>
      </c>
    </row>
    <row r="958">
      <c r="B958" s="42" t="n">
        <v>193</v>
      </c>
      <c r="C958" s="118">
        <f>INDIRECT("'Закуп'!A" &amp; B958)</f>
        <v/>
      </c>
      <c r="D958" s="119">
        <f>C958*1.2</f>
        <v/>
      </c>
      <c r="G958" s="172">
        <f>IF(INDIRECT("'Закуп'!L" &amp; B958)="Sale","Sale","")</f>
        <v/>
      </c>
      <c r="H958" s="158">
        <f>IF(INDIRECT("'Закуп'!F" &amp; B958)=0,"",INDIRECT("'Закуп'!F" &amp; B958))</f>
        <v/>
      </c>
      <c r="I958" s="120" t="n">
        <v>100</v>
      </c>
      <c r="J958" s="121">
        <f>K958/1.2</f>
        <v/>
      </c>
      <c r="K958" s="70" t="n">
        <v>0.43</v>
      </c>
      <c r="L958" s="122">
        <f>J958-C958-(J958-C958)*0.2</f>
        <v/>
      </c>
      <c r="M958" s="123">
        <f>L958*I958</f>
        <v/>
      </c>
      <c r="N958" s="124" t="inlineStr">
        <is>
          <t xml:space="preserve">100-290 шт - </t>
        </is>
      </c>
      <c r="O958" s="47" t="inlineStr">
        <is>
          <t xml:space="preserve"> руб / шт с НДС</t>
        </is>
      </c>
      <c r="P958" s="125">
        <f>ROUND(K958,2)</f>
        <v/>
      </c>
      <c r="Q958" s="207">
        <f>CONCATENATE(N958,P958,O958,)</f>
        <v/>
      </c>
      <c r="R958" s="240" t="n"/>
      <c r="T958" s="241" t="n"/>
      <c r="U958" s="240" t="n"/>
      <c r="V958" s="241" t="n"/>
      <c r="Z958" s="240" t="n"/>
      <c r="AB958" s="241" t="n"/>
      <c r="AC958" s="240" t="n"/>
      <c r="AD958" s="241" t="n"/>
    </row>
    <row r="959">
      <c r="B959" s="42" t="n">
        <v>193</v>
      </c>
      <c r="C959" s="118">
        <f>INDIRECT("'Закуп'!A" &amp; B959)</f>
        <v/>
      </c>
      <c r="D959" s="119">
        <f>C959*1.2</f>
        <v/>
      </c>
      <c r="G959" s="172">
        <f>IF(INDIRECT("'Закуп'!L" &amp; B959)="Sale","Sale","")</f>
        <v/>
      </c>
      <c r="H959" s="158">
        <f>IF(INDIRECT("'Закуп'!F" &amp; B959)=0,"",INDIRECT("'Закуп'!F" &amp; B959))</f>
        <v/>
      </c>
      <c r="I959" s="120" t="n">
        <v>300</v>
      </c>
      <c r="J959" s="121">
        <f>K959/1.2</f>
        <v/>
      </c>
      <c r="K959" s="70" t="n">
        <v>0.43</v>
      </c>
      <c r="L959" s="122">
        <f>J959-C959-(J959-C959)*0.2</f>
        <v/>
      </c>
      <c r="M959" s="123">
        <f>L959*I959</f>
        <v/>
      </c>
      <c r="N959" s="124" t="inlineStr">
        <is>
          <t xml:space="preserve">300-490 шт - </t>
        </is>
      </c>
      <c r="O959" s="47" t="inlineStr">
        <is>
          <t xml:space="preserve"> руб / шт с НДС</t>
        </is>
      </c>
      <c r="P959" s="125">
        <f>ROUND(K959,2)</f>
        <v/>
      </c>
      <c r="Q959" s="207">
        <f>CONCATENATE(N959,P959,O959,)</f>
        <v/>
      </c>
      <c r="R959" s="240" t="n"/>
      <c r="T959" s="241" t="n"/>
      <c r="U959" s="240" t="n"/>
      <c r="V959" s="241" t="n"/>
      <c r="Z959" s="240" t="n"/>
      <c r="AB959" s="241" t="n"/>
      <c r="AC959" s="240" t="n"/>
      <c r="AD959" s="241" t="n"/>
    </row>
    <row r="960">
      <c r="B960" s="42" t="n">
        <v>193</v>
      </c>
      <c r="C960" s="118">
        <f>INDIRECT("'Закуп'!A" &amp; B960)</f>
        <v/>
      </c>
      <c r="D960" s="119">
        <f>C960*1.2</f>
        <v/>
      </c>
      <c r="G960" s="172">
        <f>IF(INDIRECT("'Закуп'!L" &amp; B960)="Sale","Sale","")</f>
        <v/>
      </c>
      <c r="H960" s="158">
        <f>IF(INDIRECT("'Закуп'!F" &amp; B960)=0,"",INDIRECT("'Закуп'!F" &amp; B960))</f>
        <v/>
      </c>
      <c r="I960" s="120" t="n">
        <v>500</v>
      </c>
      <c r="J960" s="121">
        <f>K960/1.2</f>
        <v/>
      </c>
      <c r="K960" s="70" t="n">
        <v>0.43</v>
      </c>
      <c r="L960" s="122">
        <f>J960-C960-(J960-C960)*0.2</f>
        <v/>
      </c>
      <c r="M960" s="123">
        <f>L960*I960</f>
        <v/>
      </c>
      <c r="N960" s="124" t="inlineStr">
        <is>
          <t xml:space="preserve">500-990 шт - </t>
        </is>
      </c>
      <c r="O960" s="47" t="inlineStr">
        <is>
          <t xml:space="preserve"> руб / шт с НДС</t>
        </is>
      </c>
      <c r="P960" s="125">
        <f>ROUND(K960,2)</f>
        <v/>
      </c>
      <c r="Q960" s="207">
        <f>CONCATENATE(N960,P960,O960,)</f>
        <v/>
      </c>
      <c r="R960" s="240" t="n"/>
      <c r="T960" s="241" t="n"/>
      <c r="U960" s="240" t="n"/>
      <c r="V960" s="241" t="n"/>
      <c r="Z960" s="240" t="n"/>
      <c r="AB960" s="241" t="n"/>
      <c r="AC960" s="240" t="n"/>
      <c r="AD960" s="241" t="n"/>
    </row>
    <row r="961">
      <c r="B961" s="42" t="n">
        <v>193</v>
      </c>
      <c r="C961" s="118">
        <f>INDIRECT("'Закуп'!A" &amp; B961)</f>
        <v/>
      </c>
      <c r="D961" s="119">
        <f>C961*1.2</f>
        <v/>
      </c>
      <c r="G961" s="172">
        <f>IF(INDIRECT("'Закуп'!L" &amp; B961)="Sale","Sale","")</f>
        <v/>
      </c>
      <c r="H961" s="158">
        <f>IF(INDIRECT("'Закуп'!F" &amp; B961)=0,"",INDIRECT("'Закуп'!F" &amp; B961))</f>
        <v/>
      </c>
      <c r="I961" s="120" t="n">
        <v>1000</v>
      </c>
      <c r="J961" s="121">
        <f>K961/1.2</f>
        <v/>
      </c>
      <c r="K961" s="70" t="n">
        <v>0.43</v>
      </c>
      <c r="L961" s="122">
        <f>J961-C961-(J961-C961)*0.2</f>
        <v/>
      </c>
      <c r="M961" s="123">
        <f>L961*I961</f>
        <v/>
      </c>
      <c r="N961" s="124" t="inlineStr">
        <is>
          <t xml:space="preserve">1000 + шт - </t>
        </is>
      </c>
      <c r="O961" s="47" t="inlineStr">
        <is>
          <t xml:space="preserve"> руб / шт с НДС</t>
        </is>
      </c>
      <c r="P961" s="125">
        <f>ROUND(K961,2)</f>
        <v/>
      </c>
      <c r="Q961" s="207">
        <f>CONCATENATE(N961,P961,O961,)</f>
        <v/>
      </c>
      <c r="R961" s="240" t="n"/>
      <c r="T961" s="241" t="n"/>
      <c r="U961" s="240" t="n"/>
      <c r="V961" s="241" t="n"/>
      <c r="Z961" s="240" t="n"/>
      <c r="AB961" s="241" t="n"/>
      <c r="AC961" s="240" t="n"/>
      <c r="AD961" s="241" t="n"/>
    </row>
    <row r="962">
      <c r="A962" s="232" t="n">
        <v>194</v>
      </c>
      <c r="B962" s="42" t="n">
        <v>194</v>
      </c>
      <c r="C962" s="118">
        <f>INDIRECT("'Закуп'!A" &amp; B962)</f>
        <v/>
      </c>
      <c r="D962" s="119">
        <f>C962*1.2</f>
        <v/>
      </c>
      <c r="E962" s="224">
        <f>INDIRECT("'Закуп'!D" &amp; A962)</f>
        <v/>
      </c>
      <c r="F962" s="231">
        <f>INDIRECT("'Закуп'!E" &amp; B962)</f>
        <v/>
      </c>
      <c r="G962" s="172">
        <f>IF(INDIRECT("'Закуп'!L" &amp; B962)="Sale","Sale","")</f>
        <v/>
      </c>
      <c r="H962" s="158">
        <f>IF(INDIRECT("'Закуп'!F" &amp; B962)=0,"",INDIRECT("'Закуп'!F" &amp; B962))</f>
        <v/>
      </c>
      <c r="I962" s="120" t="n">
        <v>50</v>
      </c>
      <c r="J962" s="121">
        <f>K962/1.2</f>
        <v/>
      </c>
      <c r="K962" s="242" t="n">
        <v>1.29</v>
      </c>
      <c r="L962" s="122">
        <f>J962-C962-(J962-C962)*0.2</f>
        <v/>
      </c>
      <c r="M962" s="123">
        <f>L962*I962</f>
        <v/>
      </c>
      <c r="N962" s="124" t="inlineStr">
        <is>
          <t xml:space="preserve">50-90 шт - </t>
        </is>
      </c>
      <c r="O962" s="47" t="inlineStr">
        <is>
          <t xml:space="preserve"> руб / шт с НДС</t>
        </is>
      </c>
      <c r="P962" s="125">
        <f>ROUND(K962,2)</f>
        <v/>
      </c>
      <c r="Q962" s="207">
        <f>CONCATENATE(N962,P962,O962,)</f>
        <v/>
      </c>
      <c r="R962" s="235">
        <f>INDIRECT("'Закуп'!k" &amp; A962)</f>
        <v/>
      </c>
      <c r="S962" s="239">
        <f>INDIRECT("'Закуп'!o" &amp; A962)</f>
        <v/>
      </c>
      <c r="T962" s="226">
        <f>INDIRECT("'Закуп'!p" &amp; A962)</f>
        <v/>
      </c>
      <c r="U962" s="235">
        <f>INDIRECT("'Закуп'!v" &amp; A962)</f>
        <v/>
      </c>
      <c r="V962" s="222">
        <f>INDIRECT("'Закуп'!w" &amp; A962)</f>
        <v/>
      </c>
      <c r="W962" s="229">
        <f>INDIRECT("'Закуп'!H" &amp; A962)</f>
        <v/>
      </c>
      <c r="X962" s="237">
        <f>INDIRECT("'Закуп'!g" &amp; A962)</f>
        <v/>
      </c>
      <c r="Y962" s="229">
        <f>INDIRECT("'Закуп'!i" &amp; A962)</f>
        <v/>
      </c>
      <c r="Z962" s="236">
        <f>INDIRECT("'Закуп'!x" &amp; A962)</f>
        <v/>
      </c>
      <c r="AA962" s="237">
        <f>INDIRECT("'Закуп'!y" &amp; A962)</f>
        <v/>
      </c>
      <c r="AB962" s="238">
        <f>INDIRECT("'Закуп'!z" &amp; A962)</f>
        <v/>
      </c>
      <c r="AC962" s="223">
        <f>SUBSTITUTE(INDEX(F:F, ROUNDUP((ROW(A961))/5,0)*5 - 3), "х", "x")</f>
        <v/>
      </c>
      <c r="AD962" s="222">
        <f>SUBSTITUTE(INDEX(F:F, ROUNDUP((ROW(A961))/5,0)*5 - 3), "х", "x") &amp; " - " &amp; SUBSTITUTE(SUBSTITUTE(INDEX(F:F, ROUNDUP((ROW(A961))/5,0)*5 - 3), "х", "*"), "x", "*") &amp; " мм"</f>
        <v/>
      </c>
      <c r="AE962" t="n">
        <v>1.39</v>
      </c>
    </row>
    <row r="963">
      <c r="B963" s="42" t="n">
        <v>194</v>
      </c>
      <c r="C963" s="118">
        <f>INDIRECT("'Закуп'!A" &amp; B963)</f>
        <v/>
      </c>
      <c r="D963" s="119">
        <f>C963*1.2</f>
        <v/>
      </c>
      <c r="G963" s="172">
        <f>IF(INDIRECT("'Закуп'!L" &amp; B963)="Sale","Sale","")</f>
        <v/>
      </c>
      <c r="H963" s="158">
        <f>IF(INDIRECT("'Закуп'!F" &amp; B963)=0,"",INDIRECT("'Закуп'!F" &amp; B963))</f>
        <v/>
      </c>
      <c r="I963" s="120" t="n">
        <v>100</v>
      </c>
      <c r="J963" s="121">
        <f>K963/1.2</f>
        <v/>
      </c>
      <c r="K963" s="242" t="n">
        <v>1.14</v>
      </c>
      <c r="L963" s="122">
        <f>J963-C963-(J963-C963)*0.2</f>
        <v/>
      </c>
      <c r="M963" s="123">
        <f>L963*I963</f>
        <v/>
      </c>
      <c r="N963" s="124" t="inlineStr">
        <is>
          <t xml:space="preserve">100-290 шт - </t>
        </is>
      </c>
      <c r="O963" s="47" t="inlineStr">
        <is>
          <t xml:space="preserve"> руб / шт с НДС</t>
        </is>
      </c>
      <c r="P963" s="125">
        <f>ROUND(K963,2)</f>
        <v/>
      </c>
      <c r="Q963" s="207">
        <f>CONCATENATE(N963,P963,O963,)</f>
        <v/>
      </c>
      <c r="R963" s="240" t="n"/>
      <c r="T963" s="241" t="n"/>
      <c r="U963" s="240" t="n"/>
      <c r="V963" s="241" t="n"/>
      <c r="Z963" s="240" t="n"/>
      <c r="AB963" s="241" t="n"/>
      <c r="AC963" s="240" t="n"/>
      <c r="AD963" s="241" t="n"/>
      <c r="AE963" t="n">
        <v>1.28</v>
      </c>
    </row>
    <row r="964">
      <c r="B964" s="42" t="n">
        <v>194</v>
      </c>
      <c r="C964" s="118">
        <f>INDIRECT("'Закуп'!A" &amp; B964)</f>
        <v/>
      </c>
      <c r="D964" s="119">
        <f>C964*1.2</f>
        <v/>
      </c>
      <c r="G964" s="172">
        <f>IF(INDIRECT("'Закуп'!L" &amp; B964)="Sale","Sale","")</f>
        <v/>
      </c>
      <c r="H964" s="158">
        <f>IF(INDIRECT("'Закуп'!F" &amp; B964)=0,"",INDIRECT("'Закуп'!F" &amp; B964))</f>
        <v/>
      </c>
      <c r="I964" s="120" t="n">
        <v>300</v>
      </c>
      <c r="J964" s="121">
        <f>K964/1.2</f>
        <v/>
      </c>
      <c r="K964" s="242" t="n">
        <v>0.99</v>
      </c>
      <c r="L964" s="122">
        <f>J964-C964-(J964-C964)*0.2</f>
        <v/>
      </c>
      <c r="M964" s="123">
        <f>L964*I964</f>
        <v/>
      </c>
      <c r="N964" s="124" t="inlineStr">
        <is>
          <t xml:space="preserve">300-490 шт - </t>
        </is>
      </c>
      <c r="O964" s="47" t="inlineStr">
        <is>
          <t xml:space="preserve"> руб / шт с НДС</t>
        </is>
      </c>
      <c r="P964" s="125">
        <f>ROUND(K964,2)</f>
        <v/>
      </c>
      <c r="Q964" s="207">
        <f>CONCATENATE(N964,P964,O964,)</f>
        <v/>
      </c>
      <c r="R964" s="240" t="n"/>
      <c r="T964" s="241" t="n"/>
      <c r="U964" s="240" t="n"/>
      <c r="V964" s="241" t="n"/>
      <c r="Z964" s="240" t="n"/>
      <c r="AB964" s="241" t="n"/>
      <c r="AC964" s="240" t="n"/>
      <c r="AD964" s="241" t="n"/>
      <c r="AE964" t="n">
        <v>1.18</v>
      </c>
    </row>
    <row r="965">
      <c r="B965" s="42" t="n">
        <v>194</v>
      </c>
      <c r="C965" s="118">
        <f>INDIRECT("'Закуп'!A" &amp; B965)</f>
        <v/>
      </c>
      <c r="D965" s="119">
        <f>C965*1.2</f>
        <v/>
      </c>
      <c r="G965" s="172">
        <f>IF(INDIRECT("'Закуп'!L" &amp; B965)="Sale","Sale","")</f>
        <v/>
      </c>
      <c r="H965" s="158">
        <f>IF(INDIRECT("'Закуп'!F" &amp; B965)=0,"",INDIRECT("'Закуп'!F" &amp; B965))</f>
        <v/>
      </c>
      <c r="I965" s="120" t="n">
        <v>500</v>
      </c>
      <c r="J965" s="121">
        <f>K965/1.2</f>
        <v/>
      </c>
      <c r="K965" s="242" t="n">
        <v>0.91</v>
      </c>
      <c r="L965" s="122">
        <f>J965-C965-(J965-C965)*0.2</f>
        <v/>
      </c>
      <c r="M965" s="123">
        <f>L965*I965</f>
        <v/>
      </c>
      <c r="N965" s="124" t="inlineStr">
        <is>
          <t xml:space="preserve">500-990 шт - </t>
        </is>
      </c>
      <c r="O965" s="47" t="inlineStr">
        <is>
          <t xml:space="preserve"> руб / шт с НДС</t>
        </is>
      </c>
      <c r="P965" s="125">
        <f>ROUND(K965,2)</f>
        <v/>
      </c>
      <c r="Q965" s="207">
        <f>CONCATENATE(N965,P965,O965,)</f>
        <v/>
      </c>
      <c r="R965" s="240" t="n"/>
      <c r="T965" s="241" t="n"/>
      <c r="U965" s="240" t="n"/>
      <c r="V965" s="241" t="n"/>
      <c r="Z965" s="240" t="n"/>
      <c r="AB965" s="241" t="n"/>
      <c r="AC965" s="240" t="n"/>
      <c r="AD965" s="241" t="n"/>
      <c r="AE965" t="n">
        <v>1.07</v>
      </c>
    </row>
    <row r="966">
      <c r="B966" s="42" t="n">
        <v>194</v>
      </c>
      <c r="C966" s="118">
        <f>INDIRECT("'Закуп'!A" &amp; B966)</f>
        <v/>
      </c>
      <c r="D966" s="119">
        <f>C966*1.2</f>
        <v/>
      </c>
      <c r="G966" s="172">
        <f>IF(INDIRECT("'Закуп'!L" &amp; B966)="Sale","Sale","")</f>
        <v/>
      </c>
      <c r="H966" s="158">
        <f>IF(INDIRECT("'Закуп'!F" &amp; B966)=0,"",INDIRECT("'Закуп'!F" &amp; B966))</f>
        <v/>
      </c>
      <c r="I966" s="120" t="n">
        <v>1000</v>
      </c>
      <c r="J966" s="121">
        <f>K966/1.2</f>
        <v/>
      </c>
      <c r="K966" s="242" t="n">
        <v>0.76</v>
      </c>
      <c r="L966" s="122">
        <f>J966-C966-(J966-C966)*0.2</f>
        <v/>
      </c>
      <c r="M966" s="123">
        <f>L966*I966</f>
        <v/>
      </c>
      <c r="N966" s="124" t="inlineStr">
        <is>
          <t xml:space="preserve">1000 + шт - </t>
        </is>
      </c>
      <c r="O966" s="47" t="inlineStr">
        <is>
          <t xml:space="preserve"> руб / шт с НДС</t>
        </is>
      </c>
      <c r="P966" s="125">
        <f>ROUND(K966,2)</f>
        <v/>
      </c>
      <c r="Q966" s="207">
        <f>CONCATENATE(N966,P966,O966,)</f>
        <v/>
      </c>
      <c r="R966" s="240" t="n"/>
      <c r="T966" s="241" t="n"/>
      <c r="U966" s="240" t="n"/>
      <c r="V966" s="241" t="n"/>
      <c r="Z966" s="240" t="n"/>
      <c r="AB966" s="241" t="n"/>
      <c r="AC966" s="240" t="n"/>
      <c r="AD966" s="241" t="n"/>
      <c r="AE966" t="n">
        <v>0.96</v>
      </c>
    </row>
    <row r="967">
      <c r="A967" s="232" t="n">
        <v>195</v>
      </c>
      <c r="B967" s="42" t="n">
        <v>195</v>
      </c>
      <c r="C967" s="118">
        <f>INDIRECT("'Закуп'!A" &amp; B967)</f>
        <v/>
      </c>
      <c r="D967" s="119">
        <f>C967*1.2</f>
        <v/>
      </c>
      <c r="E967" s="224">
        <f>INDIRECT("'Закуп'!D" &amp; A967)</f>
        <v/>
      </c>
      <c r="F967" s="231">
        <f>INDIRECT("'Закуп'!E" &amp; B967)</f>
        <v/>
      </c>
      <c r="G967" s="172">
        <f>IF(INDIRECT("'Закуп'!L" &amp; B967)="Sale","Sale","")</f>
        <v/>
      </c>
      <c r="H967" s="158">
        <f>IF(INDIRECT("'Закуп'!F" &amp; B967)=0,"",INDIRECT("'Закуп'!F" &amp; B967))</f>
        <v/>
      </c>
      <c r="I967" s="120" t="n">
        <v>50</v>
      </c>
      <c r="J967" s="121">
        <f>K967/1.2</f>
        <v/>
      </c>
      <c r="K967" s="70" t="n">
        <v>2.27</v>
      </c>
      <c r="L967" s="122">
        <f>J967-C967-(J967-C967)*0.2</f>
        <v/>
      </c>
      <c r="M967" s="123">
        <f>L967*I967</f>
        <v/>
      </c>
      <c r="N967" s="124" t="inlineStr">
        <is>
          <t xml:space="preserve">50-90 шт - </t>
        </is>
      </c>
      <c r="O967" s="47" t="inlineStr">
        <is>
          <t xml:space="preserve"> руб / шт с НДС</t>
        </is>
      </c>
      <c r="P967" s="125">
        <f>ROUND(K967,2)</f>
        <v/>
      </c>
      <c r="Q967" s="207">
        <f>CONCATENATE(N967,P967,O967,)</f>
        <v/>
      </c>
      <c r="R967" s="235">
        <f>INDIRECT("'Закуп'!k" &amp; A967)</f>
        <v/>
      </c>
      <c r="S967" s="239">
        <f>INDIRECT("'Закуп'!o" &amp; A967)</f>
        <v/>
      </c>
      <c r="T967" s="226">
        <f>INDIRECT("'Закуп'!p" &amp; A967)</f>
        <v/>
      </c>
      <c r="U967" s="235">
        <f>INDIRECT("'Закуп'!v" &amp; A967)</f>
        <v/>
      </c>
      <c r="V967" s="222">
        <f>INDIRECT("'Закуп'!w" &amp; A967)</f>
        <v/>
      </c>
      <c r="W967" s="229">
        <f>INDIRECT("'Закуп'!H" &amp; A967)</f>
        <v/>
      </c>
      <c r="X967" s="237">
        <f>INDIRECT("'Закуп'!g" &amp; A967)</f>
        <v/>
      </c>
      <c r="Y967" s="229">
        <f>INDIRECT("'Закуп'!i" &amp; A967)</f>
        <v/>
      </c>
      <c r="Z967" s="236">
        <f>INDIRECT("'Закуп'!x" &amp; A967)</f>
        <v/>
      </c>
      <c r="AA967" s="237">
        <f>INDIRECT("'Закуп'!y" &amp; A967)</f>
        <v/>
      </c>
      <c r="AB967" s="238">
        <f>INDIRECT("'Закуп'!z" &amp; A967)</f>
        <v/>
      </c>
      <c r="AC967" s="223">
        <f>SUBSTITUTE(INDEX(F:F, ROUNDUP((ROW(A966))/5,0)*5 - 3), "х", "x")</f>
        <v/>
      </c>
      <c r="AD967" s="222">
        <f>SUBSTITUTE(INDEX(F:F, ROUNDUP((ROW(A966))/5,0)*5 - 3), "х", "x") &amp; " - " &amp; SUBSTITUTE(SUBSTITUTE(INDEX(F:F, ROUNDUP((ROW(A966))/5,0)*5 - 3), "х", "*"), "x", "*") &amp; " мм"</f>
        <v/>
      </c>
    </row>
    <row r="968">
      <c r="B968" s="42" t="n">
        <v>195</v>
      </c>
      <c r="C968" s="118">
        <f>INDIRECT("'Закуп'!A" &amp; B968)</f>
        <v/>
      </c>
      <c r="D968" s="119">
        <f>C968*1.2</f>
        <v/>
      </c>
      <c r="G968" s="172">
        <f>IF(INDIRECT("'Закуп'!L" &amp; B968)="Sale","Sale","")</f>
        <v/>
      </c>
      <c r="H968" s="158">
        <f>IF(INDIRECT("'Закуп'!F" &amp; B968)=0,"",INDIRECT("'Закуп'!F" &amp; B968))</f>
        <v/>
      </c>
      <c r="I968" s="120" t="n">
        <v>100</v>
      </c>
      <c r="J968" s="121">
        <f>K968/1.2</f>
        <v/>
      </c>
      <c r="K968" s="70" t="n">
        <v>2.11</v>
      </c>
      <c r="L968" s="122">
        <f>J968-C968-(J968-C968)*0.2</f>
        <v/>
      </c>
      <c r="M968" s="123">
        <f>L968*I968</f>
        <v/>
      </c>
      <c r="N968" s="124" t="inlineStr">
        <is>
          <t xml:space="preserve">100-290 шт - </t>
        </is>
      </c>
      <c r="O968" s="47" t="inlineStr">
        <is>
          <t xml:space="preserve"> руб / шт с НДС</t>
        </is>
      </c>
      <c r="P968" s="125">
        <f>ROUND(K968,2)</f>
        <v/>
      </c>
      <c r="Q968" s="207">
        <f>CONCATENATE(N968,P968,O968,)</f>
        <v/>
      </c>
      <c r="R968" s="240" t="n"/>
      <c r="T968" s="241" t="n"/>
      <c r="U968" s="240" t="n"/>
      <c r="V968" s="241" t="n"/>
      <c r="Z968" s="240" t="n"/>
      <c r="AB968" s="241" t="n"/>
      <c r="AC968" s="240" t="n"/>
      <c r="AD968" s="241" t="n"/>
    </row>
    <row r="969">
      <c r="B969" s="42" t="n">
        <v>195</v>
      </c>
      <c r="C969" s="118">
        <f>INDIRECT("'Закуп'!A" &amp; B969)</f>
        <v/>
      </c>
      <c r="D969" s="119">
        <f>C969*1.2</f>
        <v/>
      </c>
      <c r="G969" s="172">
        <f>IF(INDIRECT("'Закуп'!L" &amp; B969)="Sale","Sale","")</f>
        <v/>
      </c>
      <c r="H969" s="158">
        <f>IF(INDIRECT("'Закуп'!F" &amp; B969)=0,"",INDIRECT("'Закуп'!F" &amp; B969))</f>
        <v/>
      </c>
      <c r="I969" s="120" t="n">
        <v>300</v>
      </c>
      <c r="J969" s="121">
        <f>K969/1.2</f>
        <v/>
      </c>
      <c r="K969" s="70" t="n">
        <v>1.95</v>
      </c>
      <c r="L969" s="122">
        <f>J969-C969-(J969-C969)*0.2</f>
        <v/>
      </c>
      <c r="M969" s="123">
        <f>L969*I969</f>
        <v/>
      </c>
      <c r="N969" s="124" t="inlineStr">
        <is>
          <t xml:space="preserve">300-490 шт - </t>
        </is>
      </c>
      <c r="O969" s="47" t="inlineStr">
        <is>
          <t xml:space="preserve"> руб / шт с НДС</t>
        </is>
      </c>
      <c r="P969" s="125">
        <f>ROUND(K969,2)</f>
        <v/>
      </c>
      <c r="Q969" s="207">
        <f>CONCATENATE(N969,P969,O969,)</f>
        <v/>
      </c>
      <c r="R969" s="240" t="n"/>
      <c r="T969" s="241" t="n"/>
      <c r="U969" s="240" t="n"/>
      <c r="V969" s="241" t="n"/>
      <c r="Z969" s="240" t="n"/>
      <c r="AB969" s="241" t="n"/>
      <c r="AC969" s="240" t="n"/>
      <c r="AD969" s="241" t="n"/>
    </row>
    <row r="970">
      <c r="B970" s="42" t="n">
        <v>195</v>
      </c>
      <c r="C970" s="118">
        <f>INDIRECT("'Закуп'!A" &amp; B970)</f>
        <v/>
      </c>
      <c r="D970" s="119">
        <f>C970*1.2</f>
        <v/>
      </c>
      <c r="G970" s="172">
        <f>IF(INDIRECT("'Закуп'!L" &amp; B970)="Sale","Sale","")</f>
        <v/>
      </c>
      <c r="H970" s="158">
        <f>IF(INDIRECT("'Закуп'!F" &amp; B970)=0,"",INDIRECT("'Закуп'!F" &amp; B970))</f>
        <v/>
      </c>
      <c r="I970" s="120" t="n">
        <v>500</v>
      </c>
      <c r="J970" s="121">
        <f>K970/1.2</f>
        <v/>
      </c>
      <c r="K970" s="70" t="n">
        <v>1.84</v>
      </c>
      <c r="L970" s="122">
        <f>J970-C970-(J970-C970)*0.2</f>
        <v/>
      </c>
      <c r="M970" s="123">
        <f>L970*I970</f>
        <v/>
      </c>
      <c r="N970" s="124" t="inlineStr">
        <is>
          <t xml:space="preserve">500-990 шт - </t>
        </is>
      </c>
      <c r="O970" s="47" t="inlineStr">
        <is>
          <t xml:space="preserve"> руб / шт с НДС</t>
        </is>
      </c>
      <c r="P970" s="125">
        <f>ROUND(K970,2)</f>
        <v/>
      </c>
      <c r="Q970" s="207">
        <f>CONCATENATE(N970,P970,O970,)</f>
        <v/>
      </c>
      <c r="R970" s="240" t="n"/>
      <c r="T970" s="241" t="n"/>
      <c r="U970" s="240" t="n"/>
      <c r="V970" s="241" t="n"/>
      <c r="Z970" s="240" t="n"/>
      <c r="AB970" s="241" t="n"/>
      <c r="AC970" s="240" t="n"/>
      <c r="AD970" s="241" t="n"/>
    </row>
    <row r="971">
      <c r="B971" s="42" t="n">
        <v>195</v>
      </c>
      <c r="C971" s="118">
        <f>INDIRECT("'Закуп'!A" &amp; B971)</f>
        <v/>
      </c>
      <c r="D971" s="119">
        <f>C971*1.2</f>
        <v/>
      </c>
      <c r="G971" s="172">
        <f>IF(INDIRECT("'Закуп'!L" &amp; B971)="Sale","Sale","")</f>
        <v/>
      </c>
      <c r="H971" s="158">
        <f>IF(INDIRECT("'Закуп'!F" &amp; B971)=0,"",INDIRECT("'Закуп'!F" &amp; B971))</f>
        <v/>
      </c>
      <c r="I971" s="120" t="n">
        <v>1000</v>
      </c>
      <c r="J971" s="121">
        <f>K971/1.2</f>
        <v/>
      </c>
      <c r="K971" s="70" t="n">
        <v>1.73</v>
      </c>
      <c r="L971" s="122">
        <f>J971-C971-(J971-C971)*0.2</f>
        <v/>
      </c>
      <c r="M971" s="123">
        <f>L971*I971</f>
        <v/>
      </c>
      <c r="N971" s="124" t="inlineStr">
        <is>
          <t xml:space="preserve">1000 + шт - </t>
        </is>
      </c>
      <c r="O971" s="47" t="inlineStr">
        <is>
          <t xml:space="preserve"> руб / шт с НДС</t>
        </is>
      </c>
      <c r="P971" s="125">
        <f>ROUND(K971,2)</f>
        <v/>
      </c>
      <c r="Q971" s="207">
        <f>CONCATENATE(N971,P971,O971,)</f>
        <v/>
      </c>
      <c r="R971" s="240" t="n"/>
      <c r="T971" s="241" t="n"/>
      <c r="U971" s="240" t="n"/>
      <c r="V971" s="241" t="n"/>
      <c r="Z971" s="240" t="n"/>
      <c r="AB971" s="241" t="n"/>
      <c r="AC971" s="240" t="n"/>
      <c r="AD971" s="241" t="n"/>
    </row>
    <row r="972">
      <c r="A972" s="232" t="n">
        <v>196</v>
      </c>
      <c r="B972" s="42" t="n">
        <v>196</v>
      </c>
      <c r="C972" s="118">
        <f>INDIRECT("'Закуп'!A" &amp; B972)</f>
        <v/>
      </c>
      <c r="D972" s="119">
        <f>C972*1.2</f>
        <v/>
      </c>
      <c r="E972" s="224">
        <f>INDIRECT("'Закуп'!D" &amp; A972)</f>
        <v/>
      </c>
      <c r="F972" s="231">
        <f>INDIRECT("'Закуп'!E" &amp; B972)</f>
        <v/>
      </c>
      <c r="G972" s="172">
        <f>IF(INDIRECT("'Закуп'!L" &amp; B972)="Sale","Sale","")</f>
        <v/>
      </c>
      <c r="H972" s="158">
        <f>IF(INDIRECT("'Закуп'!F" &amp; B972)=0,"",INDIRECT("'Закуп'!F" &amp; B972))</f>
        <v/>
      </c>
      <c r="I972" s="120" t="n">
        <v>50</v>
      </c>
      <c r="J972" s="121">
        <f>K972/1.2</f>
        <v/>
      </c>
      <c r="K972" s="70" t="n">
        <v>0.96</v>
      </c>
      <c r="L972" s="122">
        <f>J972-C972-(J972-C972)*0.2</f>
        <v/>
      </c>
      <c r="M972" s="123">
        <f>L972*I972</f>
        <v/>
      </c>
      <c r="N972" s="124" t="inlineStr">
        <is>
          <t xml:space="preserve">50-90 шт - </t>
        </is>
      </c>
      <c r="O972" s="47" t="inlineStr">
        <is>
          <t xml:space="preserve"> руб / шт с НДС</t>
        </is>
      </c>
      <c r="P972" s="125">
        <f>ROUND(K972,2)</f>
        <v/>
      </c>
      <c r="Q972" s="207">
        <f>CONCATENATE(N972,P972,O972,)</f>
        <v/>
      </c>
      <c r="R972" s="235">
        <f>INDIRECT("'Закуп'!k" &amp; A972)</f>
        <v/>
      </c>
      <c r="S972" s="239">
        <f>INDIRECT("'Закуп'!o" &amp; A972)</f>
        <v/>
      </c>
      <c r="T972" s="226">
        <f>INDIRECT("'Закуп'!p" &amp; A972)</f>
        <v/>
      </c>
      <c r="U972" s="235">
        <f>INDIRECT("'Закуп'!v" &amp; A972)</f>
        <v/>
      </c>
      <c r="V972" s="222">
        <f>INDIRECT("'Закуп'!w" &amp; A972)</f>
        <v/>
      </c>
      <c r="W972" s="229">
        <f>INDIRECT("'Закуп'!H" &amp; A972)</f>
        <v/>
      </c>
      <c r="X972" s="237">
        <f>INDIRECT("'Закуп'!g" &amp; A972)</f>
        <v/>
      </c>
      <c r="Y972" s="229">
        <f>INDIRECT("'Закуп'!i" &amp; A972)</f>
        <v/>
      </c>
      <c r="Z972" s="236">
        <f>INDIRECT("'Закуп'!x" &amp; A972)</f>
        <v/>
      </c>
      <c r="AA972" s="237">
        <f>INDIRECT("'Закуп'!y" &amp; A972)</f>
        <v/>
      </c>
      <c r="AB972" s="238">
        <f>INDIRECT("'Закуп'!z" &amp; A972)</f>
        <v/>
      </c>
      <c r="AC972" s="223">
        <f>SUBSTITUTE(INDEX(F:F, ROUNDUP((ROW(A971))/5,0)*5 - 3), "х", "x")</f>
        <v/>
      </c>
      <c r="AD972" s="222">
        <f>SUBSTITUTE(INDEX(F:F, ROUNDUP((ROW(A971))/5,0)*5 - 3), "х", "x") &amp; " - " &amp; SUBSTITUTE(SUBSTITUTE(INDEX(F:F, ROUNDUP((ROW(A971))/5,0)*5 - 3), "х", "*"), "x", "*") &amp; " мм"</f>
        <v/>
      </c>
    </row>
    <row r="973">
      <c r="B973" s="42" t="n">
        <v>196</v>
      </c>
      <c r="C973" s="118">
        <f>INDIRECT("'Закуп'!A" &amp; B973)</f>
        <v/>
      </c>
      <c r="D973" s="119">
        <f>C973*1.2</f>
        <v/>
      </c>
      <c r="G973" s="172">
        <f>IF(INDIRECT("'Закуп'!L" &amp; B973)="Sale","Sale","")</f>
        <v/>
      </c>
      <c r="H973" s="158">
        <f>IF(INDIRECT("'Закуп'!F" &amp; B973)=0,"",INDIRECT("'Закуп'!F" &amp; B973))</f>
        <v/>
      </c>
      <c r="I973" s="120" t="n">
        <v>100</v>
      </c>
      <c r="J973" s="121">
        <f>K973/1.2</f>
        <v/>
      </c>
      <c r="K973" s="70" t="n">
        <v>0.86</v>
      </c>
      <c r="L973" s="122">
        <f>J973-C973-(J973-C973)*0.2</f>
        <v/>
      </c>
      <c r="M973" s="123">
        <f>L973*I973</f>
        <v/>
      </c>
      <c r="N973" s="124" t="inlineStr">
        <is>
          <t xml:space="preserve">100-290 шт - </t>
        </is>
      </c>
      <c r="O973" s="47" t="inlineStr">
        <is>
          <t xml:space="preserve"> руб / шт с НДС</t>
        </is>
      </c>
      <c r="P973" s="125">
        <f>ROUND(K973,2)</f>
        <v/>
      </c>
      <c r="Q973" s="207">
        <f>CONCATENATE(N973,P973,O973,)</f>
        <v/>
      </c>
      <c r="R973" s="240" t="n"/>
      <c r="T973" s="241" t="n"/>
      <c r="U973" s="240" t="n"/>
      <c r="V973" s="241" t="n"/>
      <c r="Z973" s="240" t="n"/>
      <c r="AB973" s="241" t="n"/>
      <c r="AC973" s="240" t="n"/>
      <c r="AD973" s="241" t="n"/>
    </row>
    <row r="974">
      <c r="B974" s="42" t="n">
        <v>196</v>
      </c>
      <c r="C974" s="118">
        <f>INDIRECT("'Закуп'!A" &amp; B974)</f>
        <v/>
      </c>
      <c r="D974" s="119">
        <f>C974*1.2</f>
        <v/>
      </c>
      <c r="G974" s="172">
        <f>IF(INDIRECT("'Закуп'!L" &amp; B974)="Sale","Sale","")</f>
        <v/>
      </c>
      <c r="H974" s="158">
        <f>IF(INDIRECT("'Закуп'!F" &amp; B974)=0,"",INDIRECT("'Закуп'!F" &amp; B974))</f>
        <v/>
      </c>
      <c r="I974" s="120" t="n">
        <v>300</v>
      </c>
      <c r="J974" s="121">
        <f>K974/1.2</f>
        <v/>
      </c>
      <c r="K974" s="70" t="n">
        <v>0.75</v>
      </c>
      <c r="L974" s="122">
        <f>J974-C974-(J974-C974)*0.2</f>
        <v/>
      </c>
      <c r="M974" s="123">
        <f>L974*I974</f>
        <v/>
      </c>
      <c r="N974" s="124" t="inlineStr">
        <is>
          <t xml:space="preserve">300-490 шт - </t>
        </is>
      </c>
      <c r="O974" s="47" t="inlineStr">
        <is>
          <t xml:space="preserve"> руб / шт с НДС</t>
        </is>
      </c>
      <c r="P974" s="125">
        <f>ROUND(K974,2)</f>
        <v/>
      </c>
      <c r="Q974" s="207">
        <f>CONCATENATE(N974,P974,O974,)</f>
        <v/>
      </c>
      <c r="R974" s="240" t="n"/>
      <c r="T974" s="241" t="n"/>
      <c r="U974" s="240" t="n"/>
      <c r="V974" s="241" t="n"/>
      <c r="Z974" s="240" t="n"/>
      <c r="AB974" s="241" t="n"/>
      <c r="AC974" s="240" t="n"/>
      <c r="AD974" s="241" t="n"/>
    </row>
    <row r="975">
      <c r="B975" s="42" t="n">
        <v>196</v>
      </c>
      <c r="C975" s="118">
        <f>INDIRECT("'Закуп'!A" &amp; B975)</f>
        <v/>
      </c>
      <c r="D975" s="119">
        <f>C975*1.2</f>
        <v/>
      </c>
      <c r="G975" s="172">
        <f>IF(INDIRECT("'Закуп'!L" &amp; B975)="Sale","Sale","")</f>
        <v/>
      </c>
      <c r="H975" s="158">
        <f>IF(INDIRECT("'Закуп'!F" &amp; B975)=0,"",INDIRECT("'Закуп'!F" &amp; B975))</f>
        <v/>
      </c>
      <c r="I975" s="120" t="n">
        <v>500</v>
      </c>
      <c r="J975" s="121">
        <f>K975/1.2</f>
        <v/>
      </c>
      <c r="K975" s="70" t="n">
        <v>0.64</v>
      </c>
      <c r="L975" s="122">
        <f>J975-C975-(J975-C975)*0.2</f>
        <v/>
      </c>
      <c r="M975" s="123">
        <f>L975*I975</f>
        <v/>
      </c>
      <c r="N975" s="124" t="inlineStr">
        <is>
          <t xml:space="preserve">500-990 шт - </t>
        </is>
      </c>
      <c r="O975" s="47" t="inlineStr">
        <is>
          <t xml:space="preserve"> руб / шт с НДС</t>
        </is>
      </c>
      <c r="P975" s="125">
        <f>ROUND(K975,2)</f>
        <v/>
      </c>
      <c r="Q975" s="207">
        <f>CONCATENATE(N975,P975,O975,)</f>
        <v/>
      </c>
      <c r="R975" s="240" t="n"/>
      <c r="T975" s="241" t="n"/>
      <c r="U975" s="240" t="n"/>
      <c r="V975" s="241" t="n"/>
      <c r="Z975" s="240" t="n"/>
      <c r="AB975" s="241" t="n"/>
      <c r="AC975" s="240" t="n"/>
      <c r="AD975" s="241" t="n"/>
    </row>
    <row r="976">
      <c r="B976" s="42" t="n">
        <v>196</v>
      </c>
      <c r="C976" s="118">
        <f>INDIRECT("'Закуп'!A" &amp; B976)</f>
        <v/>
      </c>
      <c r="D976" s="119">
        <f>C976*1.2</f>
        <v/>
      </c>
      <c r="G976" s="172">
        <f>IF(INDIRECT("'Закуп'!L" &amp; B976)="Sale","Sale","")</f>
        <v/>
      </c>
      <c r="H976" s="158">
        <f>IF(INDIRECT("'Закуп'!F" &amp; B976)=0,"",INDIRECT("'Закуп'!F" &amp; B976))</f>
        <v/>
      </c>
      <c r="I976" s="120" t="n">
        <v>1000</v>
      </c>
      <c r="J976" s="121">
        <f>K976/1.2</f>
        <v/>
      </c>
      <c r="K976" s="70" t="n">
        <v>0.54</v>
      </c>
      <c r="L976" s="122">
        <f>J976-C976-(J976-C976)*0.2</f>
        <v/>
      </c>
      <c r="M976" s="123">
        <f>L976*I976</f>
        <v/>
      </c>
      <c r="N976" s="124" t="inlineStr">
        <is>
          <t xml:space="preserve">1000 + шт - </t>
        </is>
      </c>
      <c r="O976" s="47" t="inlineStr">
        <is>
          <t xml:space="preserve"> руб / шт с НДС</t>
        </is>
      </c>
      <c r="P976" s="125">
        <f>ROUND(K976,2)</f>
        <v/>
      </c>
      <c r="Q976" s="207">
        <f>CONCATENATE(N976,P976,O976,)</f>
        <v/>
      </c>
      <c r="R976" s="240" t="n"/>
      <c r="T976" s="241" t="n"/>
      <c r="U976" s="240" t="n"/>
      <c r="V976" s="241" t="n"/>
      <c r="Z976" s="240" t="n"/>
      <c r="AB976" s="241" t="n"/>
      <c r="AC976" s="240" t="n"/>
      <c r="AD976" s="241" t="n"/>
    </row>
    <row r="977">
      <c r="A977" s="232" t="n">
        <v>197</v>
      </c>
      <c r="B977" s="42" t="n">
        <v>197</v>
      </c>
      <c r="C977" s="118">
        <f>INDIRECT("'Закуп'!A" &amp; B977)</f>
        <v/>
      </c>
      <c r="D977" s="119">
        <f>C977*1.2</f>
        <v/>
      </c>
      <c r="E977" s="224">
        <f>INDIRECT("'Закуп'!D" &amp; A977)</f>
        <v/>
      </c>
      <c r="F977" s="231">
        <f>INDIRECT("'Закуп'!E" &amp; B977)</f>
        <v/>
      </c>
      <c r="G977" s="172">
        <f>IF(INDIRECT("'Закуп'!L" &amp; B977)="Sale","Sale","")</f>
        <v/>
      </c>
      <c r="H977" s="158">
        <f>IF(INDIRECT("'Закуп'!F" &amp; B977)=0,"",INDIRECT("'Закуп'!F" &amp; B977))</f>
        <v/>
      </c>
      <c r="I977" s="120" t="n">
        <v>50</v>
      </c>
      <c r="J977" s="121">
        <f>K977/1.2</f>
        <v/>
      </c>
      <c r="K977" s="70" t="n">
        <v>0.96</v>
      </c>
      <c r="L977" s="122">
        <f>J977-C977-(J977-C977)*0.2</f>
        <v/>
      </c>
      <c r="M977" s="123">
        <f>L977*I977</f>
        <v/>
      </c>
      <c r="N977" s="124" t="inlineStr">
        <is>
          <t xml:space="preserve">50-90 шт - </t>
        </is>
      </c>
      <c r="O977" s="47" t="inlineStr">
        <is>
          <t xml:space="preserve"> руб / шт с НДС</t>
        </is>
      </c>
      <c r="P977" s="125">
        <f>ROUND(K977,2)</f>
        <v/>
      </c>
      <c r="Q977" s="207">
        <f>CONCATENATE(N977,P977,O977,)</f>
        <v/>
      </c>
      <c r="R977" s="235">
        <f>INDIRECT("'Закуп'!k" &amp; A977)</f>
        <v/>
      </c>
      <c r="S977" s="239">
        <f>INDIRECT("'Закуп'!o" &amp; A977)</f>
        <v/>
      </c>
      <c r="T977" s="226">
        <f>INDIRECT("'Закуп'!p" &amp; A977)</f>
        <v/>
      </c>
      <c r="U977" s="235">
        <f>INDIRECT("'Закуп'!v" &amp; A977)</f>
        <v/>
      </c>
      <c r="V977" s="222">
        <f>INDIRECT("'Закуп'!w" &amp; A977)</f>
        <v/>
      </c>
      <c r="W977" s="229">
        <f>INDIRECT("'Закуп'!H" &amp; A977)</f>
        <v/>
      </c>
      <c r="X977" s="237">
        <f>INDIRECT("'Закуп'!g" &amp; A977)</f>
        <v/>
      </c>
      <c r="Y977" s="229">
        <f>INDIRECT("'Закуп'!i" &amp; A977)</f>
        <v/>
      </c>
      <c r="Z977" s="236">
        <f>INDIRECT("'Закуп'!x" &amp; A977)</f>
        <v/>
      </c>
      <c r="AA977" s="237">
        <f>INDIRECT("'Закуп'!y" &amp; A977)</f>
        <v/>
      </c>
      <c r="AB977" s="238">
        <f>INDIRECT("'Закуп'!z" &amp; A977)</f>
        <v/>
      </c>
      <c r="AC977" s="223">
        <f>SUBSTITUTE(INDEX(F:F, ROUNDUP((ROW(A976))/5,0)*5 - 3), "х", "x")</f>
        <v/>
      </c>
      <c r="AD977" s="222">
        <f>SUBSTITUTE(INDEX(F:F, ROUNDUP((ROW(A976))/5,0)*5 - 3), "х", "x") &amp; " - " &amp; SUBSTITUTE(SUBSTITUTE(INDEX(F:F, ROUNDUP((ROW(A976))/5,0)*5 - 3), "х", "*"), "x", "*") &amp; " мм"</f>
        <v/>
      </c>
    </row>
    <row r="978">
      <c r="B978" s="42" t="n">
        <v>197</v>
      </c>
      <c r="C978" s="118">
        <f>INDIRECT("'Закуп'!A" &amp; B978)</f>
        <v/>
      </c>
      <c r="D978" s="119">
        <f>C978*1.2</f>
        <v/>
      </c>
      <c r="G978" s="172">
        <f>IF(INDIRECT("'Закуп'!L" &amp; B978)="Sale","Sale","")</f>
        <v/>
      </c>
      <c r="H978" s="158">
        <f>IF(INDIRECT("'Закуп'!F" &amp; B978)=0,"",INDIRECT("'Закуп'!F" &amp; B978))</f>
        <v/>
      </c>
      <c r="I978" s="120" t="n">
        <v>100</v>
      </c>
      <c r="J978" s="121">
        <f>K978/1.2</f>
        <v/>
      </c>
      <c r="K978" s="70" t="n">
        <v>0.86</v>
      </c>
      <c r="L978" s="122">
        <f>J978-C978-(J978-C978)*0.2</f>
        <v/>
      </c>
      <c r="M978" s="123">
        <f>L978*I978</f>
        <v/>
      </c>
      <c r="N978" s="124" t="inlineStr">
        <is>
          <t xml:space="preserve">100-290 шт - </t>
        </is>
      </c>
      <c r="O978" s="47" t="inlineStr">
        <is>
          <t xml:space="preserve"> руб / шт с НДС</t>
        </is>
      </c>
      <c r="P978" s="125">
        <f>ROUND(K978,2)</f>
        <v/>
      </c>
      <c r="Q978" s="207">
        <f>CONCATENATE(N978,P978,O978,)</f>
        <v/>
      </c>
      <c r="R978" s="240" t="n"/>
      <c r="T978" s="241" t="n"/>
      <c r="U978" s="240" t="n"/>
      <c r="V978" s="241" t="n"/>
      <c r="Z978" s="240" t="n"/>
      <c r="AB978" s="241" t="n"/>
      <c r="AC978" s="240" t="n"/>
      <c r="AD978" s="241" t="n"/>
    </row>
    <row r="979">
      <c r="B979" s="42" t="n">
        <v>197</v>
      </c>
      <c r="C979" s="118">
        <f>INDIRECT("'Закуп'!A" &amp; B979)</f>
        <v/>
      </c>
      <c r="D979" s="119">
        <f>C979*1.2</f>
        <v/>
      </c>
      <c r="G979" s="172">
        <f>IF(INDIRECT("'Закуп'!L" &amp; B979)="Sale","Sale","")</f>
        <v/>
      </c>
      <c r="H979" s="158">
        <f>IF(INDIRECT("'Закуп'!F" &amp; B979)=0,"",INDIRECT("'Закуп'!F" &amp; B979))</f>
        <v/>
      </c>
      <c r="I979" s="120" t="n">
        <v>300</v>
      </c>
      <c r="J979" s="121">
        <f>K979/1.2</f>
        <v/>
      </c>
      <c r="K979" s="70" t="n">
        <v>0.75</v>
      </c>
      <c r="L979" s="122">
        <f>J979-C979-(J979-C979)*0.2</f>
        <v/>
      </c>
      <c r="M979" s="123">
        <f>L979*I979</f>
        <v/>
      </c>
      <c r="N979" s="124" t="inlineStr">
        <is>
          <t xml:space="preserve">300-490 шт - </t>
        </is>
      </c>
      <c r="O979" s="47" t="inlineStr">
        <is>
          <t xml:space="preserve"> руб / шт с НДС</t>
        </is>
      </c>
      <c r="P979" s="125">
        <f>ROUND(K979,2)</f>
        <v/>
      </c>
      <c r="Q979" s="207">
        <f>CONCATENATE(N979,P979,O979,)</f>
        <v/>
      </c>
      <c r="R979" s="240" t="n"/>
      <c r="T979" s="241" t="n"/>
      <c r="U979" s="240" t="n"/>
      <c r="V979" s="241" t="n"/>
      <c r="Z979" s="240" t="n"/>
      <c r="AB979" s="241" t="n"/>
      <c r="AC979" s="240" t="n"/>
      <c r="AD979" s="241" t="n"/>
    </row>
    <row r="980">
      <c r="B980" s="42" t="n">
        <v>197</v>
      </c>
      <c r="C980" s="118">
        <f>INDIRECT("'Закуп'!A" &amp; B980)</f>
        <v/>
      </c>
      <c r="D980" s="119">
        <f>C980*1.2</f>
        <v/>
      </c>
      <c r="G980" s="172">
        <f>IF(INDIRECT("'Закуп'!L" &amp; B980)="Sale","Sale","")</f>
        <v/>
      </c>
      <c r="H980" s="158">
        <f>IF(INDIRECT("'Закуп'!F" &amp; B980)=0,"",INDIRECT("'Закуп'!F" &amp; B980))</f>
        <v/>
      </c>
      <c r="I980" s="120" t="n">
        <v>500</v>
      </c>
      <c r="J980" s="121">
        <f>K980/1.2</f>
        <v/>
      </c>
      <c r="K980" s="70" t="n">
        <v>0.64</v>
      </c>
      <c r="L980" s="122">
        <f>J980-C980-(J980-C980)*0.2</f>
        <v/>
      </c>
      <c r="M980" s="123">
        <f>L980*I980</f>
        <v/>
      </c>
      <c r="N980" s="124" t="inlineStr">
        <is>
          <t xml:space="preserve">500-990 шт - </t>
        </is>
      </c>
      <c r="O980" s="47" t="inlineStr">
        <is>
          <t xml:space="preserve"> руб / шт с НДС</t>
        </is>
      </c>
      <c r="P980" s="125">
        <f>ROUND(K980,2)</f>
        <v/>
      </c>
      <c r="Q980" s="207">
        <f>CONCATENATE(N980,P980,O980,)</f>
        <v/>
      </c>
      <c r="R980" s="240" t="n"/>
      <c r="T980" s="241" t="n"/>
      <c r="U980" s="240" t="n"/>
      <c r="V980" s="241" t="n"/>
      <c r="Z980" s="240" t="n"/>
      <c r="AB980" s="241" t="n"/>
      <c r="AC980" s="240" t="n"/>
      <c r="AD980" s="241" t="n"/>
    </row>
    <row r="981">
      <c r="B981" s="42" t="n">
        <v>197</v>
      </c>
      <c r="C981" s="118">
        <f>INDIRECT("'Закуп'!A" &amp; B981)</f>
        <v/>
      </c>
      <c r="D981" s="119">
        <f>C981*1.2</f>
        <v/>
      </c>
      <c r="G981" s="172">
        <f>IF(INDIRECT("'Закуп'!L" &amp; B981)="Sale","Sale","")</f>
        <v/>
      </c>
      <c r="H981" s="158">
        <f>IF(INDIRECT("'Закуп'!F" &amp; B981)=0,"",INDIRECT("'Закуп'!F" &amp; B981))</f>
        <v/>
      </c>
      <c r="I981" s="120" t="n">
        <v>1000</v>
      </c>
      <c r="J981" s="121">
        <f>K981/1.2</f>
        <v/>
      </c>
      <c r="K981" s="70" t="n">
        <v>0.54</v>
      </c>
      <c r="L981" s="122">
        <f>J981-C981-(J981-C981)*0.2</f>
        <v/>
      </c>
      <c r="M981" s="123">
        <f>L981*I981</f>
        <v/>
      </c>
      <c r="N981" s="124" t="inlineStr">
        <is>
          <t xml:space="preserve">1000 + шт - </t>
        </is>
      </c>
      <c r="O981" s="47" t="inlineStr">
        <is>
          <t xml:space="preserve"> руб / шт с НДС</t>
        </is>
      </c>
      <c r="P981" s="125">
        <f>ROUND(K981,2)</f>
        <v/>
      </c>
      <c r="Q981" s="207">
        <f>CONCATENATE(N981,P981,O981,)</f>
        <v/>
      </c>
      <c r="R981" s="240" t="n"/>
      <c r="T981" s="241" t="n"/>
      <c r="U981" s="240" t="n"/>
      <c r="V981" s="241" t="n"/>
      <c r="Z981" s="240" t="n"/>
      <c r="AB981" s="241" t="n"/>
      <c r="AC981" s="240" t="n"/>
      <c r="AD981" s="241" t="n"/>
    </row>
    <row r="982">
      <c r="A982" s="232" t="n">
        <v>198</v>
      </c>
      <c r="B982" s="42" t="n">
        <v>198</v>
      </c>
      <c r="C982" s="118">
        <f>INDIRECT("'Закуп'!A" &amp; B982)</f>
        <v/>
      </c>
      <c r="D982" s="119">
        <f>C982*1.2</f>
        <v/>
      </c>
      <c r="E982" s="224">
        <f>INDIRECT("'Закуп'!D" &amp; A982)</f>
        <v/>
      </c>
      <c r="F982" s="231">
        <f>INDIRECT("'Закуп'!E" &amp; B982)</f>
        <v/>
      </c>
      <c r="G982" s="172">
        <f>IF(INDIRECT("'Закуп'!L" &amp; B982)="Sale","Sale","")</f>
        <v/>
      </c>
      <c r="H982" s="158">
        <f>IF(INDIRECT("'Закуп'!F" &amp; B982)=0,"",INDIRECT("'Закуп'!F" &amp; B982))</f>
        <v/>
      </c>
      <c r="I982" s="120" t="n">
        <v>50</v>
      </c>
      <c r="J982" s="121">
        <f>K982/1.2</f>
        <v/>
      </c>
      <c r="K982" s="70" t="n">
        <v>0.96</v>
      </c>
      <c r="L982" s="122">
        <f>J982-C982-(J982-C982)*0.2</f>
        <v/>
      </c>
      <c r="M982" s="123">
        <f>L982*I982</f>
        <v/>
      </c>
      <c r="N982" s="124" t="inlineStr">
        <is>
          <t xml:space="preserve">50-90 шт - </t>
        </is>
      </c>
      <c r="O982" s="47" t="inlineStr">
        <is>
          <t xml:space="preserve"> руб / шт с НДС</t>
        </is>
      </c>
      <c r="P982" s="125">
        <f>ROUND(K982,2)</f>
        <v/>
      </c>
      <c r="Q982" s="207">
        <f>CONCATENATE(N982,P982,O982,)</f>
        <v/>
      </c>
      <c r="R982" s="235">
        <f>INDIRECT("'Закуп'!k" &amp; A982)</f>
        <v/>
      </c>
      <c r="S982" s="239">
        <f>INDIRECT("'Закуп'!o" &amp; A982)</f>
        <v/>
      </c>
      <c r="T982" s="226">
        <f>INDIRECT("'Закуп'!p" &amp; A982)</f>
        <v/>
      </c>
      <c r="U982" s="235">
        <f>INDIRECT("'Закуп'!v" &amp; A982)</f>
        <v/>
      </c>
      <c r="V982" s="222">
        <f>INDIRECT("'Закуп'!w" &amp; A982)</f>
        <v/>
      </c>
      <c r="W982" s="229">
        <f>INDIRECT("'Закуп'!H" &amp; A982)</f>
        <v/>
      </c>
      <c r="X982" s="237">
        <f>INDIRECT("'Закуп'!g" &amp; A982)</f>
        <v/>
      </c>
      <c r="Y982" s="229">
        <f>INDIRECT("'Закуп'!i" &amp; A982)</f>
        <v/>
      </c>
      <c r="Z982" s="236">
        <f>INDIRECT("'Закуп'!x" &amp; A982)</f>
        <v/>
      </c>
      <c r="AA982" s="237">
        <f>INDIRECT("'Закуп'!y" &amp; A982)</f>
        <v/>
      </c>
      <c r="AB982" s="238">
        <f>INDIRECT("'Закуп'!z" &amp; A982)</f>
        <v/>
      </c>
      <c r="AC982" s="223">
        <f>SUBSTITUTE(INDEX(F:F, ROUNDUP((ROW(A981))/5,0)*5 - 3), "х", "x")</f>
        <v/>
      </c>
      <c r="AD982" s="222">
        <f>SUBSTITUTE(INDEX(F:F, ROUNDUP((ROW(A981))/5,0)*5 - 3), "х", "x") &amp; " - " &amp; SUBSTITUTE(SUBSTITUTE(INDEX(F:F, ROUNDUP((ROW(A981))/5,0)*5 - 3), "х", "*"), "x", "*") &amp; " мм"</f>
        <v/>
      </c>
    </row>
    <row r="983">
      <c r="B983" s="42" t="n">
        <v>198</v>
      </c>
      <c r="C983" s="118">
        <f>INDIRECT("'Закуп'!A" &amp; B983)</f>
        <v/>
      </c>
      <c r="D983" s="119">
        <f>C983*1.2</f>
        <v/>
      </c>
      <c r="G983" s="172">
        <f>IF(INDIRECT("'Закуп'!L" &amp; B983)="Sale","Sale","")</f>
        <v/>
      </c>
      <c r="H983" s="158">
        <f>IF(INDIRECT("'Закуп'!F" &amp; B983)=0,"",INDIRECT("'Закуп'!F" &amp; B983))</f>
        <v/>
      </c>
      <c r="I983" s="120" t="n">
        <v>100</v>
      </c>
      <c r="J983" s="121">
        <f>K983/1.2</f>
        <v/>
      </c>
      <c r="K983" s="70" t="n">
        <v>0.86</v>
      </c>
      <c r="L983" s="122">
        <f>J983-C983-(J983-C983)*0.2</f>
        <v/>
      </c>
      <c r="M983" s="123">
        <f>L983*I983</f>
        <v/>
      </c>
      <c r="N983" s="124" t="inlineStr">
        <is>
          <t xml:space="preserve">100-290 шт - </t>
        </is>
      </c>
      <c r="O983" s="47" t="inlineStr">
        <is>
          <t xml:space="preserve"> руб / шт с НДС</t>
        </is>
      </c>
      <c r="P983" s="125">
        <f>ROUND(K983,2)</f>
        <v/>
      </c>
      <c r="Q983" s="207">
        <f>CONCATENATE(N983,P983,O983,)</f>
        <v/>
      </c>
      <c r="R983" s="240" t="n"/>
      <c r="T983" s="241" t="n"/>
      <c r="U983" s="240" t="n"/>
      <c r="V983" s="241" t="n"/>
      <c r="Z983" s="240" t="n"/>
      <c r="AB983" s="241" t="n"/>
      <c r="AC983" s="240" t="n"/>
      <c r="AD983" s="241" t="n"/>
    </row>
    <row r="984">
      <c r="B984" s="42" t="n">
        <v>198</v>
      </c>
      <c r="C984" s="118">
        <f>INDIRECT("'Закуп'!A" &amp; B984)</f>
        <v/>
      </c>
      <c r="D984" s="119">
        <f>C984*1.2</f>
        <v/>
      </c>
      <c r="G984" s="172">
        <f>IF(INDIRECT("'Закуп'!L" &amp; B984)="Sale","Sale","")</f>
        <v/>
      </c>
      <c r="H984" s="158">
        <f>IF(INDIRECT("'Закуп'!F" &amp; B984)=0,"",INDIRECT("'Закуп'!F" &amp; B984))</f>
        <v/>
      </c>
      <c r="I984" s="120" t="n">
        <v>300</v>
      </c>
      <c r="J984" s="121">
        <f>K984/1.2</f>
        <v/>
      </c>
      <c r="K984" s="70" t="n">
        <v>0.75</v>
      </c>
      <c r="L984" s="122">
        <f>J984-C984-(J984-C984)*0.2</f>
        <v/>
      </c>
      <c r="M984" s="123">
        <f>L984*I984</f>
        <v/>
      </c>
      <c r="N984" s="124" t="inlineStr">
        <is>
          <t xml:space="preserve">300-490 шт - </t>
        </is>
      </c>
      <c r="O984" s="47" t="inlineStr">
        <is>
          <t xml:space="preserve"> руб / шт с НДС</t>
        </is>
      </c>
      <c r="P984" s="125">
        <f>ROUND(K984,2)</f>
        <v/>
      </c>
      <c r="Q984" s="207">
        <f>CONCATENATE(N984,P984,O984,)</f>
        <v/>
      </c>
      <c r="R984" s="240" t="n"/>
      <c r="T984" s="241" t="n"/>
      <c r="U984" s="240" t="n"/>
      <c r="V984" s="241" t="n"/>
      <c r="Z984" s="240" t="n"/>
      <c r="AB984" s="241" t="n"/>
      <c r="AC984" s="240" t="n"/>
      <c r="AD984" s="241" t="n"/>
    </row>
    <row r="985">
      <c r="B985" s="42" t="n">
        <v>198</v>
      </c>
      <c r="C985" s="118">
        <f>INDIRECT("'Закуп'!A" &amp; B985)</f>
        <v/>
      </c>
      <c r="D985" s="119">
        <f>C985*1.2</f>
        <v/>
      </c>
      <c r="G985" s="172">
        <f>IF(INDIRECT("'Закуп'!L" &amp; B985)="Sale","Sale","")</f>
        <v/>
      </c>
      <c r="H985" s="158">
        <f>IF(INDIRECT("'Закуп'!F" &amp; B985)=0,"",INDIRECT("'Закуп'!F" &amp; B985))</f>
        <v/>
      </c>
      <c r="I985" s="120" t="n">
        <v>500</v>
      </c>
      <c r="J985" s="121">
        <f>K985/1.2</f>
        <v/>
      </c>
      <c r="K985" s="70" t="n">
        <v>0.64</v>
      </c>
      <c r="L985" s="122">
        <f>J985-C985-(J985-C985)*0.2</f>
        <v/>
      </c>
      <c r="M985" s="123">
        <f>L985*I985</f>
        <v/>
      </c>
      <c r="N985" s="124" t="inlineStr">
        <is>
          <t xml:space="preserve">500-990 шт - </t>
        </is>
      </c>
      <c r="O985" s="47" t="inlineStr">
        <is>
          <t xml:space="preserve"> руб / шт с НДС</t>
        </is>
      </c>
      <c r="P985" s="125">
        <f>ROUND(K985,2)</f>
        <v/>
      </c>
      <c r="Q985" s="207">
        <f>CONCATENATE(N985,P985,O985,)</f>
        <v/>
      </c>
      <c r="R985" s="240" t="n"/>
      <c r="T985" s="241" t="n"/>
      <c r="U985" s="240" t="n"/>
      <c r="V985" s="241" t="n"/>
      <c r="Z985" s="240" t="n"/>
      <c r="AB985" s="241" t="n"/>
      <c r="AC985" s="240" t="n"/>
      <c r="AD985" s="241" t="n"/>
    </row>
    <row r="986">
      <c r="B986" s="42" t="n">
        <v>198</v>
      </c>
      <c r="C986" s="118">
        <f>INDIRECT("'Закуп'!A" &amp; B986)</f>
        <v/>
      </c>
      <c r="D986" s="119">
        <f>C986*1.2</f>
        <v/>
      </c>
      <c r="G986" s="172">
        <f>IF(INDIRECT("'Закуп'!L" &amp; B986)="Sale","Sale","")</f>
        <v/>
      </c>
      <c r="H986" s="158">
        <f>IF(INDIRECT("'Закуп'!F" &amp; B986)=0,"",INDIRECT("'Закуп'!F" &amp; B986))</f>
        <v/>
      </c>
      <c r="I986" s="120" t="n">
        <v>1000</v>
      </c>
      <c r="J986" s="121">
        <f>K986/1.2</f>
        <v/>
      </c>
      <c r="K986" s="70" t="n">
        <v>0.54</v>
      </c>
      <c r="L986" s="122">
        <f>J986-C986-(J986-C986)*0.2</f>
        <v/>
      </c>
      <c r="M986" s="123">
        <f>L986*I986</f>
        <v/>
      </c>
      <c r="N986" s="124" t="inlineStr">
        <is>
          <t xml:space="preserve">1000 + шт - </t>
        </is>
      </c>
      <c r="O986" s="47" t="inlineStr">
        <is>
          <t xml:space="preserve"> руб / шт с НДС</t>
        </is>
      </c>
      <c r="P986" s="125">
        <f>ROUND(K986,2)</f>
        <v/>
      </c>
      <c r="Q986" s="207">
        <f>CONCATENATE(N986,P986,O986,)</f>
        <v/>
      </c>
      <c r="R986" s="240" t="n"/>
      <c r="T986" s="241" t="n"/>
      <c r="U986" s="240" t="n"/>
      <c r="V986" s="241" t="n"/>
      <c r="Z986" s="240" t="n"/>
      <c r="AB986" s="241" t="n"/>
      <c r="AC986" s="240" t="n"/>
      <c r="AD986" s="241" t="n"/>
    </row>
    <row r="987">
      <c r="A987" s="232" t="n">
        <v>199</v>
      </c>
      <c r="B987" s="42" t="n">
        <v>199</v>
      </c>
      <c r="C987" s="118">
        <f>INDIRECT("'Закуп'!A" &amp; B987)</f>
        <v/>
      </c>
      <c r="D987" s="119">
        <f>C987*1.2</f>
        <v/>
      </c>
      <c r="E987" s="224">
        <f>INDIRECT("'Закуп'!D" &amp; A987)</f>
        <v/>
      </c>
      <c r="F987" s="231">
        <f>INDIRECT("'Закуп'!E" &amp; B987)</f>
        <v/>
      </c>
      <c r="G987" s="172">
        <f>IF(INDIRECT("'Закуп'!L" &amp; B987)="Sale","Sale","")</f>
        <v/>
      </c>
      <c r="H987" s="158">
        <f>IF(INDIRECT("'Закуп'!F" &amp; B987)=0,"",INDIRECT("'Закуп'!F" &amp; B987))</f>
        <v/>
      </c>
      <c r="I987" s="120" t="n">
        <v>50</v>
      </c>
      <c r="J987" s="121">
        <f>K987/1.2</f>
        <v/>
      </c>
      <c r="K987" s="242" t="n">
        <v>1.2</v>
      </c>
      <c r="L987" s="122">
        <f>J987-C987-(J987-C987)*0.2</f>
        <v/>
      </c>
      <c r="M987" s="123">
        <f>L987*I987</f>
        <v/>
      </c>
      <c r="N987" s="124" t="inlineStr">
        <is>
          <t xml:space="preserve">50-90 шт - </t>
        </is>
      </c>
      <c r="O987" s="47" t="inlineStr">
        <is>
          <t xml:space="preserve"> руб / шт с НДС</t>
        </is>
      </c>
      <c r="P987" s="125">
        <f>ROUND(K987,2)</f>
        <v/>
      </c>
      <c r="Q987" s="207">
        <f>CONCATENATE(N987,P987,O987,)</f>
        <v/>
      </c>
      <c r="R987" s="235">
        <f>INDIRECT("'Закуп'!k" &amp; A987)</f>
        <v/>
      </c>
      <c r="S987" s="239">
        <f>INDIRECT("'Закуп'!o" &amp; A987)</f>
        <v/>
      </c>
      <c r="T987" s="226">
        <f>INDIRECT("'Закуп'!p" &amp; A987)</f>
        <v/>
      </c>
      <c r="U987" s="235">
        <f>INDIRECT("'Закуп'!v" &amp; A987)</f>
        <v/>
      </c>
      <c r="V987" s="222">
        <f>INDIRECT("'Закуп'!w" &amp; A987)</f>
        <v/>
      </c>
      <c r="W987" s="229">
        <f>INDIRECT("'Закуп'!H" &amp; A987)</f>
        <v/>
      </c>
      <c r="X987" s="237">
        <f>INDIRECT("'Закуп'!g" &amp; A987)</f>
        <v/>
      </c>
      <c r="Y987" s="229">
        <f>INDIRECT("'Закуп'!i" &amp; A987)</f>
        <v/>
      </c>
      <c r="Z987" s="236">
        <f>INDIRECT("'Закуп'!x" &amp; A987)</f>
        <v/>
      </c>
      <c r="AA987" s="237">
        <f>INDIRECT("'Закуп'!y" &amp; A987)</f>
        <v/>
      </c>
      <c r="AB987" s="238">
        <f>INDIRECT("'Закуп'!z" &amp; A987)</f>
        <v/>
      </c>
      <c r="AC987" s="223">
        <f>SUBSTITUTE(INDEX(F:F, ROUNDUP((ROW(A986))/5,0)*5 - 3), "х", "x")</f>
        <v/>
      </c>
      <c r="AD987" s="222">
        <f>SUBSTITUTE(INDEX(F:F, ROUNDUP((ROW(A986))/5,0)*5 - 3), "х", "x") &amp; " - " &amp; SUBSTITUTE(SUBSTITUTE(INDEX(F:F, ROUNDUP((ROW(A986))/5,0)*5 - 3), "х", "*"), "x", "*") &amp; " мм"</f>
        <v/>
      </c>
      <c r="AE987" t="n">
        <v>1.58</v>
      </c>
    </row>
    <row r="988">
      <c r="B988" s="42" t="n">
        <v>199</v>
      </c>
      <c r="C988" s="118">
        <f>INDIRECT("'Закуп'!A" &amp; B988)</f>
        <v/>
      </c>
      <c r="D988" s="119">
        <f>C988*1.2</f>
        <v/>
      </c>
      <c r="G988" s="172">
        <f>IF(INDIRECT("'Закуп'!L" &amp; B988)="Sale","Sale","")</f>
        <v/>
      </c>
      <c r="H988" s="158">
        <f>IF(INDIRECT("'Закуп'!F" &amp; B988)=0,"",INDIRECT("'Закуп'!F" &amp; B988))</f>
        <v/>
      </c>
      <c r="I988" s="120" t="n">
        <v>100</v>
      </c>
      <c r="J988" s="121">
        <f>K988/1.2</f>
        <v/>
      </c>
      <c r="K988" s="242" t="n">
        <v>1.03</v>
      </c>
      <c r="L988" s="122">
        <f>J988-C988-(J988-C988)*0.2</f>
        <v/>
      </c>
      <c r="M988" s="123">
        <f>L988*I988</f>
        <v/>
      </c>
      <c r="N988" s="124" t="inlineStr">
        <is>
          <t xml:space="preserve">100-290 шт - </t>
        </is>
      </c>
      <c r="O988" s="47" t="inlineStr">
        <is>
          <t xml:space="preserve"> руб / шт с НДС</t>
        </is>
      </c>
      <c r="P988" s="125">
        <f>ROUND(K988,2)</f>
        <v/>
      </c>
      <c r="Q988" s="207">
        <f>CONCATENATE(N988,P988,O988,)</f>
        <v/>
      </c>
      <c r="R988" s="240" t="n"/>
      <c r="T988" s="241" t="n"/>
      <c r="U988" s="240" t="n"/>
      <c r="V988" s="241" t="n"/>
      <c r="Z988" s="240" t="n"/>
      <c r="AB988" s="241" t="n"/>
      <c r="AC988" s="240" t="n"/>
      <c r="AD988" s="241" t="n"/>
      <c r="AE988" t="n">
        <v>1.43</v>
      </c>
    </row>
    <row r="989">
      <c r="B989" s="42" t="n">
        <v>199</v>
      </c>
      <c r="C989" s="118">
        <f>INDIRECT("'Закуп'!A" &amp; B989)</f>
        <v/>
      </c>
      <c r="D989" s="119">
        <f>C989*1.2</f>
        <v/>
      </c>
      <c r="G989" s="172">
        <f>IF(INDIRECT("'Закуп'!L" &amp; B989)="Sale","Sale","")</f>
        <v/>
      </c>
      <c r="H989" s="158">
        <f>IF(INDIRECT("'Закуп'!F" &amp; B989)=0,"",INDIRECT("'Закуп'!F" &amp; B989))</f>
        <v/>
      </c>
      <c r="I989" s="120" t="n">
        <v>300</v>
      </c>
      <c r="J989" s="121">
        <f>K989/1.2</f>
        <v/>
      </c>
      <c r="K989" s="242" t="n">
        <v>0.97</v>
      </c>
      <c r="L989" s="122">
        <f>J989-C989-(J989-C989)*0.2</f>
        <v/>
      </c>
      <c r="M989" s="123">
        <f>L989*I989</f>
        <v/>
      </c>
      <c r="N989" s="124" t="inlineStr">
        <is>
          <t xml:space="preserve">300-490 шт - </t>
        </is>
      </c>
      <c r="O989" s="47" t="inlineStr">
        <is>
          <t xml:space="preserve"> руб / шт с НДС</t>
        </is>
      </c>
      <c r="P989" s="125">
        <f>ROUND(K989,2)</f>
        <v/>
      </c>
      <c r="Q989" s="207">
        <f>CONCATENATE(N989,P989,O989,)</f>
        <v/>
      </c>
      <c r="R989" s="240" t="n"/>
      <c r="T989" s="241" t="n"/>
      <c r="U989" s="240" t="n"/>
      <c r="V989" s="241" t="n"/>
      <c r="Z989" s="240" t="n"/>
      <c r="AB989" s="241" t="n"/>
      <c r="AC989" s="240" t="n"/>
      <c r="AD989" s="241" t="n"/>
      <c r="AE989" t="n">
        <v>1.13</v>
      </c>
    </row>
    <row r="990">
      <c r="B990" s="42" t="n">
        <v>199</v>
      </c>
      <c r="C990" s="118">
        <f>INDIRECT("'Закуп'!A" &amp; B990)</f>
        <v/>
      </c>
      <c r="D990" s="119">
        <f>C990*1.2</f>
        <v/>
      </c>
      <c r="G990" s="172">
        <f>IF(INDIRECT("'Закуп'!L" &amp; B990)="Sale","Sale","")</f>
        <v/>
      </c>
      <c r="H990" s="158">
        <f>IF(INDIRECT("'Закуп'!F" &amp; B990)=0,"",INDIRECT("'Закуп'!F" &amp; B990))</f>
        <v/>
      </c>
      <c r="I990" s="120" t="n">
        <v>500</v>
      </c>
      <c r="J990" s="121">
        <f>K990/1.2</f>
        <v/>
      </c>
      <c r="K990" s="242" t="n">
        <v>0.92</v>
      </c>
      <c r="L990" s="122">
        <f>J990-C990-(J990-C990)*0.2</f>
        <v/>
      </c>
      <c r="M990" s="123">
        <f>L990*I990</f>
        <v/>
      </c>
      <c r="N990" s="124" t="inlineStr">
        <is>
          <t xml:space="preserve">500-990 шт - </t>
        </is>
      </c>
      <c r="O990" s="47" t="inlineStr">
        <is>
          <t xml:space="preserve"> руб / шт с НДС</t>
        </is>
      </c>
      <c r="P990" s="125">
        <f>ROUND(K990,2)</f>
        <v/>
      </c>
      <c r="Q990" s="207">
        <f>CONCATENATE(N990,P990,O990,)</f>
        <v/>
      </c>
      <c r="R990" s="240" t="n"/>
      <c r="T990" s="241" t="n"/>
      <c r="U990" s="240" t="n"/>
      <c r="V990" s="241" t="n"/>
      <c r="Z990" s="240" t="n"/>
      <c r="AB990" s="241" t="n"/>
      <c r="AC990" s="240" t="n"/>
      <c r="AD990" s="241" t="n"/>
      <c r="AE990" t="n">
        <v>1.06</v>
      </c>
    </row>
    <row r="991">
      <c r="B991" s="42" t="n">
        <v>199</v>
      </c>
      <c r="C991" s="118">
        <f>INDIRECT("'Закуп'!A" &amp; B991)</f>
        <v/>
      </c>
      <c r="D991" s="119">
        <f>C991*1.2</f>
        <v/>
      </c>
      <c r="G991" s="172">
        <f>IF(INDIRECT("'Закуп'!L" &amp; B991)="Sale","Sale","")</f>
        <v/>
      </c>
      <c r="H991" s="158">
        <f>IF(INDIRECT("'Закуп'!F" &amp; B991)=0,"",INDIRECT("'Закуп'!F" &amp; B991))</f>
        <v/>
      </c>
      <c r="I991" s="120" t="n">
        <v>1000</v>
      </c>
      <c r="J991" s="121">
        <f>K991/1.2</f>
        <v/>
      </c>
      <c r="K991" s="242" t="n">
        <v>0.83</v>
      </c>
      <c r="L991" s="122">
        <f>J991-C991-(J991-C991)*0.2</f>
        <v/>
      </c>
      <c r="M991" s="123">
        <f>L991*I991</f>
        <v/>
      </c>
      <c r="N991" s="124" t="inlineStr">
        <is>
          <t xml:space="preserve">1000 + шт - </t>
        </is>
      </c>
      <c r="O991" s="47" t="inlineStr">
        <is>
          <t xml:space="preserve"> руб / шт с НДС</t>
        </is>
      </c>
      <c r="P991" s="125">
        <f>ROUND(K991,2)</f>
        <v/>
      </c>
      <c r="Q991" s="207">
        <f>CONCATENATE(N991,P991,O991,)</f>
        <v/>
      </c>
      <c r="R991" s="240" t="n"/>
      <c r="T991" s="241" t="n"/>
      <c r="U991" s="240" t="n"/>
      <c r="V991" s="241" t="n"/>
      <c r="Z991" s="240" t="n"/>
      <c r="AB991" s="241" t="n"/>
      <c r="AC991" s="240" t="n"/>
      <c r="AD991" s="241" t="n"/>
      <c r="AE991" t="n">
        <v>1.01</v>
      </c>
    </row>
    <row r="992">
      <c r="A992" s="232" t="n">
        <v>200</v>
      </c>
      <c r="B992" s="42" t="n">
        <v>200</v>
      </c>
      <c r="C992" s="118">
        <f>INDIRECT("'Закуп'!A" &amp; B992)</f>
        <v/>
      </c>
      <c r="D992" s="119">
        <f>C992*1.2</f>
        <v/>
      </c>
      <c r="E992" s="224">
        <f>INDIRECT("'Закуп'!D" &amp; A992)</f>
        <v/>
      </c>
      <c r="F992" s="231">
        <f>INDIRECT("'Закуп'!E" &amp; B992)</f>
        <v/>
      </c>
      <c r="G992" s="172">
        <f>IF(INDIRECT("'Закуп'!L" &amp; B992)="Sale","Sale","")</f>
        <v/>
      </c>
      <c r="H992" s="158">
        <f>IF(INDIRECT("'Закуп'!F" &amp; B992)=0,"",INDIRECT("'Закуп'!F" &amp; B992))</f>
        <v/>
      </c>
      <c r="I992" s="120" t="n">
        <v>50</v>
      </c>
      <c r="J992" s="121">
        <f>K992/1.2</f>
        <v/>
      </c>
      <c r="K992" s="70" t="n">
        <v>0.96</v>
      </c>
      <c r="L992" s="122">
        <f>J992-C992-(J992-C992)*0.2</f>
        <v/>
      </c>
      <c r="M992" s="123">
        <f>L992*I992</f>
        <v/>
      </c>
      <c r="N992" s="124" t="inlineStr">
        <is>
          <t xml:space="preserve">50-90 шт - </t>
        </is>
      </c>
      <c r="O992" s="47" t="inlineStr">
        <is>
          <t xml:space="preserve"> руб / шт с НДС</t>
        </is>
      </c>
      <c r="P992" s="125">
        <f>ROUND(K992,2)</f>
        <v/>
      </c>
      <c r="Q992" s="207">
        <f>CONCATENATE(N992,P992,O992,)</f>
        <v/>
      </c>
      <c r="R992" s="235">
        <f>INDIRECT("'Закуп'!k" &amp; A992)</f>
        <v/>
      </c>
      <c r="S992" s="239">
        <f>INDIRECT("'Закуп'!o" &amp; A992)</f>
        <v/>
      </c>
      <c r="T992" s="226">
        <f>INDIRECT("'Закуп'!p" &amp; A992)</f>
        <v/>
      </c>
      <c r="U992" s="235">
        <f>INDIRECT("'Закуп'!v" &amp; A992)</f>
        <v/>
      </c>
      <c r="V992" s="222">
        <f>INDIRECT("'Закуп'!w" &amp; A992)</f>
        <v/>
      </c>
      <c r="W992" s="229">
        <f>INDIRECT("'Закуп'!H" &amp; A992)</f>
        <v/>
      </c>
      <c r="X992" s="237">
        <f>INDIRECT("'Закуп'!g" &amp; A992)</f>
        <v/>
      </c>
      <c r="Y992" s="229">
        <f>INDIRECT("'Закуп'!i" &amp; A992)</f>
        <v/>
      </c>
      <c r="Z992" s="236">
        <f>INDIRECT("'Закуп'!x" &amp; A992)</f>
        <v/>
      </c>
      <c r="AA992" s="237">
        <f>INDIRECT("'Закуп'!y" &amp; A992)</f>
        <v/>
      </c>
      <c r="AB992" s="238">
        <f>INDIRECT("'Закуп'!z" &amp; A992)</f>
        <v/>
      </c>
      <c r="AC992" s="223">
        <f>SUBSTITUTE(INDEX(F:F, ROUNDUP((ROW(A991))/5,0)*5 - 3), "х", "x")</f>
        <v/>
      </c>
      <c r="AD992" s="222">
        <f>SUBSTITUTE(INDEX(F:F, ROUNDUP((ROW(A991))/5,0)*5 - 3), "х", "x") &amp; " - " &amp; SUBSTITUTE(SUBSTITUTE(INDEX(F:F, ROUNDUP((ROW(A991))/5,0)*5 - 3), "х", "*"), "x", "*") &amp; " мм"</f>
        <v/>
      </c>
    </row>
    <row r="993">
      <c r="B993" s="42" t="n">
        <v>200</v>
      </c>
      <c r="C993" s="118">
        <f>INDIRECT("'Закуп'!A" &amp; B993)</f>
        <v/>
      </c>
      <c r="D993" s="119">
        <f>C993*1.2</f>
        <v/>
      </c>
      <c r="G993" s="172">
        <f>IF(INDIRECT("'Закуп'!L" &amp; B993)="Sale","Sale","")</f>
        <v/>
      </c>
      <c r="H993" s="158">
        <f>IF(INDIRECT("'Закуп'!F" &amp; B993)=0,"",INDIRECT("'Закуп'!F" &amp; B993))</f>
        <v/>
      </c>
      <c r="I993" s="120" t="n">
        <v>100</v>
      </c>
      <c r="J993" s="121">
        <f>K993/1.2</f>
        <v/>
      </c>
      <c r="K993" s="70" t="n">
        <v>0.82</v>
      </c>
      <c r="L993" s="122">
        <f>J993-C993-(J993-C993)*0.2</f>
        <v/>
      </c>
      <c r="M993" s="123">
        <f>L993*I993</f>
        <v/>
      </c>
      <c r="N993" s="124" t="inlineStr">
        <is>
          <t xml:space="preserve">100-290 шт - </t>
        </is>
      </c>
      <c r="O993" s="47" t="inlineStr">
        <is>
          <t xml:space="preserve"> руб / шт с НДС</t>
        </is>
      </c>
      <c r="P993" s="125">
        <f>ROUND(K993,2)</f>
        <v/>
      </c>
      <c r="Q993" s="207">
        <f>CONCATENATE(N993,P993,O993,)</f>
        <v/>
      </c>
      <c r="R993" s="240" t="n"/>
      <c r="T993" s="241" t="n"/>
      <c r="U993" s="240" t="n"/>
      <c r="V993" s="241" t="n"/>
      <c r="Z993" s="240" t="n"/>
      <c r="AB993" s="241" t="n"/>
      <c r="AC993" s="240" t="n"/>
      <c r="AD993" s="241" t="n"/>
    </row>
    <row r="994">
      <c r="B994" s="42" t="n">
        <v>200</v>
      </c>
      <c r="C994" s="118">
        <f>INDIRECT("'Закуп'!A" &amp; B994)</f>
        <v/>
      </c>
      <c r="D994" s="119">
        <f>C994*1.2</f>
        <v/>
      </c>
      <c r="G994" s="172">
        <f>IF(INDIRECT("'Закуп'!L" &amp; B994)="Sale","Sale","")</f>
        <v/>
      </c>
      <c r="H994" s="158">
        <f>IF(INDIRECT("'Закуп'!F" &amp; B994)=0,"",INDIRECT("'Закуп'!F" &amp; B994))</f>
        <v/>
      </c>
      <c r="I994" s="120" t="n">
        <v>300</v>
      </c>
      <c r="J994" s="121">
        <f>K994/1.2</f>
        <v/>
      </c>
      <c r="K994" s="70" t="n">
        <v>0.7</v>
      </c>
      <c r="L994" s="122">
        <f>J994-C994-(J994-C994)*0.2</f>
        <v/>
      </c>
      <c r="M994" s="123">
        <f>L994*I994</f>
        <v/>
      </c>
      <c r="N994" s="124" t="inlineStr">
        <is>
          <t xml:space="preserve">300-490 шт - </t>
        </is>
      </c>
      <c r="O994" s="47" t="inlineStr">
        <is>
          <t xml:space="preserve"> руб / шт с НДС</t>
        </is>
      </c>
      <c r="P994" s="125">
        <f>ROUND(K994,2)</f>
        <v/>
      </c>
      <c r="Q994" s="207">
        <f>CONCATENATE(N994,P994,O994,)</f>
        <v/>
      </c>
      <c r="R994" s="240" t="n"/>
      <c r="T994" s="241" t="n"/>
      <c r="U994" s="240" t="n"/>
      <c r="V994" s="241" t="n"/>
      <c r="Z994" s="240" t="n"/>
      <c r="AB994" s="241" t="n"/>
      <c r="AC994" s="240" t="n"/>
      <c r="AD994" s="241" t="n"/>
    </row>
    <row r="995">
      <c r="B995" s="42" t="n">
        <v>200</v>
      </c>
      <c r="C995" s="118">
        <f>INDIRECT("'Закуп'!A" &amp; B995)</f>
        <v/>
      </c>
      <c r="D995" s="119">
        <f>C995*1.2</f>
        <v/>
      </c>
      <c r="G995" s="172">
        <f>IF(INDIRECT("'Закуп'!L" &amp; B995)="Sale","Sale","")</f>
        <v/>
      </c>
      <c r="H995" s="158">
        <f>IF(INDIRECT("'Закуп'!F" &amp; B995)=0,"",INDIRECT("'Закуп'!F" &amp; B995))</f>
        <v/>
      </c>
      <c r="I995" s="120" t="n">
        <v>500</v>
      </c>
      <c r="J995" s="121">
        <f>K995/1.2</f>
        <v/>
      </c>
      <c r="K995" s="70" t="n">
        <v>0.59</v>
      </c>
      <c r="L995" s="122">
        <f>J995-C995-(J995-C995)*0.2</f>
        <v/>
      </c>
      <c r="M995" s="123">
        <f>L995*I995</f>
        <v/>
      </c>
      <c r="N995" s="124" t="inlineStr">
        <is>
          <t xml:space="preserve">500-990 шт - </t>
        </is>
      </c>
      <c r="O995" s="47" t="inlineStr">
        <is>
          <t xml:space="preserve"> руб / шт с НДС</t>
        </is>
      </c>
      <c r="P995" s="125">
        <f>ROUND(K995,2)</f>
        <v/>
      </c>
      <c r="Q995" s="207">
        <f>CONCATENATE(N995,P995,O995,)</f>
        <v/>
      </c>
      <c r="R995" s="240" t="n"/>
      <c r="T995" s="241" t="n"/>
      <c r="U995" s="240" t="n"/>
      <c r="V995" s="241" t="n"/>
      <c r="Z995" s="240" t="n"/>
      <c r="AB995" s="241" t="n"/>
      <c r="AC995" s="240" t="n"/>
      <c r="AD995" s="241" t="n"/>
    </row>
    <row r="996">
      <c r="B996" s="42" t="n">
        <v>200</v>
      </c>
      <c r="C996" s="118">
        <f>INDIRECT("'Закуп'!A" &amp; B996)</f>
        <v/>
      </c>
      <c r="D996" s="119">
        <f>C996*1.2</f>
        <v/>
      </c>
      <c r="G996" s="172">
        <f>IF(INDIRECT("'Закуп'!L" &amp; B996)="Sale","Sale","")</f>
        <v/>
      </c>
      <c r="H996" s="158">
        <f>IF(INDIRECT("'Закуп'!F" &amp; B996)=0,"",INDIRECT("'Закуп'!F" &amp; B996))</f>
        <v/>
      </c>
      <c r="I996" s="120" t="n">
        <v>1000</v>
      </c>
      <c r="J996" s="121">
        <f>K996/1.2</f>
        <v/>
      </c>
      <c r="K996" s="70" t="n">
        <v>0.51</v>
      </c>
      <c r="L996" s="122">
        <f>J996-C996-(J996-C996)*0.2</f>
        <v/>
      </c>
      <c r="M996" s="123">
        <f>L996*I996</f>
        <v/>
      </c>
      <c r="N996" s="124" t="inlineStr">
        <is>
          <t xml:space="preserve">1000 + шт - </t>
        </is>
      </c>
      <c r="O996" s="47" t="inlineStr">
        <is>
          <t xml:space="preserve"> руб / шт с НДС</t>
        </is>
      </c>
      <c r="P996" s="125">
        <f>ROUND(K996,2)</f>
        <v/>
      </c>
      <c r="Q996" s="207">
        <f>CONCATENATE(N996,P996,O996,)</f>
        <v/>
      </c>
      <c r="R996" s="240" t="n"/>
      <c r="T996" s="241" t="n"/>
      <c r="U996" s="240" t="n"/>
      <c r="V996" s="241" t="n"/>
      <c r="Z996" s="240" t="n"/>
      <c r="AB996" s="241" t="n"/>
      <c r="AC996" s="240" t="n"/>
      <c r="AD996" s="241" t="n"/>
    </row>
    <row r="997">
      <c r="A997" s="232" t="n">
        <v>201</v>
      </c>
      <c r="B997" s="42" t="n">
        <v>201</v>
      </c>
      <c r="C997" s="118">
        <f>INDIRECT("'Закуп'!A" &amp; B997)</f>
        <v/>
      </c>
      <c r="D997" s="119">
        <f>C997*1.2</f>
        <v/>
      </c>
      <c r="E997" s="224">
        <f>INDIRECT("'Закуп'!D" &amp; A997)</f>
        <v/>
      </c>
      <c r="F997" s="231">
        <f>INDIRECT("'Закуп'!E" &amp; B997)</f>
        <v/>
      </c>
      <c r="G997" s="172">
        <f>IF(INDIRECT("'Закуп'!L" &amp; B997)="Sale","Sale","")</f>
        <v/>
      </c>
      <c r="H997" s="158">
        <f>IF(INDIRECT("'Закуп'!F" &amp; B997)=0,"",INDIRECT("'Закуп'!F" &amp; B997))</f>
        <v/>
      </c>
      <c r="I997" s="120" t="n">
        <v>50</v>
      </c>
      <c r="J997" s="121">
        <f>K997/1.2</f>
        <v/>
      </c>
      <c r="K997" s="242" t="n">
        <v>2.4</v>
      </c>
      <c r="L997" s="122">
        <f>J997-C997-(J997-C997)*0.2</f>
        <v/>
      </c>
      <c r="M997" s="123">
        <f>L997*I997</f>
        <v/>
      </c>
      <c r="N997" s="124" t="inlineStr">
        <is>
          <t xml:space="preserve">50-90 шт - </t>
        </is>
      </c>
      <c r="O997" s="47" t="inlineStr">
        <is>
          <t xml:space="preserve"> руб / шт с НДС</t>
        </is>
      </c>
      <c r="P997" s="125">
        <f>ROUND(K997,2)</f>
        <v/>
      </c>
      <c r="Q997" s="207">
        <f>CONCATENATE(N997,P997,O997,)</f>
        <v/>
      </c>
      <c r="R997" s="235">
        <f>INDIRECT("'Закуп'!k" &amp; A997)</f>
        <v/>
      </c>
      <c r="S997" s="239">
        <f>INDIRECT("'Закуп'!o" &amp; A997)</f>
        <v/>
      </c>
      <c r="T997" s="226">
        <f>INDIRECT("'Закуп'!p" &amp; A997)</f>
        <v/>
      </c>
      <c r="U997" s="235">
        <f>INDIRECT("'Закуп'!v" &amp; A997)</f>
        <v/>
      </c>
      <c r="V997" s="222">
        <f>INDIRECT("'Закуп'!w" &amp; A997)</f>
        <v/>
      </c>
      <c r="W997" s="229">
        <f>INDIRECT("'Закуп'!H" &amp; A997)</f>
        <v/>
      </c>
      <c r="X997" s="237">
        <f>INDIRECT("'Закуп'!g" &amp; A997)</f>
        <v/>
      </c>
      <c r="Y997" s="229">
        <f>INDIRECT("'Закуп'!i" &amp; A997)</f>
        <v/>
      </c>
      <c r="Z997" s="236">
        <f>INDIRECT("'Закуп'!x" &amp; A997)</f>
        <v/>
      </c>
      <c r="AA997" s="237">
        <f>INDIRECT("'Закуп'!y" &amp; A997)</f>
        <v/>
      </c>
      <c r="AB997" s="238">
        <f>INDIRECT("'Закуп'!z" &amp; A997)</f>
        <v/>
      </c>
      <c r="AC997" s="223">
        <f>SUBSTITUTE(INDEX(F:F, ROUNDUP((ROW(A996))/5,0)*5 - 3), "х", "x")</f>
        <v/>
      </c>
      <c r="AD997" s="222">
        <f>SUBSTITUTE(INDEX(F:F, ROUNDUP((ROW(A996))/5,0)*5 - 3), "х", "x") &amp; " - " &amp; SUBSTITUTE(SUBSTITUTE(INDEX(F:F, ROUNDUP((ROW(A996))/5,0)*5 - 3), "х", "*"), "x", "*") &amp; " мм"</f>
        <v/>
      </c>
      <c r="AE997" t="n">
        <v>3.45</v>
      </c>
    </row>
    <row r="998">
      <c r="B998" s="42" t="n">
        <v>201</v>
      </c>
      <c r="C998" s="118">
        <f>INDIRECT("'Закуп'!A" &amp; B998)</f>
        <v/>
      </c>
      <c r="D998" s="119">
        <f>C998*1.2</f>
        <v/>
      </c>
      <c r="G998" s="172">
        <f>IF(INDIRECT("'Закуп'!L" &amp; B998)="Sale","Sale","")</f>
        <v/>
      </c>
      <c r="H998" s="158">
        <f>IF(INDIRECT("'Закуп'!F" &amp; B998)=0,"",INDIRECT("'Закуп'!F" &amp; B998))</f>
        <v/>
      </c>
      <c r="I998" s="120" t="n">
        <v>100</v>
      </c>
      <c r="J998" s="121">
        <f>K998/1.2</f>
        <v/>
      </c>
      <c r="K998" s="242" t="n">
        <v>2.07</v>
      </c>
      <c r="L998" s="122">
        <f>J998-C998-(J998-C998)*0.2</f>
        <v/>
      </c>
      <c r="M998" s="123">
        <f>L998*I998</f>
        <v/>
      </c>
      <c r="N998" s="124" t="inlineStr">
        <is>
          <t xml:space="preserve">100-290 шт - </t>
        </is>
      </c>
      <c r="O998" s="47" t="inlineStr">
        <is>
          <t xml:space="preserve"> руб / шт с НДС</t>
        </is>
      </c>
      <c r="P998" s="125">
        <f>ROUND(K998,2)</f>
        <v/>
      </c>
      <c r="Q998" s="207">
        <f>CONCATENATE(N998,P998,O998,)</f>
        <v/>
      </c>
      <c r="R998" s="240" t="n"/>
      <c r="T998" s="241" t="n"/>
      <c r="U998" s="240" t="n"/>
      <c r="V998" s="241" t="n"/>
      <c r="Z998" s="240" t="n"/>
      <c r="AB998" s="241" t="n"/>
      <c r="AC998" s="240" t="n"/>
      <c r="AD998" s="241" t="n"/>
      <c r="AE998" t="n">
        <v>2.75</v>
      </c>
    </row>
    <row r="999">
      <c r="B999" s="42" t="n">
        <v>201</v>
      </c>
      <c r="C999" s="118">
        <f>INDIRECT("'Закуп'!A" &amp; B999)</f>
        <v/>
      </c>
      <c r="D999" s="119">
        <f>C999*1.2</f>
        <v/>
      </c>
      <c r="G999" s="172">
        <f>IF(INDIRECT("'Закуп'!L" &amp; B999)="Sale","Sale","")</f>
        <v/>
      </c>
      <c r="H999" s="158">
        <f>IF(INDIRECT("'Закуп'!F" &amp; B999)=0,"",INDIRECT("'Закуп'!F" &amp; B999))</f>
        <v/>
      </c>
      <c r="I999" s="120" t="n">
        <v>300</v>
      </c>
      <c r="J999" s="121">
        <f>K999/1.2</f>
        <v/>
      </c>
      <c r="K999" s="242" t="n">
        <v>1.96</v>
      </c>
      <c r="L999" s="122">
        <f>J999-C999-(J999-C999)*0.2</f>
        <v/>
      </c>
      <c r="M999" s="123">
        <f>L999*I999</f>
        <v/>
      </c>
      <c r="N999" s="124" t="inlineStr">
        <is>
          <t xml:space="preserve">300-490 шт - </t>
        </is>
      </c>
      <c r="O999" s="47" t="inlineStr">
        <is>
          <t xml:space="preserve"> руб / шт с НДС</t>
        </is>
      </c>
      <c r="P999" s="125">
        <f>ROUND(K999,2)</f>
        <v/>
      </c>
      <c r="Q999" s="207">
        <f>CONCATENATE(N999,P999,O999,)</f>
        <v/>
      </c>
      <c r="R999" s="240" t="n"/>
      <c r="T999" s="241" t="n"/>
      <c r="U999" s="240" t="n"/>
      <c r="V999" s="241" t="n"/>
      <c r="Z999" s="240" t="n"/>
      <c r="AB999" s="241" t="n"/>
      <c r="AC999" s="240" t="n"/>
      <c r="AD999" s="241" t="n"/>
      <c r="AE999" t="n">
        <v>2.48</v>
      </c>
    </row>
    <row r="1000">
      <c r="B1000" s="42" t="n">
        <v>201</v>
      </c>
      <c r="C1000" s="118">
        <f>INDIRECT("'Закуп'!A" &amp; B1000)</f>
        <v/>
      </c>
      <c r="D1000" s="119">
        <f>C1000*1.2</f>
        <v/>
      </c>
      <c r="G1000" s="172">
        <f>IF(INDIRECT("'Закуп'!L" &amp; B1000)="Sale","Sale","")</f>
        <v/>
      </c>
      <c r="H1000" s="158">
        <f>IF(INDIRECT("'Закуп'!F" &amp; B1000)=0,"",INDIRECT("'Закуп'!F" &amp; B1000))</f>
        <v/>
      </c>
      <c r="I1000" s="120" t="n">
        <v>500</v>
      </c>
      <c r="J1000" s="121">
        <f>K1000/1.2</f>
        <v/>
      </c>
      <c r="K1000" s="242" t="n">
        <v>1.68</v>
      </c>
      <c r="L1000" s="122">
        <f>J1000-C1000-(J1000-C1000)*0.2</f>
        <v/>
      </c>
      <c r="M1000" s="123">
        <f>L1000*I1000</f>
        <v/>
      </c>
      <c r="N1000" s="124" t="inlineStr">
        <is>
          <t xml:space="preserve">500-990 шт - </t>
        </is>
      </c>
      <c r="O1000" s="47" t="inlineStr">
        <is>
          <t xml:space="preserve"> руб / шт с НДС</t>
        </is>
      </c>
      <c r="P1000" s="125">
        <f>ROUND(K1000,2)</f>
        <v/>
      </c>
      <c r="Q1000" s="207">
        <f>CONCATENATE(N1000,P1000,O1000,)</f>
        <v/>
      </c>
      <c r="R1000" s="240" t="n"/>
      <c r="T1000" s="241" t="n"/>
      <c r="U1000" s="240" t="n"/>
      <c r="V1000" s="241" t="n"/>
      <c r="Z1000" s="240" t="n"/>
      <c r="AB1000" s="241" t="n"/>
      <c r="AC1000" s="240" t="n"/>
      <c r="AD1000" s="241" t="n"/>
      <c r="AE1000" t="n">
        <v>2.24</v>
      </c>
    </row>
    <row r="1001">
      <c r="B1001" s="42" t="n">
        <v>201</v>
      </c>
      <c r="C1001" s="118">
        <f>INDIRECT("'Закуп'!A" &amp; B1001)</f>
        <v/>
      </c>
      <c r="D1001" s="119">
        <f>C1001*1.2</f>
        <v/>
      </c>
      <c r="G1001" s="172">
        <f>IF(INDIRECT("'Закуп'!L" &amp; B1001)="Sale","Sale","")</f>
        <v/>
      </c>
      <c r="H1001" s="158">
        <f>IF(INDIRECT("'Закуп'!F" &amp; B1001)=0,"",INDIRECT("'Закуп'!F" &amp; B1001))</f>
        <v/>
      </c>
      <c r="I1001" s="120" t="n">
        <v>1000</v>
      </c>
      <c r="J1001" s="121">
        <f>K1001/1.2</f>
        <v/>
      </c>
      <c r="K1001" s="242" t="n">
        <v>1.63</v>
      </c>
      <c r="L1001" s="122">
        <f>J1001-C1001-(J1001-C1001)*0.2</f>
        <v/>
      </c>
      <c r="M1001" s="123">
        <f>L1001*I1001</f>
        <v/>
      </c>
      <c r="N1001" s="124" t="inlineStr">
        <is>
          <t xml:space="preserve">1000 + шт - </t>
        </is>
      </c>
      <c r="O1001" s="47" t="inlineStr">
        <is>
          <t xml:space="preserve"> руб / шт с НДС</t>
        </is>
      </c>
      <c r="P1001" s="125">
        <f>ROUND(K1001,2)</f>
        <v/>
      </c>
      <c r="Q1001" s="207">
        <f>CONCATENATE(N1001,P1001,O1001,)</f>
        <v/>
      </c>
      <c r="R1001" s="240" t="n"/>
      <c r="T1001" s="241" t="n"/>
      <c r="U1001" s="240" t="n"/>
      <c r="V1001" s="241" t="n"/>
      <c r="Z1001" s="240" t="n"/>
      <c r="AB1001" s="241" t="n"/>
      <c r="AC1001" s="240" t="n"/>
      <c r="AD1001" s="241" t="n"/>
      <c r="AE1001" t="n">
        <v>2.13</v>
      </c>
    </row>
    <row r="1002">
      <c r="A1002" s="232" t="n">
        <v>202</v>
      </c>
      <c r="B1002" s="42" t="n">
        <v>202</v>
      </c>
      <c r="C1002" s="118">
        <f>INDIRECT("'Закуп'!A" &amp; B1002)</f>
        <v/>
      </c>
      <c r="D1002" s="119">
        <f>C1002*1.2</f>
        <v/>
      </c>
      <c r="E1002" s="224">
        <f>INDIRECT("'Закуп'!D" &amp; A1002)</f>
        <v/>
      </c>
      <c r="F1002" s="231">
        <f>INDIRECT("'Закуп'!E" &amp; B1002)</f>
        <v/>
      </c>
      <c r="G1002" s="172">
        <f>IF(INDIRECT("'Закуп'!L" &amp; B1002)="Sale","Sale","")</f>
        <v/>
      </c>
      <c r="H1002" s="158">
        <f>IF(INDIRECT("'Закуп'!F" &amp; B1002)=0,"",INDIRECT("'Закуп'!F" &amp; B1002))</f>
        <v/>
      </c>
      <c r="I1002" s="120" t="n">
        <v>50</v>
      </c>
      <c r="J1002" s="121">
        <f>K1002/1.2</f>
        <v/>
      </c>
      <c r="K1002" s="70" t="n">
        <v>1.53</v>
      </c>
      <c r="L1002" s="122">
        <f>J1002-C1002-(J1002-C1002)*0.2</f>
        <v/>
      </c>
      <c r="M1002" s="123">
        <f>L1002*I1002</f>
        <v/>
      </c>
      <c r="N1002" s="124" t="inlineStr">
        <is>
          <t xml:space="preserve">50-90 шт - </t>
        </is>
      </c>
      <c r="O1002" s="47" t="inlineStr">
        <is>
          <t xml:space="preserve"> руб / шт с НДС</t>
        </is>
      </c>
      <c r="P1002" s="125">
        <f>ROUND(K1002,2)</f>
        <v/>
      </c>
      <c r="Q1002" s="207">
        <f>CONCATENATE(N1002,P1002,O1002,)</f>
        <v/>
      </c>
      <c r="R1002" s="235">
        <f>INDIRECT("'Закуп'!k" &amp; A1002)</f>
        <v/>
      </c>
      <c r="S1002" s="239">
        <f>INDIRECT("'Закуп'!o" &amp; A1002)</f>
        <v/>
      </c>
      <c r="T1002" s="226">
        <f>INDIRECT("'Закуп'!p" &amp; A1002)</f>
        <v/>
      </c>
      <c r="U1002" s="235">
        <f>INDIRECT("'Закуп'!v" &amp; A1002)</f>
        <v/>
      </c>
      <c r="V1002" s="222">
        <f>INDIRECT("'Закуп'!w" &amp; A1002)</f>
        <v/>
      </c>
      <c r="W1002" s="229">
        <f>INDIRECT("'Закуп'!H" &amp; A1002)</f>
        <v/>
      </c>
      <c r="X1002" s="237">
        <f>INDIRECT("'Закуп'!g" &amp; A1002)</f>
        <v/>
      </c>
      <c r="Y1002" s="229">
        <f>INDIRECT("'Закуп'!i" &amp; A1002)</f>
        <v/>
      </c>
      <c r="Z1002" s="236">
        <f>INDIRECT("'Закуп'!x" &amp; A1002)</f>
        <v/>
      </c>
      <c r="AA1002" s="237">
        <f>INDIRECT("'Закуп'!y" &amp; A1002)</f>
        <v/>
      </c>
      <c r="AB1002" s="238">
        <f>INDIRECT("'Закуп'!z" &amp; A1002)</f>
        <v/>
      </c>
      <c r="AC1002" s="223">
        <f>SUBSTITUTE(INDEX(F:F, ROUNDUP((ROW(A1001))/5,0)*5 - 3), "х", "x")</f>
        <v/>
      </c>
      <c r="AD1002" s="222">
        <f>SUBSTITUTE(INDEX(F:F, ROUNDUP((ROW(A1001))/5,0)*5 - 3), "х", "x") &amp; " - " &amp; SUBSTITUTE(SUBSTITUTE(INDEX(F:F, ROUNDUP((ROW(A1001))/5,0)*5 - 3), "х", "*"), "x", "*") &amp; " мм"</f>
        <v/>
      </c>
    </row>
    <row r="1003">
      <c r="B1003" s="42" t="n">
        <v>202</v>
      </c>
      <c r="C1003" s="118">
        <f>INDIRECT("'Закуп'!A" &amp; B1003)</f>
        <v/>
      </c>
      <c r="D1003" s="119">
        <f>C1003*1.2</f>
        <v/>
      </c>
      <c r="G1003" s="172">
        <f>IF(INDIRECT("'Закуп'!L" &amp; B1003)="Sale","Sale","")</f>
        <v/>
      </c>
      <c r="H1003" s="158">
        <f>IF(INDIRECT("'Закуп'!F" &amp; B1003)=0,"",INDIRECT("'Закуп'!F" &amp; B1003))</f>
        <v/>
      </c>
      <c r="I1003" s="120" t="n">
        <v>100</v>
      </c>
      <c r="J1003" s="121">
        <f>K1003/1.2</f>
        <v/>
      </c>
      <c r="K1003" s="70" t="n">
        <v>1.39</v>
      </c>
      <c r="L1003" s="122">
        <f>J1003-C1003-(J1003-C1003)*0.2</f>
        <v/>
      </c>
      <c r="M1003" s="123">
        <f>L1003*I1003</f>
        <v/>
      </c>
      <c r="N1003" s="124" t="inlineStr">
        <is>
          <t xml:space="preserve">100-290 шт - </t>
        </is>
      </c>
      <c r="O1003" s="47" t="inlineStr">
        <is>
          <t xml:space="preserve"> руб / шт с НДС</t>
        </is>
      </c>
      <c r="P1003" s="125">
        <f>ROUND(K1003,2)</f>
        <v/>
      </c>
      <c r="Q1003" s="207">
        <f>CONCATENATE(N1003,P1003,O1003,)</f>
        <v/>
      </c>
      <c r="R1003" s="240" t="n"/>
      <c r="T1003" s="241" t="n"/>
      <c r="U1003" s="240" t="n"/>
      <c r="V1003" s="241" t="n"/>
      <c r="Z1003" s="240" t="n"/>
      <c r="AB1003" s="241" t="n"/>
      <c r="AC1003" s="240" t="n"/>
      <c r="AD1003" s="241" t="n"/>
    </row>
    <row r="1004">
      <c r="B1004" s="42" t="n">
        <v>202</v>
      </c>
      <c r="C1004" s="118">
        <f>INDIRECT("'Закуп'!A" &amp; B1004)</f>
        <v/>
      </c>
      <c r="D1004" s="119">
        <f>C1004*1.2</f>
        <v/>
      </c>
      <c r="G1004" s="172">
        <f>IF(INDIRECT("'Закуп'!L" &amp; B1004)="Sale","Sale","")</f>
        <v/>
      </c>
      <c r="H1004" s="158">
        <f>IF(INDIRECT("'Закуп'!F" &amp; B1004)=0,"",INDIRECT("'Закуп'!F" &amp; B1004))</f>
        <v/>
      </c>
      <c r="I1004" s="120" t="n">
        <v>300</v>
      </c>
      <c r="J1004" s="121">
        <f>K1004/1.2</f>
        <v/>
      </c>
      <c r="K1004" s="70" t="n">
        <v>1.09</v>
      </c>
      <c r="L1004" s="122">
        <f>J1004-C1004-(J1004-C1004)*0.2</f>
        <v/>
      </c>
      <c r="M1004" s="123">
        <f>L1004*I1004</f>
        <v/>
      </c>
      <c r="N1004" s="124" t="inlineStr">
        <is>
          <t xml:space="preserve">300-490 шт - </t>
        </is>
      </c>
      <c r="O1004" s="47" t="inlineStr">
        <is>
          <t xml:space="preserve"> руб / шт с НДС</t>
        </is>
      </c>
      <c r="P1004" s="125">
        <f>ROUND(K1004,2)</f>
        <v/>
      </c>
      <c r="Q1004" s="207">
        <f>CONCATENATE(N1004,P1004,O1004,)</f>
        <v/>
      </c>
      <c r="R1004" s="240" t="n"/>
      <c r="T1004" s="241" t="n"/>
      <c r="U1004" s="240" t="n"/>
      <c r="V1004" s="241" t="n"/>
      <c r="Z1004" s="240" t="n"/>
      <c r="AB1004" s="241" t="n"/>
      <c r="AC1004" s="240" t="n"/>
      <c r="AD1004" s="241" t="n"/>
    </row>
    <row r="1005">
      <c r="B1005" s="42" t="n">
        <v>202</v>
      </c>
      <c r="C1005" s="118">
        <f>INDIRECT("'Закуп'!A" &amp; B1005)</f>
        <v/>
      </c>
      <c r="D1005" s="119">
        <f>C1005*1.2</f>
        <v/>
      </c>
      <c r="G1005" s="172">
        <f>IF(INDIRECT("'Закуп'!L" &amp; B1005)="Sale","Sale","")</f>
        <v/>
      </c>
      <c r="H1005" s="158">
        <f>IF(INDIRECT("'Закуп'!F" &amp; B1005)=0,"",INDIRECT("'Закуп'!F" &amp; B1005))</f>
        <v/>
      </c>
      <c r="I1005" s="120" t="n">
        <v>500</v>
      </c>
      <c r="J1005" s="121">
        <f>K1005/1.2</f>
        <v/>
      </c>
      <c r="K1005" s="70" t="n">
        <v>1.03</v>
      </c>
      <c r="L1005" s="122">
        <f>J1005-C1005-(J1005-C1005)*0.2</f>
        <v/>
      </c>
      <c r="M1005" s="123">
        <f>L1005*I1005</f>
        <v/>
      </c>
      <c r="N1005" s="124" t="inlineStr">
        <is>
          <t xml:space="preserve">500-990 шт - </t>
        </is>
      </c>
      <c r="O1005" s="47" t="inlineStr">
        <is>
          <t xml:space="preserve"> руб / шт с НДС</t>
        </is>
      </c>
      <c r="P1005" s="125">
        <f>ROUND(K1005,2)</f>
        <v/>
      </c>
      <c r="Q1005" s="207">
        <f>CONCATENATE(N1005,P1005,O1005,)</f>
        <v/>
      </c>
      <c r="R1005" s="240" t="n"/>
      <c r="T1005" s="241" t="n"/>
      <c r="U1005" s="240" t="n"/>
      <c r="V1005" s="241" t="n"/>
      <c r="Z1005" s="240" t="n"/>
      <c r="AB1005" s="241" t="n"/>
      <c r="AC1005" s="240" t="n"/>
      <c r="AD1005" s="241" t="n"/>
    </row>
    <row r="1006">
      <c r="B1006" s="42" t="n">
        <v>202</v>
      </c>
      <c r="C1006" s="118">
        <f>INDIRECT("'Закуп'!A" &amp; B1006)</f>
        <v/>
      </c>
      <c r="D1006" s="119">
        <f>C1006*1.2</f>
        <v/>
      </c>
      <c r="G1006" s="172">
        <f>IF(INDIRECT("'Закуп'!L" &amp; B1006)="Sale","Sale","")</f>
        <v/>
      </c>
      <c r="H1006" s="158">
        <f>IF(INDIRECT("'Закуп'!F" &amp; B1006)=0,"",INDIRECT("'Закуп'!F" &amp; B1006))</f>
        <v/>
      </c>
      <c r="I1006" s="120" t="n">
        <v>1000</v>
      </c>
      <c r="J1006" s="121">
        <f>K1006/1.2</f>
        <v/>
      </c>
      <c r="K1006" s="70" t="n">
        <v>0.97</v>
      </c>
      <c r="L1006" s="122">
        <f>J1006-C1006-(J1006-C1006)*0.2</f>
        <v/>
      </c>
      <c r="M1006" s="123">
        <f>L1006*I1006</f>
        <v/>
      </c>
      <c r="N1006" s="124" t="inlineStr">
        <is>
          <t xml:space="preserve">1000 + шт - </t>
        </is>
      </c>
      <c r="O1006" s="47" t="inlineStr">
        <is>
          <t xml:space="preserve"> руб / шт с НДС</t>
        </is>
      </c>
      <c r="P1006" s="125">
        <f>ROUND(K1006,2)</f>
        <v/>
      </c>
      <c r="Q1006" s="207">
        <f>CONCATENATE(N1006,P1006,O1006,)</f>
        <v/>
      </c>
      <c r="R1006" s="240" t="n"/>
      <c r="T1006" s="241" t="n"/>
      <c r="U1006" s="240" t="n"/>
      <c r="V1006" s="241" t="n"/>
      <c r="Z1006" s="240" t="n"/>
      <c r="AB1006" s="241" t="n"/>
      <c r="AC1006" s="240" t="n"/>
      <c r="AD1006" s="241" t="n"/>
    </row>
    <row r="1007">
      <c r="A1007" s="232" t="n">
        <v>203</v>
      </c>
      <c r="B1007" s="42" t="n">
        <v>203</v>
      </c>
      <c r="C1007" s="118">
        <f>INDIRECT("'Закуп'!A" &amp; B1007)</f>
        <v/>
      </c>
      <c r="D1007" s="119">
        <f>C1007*1.2</f>
        <v/>
      </c>
      <c r="E1007" s="224">
        <f>INDIRECT("'Закуп'!D" &amp; A1007)</f>
        <v/>
      </c>
      <c r="F1007" s="231">
        <f>INDIRECT("'Закуп'!E" &amp; B1007)</f>
        <v/>
      </c>
      <c r="G1007" s="172">
        <f>IF(INDIRECT("'Закуп'!L" &amp; B1007)="Sale","Sale","")</f>
        <v/>
      </c>
      <c r="H1007" s="158">
        <f>IF(INDIRECT("'Закуп'!F" &amp; B1007)=0,"",INDIRECT("'Закуп'!F" &amp; B1007))</f>
        <v/>
      </c>
      <c r="I1007" s="120" t="n">
        <v>50</v>
      </c>
      <c r="J1007" s="121">
        <f>K1007/1.2</f>
        <v/>
      </c>
      <c r="K1007" s="70" t="n">
        <v>1.06</v>
      </c>
      <c r="L1007" s="122">
        <f>J1007-C1007-(J1007-C1007)*0.2</f>
        <v/>
      </c>
      <c r="M1007" s="123">
        <f>L1007*I1007</f>
        <v/>
      </c>
      <c r="N1007" s="124" t="inlineStr">
        <is>
          <t xml:space="preserve">50-90 шт - </t>
        </is>
      </c>
      <c r="O1007" s="47" t="inlineStr">
        <is>
          <t xml:space="preserve"> руб / шт с НДС</t>
        </is>
      </c>
      <c r="P1007" s="125">
        <f>ROUND(K1007,2)</f>
        <v/>
      </c>
      <c r="Q1007" s="207">
        <f>CONCATENATE(N1007,P1007,O1007,)</f>
        <v/>
      </c>
      <c r="R1007" s="235">
        <f>INDIRECT("'Закуп'!k" &amp; A1007)</f>
        <v/>
      </c>
      <c r="S1007" s="239">
        <f>INDIRECT("'Закуп'!o" &amp; A1007)</f>
        <v/>
      </c>
      <c r="T1007" s="226">
        <f>INDIRECT("'Закуп'!p" &amp; A1007)</f>
        <v/>
      </c>
      <c r="U1007" s="235">
        <f>INDIRECT("'Закуп'!v" &amp; A1007)</f>
        <v/>
      </c>
      <c r="V1007" s="222">
        <f>INDIRECT("'Закуп'!w" &amp; A1007)</f>
        <v/>
      </c>
      <c r="W1007" s="229">
        <f>INDIRECT("'Закуп'!H" &amp; A1007)</f>
        <v/>
      </c>
      <c r="X1007" s="237">
        <f>INDIRECT("'Закуп'!g" &amp; A1007)</f>
        <v/>
      </c>
      <c r="Y1007" s="229">
        <f>INDIRECT("'Закуп'!i" &amp; A1007)</f>
        <v/>
      </c>
      <c r="Z1007" s="236">
        <f>INDIRECT("'Закуп'!x" &amp; A1007)</f>
        <v/>
      </c>
      <c r="AA1007" s="237">
        <f>INDIRECT("'Закуп'!y" &amp; A1007)</f>
        <v/>
      </c>
      <c r="AB1007" s="238">
        <f>INDIRECT("'Закуп'!z" &amp; A1007)</f>
        <v/>
      </c>
      <c r="AC1007" s="223">
        <f>SUBSTITUTE(INDEX(F:F, ROUNDUP((ROW(A1006))/5,0)*5 - 3), "х", "x")</f>
        <v/>
      </c>
      <c r="AD1007" s="222">
        <f>SUBSTITUTE(INDEX(F:F, ROUNDUP((ROW(A1006))/5,0)*5 - 3), "х", "x") &amp; " - " &amp; SUBSTITUTE(SUBSTITUTE(INDEX(F:F, ROUNDUP((ROW(A1006))/5,0)*5 - 3), "х", "*"), "x", "*") &amp; " мм"</f>
        <v/>
      </c>
    </row>
    <row r="1008">
      <c r="B1008" s="42" t="n">
        <v>203</v>
      </c>
      <c r="C1008" s="118">
        <f>INDIRECT("'Закуп'!A" &amp; B1008)</f>
        <v/>
      </c>
      <c r="D1008" s="119">
        <f>C1008*1.2</f>
        <v/>
      </c>
      <c r="G1008" s="172">
        <f>IF(INDIRECT("'Закуп'!L" &amp; B1008)="Sale","Sale","")</f>
        <v/>
      </c>
      <c r="H1008" s="158">
        <f>IF(INDIRECT("'Закуп'!F" &amp; B1008)=0,"",INDIRECT("'Закуп'!F" &amp; B1008))</f>
        <v/>
      </c>
      <c r="I1008" s="120" t="n">
        <v>100</v>
      </c>
      <c r="J1008" s="121">
        <f>K1008/1.2</f>
        <v/>
      </c>
      <c r="K1008" s="70" t="n">
        <v>0.92</v>
      </c>
      <c r="L1008" s="122">
        <f>J1008-C1008-(J1008-C1008)*0.2</f>
        <v/>
      </c>
      <c r="M1008" s="123">
        <f>L1008*I1008</f>
        <v/>
      </c>
      <c r="N1008" s="124" t="inlineStr">
        <is>
          <t xml:space="preserve">100-290 шт - </t>
        </is>
      </c>
      <c r="O1008" s="47" t="inlineStr">
        <is>
          <t xml:space="preserve"> руб / шт с НДС</t>
        </is>
      </c>
      <c r="P1008" s="125">
        <f>ROUND(K1008,2)</f>
        <v/>
      </c>
      <c r="Q1008" s="207">
        <f>CONCATENATE(N1008,P1008,O1008,)</f>
        <v/>
      </c>
      <c r="R1008" s="240" t="n"/>
      <c r="T1008" s="241" t="n"/>
      <c r="U1008" s="240" t="n"/>
      <c r="V1008" s="241" t="n"/>
      <c r="Z1008" s="240" t="n"/>
      <c r="AB1008" s="241" t="n"/>
      <c r="AC1008" s="240" t="n"/>
      <c r="AD1008" s="241" t="n"/>
    </row>
    <row r="1009">
      <c r="B1009" s="42" t="n">
        <v>203</v>
      </c>
      <c r="C1009" s="118">
        <f>INDIRECT("'Закуп'!A" &amp; B1009)</f>
        <v/>
      </c>
      <c r="D1009" s="119">
        <f>C1009*1.2</f>
        <v/>
      </c>
      <c r="G1009" s="172">
        <f>IF(INDIRECT("'Закуп'!L" &amp; B1009)="Sale","Sale","")</f>
        <v/>
      </c>
      <c r="H1009" s="158">
        <f>IF(INDIRECT("'Закуп'!F" &amp; B1009)=0,"",INDIRECT("'Закуп'!F" &amp; B1009))</f>
        <v/>
      </c>
      <c r="I1009" s="120" t="n">
        <v>300</v>
      </c>
      <c r="J1009" s="121">
        <f>K1009/1.2</f>
        <v/>
      </c>
      <c r="K1009" s="70" t="n">
        <v>0.85</v>
      </c>
      <c r="L1009" s="122">
        <f>J1009-C1009-(J1009-C1009)*0.2</f>
        <v/>
      </c>
      <c r="M1009" s="123">
        <f>L1009*I1009</f>
        <v/>
      </c>
      <c r="N1009" s="124" t="inlineStr">
        <is>
          <t xml:space="preserve">300-490 шт - </t>
        </is>
      </c>
      <c r="O1009" s="47" t="inlineStr">
        <is>
          <t xml:space="preserve"> руб / шт с НДС</t>
        </is>
      </c>
      <c r="P1009" s="125">
        <f>ROUND(K1009,2)</f>
        <v/>
      </c>
      <c r="Q1009" s="207">
        <f>CONCATENATE(N1009,P1009,O1009,)</f>
        <v/>
      </c>
      <c r="R1009" s="240" t="n"/>
      <c r="T1009" s="241" t="n"/>
      <c r="U1009" s="240" t="n"/>
      <c r="V1009" s="241" t="n"/>
      <c r="Z1009" s="240" t="n"/>
      <c r="AB1009" s="241" t="n"/>
      <c r="AC1009" s="240" t="n"/>
      <c r="AD1009" s="241" t="n"/>
    </row>
    <row r="1010">
      <c r="B1010" s="42" t="n">
        <v>203</v>
      </c>
      <c r="C1010" s="118">
        <f>INDIRECT("'Закуп'!A" &amp; B1010)</f>
        <v/>
      </c>
      <c r="D1010" s="119">
        <f>C1010*1.2</f>
        <v/>
      </c>
      <c r="G1010" s="172">
        <f>IF(INDIRECT("'Закуп'!L" &amp; B1010)="Sale","Sale","")</f>
        <v/>
      </c>
      <c r="H1010" s="158">
        <f>IF(INDIRECT("'Закуп'!F" &amp; B1010)=0,"",INDIRECT("'Закуп'!F" &amp; B1010))</f>
        <v/>
      </c>
      <c r="I1010" s="120" t="n">
        <v>500</v>
      </c>
      <c r="J1010" s="121">
        <f>K1010/1.2</f>
        <v/>
      </c>
      <c r="K1010" s="70" t="n">
        <v>0.77</v>
      </c>
      <c r="L1010" s="122">
        <f>J1010-C1010-(J1010-C1010)*0.2</f>
        <v/>
      </c>
      <c r="M1010" s="123">
        <f>L1010*I1010</f>
        <v/>
      </c>
      <c r="N1010" s="124" t="inlineStr">
        <is>
          <t xml:space="preserve">500-990 шт - </t>
        </is>
      </c>
      <c r="O1010" s="47" t="inlineStr">
        <is>
          <t xml:space="preserve"> руб / шт с НДС</t>
        </is>
      </c>
      <c r="P1010" s="125">
        <f>ROUND(K1010,2)</f>
        <v/>
      </c>
      <c r="Q1010" s="207">
        <f>CONCATENATE(N1010,P1010,O1010,)</f>
        <v/>
      </c>
      <c r="R1010" s="240" t="n"/>
      <c r="T1010" s="241" t="n"/>
      <c r="U1010" s="240" t="n"/>
      <c r="V1010" s="241" t="n"/>
      <c r="Z1010" s="240" t="n"/>
      <c r="AB1010" s="241" t="n"/>
      <c r="AC1010" s="240" t="n"/>
      <c r="AD1010" s="241" t="n"/>
    </row>
    <row r="1011">
      <c r="B1011" s="42" t="n">
        <v>203</v>
      </c>
      <c r="C1011" s="118">
        <f>INDIRECT("'Закуп'!A" &amp; B1011)</f>
        <v/>
      </c>
      <c r="D1011" s="119">
        <f>C1011*1.2</f>
        <v/>
      </c>
      <c r="G1011" s="172">
        <f>IF(INDIRECT("'Закуп'!L" &amp; B1011)="Sale","Sale","")</f>
        <v/>
      </c>
      <c r="H1011" s="158">
        <f>IF(INDIRECT("'Закуп'!F" &amp; B1011)=0,"",INDIRECT("'Закуп'!F" &amp; B1011))</f>
        <v/>
      </c>
      <c r="I1011" s="120" t="n">
        <v>1000</v>
      </c>
      <c r="J1011" s="121">
        <f>K1011/1.2</f>
        <v/>
      </c>
      <c r="K1011" s="70" t="n">
        <v>0.72</v>
      </c>
      <c r="L1011" s="122">
        <f>J1011-C1011-(J1011-C1011)*0.2</f>
        <v/>
      </c>
      <c r="M1011" s="123">
        <f>L1011*I1011</f>
        <v/>
      </c>
      <c r="N1011" s="124" t="inlineStr">
        <is>
          <t xml:space="preserve">1000 + шт - </t>
        </is>
      </c>
      <c r="O1011" s="47" t="inlineStr">
        <is>
          <t xml:space="preserve"> руб / шт с НДС</t>
        </is>
      </c>
      <c r="P1011" s="125">
        <f>ROUND(K1011,2)</f>
        <v/>
      </c>
      <c r="Q1011" s="207">
        <f>CONCATENATE(N1011,P1011,O1011,)</f>
        <v/>
      </c>
      <c r="R1011" s="240" t="n"/>
      <c r="T1011" s="241" t="n"/>
      <c r="U1011" s="240" t="n"/>
      <c r="V1011" s="241" t="n"/>
      <c r="Z1011" s="240" t="n"/>
      <c r="AB1011" s="241" t="n"/>
      <c r="AC1011" s="240" t="n"/>
      <c r="AD1011" s="241" t="n"/>
    </row>
    <row r="1012">
      <c r="A1012" s="232" t="n">
        <v>204</v>
      </c>
      <c r="B1012" s="42" t="n">
        <v>204</v>
      </c>
      <c r="C1012" s="118">
        <f>INDIRECT("'Закуп'!A" &amp; B1012)</f>
        <v/>
      </c>
      <c r="D1012" s="119">
        <f>C1012*1.2</f>
        <v/>
      </c>
      <c r="E1012" s="224">
        <f>INDIRECT("'Закуп'!D" &amp; A1012)</f>
        <v/>
      </c>
      <c r="F1012" s="231">
        <f>INDIRECT("'Закуп'!E" &amp; B1012)</f>
        <v/>
      </c>
      <c r="G1012" s="172">
        <f>IF(INDIRECT("'Закуп'!L" &amp; B1012)="Sale","Sale","")</f>
        <v/>
      </c>
      <c r="H1012" s="158">
        <f>IF(INDIRECT("'Закуп'!F" &amp; B1012)=0,"",INDIRECT("'Закуп'!F" &amp; B1012))</f>
        <v/>
      </c>
      <c r="I1012" s="120" t="n">
        <v>50</v>
      </c>
      <c r="J1012" s="121">
        <f>K1012/1.2</f>
        <v/>
      </c>
      <c r="K1012" s="70" t="n">
        <v>1.89</v>
      </c>
      <c r="L1012" s="122">
        <f>J1012-C1012-(J1012-C1012)*0.2</f>
        <v/>
      </c>
      <c r="M1012" s="123">
        <f>L1012*I1012</f>
        <v/>
      </c>
      <c r="N1012" s="124" t="inlineStr">
        <is>
          <t xml:space="preserve">50-90 шт - </t>
        </is>
      </c>
      <c r="O1012" s="47" t="inlineStr">
        <is>
          <t xml:space="preserve"> руб / шт с НДС</t>
        </is>
      </c>
      <c r="P1012" s="125">
        <f>ROUND(K1012,2)</f>
        <v/>
      </c>
      <c r="Q1012" s="207">
        <f>CONCATENATE(N1012,P1012,O1012,)</f>
        <v/>
      </c>
      <c r="R1012" s="235">
        <f>INDIRECT("'Закуп'!k" &amp; A1012)</f>
        <v/>
      </c>
      <c r="S1012" s="239">
        <f>INDIRECT("'Закуп'!o" &amp; A1012)</f>
        <v/>
      </c>
      <c r="T1012" s="226">
        <f>INDIRECT("'Закуп'!p" &amp; A1012)</f>
        <v/>
      </c>
      <c r="U1012" s="235">
        <f>INDIRECT("'Закуп'!v" &amp; A1012)</f>
        <v/>
      </c>
      <c r="V1012" s="222">
        <f>INDIRECT("'Закуп'!w" &amp; A1012)</f>
        <v/>
      </c>
      <c r="W1012" s="229">
        <f>INDIRECT("'Закуп'!H" &amp; A1012)</f>
        <v/>
      </c>
      <c r="X1012" s="237">
        <f>INDIRECT("'Закуп'!g" &amp; A1012)</f>
        <v/>
      </c>
      <c r="Y1012" s="229">
        <f>INDIRECT("'Закуп'!i" &amp; A1012)</f>
        <v/>
      </c>
      <c r="Z1012" s="236">
        <f>INDIRECT("'Закуп'!x" &amp; A1012)</f>
        <v/>
      </c>
      <c r="AA1012" s="237">
        <f>INDIRECT("'Закуп'!y" &amp; A1012)</f>
        <v/>
      </c>
      <c r="AB1012" s="238">
        <f>INDIRECT("'Закуп'!z" &amp; A1012)</f>
        <v/>
      </c>
      <c r="AC1012" s="223">
        <f>SUBSTITUTE(INDEX(F:F, ROUNDUP((ROW(A1011))/5,0)*5 - 3), "х", "x")</f>
        <v/>
      </c>
      <c r="AD1012" s="222">
        <f>SUBSTITUTE(INDEX(F:F, ROUNDUP((ROW(A1011))/5,0)*5 - 3), "х", "x") &amp; " - " &amp; SUBSTITUTE(SUBSTITUTE(INDEX(F:F, ROUNDUP((ROW(A1011))/5,0)*5 - 3), "х", "*"), "x", "*") &amp; " мм"</f>
        <v/>
      </c>
    </row>
    <row r="1013">
      <c r="B1013" s="42" t="n">
        <v>204</v>
      </c>
      <c r="C1013" s="118">
        <f>INDIRECT("'Закуп'!A" &amp; B1013)</f>
        <v/>
      </c>
      <c r="D1013" s="119">
        <f>C1013*1.2</f>
        <v/>
      </c>
      <c r="G1013" s="172">
        <f>IF(INDIRECT("'Закуп'!L" &amp; B1013)="Sale","Sale","")</f>
        <v/>
      </c>
      <c r="H1013" s="158">
        <f>IF(INDIRECT("'Закуп'!F" &amp; B1013)=0,"",INDIRECT("'Закуп'!F" &amp; B1013))</f>
        <v/>
      </c>
      <c r="I1013" s="120" t="n">
        <v>100</v>
      </c>
      <c r="J1013" s="121">
        <f>K1013/1.2</f>
        <v/>
      </c>
      <c r="K1013" s="70" t="n">
        <v>1.72</v>
      </c>
      <c r="L1013" s="122">
        <f>J1013-C1013-(J1013-C1013)*0.2</f>
        <v/>
      </c>
      <c r="M1013" s="123">
        <f>L1013*I1013</f>
        <v/>
      </c>
      <c r="N1013" s="124" t="inlineStr">
        <is>
          <t xml:space="preserve">100-290 шт - </t>
        </is>
      </c>
      <c r="O1013" s="47" t="inlineStr">
        <is>
          <t xml:space="preserve"> руб / шт с НДС</t>
        </is>
      </c>
      <c r="P1013" s="125">
        <f>ROUND(K1013,2)</f>
        <v/>
      </c>
      <c r="Q1013" s="207">
        <f>CONCATENATE(N1013,P1013,O1013,)</f>
        <v/>
      </c>
      <c r="R1013" s="240" t="n"/>
      <c r="T1013" s="241" t="n"/>
      <c r="U1013" s="240" t="n"/>
      <c r="V1013" s="241" t="n"/>
      <c r="Z1013" s="240" t="n"/>
      <c r="AB1013" s="241" t="n"/>
      <c r="AC1013" s="240" t="n"/>
      <c r="AD1013" s="241" t="n"/>
    </row>
    <row r="1014">
      <c r="B1014" s="42" t="n">
        <v>204</v>
      </c>
      <c r="C1014" s="118">
        <f>INDIRECT("'Закуп'!A" &amp; B1014)</f>
        <v/>
      </c>
      <c r="D1014" s="119">
        <f>C1014*1.2</f>
        <v/>
      </c>
      <c r="G1014" s="172">
        <f>IF(INDIRECT("'Закуп'!L" &amp; B1014)="Sale","Sale","")</f>
        <v/>
      </c>
      <c r="H1014" s="158">
        <f>IF(INDIRECT("'Закуп'!F" &amp; B1014)=0,"",INDIRECT("'Закуп'!F" &amp; B1014))</f>
        <v/>
      </c>
      <c r="I1014" s="120" t="n">
        <v>300</v>
      </c>
      <c r="J1014" s="121">
        <f>K1014/1.2</f>
        <v/>
      </c>
      <c r="K1014" s="70" t="n">
        <v>1.36</v>
      </c>
      <c r="L1014" s="122">
        <f>J1014-C1014-(J1014-C1014)*0.2</f>
        <v/>
      </c>
      <c r="M1014" s="123">
        <f>L1014*I1014</f>
        <v/>
      </c>
      <c r="N1014" s="124" t="inlineStr">
        <is>
          <t xml:space="preserve">300-490 шт - </t>
        </is>
      </c>
      <c r="O1014" s="47" t="inlineStr">
        <is>
          <t xml:space="preserve"> руб / шт с НДС</t>
        </is>
      </c>
      <c r="P1014" s="125">
        <f>ROUND(K1014,2)</f>
        <v/>
      </c>
      <c r="Q1014" s="207">
        <f>CONCATENATE(N1014,P1014,O1014,)</f>
        <v/>
      </c>
      <c r="R1014" s="240" t="n"/>
      <c r="T1014" s="241" t="n"/>
      <c r="U1014" s="240" t="n"/>
      <c r="V1014" s="241" t="n"/>
      <c r="Z1014" s="240" t="n"/>
      <c r="AB1014" s="241" t="n"/>
      <c r="AC1014" s="240" t="n"/>
      <c r="AD1014" s="241" t="n"/>
    </row>
    <row r="1015">
      <c r="B1015" s="42" t="n">
        <v>204</v>
      </c>
      <c r="C1015" s="118">
        <f>INDIRECT("'Закуп'!A" &amp; B1015)</f>
        <v/>
      </c>
      <c r="D1015" s="119">
        <f>C1015*1.2</f>
        <v/>
      </c>
      <c r="G1015" s="172">
        <f>IF(INDIRECT("'Закуп'!L" &amp; B1015)="Sale","Sale","")</f>
        <v/>
      </c>
      <c r="H1015" s="158">
        <f>IF(INDIRECT("'Закуп'!F" &amp; B1015)=0,"",INDIRECT("'Закуп'!F" &amp; B1015))</f>
        <v/>
      </c>
      <c r="I1015" s="120" t="n">
        <v>500</v>
      </c>
      <c r="J1015" s="121">
        <f>K1015/1.2</f>
        <v/>
      </c>
      <c r="K1015" s="70" t="n">
        <v>1.27</v>
      </c>
      <c r="L1015" s="122">
        <f>J1015-C1015-(J1015-C1015)*0.2</f>
        <v/>
      </c>
      <c r="M1015" s="123">
        <f>L1015*I1015</f>
        <v/>
      </c>
      <c r="N1015" s="124" t="inlineStr">
        <is>
          <t xml:space="preserve">500-990 шт - </t>
        </is>
      </c>
      <c r="O1015" s="47" t="inlineStr">
        <is>
          <t xml:space="preserve"> руб / шт с НДС</t>
        </is>
      </c>
      <c r="P1015" s="125">
        <f>ROUND(K1015,2)</f>
        <v/>
      </c>
      <c r="Q1015" s="207">
        <f>CONCATENATE(N1015,P1015,O1015,)</f>
        <v/>
      </c>
      <c r="R1015" s="240" t="n"/>
      <c r="T1015" s="241" t="n"/>
      <c r="U1015" s="240" t="n"/>
      <c r="V1015" s="241" t="n"/>
      <c r="Z1015" s="240" t="n"/>
      <c r="AB1015" s="241" t="n"/>
      <c r="AC1015" s="240" t="n"/>
      <c r="AD1015" s="241" t="n"/>
    </row>
    <row r="1016">
      <c r="B1016" s="42" t="n">
        <v>204</v>
      </c>
      <c r="C1016" s="118">
        <f>INDIRECT("'Закуп'!A" &amp; B1016)</f>
        <v/>
      </c>
      <c r="D1016" s="119">
        <f>C1016*1.2</f>
        <v/>
      </c>
      <c r="G1016" s="172">
        <f>IF(INDIRECT("'Закуп'!L" &amp; B1016)="Sale","Sale","")</f>
        <v/>
      </c>
      <c r="H1016" s="158">
        <f>IF(INDIRECT("'Закуп'!F" &amp; B1016)=0,"",INDIRECT("'Закуп'!F" &amp; B1016))</f>
        <v/>
      </c>
      <c r="I1016" s="120" t="n">
        <v>1000</v>
      </c>
      <c r="J1016" s="121">
        <f>K1016/1.2</f>
        <v/>
      </c>
      <c r="K1016" s="70" t="n">
        <v>1.12</v>
      </c>
      <c r="L1016" s="122">
        <f>J1016-C1016-(J1016-C1016)*0.2</f>
        <v/>
      </c>
      <c r="M1016" s="123">
        <f>L1016*I1016</f>
        <v/>
      </c>
      <c r="N1016" s="124" t="inlineStr">
        <is>
          <t xml:space="preserve">1000 + шт - </t>
        </is>
      </c>
      <c r="O1016" s="47" t="inlineStr">
        <is>
          <t xml:space="preserve"> руб / шт с НДС</t>
        </is>
      </c>
      <c r="P1016" s="125">
        <f>ROUND(K1016,2)</f>
        <v/>
      </c>
      <c r="Q1016" s="207">
        <f>CONCATENATE(N1016,P1016,O1016,)</f>
        <v/>
      </c>
      <c r="R1016" s="240" t="n"/>
      <c r="T1016" s="241" t="n"/>
      <c r="U1016" s="240" t="n"/>
      <c r="V1016" s="241" t="n"/>
      <c r="Z1016" s="240" t="n"/>
      <c r="AB1016" s="241" t="n"/>
      <c r="AC1016" s="240" t="n"/>
      <c r="AD1016" s="241" t="n"/>
    </row>
    <row r="1017">
      <c r="A1017" s="232" t="n">
        <v>205</v>
      </c>
      <c r="B1017" s="42" t="n">
        <v>205</v>
      </c>
      <c r="C1017" s="118">
        <f>INDIRECT("'Закуп'!A" &amp; B1017)</f>
        <v/>
      </c>
      <c r="D1017" s="119">
        <f>C1017*1.2</f>
        <v/>
      </c>
      <c r="E1017" s="224">
        <f>INDIRECT("'Закуп'!D" &amp; A1017)</f>
        <v/>
      </c>
      <c r="F1017" s="231">
        <f>INDIRECT("'Закуп'!E" &amp; B1017)</f>
        <v/>
      </c>
      <c r="G1017" s="172">
        <f>IF(INDIRECT("'Закуп'!L" &amp; B1017)="Sale","Sale","")</f>
        <v/>
      </c>
      <c r="H1017" s="158">
        <f>IF(INDIRECT("'Закуп'!F" &amp; B1017)=0,"",INDIRECT("'Закуп'!F" &amp; B1017))</f>
        <v/>
      </c>
      <c r="I1017" s="120" t="n">
        <v>50</v>
      </c>
      <c r="J1017" s="121">
        <f>K1017/1.2</f>
        <v/>
      </c>
      <c r="K1017" s="70" t="n">
        <v>2.78</v>
      </c>
      <c r="L1017" s="122">
        <f>J1017-C1017-(J1017-C1017)*0.2</f>
        <v/>
      </c>
      <c r="M1017" s="123">
        <f>L1017*I1017</f>
        <v/>
      </c>
      <c r="N1017" s="124" t="inlineStr">
        <is>
          <t xml:space="preserve">50-90 шт - </t>
        </is>
      </c>
      <c r="O1017" s="47" t="inlineStr">
        <is>
          <t xml:space="preserve"> руб / шт с НДС</t>
        </is>
      </c>
      <c r="P1017" s="125">
        <f>ROUND(K1017,2)</f>
        <v/>
      </c>
      <c r="Q1017" s="207">
        <f>CONCATENATE(N1017,P1017,O1017,)</f>
        <v/>
      </c>
      <c r="R1017" s="235">
        <f>INDIRECT("'Закуп'!k" &amp; A1017)</f>
        <v/>
      </c>
      <c r="S1017" s="239">
        <f>INDIRECT("'Закуп'!o" &amp; A1017)</f>
        <v/>
      </c>
      <c r="T1017" s="226">
        <f>INDIRECT("'Закуп'!p" &amp; A1017)</f>
        <v/>
      </c>
      <c r="U1017" s="235">
        <f>INDIRECT("'Закуп'!v" &amp; A1017)</f>
        <v/>
      </c>
      <c r="V1017" s="222">
        <f>INDIRECT("'Закуп'!w" &amp; A1017)</f>
        <v/>
      </c>
      <c r="W1017" s="229">
        <f>INDIRECT("'Закуп'!H" &amp; A1017)</f>
        <v/>
      </c>
      <c r="X1017" s="237">
        <f>INDIRECT("'Закуп'!g" &amp; A1017)</f>
        <v/>
      </c>
      <c r="Y1017" s="229">
        <f>INDIRECT("'Закуп'!i" &amp; A1017)</f>
        <v/>
      </c>
      <c r="Z1017" s="236">
        <f>INDIRECT("'Закуп'!x" &amp; A1017)</f>
        <v/>
      </c>
      <c r="AA1017" s="237">
        <f>INDIRECT("'Закуп'!y" &amp; A1017)</f>
        <v/>
      </c>
      <c r="AB1017" s="238">
        <f>INDIRECT("'Закуп'!z" &amp; A1017)</f>
        <v/>
      </c>
      <c r="AC1017" s="223">
        <f>SUBSTITUTE(INDEX(F:F, ROUNDUP((ROW(A1016))/5,0)*5 - 3), "х", "x")</f>
        <v/>
      </c>
      <c r="AD1017" s="222">
        <f>SUBSTITUTE(INDEX(F:F, ROUNDUP((ROW(A1016))/5,0)*5 - 3), "х", "x") &amp; " - " &amp; SUBSTITUTE(SUBSTITUTE(INDEX(F:F, ROUNDUP((ROW(A1016))/5,0)*5 - 3), "х", "*"), "x", "*") &amp; " мм"</f>
        <v/>
      </c>
    </row>
    <row r="1018">
      <c r="B1018" s="42" t="n">
        <v>205</v>
      </c>
      <c r="C1018" s="118">
        <f>INDIRECT("'Закуп'!A" &amp; B1018)</f>
        <v/>
      </c>
      <c r="D1018" s="119">
        <f>C1018*1.2</f>
        <v/>
      </c>
      <c r="G1018" s="172">
        <f>IF(INDIRECT("'Закуп'!L" &amp; B1018)="Sale","Sale","")</f>
        <v/>
      </c>
      <c r="H1018" s="158">
        <f>IF(INDIRECT("'Закуп'!F" &amp; B1018)=0,"",INDIRECT("'Закуп'!F" &amp; B1018))</f>
        <v/>
      </c>
      <c r="I1018" s="120" t="n">
        <v>100</v>
      </c>
      <c r="J1018" s="121">
        <f>K1018/1.2</f>
        <v/>
      </c>
      <c r="K1018" s="70" t="n">
        <v>2.43</v>
      </c>
      <c r="L1018" s="122">
        <f>J1018-C1018-(J1018-C1018)*0.2</f>
        <v/>
      </c>
      <c r="M1018" s="123">
        <f>L1018*I1018</f>
        <v/>
      </c>
      <c r="N1018" s="124" t="inlineStr">
        <is>
          <t xml:space="preserve">100-290 шт - </t>
        </is>
      </c>
      <c r="O1018" s="47" t="inlineStr">
        <is>
          <t xml:space="preserve"> руб / шт с НДС</t>
        </is>
      </c>
      <c r="P1018" s="125">
        <f>ROUND(K1018,2)</f>
        <v/>
      </c>
      <c r="Q1018" s="207">
        <f>CONCATENATE(N1018,P1018,O1018,)</f>
        <v/>
      </c>
      <c r="R1018" s="240" t="n"/>
      <c r="T1018" s="241" t="n"/>
      <c r="U1018" s="240" t="n"/>
      <c r="V1018" s="241" t="n"/>
      <c r="Z1018" s="240" t="n"/>
      <c r="AB1018" s="241" t="n"/>
      <c r="AC1018" s="240" t="n"/>
      <c r="AD1018" s="241" t="n"/>
    </row>
    <row r="1019">
      <c r="B1019" s="42" t="n">
        <v>205</v>
      </c>
      <c r="C1019" s="118">
        <f>INDIRECT("'Закуп'!A" &amp; B1019)</f>
        <v/>
      </c>
      <c r="D1019" s="119">
        <f>C1019*1.2</f>
        <v/>
      </c>
      <c r="G1019" s="172">
        <f>IF(INDIRECT("'Закуп'!L" &amp; B1019)="Sale","Sale","")</f>
        <v/>
      </c>
      <c r="H1019" s="158">
        <f>IF(INDIRECT("'Закуп'!F" &amp; B1019)=0,"",INDIRECT("'Закуп'!F" &amp; B1019))</f>
        <v/>
      </c>
      <c r="I1019" s="120" t="n">
        <v>300</v>
      </c>
      <c r="J1019" s="121">
        <f>K1019/1.2</f>
        <v/>
      </c>
      <c r="K1019" s="70" t="n">
        <v>2.21</v>
      </c>
      <c r="L1019" s="122">
        <f>J1019-C1019-(J1019-C1019)*0.2</f>
        <v/>
      </c>
      <c r="M1019" s="123">
        <f>L1019*I1019</f>
        <v/>
      </c>
      <c r="N1019" s="124" t="inlineStr">
        <is>
          <t xml:space="preserve">300-490 шт - </t>
        </is>
      </c>
      <c r="O1019" s="47" t="inlineStr">
        <is>
          <t xml:space="preserve"> руб / шт с НДС</t>
        </is>
      </c>
      <c r="P1019" s="125">
        <f>ROUND(K1019,2)</f>
        <v/>
      </c>
      <c r="Q1019" s="207">
        <f>CONCATENATE(N1019,P1019,O1019,)</f>
        <v/>
      </c>
      <c r="R1019" s="240" t="n"/>
      <c r="T1019" s="241" t="n"/>
      <c r="U1019" s="240" t="n"/>
      <c r="V1019" s="241" t="n"/>
      <c r="Z1019" s="240" t="n"/>
      <c r="AB1019" s="241" t="n"/>
      <c r="AC1019" s="240" t="n"/>
      <c r="AD1019" s="241" t="n"/>
    </row>
    <row r="1020">
      <c r="B1020" s="42" t="n">
        <v>205</v>
      </c>
      <c r="C1020" s="118">
        <f>INDIRECT("'Закуп'!A" &amp; B1020)</f>
        <v/>
      </c>
      <c r="D1020" s="119">
        <f>C1020*1.2</f>
        <v/>
      </c>
      <c r="G1020" s="172">
        <f>IF(INDIRECT("'Закуп'!L" &amp; B1020)="Sale","Sale","")</f>
        <v/>
      </c>
      <c r="H1020" s="158">
        <f>IF(INDIRECT("'Закуп'!F" &amp; B1020)=0,"",INDIRECT("'Закуп'!F" &amp; B1020))</f>
        <v/>
      </c>
      <c r="I1020" s="120" t="n">
        <v>500</v>
      </c>
      <c r="J1020" s="121">
        <f>K1020/1.2</f>
        <v/>
      </c>
      <c r="K1020" s="70" t="n">
        <v>1.97</v>
      </c>
      <c r="L1020" s="122">
        <f>J1020-C1020-(J1020-C1020)*0.2</f>
        <v/>
      </c>
      <c r="M1020" s="123">
        <f>L1020*I1020</f>
        <v/>
      </c>
      <c r="N1020" s="124" t="inlineStr">
        <is>
          <t xml:space="preserve">500-990 шт - </t>
        </is>
      </c>
      <c r="O1020" s="47" t="inlineStr">
        <is>
          <t xml:space="preserve"> руб / шт с НДС</t>
        </is>
      </c>
      <c r="P1020" s="125">
        <f>ROUND(K1020,2)</f>
        <v/>
      </c>
      <c r="Q1020" s="207">
        <f>CONCATENATE(N1020,P1020,O1020,)</f>
        <v/>
      </c>
      <c r="R1020" s="240" t="n"/>
      <c r="T1020" s="241" t="n"/>
      <c r="U1020" s="240" t="n"/>
      <c r="V1020" s="241" t="n"/>
      <c r="Z1020" s="240" t="n"/>
      <c r="AB1020" s="241" t="n"/>
      <c r="AC1020" s="240" t="n"/>
      <c r="AD1020" s="241" t="n"/>
    </row>
    <row r="1021">
      <c r="B1021" s="42" t="n">
        <v>205</v>
      </c>
      <c r="C1021" s="118">
        <f>INDIRECT("'Закуп'!A" &amp; B1021)</f>
        <v/>
      </c>
      <c r="D1021" s="119">
        <f>C1021*1.2</f>
        <v/>
      </c>
      <c r="G1021" s="172">
        <f>IF(INDIRECT("'Закуп'!L" &amp; B1021)="Sale","Sale","")</f>
        <v/>
      </c>
      <c r="H1021" s="158">
        <f>IF(INDIRECT("'Закуп'!F" &amp; B1021)=0,"",INDIRECT("'Закуп'!F" &amp; B1021))</f>
        <v/>
      </c>
      <c r="I1021" s="120" t="n">
        <v>1000</v>
      </c>
      <c r="J1021" s="121">
        <f>K1021/1.2</f>
        <v/>
      </c>
      <c r="K1021" s="70" t="n">
        <v>1.88</v>
      </c>
      <c r="L1021" s="122">
        <f>J1021-C1021-(J1021-C1021)*0.2</f>
        <v/>
      </c>
      <c r="M1021" s="123">
        <f>L1021*I1021</f>
        <v/>
      </c>
      <c r="N1021" s="124" t="inlineStr">
        <is>
          <t xml:space="preserve">1000 + шт - </t>
        </is>
      </c>
      <c r="O1021" s="47" t="inlineStr">
        <is>
          <t xml:space="preserve"> руб / шт с НДС</t>
        </is>
      </c>
      <c r="P1021" s="125">
        <f>ROUND(K1021,2)</f>
        <v/>
      </c>
      <c r="Q1021" s="207">
        <f>CONCATENATE(N1021,P1021,O1021,)</f>
        <v/>
      </c>
      <c r="R1021" s="240" t="n"/>
      <c r="T1021" s="241" t="n"/>
      <c r="U1021" s="240" t="n"/>
      <c r="V1021" s="241" t="n"/>
      <c r="Z1021" s="240" t="n"/>
      <c r="AB1021" s="241" t="n"/>
      <c r="AC1021" s="240" t="n"/>
      <c r="AD1021" s="241" t="n"/>
    </row>
    <row r="1022">
      <c r="A1022" s="232" t="n">
        <v>206</v>
      </c>
      <c r="B1022" s="42" t="n">
        <v>206</v>
      </c>
      <c r="C1022" s="118">
        <f>INDIRECT("'Закуп'!A" &amp; B1022)</f>
        <v/>
      </c>
      <c r="D1022" s="119">
        <f>C1022*1.2</f>
        <v/>
      </c>
      <c r="E1022" s="224">
        <f>INDIRECT("'Закуп'!D" &amp; A1022)</f>
        <v/>
      </c>
      <c r="F1022" s="231">
        <f>INDIRECT("'Закуп'!E" &amp; B1022)</f>
        <v/>
      </c>
      <c r="G1022" s="172">
        <f>IF(INDIRECT("'Закуп'!L" &amp; B1022)="Sale","Sale","")</f>
        <v/>
      </c>
      <c r="H1022" s="158">
        <f>IF(INDIRECT("'Закуп'!F" &amp; B1022)=0,"",INDIRECT("'Закуп'!F" &amp; B1022))</f>
        <v/>
      </c>
      <c r="I1022" s="120" t="n">
        <v>50</v>
      </c>
      <c r="J1022" s="121">
        <f>K1022/1.2</f>
        <v/>
      </c>
      <c r="K1022" s="242" t="n">
        <v>1.6</v>
      </c>
      <c r="L1022" s="122">
        <f>J1022-C1022-(J1022-C1022)*0.2</f>
        <v/>
      </c>
      <c r="M1022" s="123">
        <f>L1022*I1022</f>
        <v/>
      </c>
      <c r="N1022" s="124" t="inlineStr">
        <is>
          <t xml:space="preserve">50-90 шт - </t>
        </is>
      </c>
      <c r="O1022" s="47" t="inlineStr">
        <is>
          <t xml:space="preserve"> руб / шт с НДС</t>
        </is>
      </c>
      <c r="P1022" s="125">
        <f>ROUND(K1022,2)</f>
        <v/>
      </c>
      <c r="Q1022" s="207">
        <f>CONCATENATE(N1022,P1022,O1022,)</f>
        <v/>
      </c>
      <c r="R1022" s="235">
        <f>INDIRECT("'Закуп'!k" &amp; A1022)</f>
        <v/>
      </c>
      <c r="S1022" s="239">
        <f>INDIRECT("'Закуп'!o" &amp; A1022)</f>
        <v/>
      </c>
      <c r="T1022" s="226">
        <f>INDIRECT("'Закуп'!p" &amp; A1022)</f>
        <v/>
      </c>
      <c r="U1022" s="235">
        <f>INDIRECT("'Закуп'!v" &amp; A1022)</f>
        <v/>
      </c>
      <c r="V1022" s="222">
        <f>INDIRECT("'Закуп'!w" &amp; A1022)</f>
        <v/>
      </c>
      <c r="W1022" s="229">
        <f>INDIRECT("'Закуп'!H" &amp; A1022)</f>
        <v/>
      </c>
      <c r="X1022" s="237">
        <f>INDIRECT("'Закуп'!g" &amp; A1022)</f>
        <v/>
      </c>
      <c r="Y1022" s="229">
        <f>INDIRECT("'Закуп'!i" &amp; A1022)</f>
        <v/>
      </c>
      <c r="Z1022" s="236">
        <f>INDIRECT("'Закуп'!x" &amp; A1022)</f>
        <v/>
      </c>
      <c r="AA1022" s="237">
        <f>INDIRECT("'Закуп'!y" &amp; A1022)</f>
        <v/>
      </c>
      <c r="AB1022" s="238">
        <f>INDIRECT("'Закуп'!z" &amp; A1022)</f>
        <v/>
      </c>
      <c r="AC1022" s="223">
        <f>SUBSTITUTE(INDEX(F:F, ROUNDUP((ROW(A1021))/5,0)*5 - 3), "х", "x")</f>
        <v/>
      </c>
      <c r="AD1022" s="222">
        <f>SUBSTITUTE(INDEX(F:F, ROUNDUP((ROW(A1021))/5,0)*5 - 3), "х", "x") &amp; " - " &amp; SUBSTITUTE(SUBSTITUTE(INDEX(F:F, ROUNDUP((ROW(A1021))/5,0)*5 - 3), "х", "*"), "x", "*") &amp; " мм"</f>
        <v/>
      </c>
      <c r="AE1022" t="n">
        <v>3.1</v>
      </c>
    </row>
    <row r="1023">
      <c r="B1023" s="42" t="n">
        <v>206</v>
      </c>
      <c r="C1023" s="118">
        <f>INDIRECT("'Закуп'!A" &amp; B1023)</f>
        <v/>
      </c>
      <c r="D1023" s="119">
        <f>C1023*1.2</f>
        <v/>
      </c>
      <c r="G1023" s="172">
        <f>IF(INDIRECT("'Закуп'!L" &amp; B1023)="Sale","Sale","")</f>
        <v/>
      </c>
      <c r="H1023" s="158">
        <f>IF(INDIRECT("'Закуп'!F" &amp; B1023)=0,"",INDIRECT("'Закуп'!F" &amp; B1023))</f>
        <v/>
      </c>
      <c r="I1023" s="120" t="n">
        <v>100</v>
      </c>
      <c r="J1023" s="121">
        <f>K1023/1.2</f>
        <v/>
      </c>
      <c r="K1023" s="242" t="n">
        <v>1.36</v>
      </c>
      <c r="L1023" s="122">
        <f>J1023-C1023-(J1023-C1023)*0.2</f>
        <v/>
      </c>
      <c r="M1023" s="123">
        <f>L1023*I1023</f>
        <v/>
      </c>
      <c r="N1023" s="124" t="inlineStr">
        <is>
          <t xml:space="preserve">100-290 шт - </t>
        </is>
      </c>
      <c r="O1023" s="47" t="inlineStr">
        <is>
          <t xml:space="preserve"> руб / шт с НДС</t>
        </is>
      </c>
      <c r="P1023" s="125">
        <f>ROUND(K1023,2)</f>
        <v/>
      </c>
      <c r="Q1023" s="207">
        <f>CONCATENATE(N1023,P1023,O1023,)</f>
        <v/>
      </c>
      <c r="R1023" s="240" t="n"/>
      <c r="T1023" s="241" t="n"/>
      <c r="U1023" s="240" t="n"/>
      <c r="V1023" s="241" t="n"/>
      <c r="Z1023" s="240" t="n"/>
      <c r="AB1023" s="241" t="n"/>
      <c r="AC1023" s="240" t="n"/>
      <c r="AD1023" s="241" t="n"/>
      <c r="AE1023" t="n">
        <v>2.7</v>
      </c>
    </row>
    <row r="1024">
      <c r="B1024" s="42" t="n">
        <v>206</v>
      </c>
      <c r="C1024" s="118">
        <f>INDIRECT("'Закуп'!A" &amp; B1024)</f>
        <v/>
      </c>
      <c r="D1024" s="119">
        <f>C1024*1.2</f>
        <v/>
      </c>
      <c r="G1024" s="172">
        <f>IF(INDIRECT("'Закуп'!L" &amp; B1024)="Sale","Sale","")</f>
        <v/>
      </c>
      <c r="H1024" s="158">
        <f>IF(INDIRECT("'Закуп'!F" &amp; B1024)=0,"",INDIRECT("'Закуп'!F" &amp; B1024))</f>
        <v/>
      </c>
      <c r="I1024" s="120" t="n">
        <v>300</v>
      </c>
      <c r="J1024" s="121">
        <f>K1024/1.2</f>
        <v/>
      </c>
      <c r="K1024" s="242" t="n">
        <v>1.28</v>
      </c>
      <c r="L1024" s="122">
        <f>J1024-C1024-(J1024-C1024)*0.2</f>
        <v/>
      </c>
      <c r="M1024" s="123">
        <f>L1024*I1024</f>
        <v/>
      </c>
      <c r="N1024" s="124" t="inlineStr">
        <is>
          <t xml:space="preserve">300-490 шт - </t>
        </is>
      </c>
      <c r="O1024" s="47" t="inlineStr">
        <is>
          <t xml:space="preserve"> руб / шт с НДС</t>
        </is>
      </c>
      <c r="P1024" s="125">
        <f>ROUND(K1024,2)</f>
        <v/>
      </c>
      <c r="Q1024" s="207">
        <f>CONCATENATE(N1024,P1024,O1024,)</f>
        <v/>
      </c>
      <c r="R1024" s="240" t="n"/>
      <c r="T1024" s="241" t="n"/>
      <c r="U1024" s="240" t="n"/>
      <c r="V1024" s="241" t="n"/>
      <c r="Z1024" s="240" t="n"/>
      <c r="AB1024" s="241" t="n"/>
      <c r="AC1024" s="240" t="n"/>
      <c r="AD1024" s="241" t="n"/>
      <c r="AE1024" t="n">
        <v>2.42</v>
      </c>
    </row>
    <row r="1025">
      <c r="B1025" s="42" t="n">
        <v>206</v>
      </c>
      <c r="C1025" s="118">
        <f>INDIRECT("'Закуп'!A" &amp; B1025)</f>
        <v/>
      </c>
      <c r="D1025" s="119">
        <f>C1025*1.2</f>
        <v/>
      </c>
      <c r="G1025" s="172">
        <f>IF(INDIRECT("'Закуп'!L" &amp; B1025)="Sale","Sale","")</f>
        <v/>
      </c>
      <c r="H1025" s="158">
        <f>IF(INDIRECT("'Закуп'!F" &amp; B1025)=0,"",INDIRECT("'Закуп'!F" &amp; B1025))</f>
        <v/>
      </c>
      <c r="I1025" s="120" t="n">
        <v>500</v>
      </c>
      <c r="J1025" s="121">
        <f>K1025/1.2</f>
        <v/>
      </c>
      <c r="K1025" s="242" t="n">
        <v>1.21</v>
      </c>
      <c r="L1025" s="122">
        <f>J1025-C1025-(J1025-C1025)*0.2</f>
        <v/>
      </c>
      <c r="M1025" s="123">
        <f>L1025*I1025</f>
        <v/>
      </c>
      <c r="N1025" s="124" t="inlineStr">
        <is>
          <t xml:space="preserve">500-990 шт - </t>
        </is>
      </c>
      <c r="O1025" s="47" t="inlineStr">
        <is>
          <t xml:space="preserve"> руб / шт с НДС</t>
        </is>
      </c>
      <c r="P1025" s="125">
        <f>ROUND(K1025,2)</f>
        <v/>
      </c>
      <c r="Q1025" s="207">
        <f>CONCATENATE(N1025,P1025,O1025,)</f>
        <v/>
      </c>
      <c r="R1025" s="240" t="n"/>
      <c r="T1025" s="241" t="n"/>
      <c r="U1025" s="240" t="n"/>
      <c r="V1025" s="241" t="n"/>
      <c r="Z1025" s="240" t="n"/>
      <c r="AB1025" s="241" t="n"/>
      <c r="AC1025" s="240" t="n"/>
      <c r="AD1025" s="241" t="n"/>
      <c r="AE1025" t="n">
        <v>2.18</v>
      </c>
    </row>
    <row r="1026">
      <c r="B1026" s="42" t="n">
        <v>206</v>
      </c>
      <c r="C1026" s="118">
        <f>INDIRECT("'Закуп'!A" &amp; B1026)</f>
        <v/>
      </c>
      <c r="D1026" s="119">
        <f>C1026*1.2</f>
        <v/>
      </c>
      <c r="G1026" s="172">
        <f>IF(INDIRECT("'Закуп'!L" &amp; B1026)="Sale","Sale","")</f>
        <v/>
      </c>
      <c r="H1026" s="158">
        <f>IF(INDIRECT("'Закуп'!F" &amp; B1026)=0,"",INDIRECT("'Закуп'!F" &amp; B1026))</f>
        <v/>
      </c>
      <c r="I1026" s="120" t="n">
        <v>1000</v>
      </c>
      <c r="J1026" s="121">
        <f>K1026/1.2</f>
        <v/>
      </c>
      <c r="K1026" s="242" t="n">
        <v>1.17</v>
      </c>
      <c r="L1026" s="122">
        <f>J1026-C1026-(J1026-C1026)*0.2</f>
        <v/>
      </c>
      <c r="M1026" s="123">
        <f>L1026*I1026</f>
        <v/>
      </c>
      <c r="N1026" s="124" t="inlineStr">
        <is>
          <t xml:space="preserve">1000 + шт - </t>
        </is>
      </c>
      <c r="O1026" s="47" t="inlineStr">
        <is>
          <t xml:space="preserve"> руб / шт с НДС</t>
        </is>
      </c>
      <c r="P1026" s="125">
        <f>ROUND(K1026,2)</f>
        <v/>
      </c>
      <c r="Q1026" s="207">
        <f>CONCATENATE(N1026,P1026,O1026,)</f>
        <v/>
      </c>
      <c r="R1026" s="240" t="n"/>
      <c r="T1026" s="241" t="n"/>
      <c r="U1026" s="240" t="n"/>
      <c r="V1026" s="241" t="n"/>
      <c r="Z1026" s="240" t="n"/>
      <c r="AB1026" s="241" t="n"/>
      <c r="AC1026" s="240" t="n"/>
      <c r="AD1026" s="241" t="n"/>
      <c r="AE1026" t="n">
        <v>2.09</v>
      </c>
    </row>
    <row r="1027">
      <c r="A1027" s="232" t="n">
        <v>207</v>
      </c>
      <c r="B1027" s="42" t="n">
        <v>207</v>
      </c>
      <c r="C1027" s="118">
        <f>INDIRECT("'Закуп'!A" &amp; B1027)</f>
        <v/>
      </c>
      <c r="D1027" s="119">
        <f>C1027*1.2</f>
        <v/>
      </c>
      <c r="E1027" s="224">
        <f>INDIRECT("'Закуп'!D" &amp; A1027)</f>
        <v/>
      </c>
      <c r="F1027" s="231">
        <f>INDIRECT("'Закуп'!E" &amp; B1027)</f>
        <v/>
      </c>
      <c r="G1027" s="172">
        <f>IF(INDIRECT("'Закуп'!L" &amp; B1027)="Sale","Sale","")</f>
        <v/>
      </c>
      <c r="H1027" s="158">
        <f>IF(INDIRECT("'Закуп'!F" &amp; B1027)=0,"",INDIRECT("'Закуп'!F" &amp; B1027))</f>
        <v/>
      </c>
      <c r="I1027" s="120" t="n">
        <v>50</v>
      </c>
      <c r="J1027" s="121">
        <f>K1027/1.2</f>
        <v/>
      </c>
      <c r="K1027" s="242" t="n">
        <v>2.55</v>
      </c>
      <c r="L1027" s="122">
        <f>J1027-C1027-(J1027-C1027)*0.2</f>
        <v/>
      </c>
      <c r="M1027" s="123">
        <f>L1027*I1027</f>
        <v/>
      </c>
      <c r="N1027" s="124" t="inlineStr">
        <is>
          <t xml:space="preserve">50-90 шт - </t>
        </is>
      </c>
      <c r="O1027" s="47" t="inlineStr">
        <is>
          <t xml:space="preserve"> руб / шт с НДС</t>
        </is>
      </c>
      <c r="P1027" s="125">
        <f>ROUND(K1027,2)</f>
        <v/>
      </c>
      <c r="Q1027" s="207">
        <f>CONCATENATE(N1027,P1027,O1027,)</f>
        <v/>
      </c>
      <c r="R1027" s="235">
        <f>INDIRECT("'Закуп'!k" &amp; A1027)</f>
        <v/>
      </c>
      <c r="S1027" s="239">
        <f>INDIRECT("'Закуп'!o" &amp; A1027)</f>
        <v/>
      </c>
      <c r="T1027" s="226">
        <f>INDIRECT("'Закуп'!p" &amp; A1027)</f>
        <v/>
      </c>
      <c r="U1027" s="235">
        <f>INDIRECT("'Закуп'!v" &amp; A1027)</f>
        <v/>
      </c>
      <c r="V1027" s="222">
        <f>INDIRECT("'Закуп'!w" &amp; A1027)</f>
        <v/>
      </c>
      <c r="W1027" s="229">
        <f>INDIRECT("'Закуп'!H" &amp; A1027)</f>
        <v/>
      </c>
      <c r="X1027" s="237">
        <f>INDIRECT("'Закуп'!g" &amp; A1027)</f>
        <v/>
      </c>
      <c r="Y1027" s="229">
        <f>INDIRECT("'Закуп'!i" &amp; A1027)</f>
        <v/>
      </c>
      <c r="Z1027" s="236">
        <f>INDIRECT("'Закуп'!x" &amp; A1027)</f>
        <v/>
      </c>
      <c r="AA1027" s="237">
        <f>INDIRECT("'Закуп'!y" &amp; A1027)</f>
        <v/>
      </c>
      <c r="AB1027" s="238">
        <f>INDIRECT("'Закуп'!z" &amp; A1027)</f>
        <v/>
      </c>
      <c r="AC1027" s="223">
        <f>SUBSTITUTE(INDEX(F:F, ROUNDUP((ROW(A1026))/5,0)*5 - 3), "х", "x")</f>
        <v/>
      </c>
      <c r="AD1027" s="222">
        <f>SUBSTITUTE(INDEX(F:F, ROUNDUP((ROW(A1026))/5,0)*5 - 3), "х", "x") &amp; " - " &amp; SUBSTITUTE(SUBSTITUTE(INDEX(F:F, ROUNDUP((ROW(A1026))/5,0)*5 - 3), "х", "*"), "x", "*") &amp; " мм"</f>
        <v/>
      </c>
      <c r="AE1027" t="n">
        <v>3.53</v>
      </c>
    </row>
    <row r="1028">
      <c r="B1028" s="42" t="n">
        <v>207</v>
      </c>
      <c r="C1028" s="118">
        <f>INDIRECT("'Закуп'!A" &amp; B1028)</f>
        <v/>
      </c>
      <c r="D1028" s="119">
        <f>C1028*1.2</f>
        <v/>
      </c>
      <c r="G1028" s="172">
        <f>IF(INDIRECT("'Закуп'!L" &amp; B1028)="Sale","Sale","")</f>
        <v/>
      </c>
      <c r="H1028" s="158">
        <f>IF(INDIRECT("'Закуп'!F" &amp; B1028)=0,"",INDIRECT("'Закуп'!F" &amp; B1028))</f>
        <v/>
      </c>
      <c r="I1028" s="120" t="n">
        <v>100</v>
      </c>
      <c r="J1028" s="121">
        <f>K1028/1.2</f>
        <v/>
      </c>
      <c r="K1028" s="242" t="n">
        <v>2.17</v>
      </c>
      <c r="L1028" s="122">
        <f>J1028-C1028-(J1028-C1028)*0.2</f>
        <v/>
      </c>
      <c r="M1028" s="123">
        <f>L1028*I1028</f>
        <v/>
      </c>
      <c r="N1028" s="124" t="inlineStr">
        <is>
          <t xml:space="preserve">100-290 шт - </t>
        </is>
      </c>
      <c r="O1028" s="47" t="inlineStr">
        <is>
          <t xml:space="preserve"> руб / шт с НДС</t>
        </is>
      </c>
      <c r="P1028" s="125">
        <f>ROUND(K1028,2)</f>
        <v/>
      </c>
      <c r="Q1028" s="207">
        <f>CONCATENATE(N1028,P1028,O1028,)</f>
        <v/>
      </c>
      <c r="R1028" s="240" t="n"/>
      <c r="T1028" s="241" t="n"/>
      <c r="U1028" s="240" t="n"/>
      <c r="V1028" s="241" t="n"/>
      <c r="Z1028" s="240" t="n"/>
      <c r="AB1028" s="241" t="n"/>
      <c r="AC1028" s="240" t="n"/>
      <c r="AD1028" s="241" t="n"/>
      <c r="AE1028" t="n">
        <v>3.06</v>
      </c>
    </row>
    <row r="1029">
      <c r="B1029" s="42" t="n">
        <v>207</v>
      </c>
      <c r="C1029" s="118">
        <f>INDIRECT("'Закуп'!A" &amp; B1029)</f>
        <v/>
      </c>
      <c r="D1029" s="119">
        <f>C1029*1.2</f>
        <v/>
      </c>
      <c r="G1029" s="172">
        <f>IF(INDIRECT("'Закуп'!L" &amp; B1029)="Sale","Sale","")</f>
        <v/>
      </c>
      <c r="H1029" s="158">
        <f>IF(INDIRECT("'Закуп'!F" &amp; B1029)=0,"",INDIRECT("'Закуп'!F" &amp; B1029))</f>
        <v/>
      </c>
      <c r="I1029" s="120" t="n">
        <v>300</v>
      </c>
      <c r="J1029" s="121">
        <f>K1029/1.2</f>
        <v/>
      </c>
      <c r="K1029" s="242" t="n">
        <v>2.05</v>
      </c>
      <c r="L1029" s="122">
        <f>J1029-C1029-(J1029-C1029)*0.2</f>
        <v/>
      </c>
      <c r="M1029" s="123">
        <f>L1029*I1029</f>
        <v/>
      </c>
      <c r="N1029" s="124" t="inlineStr">
        <is>
          <t xml:space="preserve">300-490 шт - </t>
        </is>
      </c>
      <c r="O1029" s="47" t="inlineStr">
        <is>
          <t xml:space="preserve"> руб / шт с НДС</t>
        </is>
      </c>
      <c r="P1029" s="125">
        <f>ROUND(K1029,2)</f>
        <v/>
      </c>
      <c r="Q1029" s="207">
        <f>CONCATENATE(N1029,P1029,O1029,)</f>
        <v/>
      </c>
      <c r="R1029" s="240" t="n"/>
      <c r="T1029" s="241" t="n"/>
      <c r="U1029" s="240" t="n"/>
      <c r="V1029" s="241" t="n"/>
      <c r="Z1029" s="240" t="n"/>
      <c r="AB1029" s="241" t="n"/>
      <c r="AC1029" s="240" t="n"/>
      <c r="AD1029" s="241" t="n"/>
      <c r="AE1029" t="n">
        <v>2.58</v>
      </c>
    </row>
    <row r="1030">
      <c r="B1030" s="42" t="n">
        <v>207</v>
      </c>
      <c r="C1030" s="118">
        <f>INDIRECT("'Закуп'!A" &amp; B1030)</f>
        <v/>
      </c>
      <c r="D1030" s="119">
        <f>C1030*1.2</f>
        <v/>
      </c>
      <c r="G1030" s="172">
        <f>IF(INDIRECT("'Закуп'!L" &amp; B1030)="Sale","Sale","")</f>
        <v/>
      </c>
      <c r="H1030" s="158">
        <f>IF(INDIRECT("'Закуп'!F" &amp; B1030)=0,"",INDIRECT("'Закуп'!F" &amp; B1030))</f>
        <v/>
      </c>
      <c r="I1030" s="120" t="n">
        <v>500</v>
      </c>
      <c r="J1030" s="121">
        <f>K1030/1.2</f>
        <v/>
      </c>
      <c r="K1030" s="242" t="n">
        <v>1.89</v>
      </c>
      <c r="L1030" s="122">
        <f>J1030-C1030-(J1030-C1030)*0.2</f>
        <v/>
      </c>
      <c r="M1030" s="123">
        <f>L1030*I1030</f>
        <v/>
      </c>
      <c r="N1030" s="124" t="inlineStr">
        <is>
          <t xml:space="preserve">500-990 шт - </t>
        </is>
      </c>
      <c r="O1030" s="47" t="inlineStr">
        <is>
          <t xml:space="preserve"> руб / шт с НДС</t>
        </is>
      </c>
      <c r="P1030" s="125">
        <f>ROUND(K1030,2)</f>
        <v/>
      </c>
      <c r="Q1030" s="207">
        <f>CONCATENATE(N1030,P1030,O1030,)</f>
        <v/>
      </c>
      <c r="R1030" s="240" t="n"/>
      <c r="T1030" s="241" t="n"/>
      <c r="U1030" s="240" t="n"/>
      <c r="V1030" s="241" t="n"/>
      <c r="Z1030" s="240" t="n"/>
      <c r="AB1030" s="241" t="n"/>
      <c r="AC1030" s="240" t="n"/>
      <c r="AD1030" s="241" t="n"/>
      <c r="AE1030" t="n">
        <v>2.45</v>
      </c>
    </row>
    <row r="1031">
      <c r="B1031" s="42" t="n">
        <v>207</v>
      </c>
      <c r="C1031" s="118">
        <f>INDIRECT("'Закуп'!A" &amp; B1031)</f>
        <v/>
      </c>
      <c r="D1031" s="119">
        <f>C1031*1.2</f>
        <v/>
      </c>
      <c r="G1031" s="172">
        <f>IF(INDIRECT("'Закуп'!L" &amp; B1031)="Sale","Sale","")</f>
        <v/>
      </c>
      <c r="H1031" s="158">
        <f>IF(INDIRECT("'Закуп'!F" &amp; B1031)=0,"",INDIRECT("'Закуп'!F" &amp; B1031))</f>
        <v/>
      </c>
      <c r="I1031" s="120" t="n">
        <v>1000</v>
      </c>
      <c r="J1031" s="121">
        <f>K1031/1.2</f>
        <v/>
      </c>
      <c r="K1031" s="242" t="n">
        <v>1.83</v>
      </c>
      <c r="L1031" s="122">
        <f>J1031-C1031-(J1031-C1031)*0.2</f>
        <v/>
      </c>
      <c r="M1031" s="123">
        <f>L1031*I1031</f>
        <v/>
      </c>
      <c r="N1031" s="124" t="inlineStr">
        <is>
          <t xml:space="preserve">1000 + шт - </t>
        </is>
      </c>
      <c r="O1031" s="47" t="inlineStr">
        <is>
          <t xml:space="preserve"> руб / шт с НДС</t>
        </is>
      </c>
      <c r="P1031" s="125">
        <f>ROUND(K1031,2)</f>
        <v/>
      </c>
      <c r="Q1031" s="207">
        <f>CONCATENATE(N1031,P1031,O1031,)</f>
        <v/>
      </c>
      <c r="R1031" s="240" t="n"/>
      <c r="T1031" s="241" t="n"/>
      <c r="U1031" s="240" t="n"/>
      <c r="V1031" s="241" t="n"/>
      <c r="Z1031" s="240" t="n"/>
      <c r="AB1031" s="241" t="n"/>
      <c r="AC1031" s="240" t="n"/>
      <c r="AD1031" s="241" t="n"/>
      <c r="AE1031" t="n">
        <v>2.33</v>
      </c>
    </row>
    <row r="1032">
      <c r="A1032" s="232" t="n">
        <v>208</v>
      </c>
      <c r="B1032" s="42" t="n">
        <v>208</v>
      </c>
      <c r="C1032" s="118">
        <f>INDIRECT("'Закуп'!A" &amp; B1032)</f>
        <v/>
      </c>
      <c r="D1032" s="119">
        <f>C1032*1.2</f>
        <v/>
      </c>
      <c r="E1032" s="224">
        <f>INDIRECT("'Закуп'!D" &amp; A1032)</f>
        <v/>
      </c>
      <c r="F1032" s="231">
        <f>INDIRECT("'Закуп'!E" &amp; B1032)</f>
        <v/>
      </c>
      <c r="G1032" s="172">
        <f>IF(INDIRECT("'Закуп'!L" &amp; B1032)="Sale","Sale","")</f>
        <v/>
      </c>
      <c r="H1032" s="158">
        <f>IF(INDIRECT("'Закуп'!F" &amp; B1032)=0,"",INDIRECT("'Закуп'!F" &amp; B1032))</f>
        <v/>
      </c>
      <c r="I1032" s="120" t="n">
        <v>50</v>
      </c>
      <c r="J1032" s="121">
        <f>K1032/1.2</f>
        <v/>
      </c>
      <c r="K1032" s="242" t="n">
        <v>2.98</v>
      </c>
      <c r="L1032" s="122">
        <f>J1032-C1032-(J1032-C1032)*0.2</f>
        <v/>
      </c>
      <c r="M1032" s="123">
        <f>L1032*I1032</f>
        <v/>
      </c>
      <c r="N1032" s="124" t="inlineStr">
        <is>
          <t xml:space="preserve">50-90 шт - </t>
        </is>
      </c>
      <c r="O1032" s="47" t="inlineStr">
        <is>
          <t xml:space="preserve"> руб / шт с НДС</t>
        </is>
      </c>
      <c r="P1032" s="125">
        <f>ROUND(K1032,2)</f>
        <v/>
      </c>
      <c r="Q1032" s="207">
        <f>CONCATENATE(N1032,P1032,O1032,)</f>
        <v/>
      </c>
      <c r="R1032" s="235">
        <f>INDIRECT("'Закуп'!k" &amp; A1032)</f>
        <v/>
      </c>
      <c r="S1032" s="239">
        <f>INDIRECT("'Закуп'!o" &amp; A1032)</f>
        <v/>
      </c>
      <c r="T1032" s="226">
        <f>INDIRECT("'Закуп'!p" &amp; A1032)</f>
        <v/>
      </c>
      <c r="U1032" s="235">
        <f>INDIRECT("'Закуп'!v" &amp; A1032)</f>
        <v/>
      </c>
      <c r="V1032" s="222">
        <f>INDIRECT("'Закуп'!w" &amp; A1032)</f>
        <v/>
      </c>
      <c r="W1032" s="229">
        <f>INDIRECT("'Закуп'!H" &amp; A1032)</f>
        <v/>
      </c>
      <c r="X1032" s="237">
        <f>INDIRECT("'Закуп'!g" &amp; A1032)</f>
        <v/>
      </c>
      <c r="Y1032" s="229">
        <f>INDIRECT("'Закуп'!i" &amp; A1032)</f>
        <v/>
      </c>
      <c r="Z1032" s="236">
        <f>INDIRECT("'Закуп'!x" &amp; A1032)</f>
        <v/>
      </c>
      <c r="AA1032" s="237">
        <f>INDIRECT("'Закуп'!y" &amp; A1032)</f>
        <v/>
      </c>
      <c r="AB1032" s="238">
        <f>INDIRECT("'Закуп'!z" &amp; A1032)</f>
        <v/>
      </c>
      <c r="AC1032" s="223">
        <f>SUBSTITUTE(INDEX(F:F, ROUNDUP((ROW(A1031))/5,0)*5 - 3), "х", "x")</f>
        <v/>
      </c>
      <c r="AD1032" s="222">
        <f>SUBSTITUTE(INDEX(F:F, ROUNDUP((ROW(A1031))/5,0)*5 - 3), "х", "x") &amp; " - " &amp; SUBSTITUTE(SUBSTITUTE(INDEX(F:F, ROUNDUP((ROW(A1031))/5,0)*5 - 3), "х", "*"), "x", "*") &amp; " мм"</f>
        <v/>
      </c>
      <c r="AE1032" t="n">
        <v>3.85</v>
      </c>
    </row>
    <row r="1033">
      <c r="B1033" s="42" t="n">
        <v>208</v>
      </c>
      <c r="C1033" s="118">
        <f>INDIRECT("'Закуп'!A" &amp; B1033)</f>
        <v/>
      </c>
      <c r="D1033" s="119">
        <f>C1033*1.2</f>
        <v/>
      </c>
      <c r="G1033" s="172">
        <f>IF(INDIRECT("'Закуп'!L" &amp; B1033)="Sale","Sale","")</f>
        <v/>
      </c>
      <c r="H1033" s="158">
        <f>IF(INDIRECT("'Закуп'!F" &amp; B1033)=0,"",INDIRECT("'Закуп'!F" &amp; B1033))</f>
        <v/>
      </c>
      <c r="I1033" s="120" t="n">
        <v>100</v>
      </c>
      <c r="J1033" s="121">
        <f>K1033/1.2</f>
        <v/>
      </c>
      <c r="K1033" s="242" t="n">
        <v>2.57</v>
      </c>
      <c r="L1033" s="122">
        <f>J1033-C1033-(J1033-C1033)*0.2</f>
        <v/>
      </c>
      <c r="M1033" s="123">
        <f>L1033*I1033</f>
        <v/>
      </c>
      <c r="N1033" s="124" t="inlineStr">
        <is>
          <t xml:space="preserve">100-290 шт - </t>
        </is>
      </c>
      <c r="O1033" s="47" t="inlineStr">
        <is>
          <t xml:space="preserve"> руб / шт с НДС</t>
        </is>
      </c>
      <c r="P1033" s="125">
        <f>ROUND(K1033,2)</f>
        <v/>
      </c>
      <c r="Q1033" s="207">
        <f>CONCATENATE(N1033,P1033,O1033,)</f>
        <v/>
      </c>
      <c r="R1033" s="240" t="n"/>
      <c r="T1033" s="241" t="n"/>
      <c r="U1033" s="240" t="n"/>
      <c r="V1033" s="241" t="n"/>
      <c r="Z1033" s="240" t="n"/>
      <c r="AB1033" s="241" t="n"/>
      <c r="AC1033" s="240" t="n"/>
      <c r="AD1033" s="241" t="n"/>
      <c r="AE1033" t="n">
        <v>3.33</v>
      </c>
    </row>
    <row r="1034">
      <c r="B1034" s="42" t="n">
        <v>208</v>
      </c>
      <c r="C1034" s="118">
        <f>INDIRECT("'Закуп'!A" &amp; B1034)</f>
        <v/>
      </c>
      <c r="D1034" s="119">
        <f>C1034*1.2</f>
        <v/>
      </c>
      <c r="G1034" s="172">
        <f>IF(INDIRECT("'Закуп'!L" &amp; B1034)="Sale","Sale","")</f>
        <v/>
      </c>
      <c r="H1034" s="158">
        <f>IF(INDIRECT("'Закуп'!F" &amp; B1034)=0,"",INDIRECT("'Закуп'!F" &amp; B1034))</f>
        <v/>
      </c>
      <c r="I1034" s="120" t="n">
        <v>300</v>
      </c>
      <c r="J1034" s="121">
        <f>K1034/1.2</f>
        <v/>
      </c>
      <c r="K1034" s="242" t="n">
        <v>2.43</v>
      </c>
      <c r="L1034" s="122">
        <f>J1034-C1034-(J1034-C1034)*0.2</f>
        <v/>
      </c>
      <c r="M1034" s="123">
        <f>L1034*I1034</f>
        <v/>
      </c>
      <c r="N1034" s="124" t="inlineStr">
        <is>
          <t xml:space="preserve">300-490 шт - </t>
        </is>
      </c>
      <c r="O1034" s="47" t="inlineStr">
        <is>
          <t xml:space="preserve"> руб / шт с НДС</t>
        </is>
      </c>
      <c r="P1034" s="125">
        <f>ROUND(K1034,2)</f>
        <v/>
      </c>
      <c r="Q1034" s="207">
        <f>CONCATENATE(N1034,P1034,O1034,)</f>
        <v/>
      </c>
      <c r="R1034" s="240" t="n"/>
      <c r="T1034" s="241" t="n"/>
      <c r="U1034" s="240" t="n"/>
      <c r="V1034" s="241" t="n"/>
      <c r="Z1034" s="240" t="n"/>
      <c r="AB1034" s="241" t="n"/>
      <c r="AC1034" s="240" t="n"/>
      <c r="AD1034" s="241" t="n"/>
      <c r="AE1034" t="n">
        <v>2.8</v>
      </c>
    </row>
    <row r="1035">
      <c r="B1035" s="42" t="n">
        <v>208</v>
      </c>
      <c r="C1035" s="118">
        <f>INDIRECT("'Закуп'!A" &amp; B1035)</f>
        <v/>
      </c>
      <c r="D1035" s="119">
        <f>C1035*1.2</f>
        <v/>
      </c>
      <c r="G1035" s="172">
        <f>IF(INDIRECT("'Закуп'!L" &amp; B1035)="Sale","Sale","")</f>
        <v/>
      </c>
      <c r="H1035" s="158">
        <f>IF(INDIRECT("'Закуп'!F" &amp; B1035)=0,"",INDIRECT("'Закуп'!F" &amp; B1035))</f>
        <v/>
      </c>
      <c r="I1035" s="120" t="n">
        <v>500</v>
      </c>
      <c r="J1035" s="121">
        <f>K1035/1.2</f>
        <v/>
      </c>
      <c r="K1035" s="242" t="n">
        <v>2.05</v>
      </c>
      <c r="L1035" s="122">
        <f>J1035-C1035-(J1035-C1035)*0.2</f>
        <v/>
      </c>
      <c r="M1035" s="123">
        <f>L1035*I1035</f>
        <v/>
      </c>
      <c r="N1035" s="124" t="inlineStr">
        <is>
          <t xml:space="preserve">500-990 шт - </t>
        </is>
      </c>
      <c r="O1035" s="47" t="inlineStr">
        <is>
          <t xml:space="preserve"> руб / шт с НДС</t>
        </is>
      </c>
      <c r="P1035" s="125">
        <f>ROUND(K1035,2)</f>
        <v/>
      </c>
      <c r="Q1035" s="207">
        <f>CONCATENATE(N1035,P1035,O1035,)</f>
        <v/>
      </c>
      <c r="R1035" s="240" t="n"/>
      <c r="T1035" s="241" t="n"/>
      <c r="U1035" s="240" t="n"/>
      <c r="V1035" s="241" t="n"/>
      <c r="Z1035" s="240" t="n"/>
      <c r="AB1035" s="241" t="n"/>
      <c r="AC1035" s="240" t="n"/>
      <c r="AD1035" s="241" t="n"/>
      <c r="AE1035" t="n">
        <v>2.65</v>
      </c>
    </row>
    <row r="1036">
      <c r="B1036" s="42" t="n">
        <v>208</v>
      </c>
      <c r="C1036" s="118">
        <f>INDIRECT("'Закуп'!A" &amp; B1036)</f>
        <v/>
      </c>
      <c r="D1036" s="119">
        <f>C1036*1.2</f>
        <v/>
      </c>
      <c r="G1036" s="172">
        <f>IF(INDIRECT("'Закуп'!L" &amp; B1036)="Sale","Sale","")</f>
        <v/>
      </c>
      <c r="H1036" s="158">
        <f>IF(INDIRECT("'Закуп'!F" &amp; B1036)=0,"",INDIRECT("'Закуп'!F" &amp; B1036))</f>
        <v/>
      </c>
      <c r="I1036" s="120" t="n">
        <v>1000</v>
      </c>
      <c r="J1036" s="121">
        <f>K1036/1.2</f>
        <v/>
      </c>
      <c r="K1036" s="242" t="n">
        <v>1.98</v>
      </c>
      <c r="L1036" s="122">
        <f>J1036-C1036-(J1036-C1036)*0.2</f>
        <v/>
      </c>
      <c r="M1036" s="123">
        <f>L1036*I1036</f>
        <v/>
      </c>
      <c r="N1036" s="124" t="inlineStr">
        <is>
          <t xml:space="preserve">1000 + шт - </t>
        </is>
      </c>
      <c r="O1036" s="47" t="inlineStr">
        <is>
          <t xml:space="preserve"> руб / шт с НДС</t>
        </is>
      </c>
      <c r="P1036" s="125">
        <f>ROUND(K1036,2)</f>
        <v/>
      </c>
      <c r="Q1036" s="207">
        <f>CONCATENATE(N1036,P1036,O1036,)</f>
        <v/>
      </c>
      <c r="R1036" s="240" t="n"/>
      <c r="T1036" s="241" t="n"/>
      <c r="U1036" s="240" t="n"/>
      <c r="V1036" s="241" t="n"/>
      <c r="Z1036" s="240" t="n"/>
      <c r="AB1036" s="241" t="n"/>
      <c r="AC1036" s="240" t="n"/>
      <c r="AD1036" s="241" t="n"/>
      <c r="AE1036" t="n">
        <v>2.57</v>
      </c>
    </row>
    <row r="1037">
      <c r="A1037" s="232" t="n">
        <v>209</v>
      </c>
      <c r="B1037" s="42" t="n">
        <v>209</v>
      </c>
      <c r="C1037" s="118">
        <f>INDIRECT("'Закуп'!A" &amp; B1037)</f>
        <v/>
      </c>
      <c r="D1037" s="119">
        <f>C1037*1.2</f>
        <v/>
      </c>
      <c r="E1037" s="224">
        <f>INDIRECT("'Закуп'!D" &amp; A1037)</f>
        <v/>
      </c>
      <c r="F1037" s="231">
        <f>INDIRECT("'Закуп'!E" &amp; B1037)</f>
        <v/>
      </c>
      <c r="G1037" s="172">
        <f>IF(INDIRECT("'Закуп'!L" &amp; B1037)="Sale","Sale","")</f>
        <v/>
      </c>
      <c r="H1037" s="158">
        <f>IF(INDIRECT("'Закуп'!F" &amp; B1037)=0,"",INDIRECT("'Закуп'!F" &amp; B1037))</f>
        <v/>
      </c>
      <c r="I1037" s="120" t="n">
        <v>50</v>
      </c>
      <c r="J1037" s="121">
        <f>K1037/1.2</f>
        <v/>
      </c>
      <c r="K1037" s="70" t="n">
        <v>1.07</v>
      </c>
      <c r="L1037" s="122">
        <f>J1037-C1037-(J1037-C1037)*0.2</f>
        <v/>
      </c>
      <c r="M1037" s="123">
        <f>L1037*I1037</f>
        <v/>
      </c>
      <c r="N1037" s="124" t="inlineStr">
        <is>
          <t xml:space="preserve">50-90 шт - </t>
        </is>
      </c>
      <c r="O1037" s="47" t="inlineStr">
        <is>
          <t xml:space="preserve"> руб / шт с НДС</t>
        </is>
      </c>
      <c r="P1037" s="125">
        <f>ROUND(K1037,2)</f>
        <v/>
      </c>
      <c r="Q1037" s="207">
        <f>CONCATENATE(N1037,P1037,O1037,)</f>
        <v/>
      </c>
      <c r="R1037" s="235">
        <f>INDIRECT("'Закуп'!k" &amp; A1037)</f>
        <v/>
      </c>
      <c r="S1037" s="239">
        <f>INDIRECT("'Закуп'!o" &amp; A1037)</f>
        <v/>
      </c>
      <c r="T1037" s="226">
        <f>INDIRECT("'Закуп'!p" &amp; A1037)</f>
        <v/>
      </c>
      <c r="U1037" s="235">
        <f>INDIRECT("'Закуп'!v" &amp; A1037)</f>
        <v/>
      </c>
      <c r="V1037" s="222">
        <f>INDIRECT("'Закуп'!w" &amp; A1037)</f>
        <v/>
      </c>
      <c r="W1037" s="229">
        <f>INDIRECT("'Закуп'!H" &amp; A1037)</f>
        <v/>
      </c>
      <c r="X1037" s="237">
        <f>INDIRECT("'Закуп'!g" &amp; A1037)</f>
        <v/>
      </c>
      <c r="Y1037" s="229">
        <f>INDIRECT("'Закуп'!i" &amp; A1037)</f>
        <v/>
      </c>
      <c r="Z1037" s="236">
        <f>INDIRECT("'Закуп'!x" &amp; A1037)</f>
        <v/>
      </c>
      <c r="AA1037" s="237">
        <f>INDIRECT("'Закуп'!y" &amp; A1037)</f>
        <v/>
      </c>
      <c r="AB1037" s="238">
        <f>INDIRECT("'Закуп'!z" &amp; A1037)</f>
        <v/>
      </c>
      <c r="AC1037" s="223">
        <f>SUBSTITUTE(INDEX(F:F, ROUNDUP((ROW(A1036))/5,0)*5 - 3), "х", "x")</f>
        <v/>
      </c>
      <c r="AD1037" s="222">
        <f>SUBSTITUTE(INDEX(F:F, ROUNDUP((ROW(A1036))/5,0)*5 - 3), "х", "x") &amp; " - " &amp; SUBSTITUTE(SUBSTITUTE(INDEX(F:F, ROUNDUP((ROW(A1036))/5,0)*5 - 3), "х", "*"), "x", "*") &amp; " мм"</f>
        <v/>
      </c>
    </row>
    <row r="1038">
      <c r="B1038" s="42" t="n">
        <v>209</v>
      </c>
      <c r="C1038" s="118">
        <f>INDIRECT("'Закуп'!A" &amp; B1038)</f>
        <v/>
      </c>
      <c r="D1038" s="119">
        <f>C1038*1.2</f>
        <v/>
      </c>
      <c r="G1038" s="172">
        <f>IF(INDIRECT("'Закуп'!L" &amp; B1038)="Sale","Sale","")</f>
        <v/>
      </c>
      <c r="H1038" s="158">
        <f>IF(INDIRECT("'Закуп'!F" &amp; B1038)=0,"",INDIRECT("'Закуп'!F" &amp; B1038))</f>
        <v/>
      </c>
      <c r="I1038" s="120" t="n">
        <v>100</v>
      </c>
      <c r="J1038" s="121">
        <f>K1038/1.2</f>
        <v/>
      </c>
      <c r="K1038" s="70" t="n">
        <v>0.93</v>
      </c>
      <c r="L1038" s="122">
        <f>J1038-C1038-(J1038-C1038)*0.2</f>
        <v/>
      </c>
      <c r="M1038" s="123">
        <f>L1038*I1038</f>
        <v/>
      </c>
      <c r="N1038" s="124" t="inlineStr">
        <is>
          <t xml:space="preserve">100-290 шт - </t>
        </is>
      </c>
      <c r="O1038" s="47" t="inlineStr">
        <is>
          <t xml:space="preserve"> руб / шт с НДС</t>
        </is>
      </c>
      <c r="P1038" s="125">
        <f>ROUND(K1038,2)</f>
        <v/>
      </c>
      <c r="Q1038" s="207">
        <f>CONCATENATE(N1038,P1038,O1038,)</f>
        <v/>
      </c>
      <c r="R1038" s="240" t="n"/>
      <c r="T1038" s="241" t="n"/>
      <c r="U1038" s="240" t="n"/>
      <c r="V1038" s="241" t="n"/>
      <c r="Z1038" s="240" t="n"/>
      <c r="AB1038" s="241" t="n"/>
      <c r="AC1038" s="240" t="n"/>
      <c r="AD1038" s="241" t="n"/>
    </row>
    <row r="1039">
      <c r="B1039" s="42" t="n">
        <v>209</v>
      </c>
      <c r="C1039" s="118">
        <f>INDIRECT("'Закуп'!A" &amp; B1039)</f>
        <v/>
      </c>
      <c r="D1039" s="119">
        <f>C1039*1.2</f>
        <v/>
      </c>
      <c r="G1039" s="172">
        <f>IF(INDIRECT("'Закуп'!L" &amp; B1039)="Sale","Sale","")</f>
        <v/>
      </c>
      <c r="H1039" s="158">
        <f>IF(INDIRECT("'Закуп'!F" &amp; B1039)=0,"",INDIRECT("'Закуп'!F" &amp; B1039))</f>
        <v/>
      </c>
      <c r="I1039" s="120" t="n">
        <v>300</v>
      </c>
      <c r="J1039" s="121">
        <f>K1039/1.2</f>
        <v/>
      </c>
      <c r="K1039" s="70" t="n">
        <v>0.75</v>
      </c>
      <c r="L1039" s="122">
        <f>J1039-C1039-(J1039-C1039)*0.2</f>
        <v/>
      </c>
      <c r="M1039" s="123">
        <f>L1039*I1039</f>
        <v/>
      </c>
      <c r="N1039" s="124" t="inlineStr">
        <is>
          <t xml:space="preserve">300-490 шт - </t>
        </is>
      </c>
      <c r="O1039" s="47" t="inlineStr">
        <is>
          <t xml:space="preserve"> руб / шт с НДС</t>
        </is>
      </c>
      <c r="P1039" s="125">
        <f>ROUND(K1039,2)</f>
        <v/>
      </c>
      <c r="Q1039" s="207">
        <f>CONCATENATE(N1039,P1039,O1039,)</f>
        <v/>
      </c>
      <c r="R1039" s="240" t="n"/>
      <c r="T1039" s="241" t="n"/>
      <c r="U1039" s="240" t="n"/>
      <c r="V1039" s="241" t="n"/>
      <c r="Z1039" s="240" t="n"/>
      <c r="AB1039" s="241" t="n"/>
      <c r="AC1039" s="240" t="n"/>
      <c r="AD1039" s="241" t="n"/>
    </row>
    <row r="1040">
      <c r="B1040" s="42" t="n">
        <v>209</v>
      </c>
      <c r="C1040" s="118">
        <f>INDIRECT("'Закуп'!A" &amp; B1040)</f>
        <v/>
      </c>
      <c r="D1040" s="119">
        <f>C1040*1.2</f>
        <v/>
      </c>
      <c r="G1040" s="172">
        <f>IF(INDIRECT("'Закуп'!L" &amp; B1040)="Sale","Sale","")</f>
        <v/>
      </c>
      <c r="H1040" s="158">
        <f>IF(INDIRECT("'Закуп'!F" &amp; B1040)=0,"",INDIRECT("'Закуп'!F" &amp; B1040))</f>
        <v/>
      </c>
      <c r="I1040" s="120" t="n">
        <v>500</v>
      </c>
      <c r="J1040" s="121">
        <f>K1040/1.2</f>
        <v/>
      </c>
      <c r="K1040" s="70" t="n">
        <v>0.63</v>
      </c>
      <c r="L1040" s="122">
        <f>J1040-C1040-(J1040-C1040)*0.2</f>
        <v/>
      </c>
      <c r="M1040" s="123">
        <f>L1040*I1040</f>
        <v/>
      </c>
      <c r="N1040" s="124" t="inlineStr">
        <is>
          <t xml:space="preserve">500-990 шт - </t>
        </is>
      </c>
      <c r="O1040" s="47" t="inlineStr">
        <is>
          <t xml:space="preserve"> руб / шт с НДС</t>
        </is>
      </c>
      <c r="P1040" s="125">
        <f>ROUND(K1040,2)</f>
        <v/>
      </c>
      <c r="Q1040" s="207">
        <f>CONCATENATE(N1040,P1040,O1040,)</f>
        <v/>
      </c>
      <c r="R1040" s="240" t="n"/>
      <c r="T1040" s="241" t="n"/>
      <c r="U1040" s="240" t="n"/>
      <c r="V1040" s="241" t="n"/>
      <c r="Z1040" s="240" t="n"/>
      <c r="AB1040" s="241" t="n"/>
      <c r="AC1040" s="240" t="n"/>
      <c r="AD1040" s="241" t="n"/>
    </row>
    <row r="1041">
      <c r="B1041" s="42" t="n">
        <v>209</v>
      </c>
      <c r="C1041" s="118">
        <f>INDIRECT("'Закуп'!A" &amp; B1041)</f>
        <v/>
      </c>
      <c r="D1041" s="119">
        <f>C1041*1.2</f>
        <v/>
      </c>
      <c r="G1041" s="172">
        <f>IF(INDIRECT("'Закуп'!L" &amp; B1041)="Sale","Sale","")</f>
        <v/>
      </c>
      <c r="H1041" s="158">
        <f>IF(INDIRECT("'Закуп'!F" &amp; B1041)=0,"",INDIRECT("'Закуп'!F" &amp; B1041))</f>
        <v/>
      </c>
      <c r="I1041" s="120" t="n">
        <v>1000</v>
      </c>
      <c r="J1041" s="121">
        <f>K1041/1.2</f>
        <v/>
      </c>
      <c r="K1041" s="70" t="n">
        <v>0.54</v>
      </c>
      <c r="L1041" s="122">
        <f>J1041-C1041-(J1041-C1041)*0.2</f>
        <v/>
      </c>
      <c r="M1041" s="123">
        <f>L1041*I1041</f>
        <v/>
      </c>
      <c r="N1041" s="124" t="inlineStr">
        <is>
          <t xml:space="preserve">1000 + шт - </t>
        </is>
      </c>
      <c r="O1041" s="47" t="inlineStr">
        <is>
          <t xml:space="preserve"> руб / шт с НДС</t>
        </is>
      </c>
      <c r="P1041" s="125">
        <f>ROUND(K1041,2)</f>
        <v/>
      </c>
      <c r="Q1041" s="207">
        <f>CONCATENATE(N1041,P1041,O1041,)</f>
        <v/>
      </c>
      <c r="R1041" s="240" t="n"/>
      <c r="T1041" s="241" t="n"/>
      <c r="U1041" s="240" t="n"/>
      <c r="V1041" s="241" t="n"/>
      <c r="Z1041" s="240" t="n"/>
      <c r="AB1041" s="241" t="n"/>
      <c r="AC1041" s="240" t="n"/>
      <c r="AD1041" s="241" t="n"/>
    </row>
    <row r="1042">
      <c r="A1042" s="232" t="n">
        <v>210</v>
      </c>
      <c r="B1042" s="42" t="n">
        <v>210</v>
      </c>
      <c r="C1042" s="118">
        <f>INDIRECT("'Закуп'!A" &amp; B1042)</f>
        <v/>
      </c>
      <c r="D1042" s="119">
        <f>C1042*1.2</f>
        <v/>
      </c>
      <c r="E1042" s="224">
        <f>INDIRECT("'Закуп'!D" &amp; A1042)</f>
        <v/>
      </c>
      <c r="F1042" s="231">
        <f>INDIRECT("'Закуп'!E" &amp; B1042)</f>
        <v/>
      </c>
      <c r="G1042" s="172">
        <f>IF(INDIRECT("'Закуп'!L" &amp; B1042)="Sale","Sale","")</f>
        <v/>
      </c>
      <c r="H1042" s="158">
        <f>IF(INDIRECT("'Закуп'!F" &amp; B1042)=0,"",INDIRECT("'Закуп'!F" &amp; B1042))</f>
        <v/>
      </c>
      <c r="I1042" s="120" t="n">
        <v>50</v>
      </c>
      <c r="J1042" s="121">
        <f>K1042/1.2</f>
        <v/>
      </c>
      <c r="K1042" s="70" t="n">
        <v>2.29</v>
      </c>
      <c r="L1042" s="122">
        <f>J1042-C1042-(J1042-C1042)*0.2</f>
        <v/>
      </c>
      <c r="M1042" s="123">
        <f>L1042*I1042</f>
        <v/>
      </c>
      <c r="N1042" s="124" t="inlineStr">
        <is>
          <t xml:space="preserve">50-90 шт - </t>
        </is>
      </c>
      <c r="O1042" s="47" t="inlineStr">
        <is>
          <t xml:space="preserve"> руб / шт с НДС</t>
        </is>
      </c>
      <c r="P1042" s="125">
        <f>ROUND(K1042,2)</f>
        <v/>
      </c>
      <c r="Q1042" s="207">
        <f>CONCATENATE(N1042,P1042,O1042,)</f>
        <v/>
      </c>
      <c r="R1042" s="235">
        <f>INDIRECT("'Закуп'!k" &amp; A1042)</f>
        <v/>
      </c>
      <c r="S1042" s="239">
        <f>INDIRECT("'Закуп'!o" &amp; A1042)</f>
        <v/>
      </c>
      <c r="T1042" s="226">
        <f>INDIRECT("'Закуп'!p" &amp; A1042)</f>
        <v/>
      </c>
      <c r="U1042" s="235">
        <f>INDIRECT("'Закуп'!v" &amp; A1042)</f>
        <v/>
      </c>
      <c r="V1042" s="222">
        <f>INDIRECT("'Закуп'!w" &amp; A1042)</f>
        <v/>
      </c>
      <c r="W1042" s="229">
        <f>INDIRECT("'Закуп'!H" &amp; A1042)</f>
        <v/>
      </c>
      <c r="X1042" s="237">
        <f>INDIRECT("'Закуп'!g" &amp; A1042)</f>
        <v/>
      </c>
      <c r="Y1042" s="229">
        <f>INDIRECT("'Закуп'!i" &amp; A1042)</f>
        <v/>
      </c>
      <c r="Z1042" s="236">
        <f>INDIRECT("'Закуп'!x" &amp; A1042)</f>
        <v/>
      </c>
      <c r="AA1042" s="237">
        <f>INDIRECT("'Закуп'!y" &amp; A1042)</f>
        <v/>
      </c>
      <c r="AB1042" s="238">
        <f>INDIRECT("'Закуп'!z" &amp; A1042)</f>
        <v/>
      </c>
      <c r="AC1042" s="223">
        <f>SUBSTITUTE(INDEX(F:F, ROUNDUP((ROW(A1041))/5,0)*5 - 3), "х", "x")</f>
        <v/>
      </c>
      <c r="AD1042" s="222">
        <f>SUBSTITUTE(INDEX(F:F, ROUNDUP((ROW(A1041))/5,0)*5 - 3), "х", "x") &amp; " - " &amp; SUBSTITUTE(SUBSTITUTE(INDEX(F:F, ROUNDUP((ROW(A1041))/5,0)*5 - 3), "х", "*"), "x", "*") &amp; " мм"</f>
        <v/>
      </c>
    </row>
    <row r="1043">
      <c r="B1043" s="42" t="n">
        <v>210</v>
      </c>
      <c r="C1043" s="118">
        <f>INDIRECT("'Закуп'!A" &amp; B1043)</f>
        <v/>
      </c>
      <c r="D1043" s="119">
        <f>C1043*1.2</f>
        <v/>
      </c>
      <c r="G1043" s="172">
        <f>IF(INDIRECT("'Закуп'!L" &amp; B1043)="Sale","Sale","")</f>
        <v/>
      </c>
      <c r="H1043" s="158">
        <f>IF(INDIRECT("'Закуп'!F" &amp; B1043)=0,"",INDIRECT("'Закуп'!F" &amp; B1043))</f>
        <v/>
      </c>
      <c r="I1043" s="120" t="n">
        <v>100</v>
      </c>
      <c r="J1043" s="121">
        <f>K1043/1.2</f>
        <v/>
      </c>
      <c r="K1043" s="70" t="n">
        <v>2.08</v>
      </c>
      <c r="L1043" s="122">
        <f>J1043-C1043-(J1043-C1043)*0.2</f>
        <v/>
      </c>
      <c r="M1043" s="123">
        <f>L1043*I1043</f>
        <v/>
      </c>
      <c r="N1043" s="124" t="inlineStr">
        <is>
          <t xml:space="preserve">100-290 шт - </t>
        </is>
      </c>
      <c r="O1043" s="47" t="inlineStr">
        <is>
          <t xml:space="preserve"> руб / шт с НДС</t>
        </is>
      </c>
      <c r="P1043" s="125">
        <f>ROUND(K1043,2)</f>
        <v/>
      </c>
      <c r="Q1043" s="207">
        <f>CONCATENATE(N1043,P1043,O1043,)</f>
        <v/>
      </c>
      <c r="R1043" s="240" t="n"/>
      <c r="T1043" s="241" t="n"/>
      <c r="U1043" s="240" t="n"/>
      <c r="V1043" s="241" t="n"/>
      <c r="Z1043" s="240" t="n"/>
      <c r="AB1043" s="241" t="n"/>
      <c r="AC1043" s="240" t="n"/>
      <c r="AD1043" s="241" t="n"/>
    </row>
    <row r="1044">
      <c r="B1044" s="42" t="n">
        <v>210</v>
      </c>
      <c r="C1044" s="118">
        <f>INDIRECT("'Закуп'!A" &amp; B1044)</f>
        <v/>
      </c>
      <c r="D1044" s="119">
        <f>C1044*1.2</f>
        <v/>
      </c>
      <c r="G1044" s="172">
        <f>IF(INDIRECT("'Закуп'!L" &amp; B1044)="Sale","Sale","")</f>
        <v/>
      </c>
      <c r="H1044" s="158">
        <f>IF(INDIRECT("'Закуп'!F" &amp; B1044)=0,"",INDIRECT("'Закуп'!F" &amp; B1044))</f>
        <v/>
      </c>
      <c r="I1044" s="120" t="n">
        <v>300</v>
      </c>
      <c r="J1044" s="121">
        <f>K1044/1.2</f>
        <v/>
      </c>
      <c r="K1044" s="70" t="n">
        <v>1.63</v>
      </c>
      <c r="L1044" s="122">
        <f>J1044-C1044-(J1044-C1044)*0.2</f>
        <v/>
      </c>
      <c r="M1044" s="123">
        <f>L1044*I1044</f>
        <v/>
      </c>
      <c r="N1044" s="124" t="inlineStr">
        <is>
          <t xml:space="preserve">300-490 шт - </t>
        </is>
      </c>
      <c r="O1044" s="47" t="inlineStr">
        <is>
          <t xml:space="preserve"> руб / шт с НДС</t>
        </is>
      </c>
      <c r="P1044" s="125">
        <f>ROUND(K1044,2)</f>
        <v/>
      </c>
      <c r="Q1044" s="207">
        <f>CONCATENATE(N1044,P1044,O1044,)</f>
        <v/>
      </c>
      <c r="R1044" s="240" t="n"/>
      <c r="T1044" s="241" t="n"/>
      <c r="U1044" s="240" t="n"/>
      <c r="V1044" s="241" t="n"/>
      <c r="Z1044" s="240" t="n"/>
      <c r="AB1044" s="241" t="n"/>
      <c r="AC1044" s="240" t="n"/>
      <c r="AD1044" s="241" t="n"/>
    </row>
    <row r="1045">
      <c r="B1045" s="42" t="n">
        <v>210</v>
      </c>
      <c r="C1045" s="118">
        <f>INDIRECT("'Закуп'!A" &amp; B1045)</f>
        <v/>
      </c>
      <c r="D1045" s="119">
        <f>C1045*1.2</f>
        <v/>
      </c>
      <c r="G1045" s="172">
        <f>IF(INDIRECT("'Закуп'!L" &amp; B1045)="Sale","Sale","")</f>
        <v/>
      </c>
      <c r="H1045" s="158">
        <f>IF(INDIRECT("'Закуп'!F" &amp; B1045)=0,"",INDIRECT("'Закуп'!F" &amp; B1045))</f>
        <v/>
      </c>
      <c r="I1045" s="120" t="n">
        <v>500</v>
      </c>
      <c r="J1045" s="121">
        <f>K1045/1.2</f>
        <v/>
      </c>
      <c r="K1045" s="70" t="n">
        <v>1.4</v>
      </c>
      <c r="L1045" s="122">
        <f>J1045-C1045-(J1045-C1045)*0.2</f>
        <v/>
      </c>
      <c r="M1045" s="123">
        <f>L1045*I1045</f>
        <v/>
      </c>
      <c r="N1045" s="124" t="inlineStr">
        <is>
          <t xml:space="preserve">500-990 шт - </t>
        </is>
      </c>
      <c r="O1045" s="47" t="inlineStr">
        <is>
          <t xml:space="preserve"> руб / шт с НДС</t>
        </is>
      </c>
      <c r="P1045" s="125">
        <f>ROUND(K1045,2)</f>
        <v/>
      </c>
      <c r="Q1045" s="207">
        <f>CONCATENATE(N1045,P1045,O1045,)</f>
        <v/>
      </c>
      <c r="R1045" s="240" t="n"/>
      <c r="T1045" s="241" t="n"/>
      <c r="U1045" s="240" t="n"/>
      <c r="V1045" s="241" t="n"/>
      <c r="Z1045" s="240" t="n"/>
      <c r="AB1045" s="241" t="n"/>
      <c r="AC1045" s="240" t="n"/>
      <c r="AD1045" s="241" t="n"/>
    </row>
    <row r="1046">
      <c r="B1046" s="42" t="n">
        <v>210</v>
      </c>
      <c r="C1046" s="118">
        <f>INDIRECT("'Закуп'!A" &amp; B1046)</f>
        <v/>
      </c>
      <c r="D1046" s="119">
        <f>C1046*1.2</f>
        <v/>
      </c>
      <c r="G1046" s="172">
        <f>IF(INDIRECT("'Закуп'!L" &amp; B1046)="Sale","Sale","")</f>
        <v/>
      </c>
      <c r="H1046" s="158">
        <f>IF(INDIRECT("'Закуп'!F" &amp; B1046)=0,"",INDIRECT("'Закуп'!F" &amp; B1046))</f>
        <v/>
      </c>
      <c r="I1046" s="120" t="n">
        <v>1000</v>
      </c>
      <c r="J1046" s="121">
        <f>K1046/1.2</f>
        <v/>
      </c>
      <c r="K1046" s="70" t="n">
        <v>1.31</v>
      </c>
      <c r="L1046" s="122">
        <f>J1046-C1046-(J1046-C1046)*0.2</f>
        <v/>
      </c>
      <c r="M1046" s="123">
        <f>L1046*I1046</f>
        <v/>
      </c>
      <c r="N1046" s="124" t="inlineStr">
        <is>
          <t xml:space="preserve">1000 + шт - </t>
        </is>
      </c>
      <c r="O1046" s="47" t="inlineStr">
        <is>
          <t xml:space="preserve"> руб / шт с НДС</t>
        </is>
      </c>
      <c r="P1046" s="125">
        <f>ROUND(K1046,2)</f>
        <v/>
      </c>
      <c r="Q1046" s="207">
        <f>CONCATENATE(N1046,P1046,O1046,)</f>
        <v/>
      </c>
      <c r="R1046" s="240" t="n"/>
      <c r="T1046" s="241" t="n"/>
      <c r="U1046" s="240" t="n"/>
      <c r="V1046" s="241" t="n"/>
      <c r="Z1046" s="240" t="n"/>
      <c r="AB1046" s="241" t="n"/>
      <c r="AC1046" s="240" t="n"/>
      <c r="AD1046" s="241" t="n"/>
    </row>
    <row r="1047">
      <c r="A1047" s="232" t="n">
        <v>211</v>
      </c>
      <c r="B1047" s="42" t="n">
        <v>211</v>
      </c>
      <c r="C1047" s="118">
        <f>INDIRECT("'Закуп'!A" &amp; B1047)</f>
        <v/>
      </c>
      <c r="D1047" s="119">
        <f>C1047*1.2</f>
        <v/>
      </c>
      <c r="E1047" s="224">
        <f>INDIRECT("'Закуп'!D" &amp; A1047)</f>
        <v/>
      </c>
      <c r="F1047" s="231">
        <f>INDIRECT("'Закуп'!E" &amp; B1047)</f>
        <v/>
      </c>
      <c r="G1047" s="172">
        <f>IF(INDIRECT("'Закуп'!L" &amp; B1047)="Sale","Sale","")</f>
        <v/>
      </c>
      <c r="H1047" s="158">
        <f>IF(INDIRECT("'Закуп'!F" &amp; B1047)=0,"",INDIRECT("'Закуп'!F" &amp; B1047))</f>
        <v/>
      </c>
      <c r="I1047" s="120" t="n">
        <v>50</v>
      </c>
      <c r="J1047" s="121">
        <f>K1047/1.2</f>
        <v/>
      </c>
      <c r="K1047" s="70" t="n">
        <v>1.17</v>
      </c>
      <c r="L1047" s="122">
        <f>J1047-C1047-(J1047-C1047)*0.2</f>
        <v/>
      </c>
      <c r="M1047" s="123">
        <f>L1047*I1047</f>
        <v/>
      </c>
      <c r="N1047" s="124" t="inlineStr">
        <is>
          <t xml:space="preserve">50-90 шт - </t>
        </is>
      </c>
      <c r="O1047" s="47" t="inlineStr">
        <is>
          <t xml:space="preserve"> руб / шт с НДС</t>
        </is>
      </c>
      <c r="P1047" s="125">
        <f>ROUND(K1047,2)</f>
        <v/>
      </c>
      <c r="Q1047" s="207">
        <f>CONCATENATE(N1047,P1047,O1047,)</f>
        <v/>
      </c>
      <c r="R1047" s="235">
        <f>INDIRECT("'Закуп'!k" &amp; A1047)</f>
        <v/>
      </c>
      <c r="S1047" s="239">
        <f>INDIRECT("'Закуп'!o" &amp; A1047)</f>
        <v/>
      </c>
      <c r="T1047" s="226">
        <f>INDIRECT("'Закуп'!p" &amp; A1047)</f>
        <v/>
      </c>
      <c r="U1047" s="235">
        <f>INDIRECT("'Закуп'!v" &amp; A1047)</f>
        <v/>
      </c>
      <c r="V1047" s="222">
        <f>INDIRECT("'Закуп'!w" &amp; A1047)</f>
        <v/>
      </c>
      <c r="W1047" s="229">
        <f>INDIRECT("'Закуп'!H" &amp; A1047)</f>
        <v/>
      </c>
      <c r="X1047" s="237">
        <f>INDIRECT("'Закуп'!g" &amp; A1047)</f>
        <v/>
      </c>
      <c r="Y1047" s="229">
        <f>INDIRECT("'Закуп'!i" &amp; A1047)</f>
        <v/>
      </c>
      <c r="Z1047" s="236">
        <f>INDIRECT("'Закуп'!x" &amp; A1047)</f>
        <v/>
      </c>
      <c r="AA1047" s="237">
        <f>INDIRECT("'Закуп'!y" &amp; A1047)</f>
        <v/>
      </c>
      <c r="AB1047" s="238">
        <f>INDIRECT("'Закуп'!z" &amp; A1047)</f>
        <v/>
      </c>
      <c r="AC1047" s="223">
        <f>SUBSTITUTE(INDEX(F:F, ROUNDUP((ROW(A1046))/5,0)*5 - 3), "х", "x")</f>
        <v/>
      </c>
      <c r="AD1047" s="222">
        <f>SUBSTITUTE(INDEX(F:F, ROUNDUP((ROW(A1046))/5,0)*5 - 3), "х", "x") &amp; " - " &amp; SUBSTITUTE(SUBSTITUTE(INDEX(F:F, ROUNDUP((ROW(A1046))/5,0)*5 - 3), "х", "*"), "x", "*") &amp; " мм"</f>
        <v/>
      </c>
    </row>
    <row r="1048">
      <c r="B1048" s="42" t="n">
        <v>211</v>
      </c>
      <c r="C1048" s="118">
        <f>INDIRECT("'Закуп'!A" &amp; B1048)</f>
        <v/>
      </c>
      <c r="D1048" s="119">
        <f>C1048*1.2</f>
        <v/>
      </c>
      <c r="G1048" s="172">
        <f>IF(INDIRECT("'Закуп'!L" &amp; B1048)="Sale","Sale","")</f>
        <v/>
      </c>
      <c r="H1048" s="158">
        <f>IF(INDIRECT("'Закуп'!F" &amp; B1048)=0,"",INDIRECT("'Закуп'!F" &amp; B1048))</f>
        <v/>
      </c>
      <c r="I1048" s="120" t="n">
        <v>100</v>
      </c>
      <c r="J1048" s="121">
        <f>K1048/1.2</f>
        <v/>
      </c>
      <c r="K1048" s="70" t="n">
        <v>0.97</v>
      </c>
      <c r="L1048" s="122">
        <f>J1048-C1048-(J1048-C1048)*0.2</f>
        <v/>
      </c>
      <c r="M1048" s="123">
        <f>L1048*I1048</f>
        <v/>
      </c>
      <c r="N1048" s="124" t="inlineStr">
        <is>
          <t xml:space="preserve">100-290 шт - </t>
        </is>
      </c>
      <c r="O1048" s="47" t="inlineStr">
        <is>
          <t xml:space="preserve"> руб / шт с НДС</t>
        </is>
      </c>
      <c r="P1048" s="125">
        <f>ROUND(K1048,2)</f>
        <v/>
      </c>
      <c r="Q1048" s="207">
        <f>CONCATENATE(N1048,P1048,O1048,)</f>
        <v/>
      </c>
      <c r="R1048" s="240" t="n"/>
      <c r="T1048" s="241" t="n"/>
      <c r="U1048" s="240" t="n"/>
      <c r="V1048" s="241" t="n"/>
      <c r="Z1048" s="240" t="n"/>
      <c r="AB1048" s="241" t="n"/>
      <c r="AC1048" s="240" t="n"/>
      <c r="AD1048" s="241" t="n"/>
    </row>
    <row r="1049">
      <c r="B1049" s="42" t="n">
        <v>211</v>
      </c>
      <c r="C1049" s="118">
        <f>INDIRECT("'Закуп'!A" &amp; B1049)</f>
        <v/>
      </c>
      <c r="D1049" s="119">
        <f>C1049*1.2</f>
        <v/>
      </c>
      <c r="G1049" s="172">
        <f>IF(INDIRECT("'Закуп'!L" &amp; B1049)="Sale","Sale","")</f>
        <v/>
      </c>
      <c r="H1049" s="158">
        <f>IF(INDIRECT("'Закуп'!F" &amp; B1049)=0,"",INDIRECT("'Закуп'!F" &amp; B1049))</f>
        <v/>
      </c>
      <c r="I1049" s="120" t="n">
        <v>300</v>
      </c>
      <c r="J1049" s="121">
        <f>K1049/1.2</f>
        <v/>
      </c>
      <c r="K1049" s="70" t="n">
        <v>0.89</v>
      </c>
      <c r="L1049" s="122">
        <f>J1049-C1049-(J1049-C1049)*0.2</f>
        <v/>
      </c>
      <c r="M1049" s="123">
        <f>L1049*I1049</f>
        <v/>
      </c>
      <c r="N1049" s="124" t="inlineStr">
        <is>
          <t xml:space="preserve">300-490 шт - </t>
        </is>
      </c>
      <c r="O1049" s="47" t="inlineStr">
        <is>
          <t xml:space="preserve"> руб / шт с НДС</t>
        </is>
      </c>
      <c r="P1049" s="125">
        <f>ROUND(K1049,2)</f>
        <v/>
      </c>
      <c r="Q1049" s="207">
        <f>CONCATENATE(N1049,P1049,O1049,)</f>
        <v/>
      </c>
      <c r="R1049" s="240" t="n"/>
      <c r="T1049" s="241" t="n"/>
      <c r="U1049" s="240" t="n"/>
      <c r="V1049" s="241" t="n"/>
      <c r="Z1049" s="240" t="n"/>
      <c r="AB1049" s="241" t="n"/>
      <c r="AC1049" s="240" t="n"/>
      <c r="AD1049" s="241" t="n"/>
    </row>
    <row r="1050">
      <c r="B1050" s="42" t="n">
        <v>211</v>
      </c>
      <c r="C1050" s="118">
        <f>INDIRECT("'Закуп'!A" &amp; B1050)</f>
        <v/>
      </c>
      <c r="D1050" s="119">
        <f>C1050*1.2</f>
        <v/>
      </c>
      <c r="G1050" s="172">
        <f>IF(INDIRECT("'Закуп'!L" &amp; B1050)="Sale","Sale","")</f>
        <v/>
      </c>
      <c r="H1050" s="158">
        <f>IF(INDIRECT("'Закуп'!F" &amp; B1050)=0,"",INDIRECT("'Закуп'!F" &amp; B1050))</f>
        <v/>
      </c>
      <c r="I1050" s="120" t="n">
        <v>500</v>
      </c>
      <c r="J1050" s="121">
        <f>K1050/1.2</f>
        <v/>
      </c>
      <c r="K1050" s="70" t="n">
        <v>0.8100000000000001</v>
      </c>
      <c r="L1050" s="122">
        <f>J1050-C1050-(J1050-C1050)*0.2</f>
        <v/>
      </c>
      <c r="M1050" s="123">
        <f>L1050*I1050</f>
        <v/>
      </c>
      <c r="N1050" s="124" t="inlineStr">
        <is>
          <t xml:space="preserve">500-990 шт - </t>
        </is>
      </c>
      <c r="O1050" s="47" t="inlineStr">
        <is>
          <t xml:space="preserve"> руб / шт с НДС</t>
        </is>
      </c>
      <c r="P1050" s="125">
        <f>ROUND(K1050,2)</f>
        <v/>
      </c>
      <c r="Q1050" s="207">
        <f>CONCATENATE(N1050,P1050,O1050,)</f>
        <v/>
      </c>
      <c r="R1050" s="240" t="n"/>
      <c r="T1050" s="241" t="n"/>
      <c r="U1050" s="240" t="n"/>
      <c r="V1050" s="241" t="n"/>
      <c r="Z1050" s="240" t="n"/>
      <c r="AB1050" s="241" t="n"/>
      <c r="AC1050" s="240" t="n"/>
      <c r="AD1050" s="241" t="n"/>
    </row>
    <row r="1051">
      <c r="B1051" s="42" t="n">
        <v>211</v>
      </c>
      <c r="C1051" s="118">
        <f>INDIRECT("'Закуп'!A" &amp; B1051)</f>
        <v/>
      </c>
      <c r="D1051" s="119">
        <f>C1051*1.2</f>
        <v/>
      </c>
      <c r="G1051" s="172">
        <f>IF(INDIRECT("'Закуп'!L" &amp; B1051)="Sale","Sale","")</f>
        <v/>
      </c>
      <c r="H1051" s="158">
        <f>IF(INDIRECT("'Закуп'!F" &amp; B1051)=0,"",INDIRECT("'Закуп'!F" &amp; B1051))</f>
        <v/>
      </c>
      <c r="I1051" s="120" t="n">
        <v>1000</v>
      </c>
      <c r="J1051" s="121">
        <f>K1051/1.2</f>
        <v/>
      </c>
      <c r="K1051" s="70" t="n">
        <v>0.76</v>
      </c>
      <c r="L1051" s="122">
        <f>J1051-C1051-(J1051-C1051)*0.2</f>
        <v/>
      </c>
      <c r="M1051" s="123">
        <f>L1051*I1051</f>
        <v/>
      </c>
      <c r="N1051" s="124" t="inlineStr">
        <is>
          <t xml:space="preserve">1000 + шт - </t>
        </is>
      </c>
      <c r="O1051" s="47" t="inlineStr">
        <is>
          <t xml:space="preserve"> руб / шт с НДС</t>
        </is>
      </c>
      <c r="P1051" s="125">
        <f>ROUND(K1051,2)</f>
        <v/>
      </c>
      <c r="Q1051" s="207">
        <f>CONCATENATE(N1051,P1051,O1051,)</f>
        <v/>
      </c>
      <c r="R1051" s="240" t="n"/>
      <c r="T1051" s="241" t="n"/>
      <c r="U1051" s="240" t="n"/>
      <c r="V1051" s="241" t="n"/>
      <c r="Z1051" s="240" t="n"/>
      <c r="AB1051" s="241" t="n"/>
      <c r="AC1051" s="240" t="n"/>
      <c r="AD1051" s="241" t="n"/>
    </row>
    <row r="1052">
      <c r="A1052" s="232" t="n">
        <v>212</v>
      </c>
      <c r="B1052" s="42" t="n">
        <v>212</v>
      </c>
      <c r="C1052" s="118">
        <f>INDIRECT("'Закуп'!A" &amp; B1052)</f>
        <v/>
      </c>
      <c r="D1052" s="119">
        <f>C1052*1.2</f>
        <v/>
      </c>
      <c r="E1052" s="224">
        <f>INDIRECT("'Закуп'!D" &amp; A1052)</f>
        <v/>
      </c>
      <c r="F1052" s="231">
        <f>INDIRECT("'Закуп'!E" &amp; B1052)</f>
        <v/>
      </c>
      <c r="G1052" s="172">
        <f>IF(INDIRECT("'Закуп'!L" &amp; B1052)="Sale","Sale","")</f>
        <v/>
      </c>
      <c r="H1052" s="158">
        <f>IF(INDIRECT("'Закуп'!F" &amp; B1052)=0,"",INDIRECT("'Закуп'!F" &amp; B1052))</f>
        <v/>
      </c>
      <c r="I1052" s="120" t="n">
        <v>50</v>
      </c>
      <c r="J1052" s="121">
        <f>K1052/1.2</f>
        <v/>
      </c>
      <c r="K1052" s="70" t="n">
        <v>1.55</v>
      </c>
      <c r="L1052" s="122">
        <f>J1052-C1052-(J1052-C1052)*0.2</f>
        <v/>
      </c>
      <c r="M1052" s="123">
        <f>L1052*I1052</f>
        <v/>
      </c>
      <c r="N1052" s="124" t="inlineStr">
        <is>
          <t xml:space="preserve">50-90 шт - </t>
        </is>
      </c>
      <c r="O1052" s="47" t="inlineStr">
        <is>
          <t xml:space="preserve"> руб / шт с НДС</t>
        </is>
      </c>
      <c r="P1052" s="125">
        <f>ROUND(K1052,2)</f>
        <v/>
      </c>
      <c r="Q1052" s="207">
        <f>CONCATENATE(N1052,P1052,O1052,)</f>
        <v/>
      </c>
      <c r="R1052" s="235">
        <f>INDIRECT("'Закуп'!k" &amp; A1052)</f>
        <v/>
      </c>
      <c r="S1052" s="239">
        <f>INDIRECT("'Закуп'!o" &amp; A1052)</f>
        <v/>
      </c>
      <c r="T1052" s="226">
        <f>INDIRECT("'Закуп'!p" &amp; A1052)</f>
        <v/>
      </c>
      <c r="U1052" s="235">
        <f>INDIRECT("'Закуп'!v" &amp; A1052)</f>
        <v/>
      </c>
      <c r="V1052" s="222">
        <f>INDIRECT("'Закуп'!w" &amp; A1052)</f>
        <v/>
      </c>
      <c r="W1052" s="229">
        <f>INDIRECT("'Закуп'!H" &amp; A1052)</f>
        <v/>
      </c>
      <c r="X1052" s="237">
        <f>INDIRECT("'Закуп'!g" &amp; A1052)</f>
        <v/>
      </c>
      <c r="Y1052" s="229">
        <f>INDIRECT("'Закуп'!i" &amp; A1052)</f>
        <v/>
      </c>
      <c r="Z1052" s="236">
        <f>INDIRECT("'Закуп'!x" &amp; A1052)</f>
        <v/>
      </c>
      <c r="AA1052" s="237">
        <f>INDIRECT("'Закуп'!y" &amp; A1052)</f>
        <v/>
      </c>
      <c r="AB1052" s="238">
        <f>INDIRECT("'Закуп'!z" &amp; A1052)</f>
        <v/>
      </c>
      <c r="AC1052" s="223">
        <f>SUBSTITUTE(INDEX(F:F, ROUNDUP((ROW(A1051))/5,0)*5 - 3), "х", "x")</f>
        <v/>
      </c>
      <c r="AD1052" s="222">
        <f>SUBSTITUTE(INDEX(F:F, ROUNDUP((ROW(A1051))/5,0)*5 - 3), "х", "x") &amp; " - " &amp; SUBSTITUTE(SUBSTITUTE(INDEX(F:F, ROUNDUP((ROW(A1051))/5,0)*5 - 3), "х", "*"), "x", "*") &amp; " мм"</f>
        <v/>
      </c>
    </row>
    <row r="1053">
      <c r="B1053" s="42" t="n">
        <v>212</v>
      </c>
      <c r="C1053" s="118">
        <f>INDIRECT("'Закуп'!A" &amp; B1053)</f>
        <v/>
      </c>
      <c r="D1053" s="119">
        <f>C1053*1.2</f>
        <v/>
      </c>
      <c r="G1053" s="172">
        <f>IF(INDIRECT("'Закуп'!L" &amp; B1053)="Sale","Sale","")</f>
        <v/>
      </c>
      <c r="H1053" s="158">
        <f>IF(INDIRECT("'Закуп'!F" &amp; B1053)=0,"",INDIRECT("'Закуп'!F" &amp; B1053))</f>
        <v/>
      </c>
      <c r="I1053" s="120" t="n">
        <v>100</v>
      </c>
      <c r="J1053" s="121">
        <f>K1053/1.2</f>
        <v/>
      </c>
      <c r="K1053" s="70" t="n">
        <v>1.41</v>
      </c>
      <c r="L1053" s="122">
        <f>J1053-C1053-(J1053-C1053)*0.2</f>
        <v/>
      </c>
      <c r="M1053" s="123">
        <f>L1053*I1053</f>
        <v/>
      </c>
      <c r="N1053" s="124" t="inlineStr">
        <is>
          <t xml:space="preserve">100-290 шт - </t>
        </is>
      </c>
      <c r="O1053" s="47" t="inlineStr">
        <is>
          <t xml:space="preserve"> руб / шт с НДС</t>
        </is>
      </c>
      <c r="P1053" s="125">
        <f>ROUND(K1053,2)</f>
        <v/>
      </c>
      <c r="Q1053" s="207">
        <f>CONCATENATE(N1053,P1053,O1053,)</f>
        <v/>
      </c>
      <c r="R1053" s="240" t="n"/>
      <c r="T1053" s="241" t="n"/>
      <c r="U1053" s="240" t="n"/>
      <c r="V1053" s="241" t="n"/>
      <c r="Z1053" s="240" t="n"/>
      <c r="AB1053" s="241" t="n"/>
      <c r="AC1053" s="240" t="n"/>
      <c r="AD1053" s="241" t="n"/>
    </row>
    <row r="1054">
      <c r="B1054" s="42" t="n">
        <v>212</v>
      </c>
      <c r="C1054" s="118">
        <f>INDIRECT("'Закуп'!A" &amp; B1054)</f>
        <v/>
      </c>
      <c r="D1054" s="119">
        <f>C1054*1.2</f>
        <v/>
      </c>
      <c r="G1054" s="172">
        <f>IF(INDIRECT("'Закуп'!L" &amp; B1054)="Sale","Sale","")</f>
        <v/>
      </c>
      <c r="H1054" s="158">
        <f>IF(INDIRECT("'Закуп'!F" &amp; B1054)=0,"",INDIRECT("'Закуп'!F" &amp; B1054))</f>
        <v/>
      </c>
      <c r="I1054" s="120" t="n">
        <v>300</v>
      </c>
      <c r="J1054" s="121">
        <f>K1054/1.2</f>
        <v/>
      </c>
      <c r="K1054" s="70" t="n">
        <v>1.11</v>
      </c>
      <c r="L1054" s="122">
        <f>J1054-C1054-(J1054-C1054)*0.2</f>
        <v/>
      </c>
      <c r="M1054" s="123">
        <f>L1054*I1054</f>
        <v/>
      </c>
      <c r="N1054" s="124" t="inlineStr">
        <is>
          <t xml:space="preserve">300-490 шт - </t>
        </is>
      </c>
      <c r="O1054" s="47" t="inlineStr">
        <is>
          <t xml:space="preserve"> руб / шт с НДС</t>
        </is>
      </c>
      <c r="P1054" s="125">
        <f>ROUND(K1054,2)</f>
        <v/>
      </c>
      <c r="Q1054" s="207">
        <f>CONCATENATE(N1054,P1054,O1054,)</f>
        <v/>
      </c>
      <c r="R1054" s="240" t="n"/>
      <c r="T1054" s="241" t="n"/>
      <c r="U1054" s="240" t="n"/>
      <c r="V1054" s="241" t="n"/>
      <c r="Z1054" s="240" t="n"/>
      <c r="AB1054" s="241" t="n"/>
      <c r="AC1054" s="240" t="n"/>
      <c r="AD1054" s="241" t="n"/>
    </row>
    <row r="1055">
      <c r="B1055" s="42" t="n">
        <v>212</v>
      </c>
      <c r="C1055" s="118">
        <f>INDIRECT("'Закуп'!A" &amp; B1055)</f>
        <v/>
      </c>
      <c r="D1055" s="119">
        <f>C1055*1.2</f>
        <v/>
      </c>
      <c r="G1055" s="172">
        <f>IF(INDIRECT("'Закуп'!L" &amp; B1055)="Sale","Sale","")</f>
        <v/>
      </c>
      <c r="H1055" s="158">
        <f>IF(INDIRECT("'Закуп'!F" &amp; B1055)=0,"",INDIRECT("'Закуп'!F" &amp; B1055))</f>
        <v/>
      </c>
      <c r="I1055" s="120" t="n">
        <v>500</v>
      </c>
      <c r="J1055" s="121">
        <f>K1055/1.2</f>
        <v/>
      </c>
      <c r="K1055" s="70" t="n">
        <v>1.05</v>
      </c>
      <c r="L1055" s="122">
        <f>J1055-C1055-(J1055-C1055)*0.2</f>
        <v/>
      </c>
      <c r="M1055" s="123">
        <f>L1055*I1055</f>
        <v/>
      </c>
      <c r="N1055" s="124" t="inlineStr">
        <is>
          <t xml:space="preserve">500-990 шт - </t>
        </is>
      </c>
      <c r="O1055" s="47" t="inlineStr">
        <is>
          <t xml:space="preserve"> руб / шт с НДС</t>
        </is>
      </c>
      <c r="P1055" s="125">
        <f>ROUND(K1055,2)</f>
        <v/>
      </c>
      <c r="Q1055" s="207">
        <f>CONCATENATE(N1055,P1055,O1055,)</f>
        <v/>
      </c>
      <c r="R1055" s="240" t="n"/>
      <c r="T1055" s="241" t="n"/>
      <c r="U1055" s="240" t="n"/>
      <c r="V1055" s="241" t="n"/>
      <c r="Z1055" s="240" t="n"/>
      <c r="AB1055" s="241" t="n"/>
      <c r="AC1055" s="240" t="n"/>
      <c r="AD1055" s="241" t="n"/>
    </row>
    <row r="1056">
      <c r="B1056" s="42" t="n">
        <v>212</v>
      </c>
      <c r="C1056" s="118">
        <f>INDIRECT("'Закуп'!A" &amp; B1056)</f>
        <v/>
      </c>
      <c r="D1056" s="119">
        <f>C1056*1.2</f>
        <v/>
      </c>
      <c r="G1056" s="172">
        <f>IF(INDIRECT("'Закуп'!L" &amp; B1056)="Sale","Sale","")</f>
        <v/>
      </c>
      <c r="H1056" s="158">
        <f>IF(INDIRECT("'Закуп'!F" &amp; B1056)=0,"",INDIRECT("'Закуп'!F" &amp; B1056))</f>
        <v/>
      </c>
      <c r="I1056" s="120" t="n">
        <v>1000</v>
      </c>
      <c r="J1056" s="121">
        <f>K1056/1.2</f>
        <v/>
      </c>
      <c r="K1056" s="70" t="n">
        <v>0.98</v>
      </c>
      <c r="L1056" s="122">
        <f>J1056-C1056-(J1056-C1056)*0.2</f>
        <v/>
      </c>
      <c r="M1056" s="123">
        <f>L1056*I1056</f>
        <v/>
      </c>
      <c r="N1056" s="124" t="inlineStr">
        <is>
          <t xml:space="preserve">1000 + шт - </t>
        </is>
      </c>
      <c r="O1056" s="47" t="inlineStr">
        <is>
          <t xml:space="preserve"> руб / шт с НДС</t>
        </is>
      </c>
      <c r="P1056" s="125">
        <f>ROUND(K1056,2)</f>
        <v/>
      </c>
      <c r="Q1056" s="207">
        <f>CONCATENATE(N1056,P1056,O1056,)</f>
        <v/>
      </c>
      <c r="R1056" s="240" t="n"/>
      <c r="T1056" s="241" t="n"/>
      <c r="U1056" s="240" t="n"/>
      <c r="V1056" s="241" t="n"/>
      <c r="Z1056" s="240" t="n"/>
      <c r="AB1056" s="241" t="n"/>
      <c r="AC1056" s="240" t="n"/>
      <c r="AD1056" s="241" t="n"/>
    </row>
    <row r="1057">
      <c r="A1057" s="232" t="n">
        <v>213</v>
      </c>
      <c r="B1057" s="42" t="n">
        <v>213</v>
      </c>
      <c r="C1057" s="118">
        <f>INDIRECT("'Закуп'!A" &amp; B1057)</f>
        <v/>
      </c>
      <c r="D1057" s="119">
        <f>C1057*1.2</f>
        <v/>
      </c>
      <c r="E1057" s="224">
        <f>INDIRECT("'Закуп'!D" &amp; A1057)</f>
        <v/>
      </c>
      <c r="F1057" s="231">
        <f>INDIRECT("'Закуп'!E" &amp; B1057)</f>
        <v/>
      </c>
      <c r="G1057" s="172">
        <f>IF(INDIRECT("'Закуп'!L" &amp; B1057)="Sale","Sale","")</f>
        <v/>
      </c>
      <c r="H1057" s="158">
        <f>IF(INDIRECT("'Закуп'!F" &amp; B1057)=0,"",INDIRECT("'Закуп'!F" &amp; B1057))</f>
        <v/>
      </c>
      <c r="I1057" s="120" t="n">
        <v>50</v>
      </c>
      <c r="J1057" s="121">
        <f>K1057/1.2</f>
        <v/>
      </c>
      <c r="K1057" s="70" t="n">
        <v>2.48</v>
      </c>
      <c r="L1057" s="122">
        <f>J1057-C1057-(J1057-C1057)*0.2</f>
        <v/>
      </c>
      <c r="M1057" s="123">
        <f>L1057*I1057</f>
        <v/>
      </c>
      <c r="N1057" s="124" t="inlineStr">
        <is>
          <t xml:space="preserve">50-90 шт - </t>
        </is>
      </c>
      <c r="O1057" s="47" t="inlineStr">
        <is>
          <t xml:space="preserve"> руб / шт с НДС</t>
        </is>
      </c>
      <c r="P1057" s="125">
        <f>ROUND(K1057,2)</f>
        <v/>
      </c>
      <c r="Q1057" s="207">
        <f>CONCATENATE(N1057,P1057,O1057,)</f>
        <v/>
      </c>
      <c r="R1057" s="235">
        <f>INDIRECT("'Закуп'!k" &amp; A1057)</f>
        <v/>
      </c>
      <c r="S1057" s="239">
        <f>INDIRECT("'Закуп'!o" &amp; A1057)</f>
        <v/>
      </c>
      <c r="T1057" s="226">
        <f>INDIRECT("'Закуп'!p" &amp; A1057)</f>
        <v/>
      </c>
      <c r="U1057" s="235">
        <f>INDIRECT("'Закуп'!v" &amp; A1057)</f>
        <v/>
      </c>
      <c r="V1057" s="222">
        <f>INDIRECT("'Закуп'!w" &amp; A1057)</f>
        <v/>
      </c>
      <c r="W1057" s="229">
        <f>INDIRECT("'Закуп'!H" &amp; A1057)</f>
        <v/>
      </c>
      <c r="X1057" s="237">
        <f>INDIRECT("'Закуп'!g" &amp; A1057)</f>
        <v/>
      </c>
      <c r="Y1057" s="229">
        <f>INDIRECT("'Закуп'!i" &amp; A1057)</f>
        <v/>
      </c>
      <c r="Z1057" s="236">
        <f>INDIRECT("'Закуп'!x" &amp; A1057)</f>
        <v/>
      </c>
      <c r="AA1057" s="237">
        <f>INDIRECT("'Закуп'!y" &amp; A1057)</f>
        <v/>
      </c>
      <c r="AB1057" s="238">
        <f>INDIRECT("'Закуп'!z" &amp; A1057)</f>
        <v/>
      </c>
      <c r="AC1057" s="223">
        <f>SUBSTITUTE(INDEX(F:F, ROUNDUP((ROW(A1056))/5,0)*5 - 3), "х", "x")</f>
        <v/>
      </c>
      <c r="AD1057" s="222">
        <f>SUBSTITUTE(INDEX(F:F, ROUNDUP((ROW(A1056))/5,0)*5 - 3), "х", "x") &amp; " - " &amp; SUBSTITUTE(SUBSTITUTE(INDEX(F:F, ROUNDUP((ROW(A1056))/5,0)*5 - 3), "х", "*"), "x", "*") &amp; " мм"</f>
        <v/>
      </c>
    </row>
    <row r="1058">
      <c r="B1058" s="42" t="n">
        <v>213</v>
      </c>
      <c r="C1058" s="118">
        <f>INDIRECT("'Закуп'!A" &amp; B1058)</f>
        <v/>
      </c>
      <c r="D1058" s="119">
        <f>C1058*1.2</f>
        <v/>
      </c>
      <c r="G1058" s="172">
        <f>IF(INDIRECT("'Закуп'!L" &amp; B1058)="Sale","Sale","")</f>
        <v/>
      </c>
      <c r="H1058" s="158">
        <f>IF(INDIRECT("'Закуп'!F" &amp; B1058)=0,"",INDIRECT("'Закуп'!F" &amp; B1058))</f>
        <v/>
      </c>
      <c r="I1058" s="120" t="n">
        <v>100</v>
      </c>
      <c r="J1058" s="121">
        <f>K1058/1.2</f>
        <v/>
      </c>
      <c r="K1058" s="70" t="n">
        <v>2.26</v>
      </c>
      <c r="L1058" s="122">
        <f>J1058-C1058-(J1058-C1058)*0.2</f>
        <v/>
      </c>
      <c r="M1058" s="123">
        <f>L1058*I1058</f>
        <v/>
      </c>
      <c r="N1058" s="124" t="inlineStr">
        <is>
          <t xml:space="preserve">100-290 шт - </t>
        </is>
      </c>
      <c r="O1058" s="47" t="inlineStr">
        <is>
          <t xml:space="preserve"> руб / шт с НДС</t>
        </is>
      </c>
      <c r="P1058" s="125">
        <f>ROUND(K1058,2)</f>
        <v/>
      </c>
      <c r="Q1058" s="207">
        <f>CONCATENATE(N1058,P1058,O1058,)</f>
        <v/>
      </c>
      <c r="R1058" s="240" t="n"/>
      <c r="T1058" s="241" t="n"/>
      <c r="U1058" s="240" t="n"/>
      <c r="V1058" s="241" t="n"/>
      <c r="Z1058" s="240" t="n"/>
      <c r="AB1058" s="241" t="n"/>
      <c r="AC1058" s="240" t="n"/>
      <c r="AD1058" s="241" t="n"/>
    </row>
    <row r="1059">
      <c r="B1059" s="42" t="n">
        <v>213</v>
      </c>
      <c r="C1059" s="118">
        <f>INDIRECT("'Закуп'!A" &amp; B1059)</f>
        <v/>
      </c>
      <c r="D1059" s="119">
        <f>C1059*1.2</f>
        <v/>
      </c>
      <c r="G1059" s="172">
        <f>IF(INDIRECT("'Закуп'!L" &amp; B1059)="Sale","Sale","")</f>
        <v/>
      </c>
      <c r="H1059" s="158">
        <f>IF(INDIRECT("'Закуп'!F" &amp; B1059)=0,"",INDIRECT("'Закуп'!F" &amp; B1059))</f>
        <v/>
      </c>
      <c r="I1059" s="120" t="n">
        <v>300</v>
      </c>
      <c r="J1059" s="121">
        <f>K1059/1.2</f>
        <v/>
      </c>
      <c r="K1059" s="70" t="n">
        <v>1.77</v>
      </c>
      <c r="L1059" s="122">
        <f>J1059-C1059-(J1059-C1059)*0.2</f>
        <v/>
      </c>
      <c r="M1059" s="123">
        <f>L1059*I1059</f>
        <v/>
      </c>
      <c r="N1059" s="124" t="inlineStr">
        <is>
          <t xml:space="preserve">300-490 шт - </t>
        </is>
      </c>
      <c r="O1059" s="47" t="inlineStr">
        <is>
          <t xml:space="preserve"> руб / шт с НДС</t>
        </is>
      </c>
      <c r="P1059" s="125">
        <f>ROUND(K1059,2)</f>
        <v/>
      </c>
      <c r="Q1059" s="207">
        <f>CONCATENATE(N1059,P1059,O1059,)</f>
        <v/>
      </c>
      <c r="R1059" s="240" t="n"/>
      <c r="T1059" s="241" t="n"/>
      <c r="U1059" s="240" t="n"/>
      <c r="V1059" s="241" t="n"/>
      <c r="Z1059" s="240" t="n"/>
      <c r="AB1059" s="241" t="n"/>
      <c r="AC1059" s="240" t="n"/>
      <c r="AD1059" s="241" t="n"/>
    </row>
    <row r="1060">
      <c r="B1060" s="42" t="n">
        <v>213</v>
      </c>
      <c r="C1060" s="118">
        <f>INDIRECT("'Закуп'!A" &amp; B1060)</f>
        <v/>
      </c>
      <c r="D1060" s="119">
        <f>C1060*1.2</f>
        <v/>
      </c>
      <c r="G1060" s="172">
        <f>IF(INDIRECT("'Закуп'!L" &amp; B1060)="Sale","Sale","")</f>
        <v/>
      </c>
      <c r="H1060" s="158">
        <f>IF(INDIRECT("'Закуп'!F" &amp; B1060)=0,"",INDIRECT("'Закуп'!F" &amp; B1060))</f>
        <v/>
      </c>
      <c r="I1060" s="120" t="n">
        <v>500</v>
      </c>
      <c r="J1060" s="121">
        <f>K1060/1.2</f>
        <v/>
      </c>
      <c r="K1060" s="70" t="n">
        <v>1.53</v>
      </c>
      <c r="L1060" s="122">
        <f>J1060-C1060-(J1060-C1060)*0.2</f>
        <v/>
      </c>
      <c r="M1060" s="123">
        <f>L1060*I1060</f>
        <v/>
      </c>
      <c r="N1060" s="124" t="inlineStr">
        <is>
          <t xml:space="preserve">500-990 шт - </t>
        </is>
      </c>
      <c r="O1060" s="47" t="inlineStr">
        <is>
          <t xml:space="preserve"> руб / шт с НДС</t>
        </is>
      </c>
      <c r="P1060" s="125">
        <f>ROUND(K1060,2)</f>
        <v/>
      </c>
      <c r="Q1060" s="207">
        <f>CONCATENATE(N1060,P1060,O1060,)</f>
        <v/>
      </c>
      <c r="R1060" s="240" t="n"/>
      <c r="T1060" s="241" t="n"/>
      <c r="U1060" s="240" t="n"/>
      <c r="V1060" s="241" t="n"/>
      <c r="Z1060" s="240" t="n"/>
      <c r="AB1060" s="241" t="n"/>
      <c r="AC1060" s="240" t="n"/>
      <c r="AD1060" s="241" t="n"/>
    </row>
    <row r="1061">
      <c r="B1061" s="42" t="n">
        <v>213</v>
      </c>
      <c r="C1061" s="118">
        <f>INDIRECT("'Закуп'!A" &amp; B1061)</f>
        <v/>
      </c>
      <c r="D1061" s="119">
        <f>C1061*1.2</f>
        <v/>
      </c>
      <c r="G1061" s="172">
        <f>IF(INDIRECT("'Закуп'!L" &amp; B1061)="Sale","Sale","")</f>
        <v/>
      </c>
      <c r="H1061" s="158">
        <f>IF(INDIRECT("'Закуп'!F" &amp; B1061)=0,"",INDIRECT("'Закуп'!F" &amp; B1061))</f>
        <v/>
      </c>
      <c r="I1061" s="120" t="n">
        <v>1000</v>
      </c>
      <c r="J1061" s="121">
        <f>K1061/1.2</f>
        <v/>
      </c>
      <c r="K1061" s="70" t="n">
        <v>1.42</v>
      </c>
      <c r="L1061" s="122">
        <f>J1061-C1061-(J1061-C1061)*0.2</f>
        <v/>
      </c>
      <c r="M1061" s="123">
        <f>L1061*I1061</f>
        <v/>
      </c>
      <c r="N1061" s="124" t="inlineStr">
        <is>
          <t xml:space="preserve">1000 + шт - </t>
        </is>
      </c>
      <c r="O1061" s="47" t="inlineStr">
        <is>
          <t xml:space="preserve"> руб / шт с НДС</t>
        </is>
      </c>
      <c r="P1061" s="125">
        <f>ROUND(K1061,2)</f>
        <v/>
      </c>
      <c r="Q1061" s="207">
        <f>CONCATENATE(N1061,P1061,O1061,)</f>
        <v/>
      </c>
      <c r="R1061" s="240" t="n"/>
      <c r="T1061" s="241" t="n"/>
      <c r="U1061" s="240" t="n"/>
      <c r="V1061" s="241" t="n"/>
      <c r="Z1061" s="240" t="n"/>
      <c r="AB1061" s="241" t="n"/>
      <c r="AC1061" s="240" t="n"/>
      <c r="AD1061" s="241" t="n"/>
    </row>
    <row r="1062">
      <c r="A1062" s="232" t="n">
        <v>214</v>
      </c>
      <c r="B1062" s="42" t="n">
        <v>214</v>
      </c>
      <c r="C1062" s="118">
        <f>INDIRECT("'Закуп'!A" &amp; B1062)</f>
        <v/>
      </c>
      <c r="D1062" s="119">
        <f>C1062*1.2</f>
        <v/>
      </c>
      <c r="E1062" s="224">
        <f>INDIRECT("'Закуп'!D" &amp; A1062)</f>
        <v/>
      </c>
      <c r="F1062" s="231">
        <f>INDIRECT("'Закуп'!E" &amp; B1062)</f>
        <v/>
      </c>
      <c r="G1062" s="172">
        <f>IF(INDIRECT("'Закуп'!L" &amp; B1062)="Sale","Sale","")</f>
        <v/>
      </c>
      <c r="H1062" s="158">
        <f>IF(INDIRECT("'Закуп'!F" &amp; B1062)=0,"",INDIRECT("'Закуп'!F" &amp; B1062))</f>
        <v/>
      </c>
      <c r="I1062" s="120" t="n">
        <v>50</v>
      </c>
      <c r="J1062" s="121">
        <f>K1062/1.2</f>
        <v/>
      </c>
      <c r="K1062" s="70" t="n">
        <v>1.07</v>
      </c>
      <c r="L1062" s="122">
        <f>J1062-C1062-(J1062-C1062)*0.2</f>
        <v/>
      </c>
      <c r="M1062" s="123">
        <f>L1062*I1062</f>
        <v/>
      </c>
      <c r="N1062" s="124" t="inlineStr">
        <is>
          <t xml:space="preserve">50-90 шт - </t>
        </is>
      </c>
      <c r="O1062" s="47" t="inlineStr">
        <is>
          <t xml:space="preserve"> руб / шт с НДС</t>
        </is>
      </c>
      <c r="P1062" s="125">
        <f>ROUND(K1062,2)</f>
        <v/>
      </c>
      <c r="Q1062" s="207">
        <f>CONCATENATE(N1062,P1062,O1062,)</f>
        <v/>
      </c>
      <c r="R1062" s="235">
        <f>INDIRECT("'Закуп'!k" &amp; A1062)</f>
        <v/>
      </c>
      <c r="S1062" s="239">
        <f>INDIRECT("'Закуп'!o" &amp; A1062)</f>
        <v/>
      </c>
      <c r="T1062" s="226">
        <f>INDIRECT("'Закуп'!p" &amp; A1062)</f>
        <v/>
      </c>
      <c r="U1062" s="235">
        <f>INDIRECT("'Закуп'!v" &amp; A1062)</f>
        <v/>
      </c>
      <c r="V1062" s="222">
        <f>INDIRECT("'Закуп'!w" &amp; A1062)</f>
        <v/>
      </c>
      <c r="W1062" s="229">
        <f>INDIRECT("'Закуп'!H" &amp; A1062)</f>
        <v/>
      </c>
      <c r="X1062" s="237">
        <f>INDIRECT("'Закуп'!g" &amp; A1062)</f>
        <v/>
      </c>
      <c r="Y1062" s="229">
        <f>INDIRECT("'Закуп'!i" &amp; A1062)</f>
        <v/>
      </c>
      <c r="Z1062" s="236">
        <f>INDIRECT("'Закуп'!x" &amp; A1062)</f>
        <v/>
      </c>
      <c r="AA1062" s="237">
        <f>INDIRECT("'Закуп'!y" &amp; A1062)</f>
        <v/>
      </c>
      <c r="AB1062" s="238">
        <f>INDIRECT("'Закуп'!z" &amp; A1062)</f>
        <v/>
      </c>
      <c r="AC1062" s="223">
        <f>SUBSTITUTE(INDEX(F:F, ROUNDUP((ROW(A1061))/5,0)*5 - 3), "х", "x")</f>
        <v/>
      </c>
      <c r="AD1062" s="222">
        <f>SUBSTITUTE(INDEX(F:F, ROUNDUP((ROW(A1061))/5,0)*5 - 3), "х", "x") &amp; " - " &amp; SUBSTITUTE(SUBSTITUTE(INDEX(F:F, ROUNDUP((ROW(A1061))/5,0)*5 - 3), "х", "*"), "x", "*") &amp; " мм"</f>
        <v/>
      </c>
    </row>
    <row r="1063">
      <c r="B1063" s="42" t="n">
        <v>214</v>
      </c>
      <c r="C1063" s="118">
        <f>INDIRECT("'Закуп'!A" &amp; B1063)</f>
        <v/>
      </c>
      <c r="D1063" s="119">
        <f>C1063*1.2</f>
        <v/>
      </c>
      <c r="G1063" s="172">
        <f>IF(INDIRECT("'Закуп'!L" &amp; B1063)="Sale","Sale","")</f>
        <v/>
      </c>
      <c r="H1063" s="158">
        <f>IF(INDIRECT("'Закуп'!F" &amp; B1063)=0,"",INDIRECT("'Закуп'!F" &amp; B1063))</f>
        <v/>
      </c>
      <c r="I1063" s="120" t="n">
        <v>100</v>
      </c>
      <c r="J1063" s="121">
        <f>K1063/1.2</f>
        <v/>
      </c>
      <c r="K1063" s="70" t="n">
        <v>0.91</v>
      </c>
      <c r="L1063" s="122">
        <f>J1063-C1063-(J1063-C1063)*0.2</f>
        <v/>
      </c>
      <c r="M1063" s="123">
        <f>L1063*I1063</f>
        <v/>
      </c>
      <c r="N1063" s="124" t="inlineStr">
        <is>
          <t xml:space="preserve">100-290 шт - </t>
        </is>
      </c>
      <c r="O1063" s="47" t="inlineStr">
        <is>
          <t xml:space="preserve"> руб / шт с НДС</t>
        </is>
      </c>
      <c r="P1063" s="125">
        <f>ROUND(K1063,2)</f>
        <v/>
      </c>
      <c r="Q1063" s="207">
        <f>CONCATENATE(N1063,P1063,O1063,)</f>
        <v/>
      </c>
      <c r="R1063" s="240" t="n"/>
      <c r="T1063" s="241" t="n"/>
      <c r="U1063" s="240" t="n"/>
      <c r="V1063" s="241" t="n"/>
      <c r="Z1063" s="240" t="n"/>
      <c r="AB1063" s="241" t="n"/>
      <c r="AC1063" s="240" t="n"/>
      <c r="AD1063" s="241" t="n"/>
    </row>
    <row r="1064">
      <c r="B1064" s="42" t="n">
        <v>214</v>
      </c>
      <c r="C1064" s="118">
        <f>INDIRECT("'Закуп'!A" &amp; B1064)</f>
        <v/>
      </c>
      <c r="D1064" s="119">
        <f>C1064*1.2</f>
        <v/>
      </c>
      <c r="G1064" s="172">
        <f>IF(INDIRECT("'Закуп'!L" &amp; B1064)="Sale","Sale","")</f>
        <v/>
      </c>
      <c r="H1064" s="158">
        <f>IF(INDIRECT("'Закуп'!F" &amp; B1064)=0,"",INDIRECT("'Закуп'!F" &amp; B1064))</f>
        <v/>
      </c>
      <c r="I1064" s="120" t="n">
        <v>300</v>
      </c>
      <c r="J1064" s="121">
        <f>K1064/1.2</f>
        <v/>
      </c>
      <c r="K1064" s="70" t="n">
        <v>0.75</v>
      </c>
      <c r="L1064" s="122">
        <f>J1064-C1064-(J1064-C1064)*0.2</f>
        <v/>
      </c>
      <c r="M1064" s="123">
        <f>L1064*I1064</f>
        <v/>
      </c>
      <c r="N1064" s="124" t="inlineStr">
        <is>
          <t xml:space="preserve">300-490 шт - </t>
        </is>
      </c>
      <c r="O1064" s="47" t="inlineStr">
        <is>
          <t xml:space="preserve"> руб / шт с НДС</t>
        </is>
      </c>
      <c r="P1064" s="125">
        <f>ROUND(K1064,2)</f>
        <v/>
      </c>
      <c r="Q1064" s="207">
        <f>CONCATENATE(N1064,P1064,O1064,)</f>
        <v/>
      </c>
      <c r="R1064" s="240" t="n"/>
      <c r="T1064" s="241" t="n"/>
      <c r="U1064" s="240" t="n"/>
      <c r="V1064" s="241" t="n"/>
      <c r="Z1064" s="240" t="n"/>
      <c r="AB1064" s="241" t="n"/>
      <c r="AC1064" s="240" t="n"/>
      <c r="AD1064" s="241" t="n"/>
    </row>
    <row r="1065">
      <c r="B1065" s="42" t="n">
        <v>214</v>
      </c>
      <c r="C1065" s="118">
        <f>INDIRECT("'Закуп'!A" &amp; B1065)</f>
        <v/>
      </c>
      <c r="D1065" s="119">
        <f>C1065*1.2</f>
        <v/>
      </c>
      <c r="G1065" s="172">
        <f>IF(INDIRECT("'Закуп'!L" &amp; B1065)="Sale","Sale","")</f>
        <v/>
      </c>
      <c r="H1065" s="158">
        <f>IF(INDIRECT("'Закуп'!F" &amp; B1065)=0,"",INDIRECT("'Закуп'!F" &amp; B1065))</f>
        <v/>
      </c>
      <c r="I1065" s="120" t="n">
        <v>500</v>
      </c>
      <c r="J1065" s="121">
        <f>K1065/1.2</f>
        <v/>
      </c>
      <c r="K1065" s="70" t="n">
        <v>0.64</v>
      </c>
      <c r="L1065" s="122">
        <f>J1065-C1065-(J1065-C1065)*0.2</f>
        <v/>
      </c>
      <c r="M1065" s="123">
        <f>L1065*I1065</f>
        <v/>
      </c>
      <c r="N1065" s="124" t="inlineStr">
        <is>
          <t xml:space="preserve">500-990 шт - </t>
        </is>
      </c>
      <c r="O1065" s="47" t="inlineStr">
        <is>
          <t xml:space="preserve"> руб / шт с НДС</t>
        </is>
      </c>
      <c r="P1065" s="125">
        <f>ROUND(K1065,2)</f>
        <v/>
      </c>
      <c r="Q1065" s="207">
        <f>CONCATENATE(N1065,P1065,O1065,)</f>
        <v/>
      </c>
      <c r="R1065" s="240" t="n"/>
      <c r="T1065" s="241" t="n"/>
      <c r="U1065" s="240" t="n"/>
      <c r="V1065" s="241" t="n"/>
      <c r="Z1065" s="240" t="n"/>
      <c r="AB1065" s="241" t="n"/>
      <c r="AC1065" s="240" t="n"/>
      <c r="AD1065" s="241" t="n"/>
    </row>
    <row r="1066">
      <c r="B1066" s="42" t="n">
        <v>214</v>
      </c>
      <c r="C1066" s="118">
        <f>INDIRECT("'Закуп'!A" &amp; B1066)</f>
        <v/>
      </c>
      <c r="D1066" s="119">
        <f>C1066*1.2</f>
        <v/>
      </c>
      <c r="G1066" s="172">
        <f>IF(INDIRECT("'Закуп'!L" &amp; B1066)="Sale","Sale","")</f>
        <v/>
      </c>
      <c r="H1066" s="158">
        <f>IF(INDIRECT("'Закуп'!F" &amp; B1066)=0,"",INDIRECT("'Закуп'!F" &amp; B1066))</f>
        <v/>
      </c>
      <c r="I1066" s="120" t="n">
        <v>1000</v>
      </c>
      <c r="J1066" s="121">
        <f>K1066/1.2</f>
        <v/>
      </c>
      <c r="K1066" s="70" t="n">
        <v>0.54</v>
      </c>
      <c r="L1066" s="122">
        <f>J1066-C1066-(J1066-C1066)*0.2</f>
        <v/>
      </c>
      <c r="M1066" s="123">
        <f>L1066*I1066</f>
        <v/>
      </c>
      <c r="N1066" s="124" t="inlineStr">
        <is>
          <t xml:space="preserve">1000 + шт - </t>
        </is>
      </c>
      <c r="O1066" s="47" t="inlineStr">
        <is>
          <t xml:space="preserve"> руб / шт с НДС</t>
        </is>
      </c>
      <c r="P1066" s="125">
        <f>ROUND(K1066,2)</f>
        <v/>
      </c>
      <c r="Q1066" s="207">
        <f>CONCATENATE(N1066,P1066,O1066,)</f>
        <v/>
      </c>
      <c r="R1066" s="240" t="n"/>
      <c r="T1066" s="241" t="n"/>
      <c r="U1066" s="240" t="n"/>
      <c r="V1066" s="241" t="n"/>
      <c r="Z1066" s="240" t="n"/>
      <c r="AB1066" s="241" t="n"/>
      <c r="AC1066" s="240" t="n"/>
      <c r="AD1066" s="241" t="n"/>
    </row>
    <row r="1067" ht="32.15" customHeight="1" s="55">
      <c r="A1067" s="232" t="n">
        <v>215</v>
      </c>
      <c r="B1067" s="42" t="n">
        <v>215</v>
      </c>
      <c r="C1067" s="118">
        <f>INDIRECT("'Закуп'!A" &amp; B1067)</f>
        <v/>
      </c>
      <c r="D1067" s="119">
        <f>C1067*1.2</f>
        <v/>
      </c>
      <c r="E1067" s="225">
        <f>INDIRECT("'Закуп'!D" &amp; A1067)</f>
        <v/>
      </c>
      <c r="F1067" s="231">
        <f>INDIRECT("'Закуп'!E" &amp; B1067)</f>
        <v/>
      </c>
      <c r="G1067" s="172">
        <f>IF(INDIRECT("'Закуп'!L" &amp; B1067)="Sale","Sale","")</f>
        <v/>
      </c>
      <c r="H1067" s="158">
        <f>IF(INDIRECT("'Закуп'!F" &amp; B1067)=0,"",INDIRECT("'Закуп'!F" &amp; B1067))</f>
        <v/>
      </c>
      <c r="I1067" s="120" t="n">
        <v>50</v>
      </c>
      <c r="J1067" s="121">
        <f>K1067/1.2</f>
        <v/>
      </c>
      <c r="K1067" s="70" t="n">
        <v>1.17</v>
      </c>
      <c r="L1067" s="122">
        <f>J1067-C1067-(J1067-C1067)*0.2</f>
        <v/>
      </c>
      <c r="M1067" s="123">
        <f>L1067*I1067</f>
        <v/>
      </c>
      <c r="N1067" s="124" t="inlineStr">
        <is>
          <t xml:space="preserve">50-90 шт - </t>
        </is>
      </c>
      <c r="O1067" s="47" t="inlineStr">
        <is>
          <t xml:space="preserve"> руб / шт с НДС</t>
        </is>
      </c>
      <c r="P1067" s="125">
        <f>ROUND(K1067,2)</f>
        <v/>
      </c>
      <c r="Q1067" s="207">
        <f>CONCATENATE(N1067,P1067,O1067,)</f>
        <v/>
      </c>
      <c r="R1067" s="235">
        <f>INDIRECT("'Закуп'!k" &amp; A1067)</f>
        <v/>
      </c>
      <c r="S1067" s="239">
        <f>INDIRECT("'Закуп'!o" &amp; A1067)</f>
        <v/>
      </c>
      <c r="T1067" s="226">
        <f>INDIRECT("'Закуп'!p" &amp; A1067)</f>
        <v/>
      </c>
      <c r="U1067" s="235">
        <f>INDIRECT("'Закуп'!v" &amp; A1067)</f>
        <v/>
      </c>
      <c r="V1067" s="222">
        <f>INDIRECT("'Закуп'!w" &amp; A1067)</f>
        <v/>
      </c>
      <c r="W1067" s="229">
        <f>INDIRECT("'Закуп'!H" &amp; A1067)</f>
        <v/>
      </c>
      <c r="X1067" s="237">
        <f>INDIRECT("'Закуп'!g" &amp; A1067)</f>
        <v/>
      </c>
      <c r="Y1067" s="229">
        <f>INDIRECT("'Закуп'!i" &amp; A1067)</f>
        <v/>
      </c>
      <c r="Z1067" s="236">
        <f>INDIRECT("'Закуп'!x" &amp; A1067)</f>
        <v/>
      </c>
      <c r="AA1067" s="237">
        <f>INDIRECT("'Закуп'!y" &amp; A1067)</f>
        <v/>
      </c>
      <c r="AB1067" s="238">
        <f>INDIRECT("'Закуп'!z" &amp; A1067)</f>
        <v/>
      </c>
      <c r="AC1067" s="223">
        <f>SUBSTITUTE(INDEX(F:F, ROUNDUP((ROW(A1066))/5,0)*5 - 3), "х", "x")</f>
        <v/>
      </c>
      <c r="AD1067" s="222">
        <f>SUBSTITUTE(INDEX(F:F, ROUNDUP((ROW(A1066))/5,0)*5 - 3), "х", "x") &amp; " - " &amp; SUBSTITUTE(SUBSTITUTE(INDEX(F:F, ROUNDUP((ROW(A1066))/5,0)*5 - 3), "х", "*"), "x", "*") &amp; " мм"</f>
        <v/>
      </c>
    </row>
    <row r="1068" ht="32.15" customHeight="1" s="55">
      <c r="B1068" s="42" t="n">
        <v>215</v>
      </c>
      <c r="C1068" s="118">
        <f>INDIRECT("'Закуп'!A" &amp; B1068)</f>
        <v/>
      </c>
      <c r="D1068" s="119">
        <f>C1068*1.2</f>
        <v/>
      </c>
      <c r="G1068" s="172">
        <f>IF(INDIRECT("'Закуп'!L" &amp; B1068)="Sale","Sale","")</f>
        <v/>
      </c>
      <c r="H1068" s="158">
        <f>IF(INDIRECT("'Закуп'!F" &amp; B1068)=0,"",INDIRECT("'Закуп'!F" &amp; B1068))</f>
        <v/>
      </c>
      <c r="I1068" s="120" t="n">
        <v>100</v>
      </c>
      <c r="J1068" s="121">
        <f>K1068/1.2</f>
        <v/>
      </c>
      <c r="K1068" s="70" t="n">
        <v>0.97</v>
      </c>
      <c r="L1068" s="122">
        <f>J1068-C1068-(J1068-C1068)*0.2</f>
        <v/>
      </c>
      <c r="M1068" s="123">
        <f>L1068*I1068</f>
        <v/>
      </c>
      <c r="N1068" s="124" t="inlineStr">
        <is>
          <t xml:space="preserve">100-290 шт - </t>
        </is>
      </c>
      <c r="O1068" s="47" t="inlineStr">
        <is>
          <t xml:space="preserve"> руб / шт с НДС</t>
        </is>
      </c>
      <c r="P1068" s="125">
        <f>ROUND(K1068,2)</f>
        <v/>
      </c>
      <c r="Q1068" s="207">
        <f>CONCATENATE(N1068,P1068,O1068,)</f>
        <v/>
      </c>
      <c r="R1068" s="240" t="n"/>
      <c r="T1068" s="241" t="n"/>
      <c r="U1068" s="240" t="n"/>
      <c r="V1068" s="241" t="n"/>
      <c r="Z1068" s="240" t="n"/>
      <c r="AB1068" s="241" t="n"/>
      <c r="AC1068" s="240" t="n"/>
      <c r="AD1068" s="241" t="n"/>
    </row>
    <row r="1069" ht="32.15" customHeight="1" s="55">
      <c r="B1069" s="42" t="n">
        <v>215</v>
      </c>
      <c r="C1069" s="118">
        <f>INDIRECT("'Закуп'!A" &amp; B1069)</f>
        <v/>
      </c>
      <c r="D1069" s="119">
        <f>C1069*1.2</f>
        <v/>
      </c>
      <c r="G1069" s="172">
        <f>IF(INDIRECT("'Закуп'!L" &amp; B1069)="Sale","Sale","")</f>
        <v/>
      </c>
      <c r="H1069" s="158">
        <f>IF(INDIRECT("'Закуп'!F" &amp; B1069)=0,"",INDIRECT("'Закуп'!F" &amp; B1069))</f>
        <v/>
      </c>
      <c r="I1069" s="120" t="n">
        <v>300</v>
      </c>
      <c r="J1069" s="121">
        <f>K1069/1.2</f>
        <v/>
      </c>
      <c r="K1069" s="70" t="n">
        <v>0.89</v>
      </c>
      <c r="L1069" s="122">
        <f>J1069-C1069-(J1069-C1069)*0.2</f>
        <v/>
      </c>
      <c r="M1069" s="123">
        <f>L1069*I1069</f>
        <v/>
      </c>
      <c r="N1069" s="124" t="inlineStr">
        <is>
          <t xml:space="preserve">300-490 шт - </t>
        </is>
      </c>
      <c r="O1069" s="47" t="inlineStr">
        <is>
          <t xml:space="preserve"> руб / шт с НДС</t>
        </is>
      </c>
      <c r="P1069" s="125">
        <f>ROUND(K1069,2)</f>
        <v/>
      </c>
      <c r="Q1069" s="207">
        <f>CONCATENATE(N1069,P1069,O1069,)</f>
        <v/>
      </c>
      <c r="R1069" s="240" t="n"/>
      <c r="T1069" s="241" t="n"/>
      <c r="U1069" s="240" t="n"/>
      <c r="V1069" s="241" t="n"/>
      <c r="Z1069" s="240" t="n"/>
      <c r="AB1069" s="241" t="n"/>
      <c r="AC1069" s="240" t="n"/>
      <c r="AD1069" s="241" t="n"/>
    </row>
    <row r="1070" ht="32.15" customHeight="1" s="55">
      <c r="B1070" s="42" t="n">
        <v>215</v>
      </c>
      <c r="C1070" s="118">
        <f>INDIRECT("'Закуп'!A" &amp; B1070)</f>
        <v/>
      </c>
      <c r="D1070" s="119">
        <f>C1070*1.2</f>
        <v/>
      </c>
      <c r="G1070" s="172">
        <f>IF(INDIRECT("'Закуп'!L" &amp; B1070)="Sale","Sale","")</f>
        <v/>
      </c>
      <c r="H1070" s="158">
        <f>IF(INDIRECT("'Закуп'!F" &amp; B1070)=0,"",INDIRECT("'Закуп'!F" &amp; B1070))</f>
        <v/>
      </c>
      <c r="I1070" s="120" t="n">
        <v>500</v>
      </c>
      <c r="J1070" s="121">
        <f>K1070/1.2</f>
        <v/>
      </c>
      <c r="K1070" s="70" t="n">
        <v>0.8100000000000001</v>
      </c>
      <c r="L1070" s="122">
        <f>J1070-C1070-(J1070-C1070)*0.2</f>
        <v/>
      </c>
      <c r="M1070" s="123">
        <f>L1070*I1070</f>
        <v/>
      </c>
      <c r="N1070" s="124" t="inlineStr">
        <is>
          <t xml:space="preserve">500-990 шт - </t>
        </is>
      </c>
      <c r="O1070" s="47" t="inlineStr">
        <is>
          <t xml:space="preserve"> руб / шт с НДС</t>
        </is>
      </c>
      <c r="P1070" s="125">
        <f>ROUND(K1070,2)</f>
        <v/>
      </c>
      <c r="Q1070" s="207">
        <f>CONCATENATE(N1070,P1070,O1070,)</f>
        <v/>
      </c>
      <c r="R1070" s="240" t="n"/>
      <c r="T1070" s="241" t="n"/>
      <c r="U1070" s="240" t="n"/>
      <c r="V1070" s="241" t="n"/>
      <c r="Z1070" s="240" t="n"/>
      <c r="AB1070" s="241" t="n"/>
      <c r="AC1070" s="240" t="n"/>
      <c r="AD1070" s="241" t="n"/>
    </row>
    <row r="1071" ht="32.15" customHeight="1" s="55">
      <c r="B1071" s="42" t="n">
        <v>215</v>
      </c>
      <c r="C1071" s="118">
        <f>INDIRECT("'Закуп'!A" &amp; B1071)</f>
        <v/>
      </c>
      <c r="D1071" s="119">
        <f>C1071*1.2</f>
        <v/>
      </c>
      <c r="G1071" s="172">
        <f>IF(INDIRECT("'Закуп'!L" &amp; B1071)="Sale","Sale","")</f>
        <v/>
      </c>
      <c r="H1071" s="158">
        <f>IF(INDIRECT("'Закуп'!F" &amp; B1071)=0,"",INDIRECT("'Закуп'!F" &amp; B1071))</f>
        <v/>
      </c>
      <c r="I1071" s="120" t="n">
        <v>1000</v>
      </c>
      <c r="J1071" s="121">
        <f>K1071/1.2</f>
        <v/>
      </c>
      <c r="K1071" s="70" t="n">
        <v>0.76</v>
      </c>
      <c r="L1071" s="122">
        <f>J1071-C1071-(J1071-C1071)*0.2</f>
        <v/>
      </c>
      <c r="M1071" s="123">
        <f>L1071*I1071</f>
        <v/>
      </c>
      <c r="N1071" s="124" t="inlineStr">
        <is>
          <t xml:space="preserve">1000 + шт - </t>
        </is>
      </c>
      <c r="O1071" s="47" t="inlineStr">
        <is>
          <t xml:space="preserve"> руб / шт с НДС</t>
        </is>
      </c>
      <c r="P1071" s="125">
        <f>ROUND(K1071,2)</f>
        <v/>
      </c>
      <c r="Q1071" s="207">
        <f>CONCATENATE(N1071,P1071,O1071,)</f>
        <v/>
      </c>
      <c r="R1071" s="240" t="n"/>
      <c r="T1071" s="241" t="n"/>
      <c r="U1071" s="240" t="n"/>
      <c r="V1071" s="241" t="n"/>
      <c r="Z1071" s="240" t="n"/>
      <c r="AB1071" s="241" t="n"/>
      <c r="AC1071" s="240" t="n"/>
      <c r="AD1071" s="241" t="n"/>
    </row>
    <row r="1072">
      <c r="A1072" s="232" t="n">
        <v>216</v>
      </c>
      <c r="B1072" s="42" t="n">
        <v>216</v>
      </c>
      <c r="C1072" s="118">
        <f>INDIRECT("'Закуп'!A" &amp; B1072)</f>
        <v/>
      </c>
      <c r="D1072" s="119">
        <f>C1072*1.2</f>
        <v/>
      </c>
      <c r="E1072" s="224">
        <f>INDIRECT("'Закуп'!D" &amp; A1072)</f>
        <v/>
      </c>
      <c r="F1072" s="231">
        <f>INDIRECT("'Закуп'!E" &amp; B1072)</f>
        <v/>
      </c>
      <c r="G1072" s="172">
        <f>IF(INDIRECT("'Закуп'!L" &amp; B1072)="Sale","Sale","")</f>
        <v/>
      </c>
      <c r="H1072" s="158">
        <f>IF(INDIRECT("'Закуп'!F" &amp; B1072)=0,"",INDIRECT("'Закуп'!F" &amp; B1072))</f>
        <v/>
      </c>
      <c r="I1072" s="120" t="n">
        <v>50</v>
      </c>
      <c r="J1072" s="121">
        <f>K1072/1.2</f>
        <v/>
      </c>
      <c r="K1072" s="70" t="n">
        <v>1.89</v>
      </c>
      <c r="L1072" s="122">
        <f>J1072-C1072-(J1072-C1072)*0.2</f>
        <v/>
      </c>
      <c r="M1072" s="123">
        <f>L1072*I1072</f>
        <v/>
      </c>
      <c r="N1072" s="124" t="inlineStr">
        <is>
          <t xml:space="preserve">50-90 шт - </t>
        </is>
      </c>
      <c r="O1072" s="47" t="inlineStr">
        <is>
          <t xml:space="preserve"> руб / шт с НДС</t>
        </is>
      </c>
      <c r="P1072" s="125">
        <f>ROUND(K1072,2)</f>
        <v/>
      </c>
      <c r="Q1072" s="207">
        <f>CONCATENATE(N1072,P1072,O1072,)</f>
        <v/>
      </c>
      <c r="R1072" s="235">
        <f>INDIRECT("'Закуп'!k" &amp; A1072)</f>
        <v/>
      </c>
      <c r="S1072" s="239">
        <f>INDIRECT("'Закуп'!o" &amp; A1072)</f>
        <v/>
      </c>
      <c r="T1072" s="226">
        <f>INDIRECT("'Закуп'!p" &amp; A1072)</f>
        <v/>
      </c>
      <c r="U1072" s="235">
        <f>INDIRECT("'Закуп'!v" &amp; A1072)</f>
        <v/>
      </c>
      <c r="V1072" s="222">
        <f>INDIRECT("'Закуп'!w" &amp; A1072)</f>
        <v/>
      </c>
      <c r="W1072" s="229">
        <f>INDIRECT("'Закуп'!H" &amp; A1072)</f>
        <v/>
      </c>
      <c r="X1072" s="237">
        <f>INDIRECT("'Закуп'!g" &amp; A1072)</f>
        <v/>
      </c>
      <c r="Y1072" s="229">
        <f>INDIRECT("'Закуп'!i" &amp; A1072)</f>
        <v/>
      </c>
      <c r="Z1072" s="236">
        <f>INDIRECT("'Закуп'!x" &amp; A1072)</f>
        <v/>
      </c>
      <c r="AA1072" s="237">
        <f>INDIRECT("'Закуп'!y" &amp; A1072)</f>
        <v/>
      </c>
      <c r="AB1072" s="238">
        <f>INDIRECT("'Закуп'!z" &amp; A1072)</f>
        <v/>
      </c>
      <c r="AC1072" s="223">
        <f>SUBSTITUTE(INDEX(F:F, ROUNDUP((ROW(A1071))/5,0)*5 - 3), "х", "x")</f>
        <v/>
      </c>
      <c r="AD1072" s="222">
        <f>SUBSTITUTE(INDEX(F:F, ROUNDUP((ROW(A1071))/5,0)*5 - 3), "х", "x") &amp; " - " &amp; SUBSTITUTE(SUBSTITUTE(INDEX(F:F, ROUNDUP((ROW(A1071))/5,0)*5 - 3), "х", "*"), "x", "*") &amp; " мм"</f>
        <v/>
      </c>
    </row>
    <row r="1073">
      <c r="B1073" s="42" t="n">
        <v>216</v>
      </c>
      <c r="C1073" s="118">
        <f>INDIRECT("'Закуп'!A" &amp; B1073)</f>
        <v/>
      </c>
      <c r="D1073" s="119">
        <f>C1073*1.2</f>
        <v/>
      </c>
      <c r="G1073" s="172">
        <f>IF(INDIRECT("'Закуп'!L" &amp; B1073)="Sale","Sale","")</f>
        <v/>
      </c>
      <c r="H1073" s="158">
        <f>IF(INDIRECT("'Закуп'!F" &amp; B1073)=0,"",INDIRECT("'Закуп'!F" &amp; B1073))</f>
        <v/>
      </c>
      <c r="I1073" s="120" t="n">
        <v>100</v>
      </c>
      <c r="J1073" s="121">
        <f>K1073/1.2</f>
        <v/>
      </c>
      <c r="K1073" s="70" t="n">
        <v>1.72</v>
      </c>
      <c r="L1073" s="122">
        <f>J1073-C1073-(J1073-C1073)*0.2</f>
        <v/>
      </c>
      <c r="M1073" s="123">
        <f>L1073*I1073</f>
        <v/>
      </c>
      <c r="N1073" s="124" t="inlineStr">
        <is>
          <t xml:space="preserve">100-290 шт - </t>
        </is>
      </c>
      <c r="O1073" s="47" t="inlineStr">
        <is>
          <t xml:space="preserve"> руб / шт с НДС</t>
        </is>
      </c>
      <c r="P1073" s="125">
        <f>ROUND(K1073,2)</f>
        <v/>
      </c>
      <c r="Q1073" s="207">
        <f>CONCATENATE(N1073,P1073,O1073,)</f>
        <v/>
      </c>
      <c r="R1073" s="240" t="n"/>
      <c r="T1073" s="241" t="n"/>
      <c r="U1073" s="240" t="n"/>
      <c r="V1073" s="241" t="n"/>
      <c r="Z1073" s="240" t="n"/>
      <c r="AB1073" s="241" t="n"/>
      <c r="AC1073" s="240" t="n"/>
      <c r="AD1073" s="241" t="n"/>
    </row>
    <row r="1074">
      <c r="B1074" s="42" t="n">
        <v>216</v>
      </c>
      <c r="C1074" s="118">
        <f>INDIRECT("'Закуп'!A" &amp; B1074)</f>
        <v/>
      </c>
      <c r="D1074" s="119">
        <f>C1074*1.2</f>
        <v/>
      </c>
      <c r="G1074" s="172">
        <f>IF(INDIRECT("'Закуп'!L" &amp; B1074)="Sale","Sale","")</f>
        <v/>
      </c>
      <c r="H1074" s="158">
        <f>IF(INDIRECT("'Закуп'!F" &amp; B1074)=0,"",INDIRECT("'Закуп'!F" &amp; B1074))</f>
        <v/>
      </c>
      <c r="I1074" s="120" t="n">
        <v>300</v>
      </c>
      <c r="J1074" s="121">
        <f>K1074/1.2</f>
        <v/>
      </c>
      <c r="K1074" s="70" t="n">
        <v>1.36</v>
      </c>
      <c r="L1074" s="122">
        <f>J1074-C1074-(J1074-C1074)*0.2</f>
        <v/>
      </c>
      <c r="M1074" s="123">
        <f>L1074*I1074</f>
        <v/>
      </c>
      <c r="N1074" s="124" t="inlineStr">
        <is>
          <t xml:space="preserve">300-490 шт - </t>
        </is>
      </c>
      <c r="O1074" s="47" t="inlineStr">
        <is>
          <t xml:space="preserve"> руб / шт с НДС</t>
        </is>
      </c>
      <c r="P1074" s="125">
        <f>ROUND(K1074,2)</f>
        <v/>
      </c>
      <c r="Q1074" s="207">
        <f>CONCATENATE(N1074,P1074,O1074,)</f>
        <v/>
      </c>
      <c r="R1074" s="240" t="n"/>
      <c r="T1074" s="241" t="n"/>
      <c r="U1074" s="240" t="n"/>
      <c r="V1074" s="241" t="n"/>
      <c r="Z1074" s="240" t="n"/>
      <c r="AB1074" s="241" t="n"/>
      <c r="AC1074" s="240" t="n"/>
      <c r="AD1074" s="241" t="n"/>
    </row>
    <row r="1075">
      <c r="B1075" s="42" t="n">
        <v>216</v>
      </c>
      <c r="C1075" s="118">
        <f>INDIRECT("'Закуп'!A" &amp; B1075)</f>
        <v/>
      </c>
      <c r="D1075" s="119">
        <f>C1075*1.2</f>
        <v/>
      </c>
      <c r="G1075" s="172">
        <f>IF(INDIRECT("'Закуп'!L" &amp; B1075)="Sale","Sale","")</f>
        <v/>
      </c>
      <c r="H1075" s="158">
        <f>IF(INDIRECT("'Закуп'!F" &amp; B1075)=0,"",INDIRECT("'Закуп'!F" &amp; B1075))</f>
        <v/>
      </c>
      <c r="I1075" s="120" t="n">
        <v>500</v>
      </c>
      <c r="J1075" s="121">
        <f>K1075/1.2</f>
        <v/>
      </c>
      <c r="K1075" s="70" t="n">
        <v>1.27</v>
      </c>
      <c r="L1075" s="122">
        <f>J1075-C1075-(J1075-C1075)*0.2</f>
        <v/>
      </c>
      <c r="M1075" s="123">
        <f>L1075*I1075</f>
        <v/>
      </c>
      <c r="N1075" s="124" t="inlineStr">
        <is>
          <t xml:space="preserve">500-990 шт - </t>
        </is>
      </c>
      <c r="O1075" s="47" t="inlineStr">
        <is>
          <t xml:space="preserve"> руб / шт с НДС</t>
        </is>
      </c>
      <c r="P1075" s="125">
        <f>ROUND(K1075,2)</f>
        <v/>
      </c>
      <c r="Q1075" s="207">
        <f>CONCATENATE(N1075,P1075,O1075,)</f>
        <v/>
      </c>
      <c r="R1075" s="240" t="n"/>
      <c r="T1075" s="241" t="n"/>
      <c r="U1075" s="240" t="n"/>
      <c r="V1075" s="241" t="n"/>
      <c r="Z1075" s="240" t="n"/>
      <c r="AB1075" s="241" t="n"/>
      <c r="AC1075" s="240" t="n"/>
      <c r="AD1075" s="241" t="n"/>
    </row>
    <row r="1076">
      <c r="B1076" s="42" t="n">
        <v>216</v>
      </c>
      <c r="C1076" s="118">
        <f>INDIRECT("'Закуп'!A" &amp; B1076)</f>
        <v/>
      </c>
      <c r="D1076" s="119">
        <f>C1076*1.2</f>
        <v/>
      </c>
      <c r="G1076" s="172">
        <f>IF(INDIRECT("'Закуп'!L" &amp; B1076)="Sale","Sale","")</f>
        <v/>
      </c>
      <c r="H1076" s="158">
        <f>IF(INDIRECT("'Закуп'!F" &amp; B1076)=0,"",INDIRECT("'Закуп'!F" &amp; B1076))</f>
        <v/>
      </c>
      <c r="I1076" s="120" t="n">
        <v>1000</v>
      </c>
      <c r="J1076" s="121">
        <f>K1076/1.2</f>
        <v/>
      </c>
      <c r="K1076" s="70" t="n">
        <v>1.12</v>
      </c>
      <c r="L1076" s="122">
        <f>J1076-C1076-(J1076-C1076)*0.2</f>
        <v/>
      </c>
      <c r="M1076" s="123">
        <f>L1076*I1076</f>
        <v/>
      </c>
      <c r="N1076" s="124" t="inlineStr">
        <is>
          <t xml:space="preserve">1000 + шт - </t>
        </is>
      </c>
      <c r="O1076" s="47" t="inlineStr">
        <is>
          <t xml:space="preserve"> руб / шт с НДС</t>
        </is>
      </c>
      <c r="P1076" s="125">
        <f>ROUND(K1076,2)</f>
        <v/>
      </c>
      <c r="Q1076" s="207">
        <f>CONCATENATE(N1076,P1076,O1076,)</f>
        <v/>
      </c>
      <c r="R1076" s="240" t="n"/>
      <c r="T1076" s="241" t="n"/>
      <c r="U1076" s="240" t="n"/>
      <c r="V1076" s="241" t="n"/>
      <c r="Z1076" s="240" t="n"/>
      <c r="AB1076" s="241" t="n"/>
      <c r="AC1076" s="240" t="n"/>
      <c r="AD1076" s="241" t="n"/>
    </row>
    <row r="1077">
      <c r="A1077" s="232" t="n">
        <v>217</v>
      </c>
      <c r="B1077" s="42" t="n">
        <v>217</v>
      </c>
      <c r="C1077" s="118">
        <f>INDIRECT("'Закуп'!A" &amp; B1077)</f>
        <v/>
      </c>
      <c r="D1077" s="119">
        <f>C1077*1.2</f>
        <v/>
      </c>
      <c r="E1077" s="225">
        <f>INDIRECT("'Закуп'!D" &amp; A1077)</f>
        <v/>
      </c>
      <c r="F1077" s="231">
        <f>INDIRECT("'Закуп'!E" &amp; B1077)</f>
        <v/>
      </c>
      <c r="G1077" s="172">
        <f>IF(INDIRECT("'Закуп'!L" &amp; B1077)="Sale","Sale","")</f>
        <v/>
      </c>
      <c r="H1077" s="158">
        <f>IF(INDIRECT("'Закуп'!F" &amp; B1077)=0,"",INDIRECT("'Закуп'!F" &amp; B1077))</f>
        <v/>
      </c>
      <c r="I1077" s="120" t="n">
        <v>50</v>
      </c>
      <c r="J1077" s="121">
        <f>K1077/1.2</f>
        <v/>
      </c>
      <c r="K1077" s="70" t="n">
        <v>2.14</v>
      </c>
      <c r="L1077" s="122">
        <f>J1077-C1077-(J1077-C1077)*0.2</f>
        <v/>
      </c>
      <c r="M1077" s="123">
        <f>L1077*I1077</f>
        <v/>
      </c>
      <c r="N1077" s="124" t="inlineStr">
        <is>
          <t xml:space="preserve">50-90 шт - </t>
        </is>
      </c>
      <c r="O1077" s="47" t="inlineStr">
        <is>
          <t xml:space="preserve"> руб / шт с НДС</t>
        </is>
      </c>
      <c r="P1077" s="125">
        <f>ROUND(K1077,2)</f>
        <v/>
      </c>
      <c r="Q1077" s="207">
        <f>CONCATENATE(N1077,P1077,O1077,)</f>
        <v/>
      </c>
      <c r="R1077" s="235">
        <f>INDIRECT("'Закуп'!k" &amp; A1077)</f>
        <v/>
      </c>
      <c r="S1077" s="239">
        <f>INDIRECT("'Закуп'!o" &amp; A1077)</f>
        <v/>
      </c>
      <c r="T1077" s="226">
        <f>INDIRECT("'Закуп'!p" &amp; A1077)</f>
        <v/>
      </c>
      <c r="U1077" s="235">
        <f>INDIRECT("'Закуп'!v" &amp; A1077)</f>
        <v/>
      </c>
      <c r="V1077" s="222">
        <f>INDIRECT("'Закуп'!w" &amp; A1077)</f>
        <v/>
      </c>
      <c r="W1077" s="229">
        <f>INDIRECT("'Закуп'!H" &amp; A1077)</f>
        <v/>
      </c>
      <c r="X1077" s="237">
        <f>INDIRECT("'Закуп'!g" &amp; A1077)</f>
        <v/>
      </c>
      <c r="Y1077" s="229">
        <f>INDIRECT("'Закуп'!i" &amp; A1077)</f>
        <v/>
      </c>
      <c r="Z1077" s="236">
        <f>INDIRECT("'Закуп'!x" &amp; A1077)</f>
        <v/>
      </c>
      <c r="AA1077" s="237">
        <f>INDIRECT("'Закуп'!y" &amp; A1077)</f>
        <v/>
      </c>
      <c r="AB1077" s="238">
        <f>INDIRECT("'Закуп'!z" &amp; A1077)</f>
        <v/>
      </c>
      <c r="AC1077" s="223">
        <f>SUBSTITUTE(INDEX(F:F, ROUNDUP((ROW(A1076))/5,0)*5 - 3), "х", "x")</f>
        <v/>
      </c>
      <c r="AD1077" s="222">
        <f>SUBSTITUTE(INDEX(F:F, ROUNDUP((ROW(A1076))/5,0)*5 - 3), "х", "x") &amp; " - " &amp; SUBSTITUTE(SUBSTITUTE(INDEX(F:F, ROUNDUP((ROW(A1076))/5,0)*5 - 3), "х", "*"), "x", "*") &amp; " мм"</f>
        <v/>
      </c>
    </row>
    <row r="1078">
      <c r="B1078" s="42" t="n">
        <v>217</v>
      </c>
      <c r="C1078" s="118">
        <f>INDIRECT("'Закуп'!A" &amp; B1078)</f>
        <v/>
      </c>
      <c r="D1078" s="119">
        <f>C1078*1.2</f>
        <v/>
      </c>
      <c r="G1078" s="172">
        <f>IF(INDIRECT("'Закуп'!L" &amp; B1078)="Sale","Sale","")</f>
        <v/>
      </c>
      <c r="H1078" s="158">
        <f>IF(INDIRECT("'Закуп'!F" &amp; B1078)=0,"",INDIRECT("'Закуп'!F" &amp; B1078))</f>
        <v/>
      </c>
      <c r="I1078" s="120" t="n">
        <v>100</v>
      </c>
      <c r="J1078" s="121">
        <f>K1078/1.2</f>
        <v/>
      </c>
      <c r="K1078" s="70" t="n">
        <v>2.14</v>
      </c>
      <c r="L1078" s="122">
        <f>J1078-C1078-(J1078-C1078)*0.2</f>
        <v/>
      </c>
      <c r="M1078" s="123">
        <f>L1078*I1078</f>
        <v/>
      </c>
      <c r="N1078" s="124" t="inlineStr">
        <is>
          <t xml:space="preserve">100-290 шт - </t>
        </is>
      </c>
      <c r="O1078" s="47" t="inlineStr">
        <is>
          <t xml:space="preserve"> руб / шт с НДС</t>
        </is>
      </c>
      <c r="P1078" s="125">
        <f>ROUND(K1078,2)</f>
        <v/>
      </c>
      <c r="Q1078" s="207">
        <f>CONCATENATE(N1078,P1078,O1078,)</f>
        <v/>
      </c>
      <c r="R1078" s="240" t="n"/>
      <c r="T1078" s="241" t="n"/>
      <c r="U1078" s="240" t="n"/>
      <c r="V1078" s="241" t="n"/>
      <c r="Z1078" s="240" t="n"/>
      <c r="AB1078" s="241" t="n"/>
      <c r="AC1078" s="240" t="n"/>
      <c r="AD1078" s="241" t="n"/>
    </row>
    <row r="1079">
      <c r="B1079" s="42" t="n">
        <v>217</v>
      </c>
      <c r="C1079" s="118">
        <f>INDIRECT("'Закуп'!A" &amp; B1079)</f>
        <v/>
      </c>
      <c r="D1079" s="119">
        <f>C1079*1.2</f>
        <v/>
      </c>
      <c r="G1079" s="172">
        <f>IF(INDIRECT("'Закуп'!L" &amp; B1079)="Sale","Sale","")</f>
        <v/>
      </c>
      <c r="H1079" s="158">
        <f>IF(INDIRECT("'Закуп'!F" &amp; B1079)=0,"",INDIRECT("'Закуп'!F" &amp; B1079))</f>
        <v/>
      </c>
      <c r="I1079" s="120" t="n">
        <v>300</v>
      </c>
      <c r="J1079" s="121">
        <f>K1079/1.2</f>
        <v/>
      </c>
      <c r="K1079" s="70" t="n">
        <v>2.14</v>
      </c>
      <c r="L1079" s="122">
        <f>J1079-C1079-(J1079-C1079)*0.2</f>
        <v/>
      </c>
      <c r="M1079" s="123">
        <f>L1079*I1079</f>
        <v/>
      </c>
      <c r="N1079" s="124" t="inlineStr">
        <is>
          <t xml:space="preserve">300-490 шт - </t>
        </is>
      </c>
      <c r="O1079" s="47" t="inlineStr">
        <is>
          <t xml:space="preserve"> руб / шт с НДС</t>
        </is>
      </c>
      <c r="P1079" s="125">
        <f>ROUND(K1079,2)</f>
        <v/>
      </c>
      <c r="Q1079" s="207">
        <f>CONCATENATE(N1079,P1079,O1079,)</f>
        <v/>
      </c>
      <c r="R1079" s="240" t="n"/>
      <c r="T1079" s="241" t="n"/>
      <c r="U1079" s="240" t="n"/>
      <c r="V1079" s="241" t="n"/>
      <c r="Z1079" s="240" t="n"/>
      <c r="AB1079" s="241" t="n"/>
      <c r="AC1079" s="240" t="n"/>
      <c r="AD1079" s="241" t="n"/>
    </row>
    <row r="1080">
      <c r="B1080" s="42" t="n">
        <v>217</v>
      </c>
      <c r="C1080" s="118">
        <f>INDIRECT("'Закуп'!A" &amp; B1080)</f>
        <v/>
      </c>
      <c r="D1080" s="119">
        <f>C1080*1.2</f>
        <v/>
      </c>
      <c r="G1080" s="172">
        <f>IF(INDIRECT("'Закуп'!L" &amp; B1080)="Sale","Sale","")</f>
        <v/>
      </c>
      <c r="H1080" s="158">
        <f>IF(INDIRECT("'Закуп'!F" &amp; B1080)=0,"",INDIRECT("'Закуп'!F" &amp; B1080))</f>
        <v/>
      </c>
      <c r="I1080" s="120" t="n">
        <v>500</v>
      </c>
      <c r="J1080" s="121">
        <f>K1080/1.2</f>
        <v/>
      </c>
      <c r="K1080" s="70" t="n">
        <v>2.14</v>
      </c>
      <c r="L1080" s="122">
        <f>J1080-C1080-(J1080-C1080)*0.2</f>
        <v/>
      </c>
      <c r="M1080" s="123">
        <f>L1080*I1080</f>
        <v/>
      </c>
      <c r="N1080" s="124" t="inlineStr">
        <is>
          <t xml:space="preserve">500-990 шт - </t>
        </is>
      </c>
      <c r="O1080" s="47" t="inlineStr">
        <is>
          <t xml:space="preserve"> руб / шт с НДС</t>
        </is>
      </c>
      <c r="P1080" s="125">
        <f>ROUND(K1080,2)</f>
        <v/>
      </c>
      <c r="Q1080" s="207">
        <f>CONCATENATE(N1080,P1080,O1080,)</f>
        <v/>
      </c>
      <c r="R1080" s="240" t="n"/>
      <c r="T1080" s="241" t="n"/>
      <c r="U1080" s="240" t="n"/>
      <c r="V1080" s="241" t="n"/>
      <c r="Z1080" s="240" t="n"/>
      <c r="AB1080" s="241" t="n"/>
      <c r="AC1080" s="240" t="n"/>
      <c r="AD1080" s="241" t="n"/>
    </row>
    <row r="1081">
      <c r="B1081" s="42" t="n">
        <v>217</v>
      </c>
      <c r="C1081" s="118">
        <f>INDIRECT("'Закуп'!A" &amp; B1081)</f>
        <v/>
      </c>
      <c r="D1081" s="119">
        <f>C1081*1.2</f>
        <v/>
      </c>
      <c r="G1081" s="172">
        <f>IF(INDIRECT("'Закуп'!L" &amp; B1081)="Sale","Sale","")</f>
        <v/>
      </c>
      <c r="H1081" s="158">
        <f>IF(INDIRECT("'Закуп'!F" &amp; B1081)=0,"",INDIRECT("'Закуп'!F" &amp; B1081))</f>
        <v/>
      </c>
      <c r="I1081" s="120" t="n">
        <v>1000</v>
      </c>
      <c r="J1081" s="121">
        <f>K1081/1.2</f>
        <v/>
      </c>
      <c r="K1081" s="70" t="n">
        <v>2.14</v>
      </c>
      <c r="L1081" s="122">
        <f>J1081-C1081-(J1081-C1081)*0.2</f>
        <v/>
      </c>
      <c r="M1081" s="123">
        <f>L1081*I1081</f>
        <v/>
      </c>
      <c r="N1081" s="124" t="inlineStr">
        <is>
          <t xml:space="preserve">1000 + шт - </t>
        </is>
      </c>
      <c r="O1081" s="47" t="inlineStr">
        <is>
          <t xml:space="preserve"> руб / шт с НДС</t>
        </is>
      </c>
      <c r="P1081" s="125">
        <f>ROUND(K1081,2)</f>
        <v/>
      </c>
      <c r="Q1081" s="207">
        <f>CONCATENATE(N1081,P1081,O1081,)</f>
        <v/>
      </c>
      <c r="R1081" s="240" t="n"/>
      <c r="T1081" s="241" t="n"/>
      <c r="U1081" s="240" t="n"/>
      <c r="V1081" s="241" t="n"/>
      <c r="Z1081" s="240" t="n"/>
      <c r="AB1081" s="241" t="n"/>
      <c r="AC1081" s="240" t="n"/>
      <c r="AD1081" s="241" t="n"/>
    </row>
    <row r="1082">
      <c r="A1082" s="232" t="n">
        <v>218</v>
      </c>
      <c r="B1082" s="42" t="n">
        <v>218</v>
      </c>
      <c r="C1082" s="118">
        <f>INDIRECT("'Закуп'!A" &amp; B1082)</f>
        <v/>
      </c>
      <c r="D1082" s="119">
        <f>C1082*1.2</f>
        <v/>
      </c>
      <c r="E1082" s="224">
        <f>INDIRECT("'Закуп'!D" &amp; A1082)</f>
        <v/>
      </c>
      <c r="F1082" s="231">
        <f>INDIRECT("'Закуп'!E" &amp; B1082)</f>
        <v/>
      </c>
      <c r="G1082" s="172">
        <f>IF(INDIRECT("'Закуп'!L" &amp; B1082)="Sale","Sale","")</f>
        <v/>
      </c>
      <c r="H1082" s="158">
        <f>IF(INDIRECT("'Закуп'!F" &amp; B1082)=0,"",INDIRECT("'Закуп'!F" &amp; B1082))</f>
        <v/>
      </c>
      <c r="I1082" s="120" t="n">
        <v>50</v>
      </c>
      <c r="J1082" s="121">
        <f>K1082/1.2</f>
        <v/>
      </c>
      <c r="K1082" s="70" t="n">
        <v>1.18</v>
      </c>
      <c r="L1082" s="122">
        <f>J1082-C1082-(J1082-C1082)*0.2</f>
        <v/>
      </c>
      <c r="M1082" s="123">
        <f>L1082*I1082</f>
        <v/>
      </c>
      <c r="N1082" s="124" t="inlineStr">
        <is>
          <t xml:space="preserve">50-90 шт - </t>
        </is>
      </c>
      <c r="O1082" s="47" t="inlineStr">
        <is>
          <t xml:space="preserve"> руб / шт с НДС</t>
        </is>
      </c>
      <c r="P1082" s="125">
        <f>ROUND(K1082,2)</f>
        <v/>
      </c>
      <c r="Q1082" s="207">
        <f>CONCATENATE(N1082,P1082,O1082,)</f>
        <v/>
      </c>
      <c r="R1082" s="235">
        <f>INDIRECT("'Закуп'!k" &amp; A1082)</f>
        <v/>
      </c>
      <c r="S1082" s="239">
        <f>INDIRECT("'Закуп'!o" &amp; A1082)</f>
        <v/>
      </c>
      <c r="T1082" s="226">
        <f>INDIRECT("'Закуп'!p" &amp; A1082)</f>
        <v/>
      </c>
      <c r="U1082" s="235">
        <f>INDIRECT("'Закуп'!v" &amp; A1082)</f>
        <v/>
      </c>
      <c r="V1082" s="222">
        <f>INDIRECT("'Закуп'!w" &amp; A1082)</f>
        <v/>
      </c>
      <c r="W1082" s="229">
        <f>INDIRECT("'Закуп'!H" &amp; A1082)</f>
        <v/>
      </c>
      <c r="X1082" s="237">
        <f>INDIRECT("'Закуп'!g" &amp; A1082)</f>
        <v/>
      </c>
      <c r="Y1082" s="229">
        <f>INDIRECT("'Закуп'!i" &amp; A1082)</f>
        <v/>
      </c>
      <c r="Z1082" s="236">
        <f>INDIRECT("'Закуп'!x" &amp; A1082)</f>
        <v/>
      </c>
      <c r="AA1082" s="237">
        <f>INDIRECT("'Закуп'!y" &amp; A1082)</f>
        <v/>
      </c>
      <c r="AB1082" s="238">
        <f>INDIRECT("'Закуп'!z" &amp; A1082)</f>
        <v/>
      </c>
      <c r="AC1082" s="223">
        <f>SUBSTITUTE(INDEX(F:F, ROUNDUP((ROW(A1081))/5,0)*5 - 3), "х", "x")</f>
        <v/>
      </c>
      <c r="AD1082" s="222">
        <f>SUBSTITUTE(INDEX(F:F, ROUNDUP((ROW(A1081))/5,0)*5 - 3), "х", "x") &amp; " - " &amp; SUBSTITUTE(SUBSTITUTE(INDEX(F:F, ROUNDUP((ROW(A1081))/5,0)*5 - 3), "х", "*"), "x", "*") &amp; " мм"</f>
        <v/>
      </c>
    </row>
    <row r="1083">
      <c r="B1083" s="42" t="n">
        <v>218</v>
      </c>
      <c r="C1083" s="118">
        <f>INDIRECT("'Закуп'!A" &amp; B1083)</f>
        <v/>
      </c>
      <c r="D1083" s="119">
        <f>C1083*1.2</f>
        <v/>
      </c>
      <c r="G1083" s="172">
        <f>IF(INDIRECT("'Закуп'!L" &amp; B1083)="Sale","Sale","")</f>
        <v/>
      </c>
      <c r="H1083" s="158">
        <f>IF(INDIRECT("'Закуп'!F" &amp; B1083)=0,"",INDIRECT("'Закуп'!F" &amp; B1083))</f>
        <v/>
      </c>
      <c r="I1083" s="120" t="n">
        <v>100</v>
      </c>
      <c r="J1083" s="121">
        <f>K1083/1.2</f>
        <v/>
      </c>
      <c r="K1083" s="70" t="n">
        <v>1.07</v>
      </c>
      <c r="L1083" s="122">
        <f>J1083-C1083-(J1083-C1083)*0.2</f>
        <v/>
      </c>
      <c r="M1083" s="123">
        <f>L1083*I1083</f>
        <v/>
      </c>
      <c r="N1083" s="124" t="inlineStr">
        <is>
          <t xml:space="preserve">100-290 шт - </t>
        </is>
      </c>
      <c r="O1083" s="47" t="inlineStr">
        <is>
          <t xml:space="preserve"> руб / шт с НДС</t>
        </is>
      </c>
      <c r="P1083" s="125">
        <f>ROUND(K1083,2)</f>
        <v/>
      </c>
      <c r="Q1083" s="207">
        <f>CONCATENATE(N1083,P1083,O1083,)</f>
        <v/>
      </c>
      <c r="R1083" s="240" t="n"/>
      <c r="T1083" s="241" t="n"/>
      <c r="U1083" s="240" t="n"/>
      <c r="V1083" s="241" t="n"/>
      <c r="Z1083" s="240" t="n"/>
      <c r="AB1083" s="241" t="n"/>
      <c r="AC1083" s="240" t="n"/>
      <c r="AD1083" s="241" t="n"/>
    </row>
    <row r="1084">
      <c r="B1084" s="42" t="n">
        <v>218</v>
      </c>
      <c r="C1084" s="118">
        <f>INDIRECT("'Закуп'!A" &amp; B1084)</f>
        <v/>
      </c>
      <c r="D1084" s="119">
        <f>C1084*1.2</f>
        <v/>
      </c>
      <c r="G1084" s="172">
        <f>IF(INDIRECT("'Закуп'!L" &amp; B1084)="Sale","Sale","")</f>
        <v/>
      </c>
      <c r="H1084" s="158">
        <f>IF(INDIRECT("'Закуп'!F" &amp; B1084)=0,"",INDIRECT("'Закуп'!F" &amp; B1084))</f>
        <v/>
      </c>
      <c r="I1084" s="120" t="n">
        <v>300</v>
      </c>
      <c r="J1084" s="121">
        <f>K1084/1.2</f>
        <v/>
      </c>
      <c r="K1084" s="70" t="n">
        <v>0.96</v>
      </c>
      <c r="L1084" s="122">
        <f>J1084-C1084-(J1084-C1084)*0.2</f>
        <v/>
      </c>
      <c r="M1084" s="123">
        <f>L1084*I1084</f>
        <v/>
      </c>
      <c r="N1084" s="124" t="inlineStr">
        <is>
          <t xml:space="preserve">300-490 шт - </t>
        </is>
      </c>
      <c r="O1084" s="47" t="inlineStr">
        <is>
          <t xml:space="preserve"> руб / шт с НДС</t>
        </is>
      </c>
      <c r="P1084" s="125">
        <f>ROUND(K1084,2)</f>
        <v/>
      </c>
      <c r="Q1084" s="207">
        <f>CONCATENATE(N1084,P1084,O1084,)</f>
        <v/>
      </c>
      <c r="R1084" s="240" t="n"/>
      <c r="T1084" s="241" t="n"/>
      <c r="U1084" s="240" t="n"/>
      <c r="V1084" s="241" t="n"/>
      <c r="Z1084" s="240" t="n"/>
      <c r="AB1084" s="241" t="n"/>
      <c r="AC1084" s="240" t="n"/>
      <c r="AD1084" s="241" t="n"/>
    </row>
    <row r="1085">
      <c r="B1085" s="42" t="n">
        <v>218</v>
      </c>
      <c r="C1085" s="118">
        <f>INDIRECT("'Закуп'!A" &amp; B1085)</f>
        <v/>
      </c>
      <c r="D1085" s="119">
        <f>C1085*1.2</f>
        <v/>
      </c>
      <c r="G1085" s="172">
        <f>IF(INDIRECT("'Закуп'!L" &amp; B1085)="Sale","Sale","")</f>
        <v/>
      </c>
      <c r="H1085" s="158">
        <f>IF(INDIRECT("'Закуп'!F" &amp; B1085)=0,"",INDIRECT("'Закуп'!F" &amp; B1085))</f>
        <v/>
      </c>
      <c r="I1085" s="120" t="n">
        <v>500</v>
      </c>
      <c r="J1085" s="121">
        <f>K1085/1.2</f>
        <v/>
      </c>
      <c r="K1085" s="70" t="n">
        <v>0.86</v>
      </c>
      <c r="L1085" s="122">
        <f>J1085-C1085-(J1085-C1085)*0.2</f>
        <v/>
      </c>
      <c r="M1085" s="123">
        <f>L1085*I1085</f>
        <v/>
      </c>
      <c r="N1085" s="124" t="inlineStr">
        <is>
          <t xml:space="preserve">500-990 шт - </t>
        </is>
      </c>
      <c r="O1085" s="47" t="inlineStr">
        <is>
          <t xml:space="preserve"> руб / шт с НДС</t>
        </is>
      </c>
      <c r="P1085" s="125">
        <f>ROUND(K1085,2)</f>
        <v/>
      </c>
      <c r="Q1085" s="207">
        <f>CONCATENATE(N1085,P1085,O1085,)</f>
        <v/>
      </c>
      <c r="R1085" s="240" t="n"/>
      <c r="T1085" s="241" t="n"/>
      <c r="U1085" s="240" t="n"/>
      <c r="V1085" s="241" t="n"/>
      <c r="Z1085" s="240" t="n"/>
      <c r="AB1085" s="241" t="n"/>
      <c r="AC1085" s="240" t="n"/>
      <c r="AD1085" s="241" t="n"/>
    </row>
    <row r="1086">
      <c r="B1086" s="42" t="n">
        <v>218</v>
      </c>
      <c r="C1086" s="118">
        <f>INDIRECT("'Закуп'!A" &amp; B1086)</f>
        <v/>
      </c>
      <c r="D1086" s="119">
        <f>C1086*1.2</f>
        <v/>
      </c>
      <c r="G1086" s="172">
        <f>IF(INDIRECT("'Закуп'!L" &amp; B1086)="Sale","Sale","")</f>
        <v/>
      </c>
      <c r="H1086" s="158">
        <f>IF(INDIRECT("'Закуп'!F" &amp; B1086)=0,"",INDIRECT("'Закуп'!F" &amp; B1086))</f>
        <v/>
      </c>
      <c r="I1086" s="120" t="n">
        <v>1000</v>
      </c>
      <c r="J1086" s="121">
        <f>K1086/1.2</f>
        <v/>
      </c>
      <c r="K1086" s="70" t="n">
        <v>0.75</v>
      </c>
      <c r="L1086" s="122">
        <f>J1086-C1086-(J1086-C1086)*0.2</f>
        <v/>
      </c>
      <c r="M1086" s="123">
        <f>L1086*I1086</f>
        <v/>
      </c>
      <c r="N1086" s="124" t="inlineStr">
        <is>
          <t xml:space="preserve">1000 + шт - </t>
        </is>
      </c>
      <c r="O1086" s="47" t="inlineStr">
        <is>
          <t xml:space="preserve"> руб / шт с НДС</t>
        </is>
      </c>
      <c r="P1086" s="125">
        <f>ROUND(K1086,2)</f>
        <v/>
      </c>
      <c r="Q1086" s="207">
        <f>CONCATENATE(N1086,P1086,O1086,)</f>
        <v/>
      </c>
      <c r="R1086" s="240" t="n"/>
      <c r="T1086" s="241" t="n"/>
      <c r="U1086" s="240" t="n"/>
      <c r="V1086" s="241" t="n"/>
      <c r="Z1086" s="240" t="n"/>
      <c r="AB1086" s="241" t="n"/>
      <c r="AC1086" s="240" t="n"/>
      <c r="AD1086" s="241" t="n"/>
    </row>
    <row r="1087">
      <c r="A1087" s="232" t="n">
        <v>219</v>
      </c>
      <c r="B1087" s="42" t="n">
        <v>219</v>
      </c>
      <c r="C1087" s="118">
        <f>INDIRECT("'Закуп'!A" &amp; B1087)</f>
        <v/>
      </c>
      <c r="D1087" s="119">
        <f>C1087*1.2</f>
        <v/>
      </c>
      <c r="E1087" s="224">
        <f>INDIRECT("'Закуп'!D" &amp; A1087)</f>
        <v/>
      </c>
      <c r="F1087" s="231">
        <f>INDIRECT("'Закуп'!E" &amp; B1087)</f>
        <v/>
      </c>
      <c r="G1087" s="172">
        <f>IF(INDIRECT("'Закуп'!L" &amp; B1087)="Sale","Sale","")</f>
        <v/>
      </c>
      <c r="H1087" s="158">
        <f>IF(INDIRECT("'Закуп'!F" &amp; B1087)=0,"",INDIRECT("'Закуп'!F" &amp; B1087))</f>
        <v/>
      </c>
      <c r="I1087" s="120" t="n">
        <v>50</v>
      </c>
      <c r="J1087" s="121">
        <f>K1087/1.2</f>
        <v/>
      </c>
      <c r="K1087" s="242" t="n">
        <v>3.67</v>
      </c>
      <c r="L1087" s="122">
        <f>J1087-C1087-(J1087-C1087)*0.2</f>
        <v/>
      </c>
      <c r="M1087" s="123">
        <f>L1087*I1087</f>
        <v/>
      </c>
      <c r="N1087" s="124" t="inlineStr">
        <is>
          <t xml:space="preserve">50-90 шт - </t>
        </is>
      </c>
      <c r="O1087" s="47" t="inlineStr">
        <is>
          <t xml:space="preserve"> руб / шт с НДС</t>
        </is>
      </c>
      <c r="P1087" s="125">
        <f>ROUND(K1087,2)</f>
        <v/>
      </c>
      <c r="Q1087" s="207">
        <f>CONCATENATE(N1087,P1087,O1087,)</f>
        <v/>
      </c>
      <c r="R1087" s="235">
        <f>INDIRECT("'Закуп'!k" &amp; A1087)</f>
        <v/>
      </c>
      <c r="S1087" s="239">
        <f>INDIRECT("'Закуп'!o" &amp; A1087)</f>
        <v/>
      </c>
      <c r="T1087" s="226">
        <f>INDIRECT("'Закуп'!p" &amp; A1087)</f>
        <v/>
      </c>
      <c r="U1087" s="235">
        <f>INDIRECT("'Закуп'!v" &amp; A1087)</f>
        <v/>
      </c>
      <c r="V1087" s="222">
        <f>INDIRECT("'Закуп'!w" &amp; A1087)</f>
        <v/>
      </c>
      <c r="W1087" s="229">
        <f>INDIRECT("'Закуп'!H" &amp; A1087)</f>
        <v/>
      </c>
      <c r="X1087" s="237">
        <f>INDIRECT("'Закуп'!g" &amp; A1087)</f>
        <v/>
      </c>
      <c r="Y1087" s="229">
        <f>INDIRECT("'Закуп'!i" &amp; A1087)</f>
        <v/>
      </c>
      <c r="Z1087" s="236">
        <f>INDIRECT("'Закуп'!x" &amp; A1087)</f>
        <v/>
      </c>
      <c r="AA1087" s="237">
        <f>INDIRECT("'Закуп'!y" &amp; A1087)</f>
        <v/>
      </c>
      <c r="AB1087" s="238">
        <f>INDIRECT("'Закуп'!z" &amp; A1087)</f>
        <v/>
      </c>
      <c r="AC1087" s="223">
        <f>SUBSTITUTE(INDEX(F:F, ROUNDUP((ROW(A1086))/5,0)*5 - 3), "х", "x")</f>
        <v/>
      </c>
      <c r="AD1087" s="222">
        <f>SUBSTITUTE(INDEX(F:F, ROUNDUP((ROW(A1086))/5,0)*5 - 3), "х", "x") &amp; " - " &amp; SUBSTITUTE(SUBSTITUTE(INDEX(F:F, ROUNDUP((ROW(A1086))/5,0)*5 - 3), "х", "*"), "x", "*") &amp; " мм"</f>
        <v/>
      </c>
      <c r="AE1087" t="n">
        <v>5.34</v>
      </c>
    </row>
    <row r="1088">
      <c r="B1088" s="42" t="n">
        <v>219</v>
      </c>
      <c r="C1088" s="118">
        <f>INDIRECT("'Закуп'!A" &amp; B1088)</f>
        <v/>
      </c>
      <c r="D1088" s="119">
        <f>C1088*1.2</f>
        <v/>
      </c>
      <c r="G1088" s="172">
        <f>IF(INDIRECT("'Закуп'!L" &amp; B1088)="Sale","Sale","")</f>
        <v/>
      </c>
      <c r="H1088" s="158">
        <f>IF(INDIRECT("'Закуп'!F" &amp; B1088)=0,"",INDIRECT("'Закуп'!F" &amp; B1088))</f>
        <v/>
      </c>
      <c r="I1088" s="120" t="n">
        <v>100</v>
      </c>
      <c r="J1088" s="121">
        <f>K1088/1.2</f>
        <v/>
      </c>
      <c r="K1088" s="242" t="n">
        <v>3.12</v>
      </c>
      <c r="L1088" s="122">
        <f>J1088-C1088-(J1088-C1088)*0.2</f>
        <v/>
      </c>
      <c r="M1088" s="123">
        <f>L1088*I1088</f>
        <v/>
      </c>
      <c r="N1088" s="124" t="inlineStr">
        <is>
          <t xml:space="preserve">100-290 шт - </t>
        </is>
      </c>
      <c r="O1088" s="47" t="inlineStr">
        <is>
          <t xml:space="preserve"> руб / шт с НДС</t>
        </is>
      </c>
      <c r="P1088" s="125">
        <f>ROUND(K1088,2)</f>
        <v/>
      </c>
      <c r="Q1088" s="207">
        <f>CONCATENATE(N1088,P1088,O1088,)</f>
        <v/>
      </c>
      <c r="R1088" s="240" t="n"/>
      <c r="T1088" s="241" t="n"/>
      <c r="U1088" s="240" t="n"/>
      <c r="V1088" s="241" t="n"/>
      <c r="Z1088" s="240" t="n"/>
      <c r="AB1088" s="241" t="n"/>
      <c r="AC1088" s="240" t="n"/>
      <c r="AD1088" s="241" t="n"/>
      <c r="AE1088" t="n">
        <v>4.94</v>
      </c>
    </row>
    <row r="1089">
      <c r="B1089" s="42" t="n">
        <v>219</v>
      </c>
      <c r="C1089" s="118">
        <f>INDIRECT("'Закуп'!A" &amp; B1089)</f>
        <v/>
      </c>
      <c r="D1089" s="119">
        <f>C1089*1.2</f>
        <v/>
      </c>
      <c r="G1089" s="172">
        <f>IF(INDIRECT("'Закуп'!L" &amp; B1089)="Sale","Sale","")</f>
        <v/>
      </c>
      <c r="H1089" s="158">
        <f>IF(INDIRECT("'Закуп'!F" &amp; B1089)=0,"",INDIRECT("'Закуп'!F" &amp; B1089))</f>
        <v/>
      </c>
      <c r="I1089" s="120" t="n">
        <v>300</v>
      </c>
      <c r="J1089" s="121">
        <f>K1089/1.2</f>
        <v/>
      </c>
      <c r="K1089" s="242" t="n">
        <v>2.94</v>
      </c>
      <c r="L1089" s="122">
        <f>J1089-C1089-(J1089-C1089)*0.2</f>
        <v/>
      </c>
      <c r="M1089" s="123">
        <f>L1089*I1089</f>
        <v/>
      </c>
      <c r="N1089" s="124" t="inlineStr">
        <is>
          <t xml:space="preserve">300-490 шт - </t>
        </is>
      </c>
      <c r="O1089" s="47" t="inlineStr">
        <is>
          <t xml:space="preserve"> руб / шт с НДС</t>
        </is>
      </c>
      <c r="P1089" s="125">
        <f>ROUND(K1089,2)</f>
        <v/>
      </c>
      <c r="Q1089" s="207">
        <f>CONCATENATE(N1089,P1089,O1089,)</f>
        <v/>
      </c>
      <c r="R1089" s="240" t="n"/>
      <c r="T1089" s="241" t="n"/>
      <c r="U1089" s="240" t="n"/>
      <c r="V1089" s="241" t="n"/>
      <c r="Z1089" s="240" t="n"/>
      <c r="AB1089" s="241" t="n"/>
      <c r="AC1089" s="240" t="n"/>
      <c r="AD1089" s="241" t="n"/>
      <c r="AE1089" t="n">
        <v>4.21</v>
      </c>
    </row>
    <row r="1090">
      <c r="B1090" s="42" t="n">
        <v>219</v>
      </c>
      <c r="C1090" s="118">
        <f>INDIRECT("'Закуп'!A" &amp; B1090)</f>
        <v/>
      </c>
      <c r="D1090" s="119">
        <f>C1090*1.2</f>
        <v/>
      </c>
      <c r="G1090" s="172">
        <f>IF(INDIRECT("'Закуп'!L" &amp; B1090)="Sale","Sale","")</f>
        <v/>
      </c>
      <c r="H1090" s="158">
        <f>IF(INDIRECT("'Закуп'!F" &amp; B1090)=0,"",INDIRECT("'Закуп'!F" &amp; B1090))</f>
        <v/>
      </c>
      <c r="I1090" s="120" t="n">
        <v>500</v>
      </c>
      <c r="J1090" s="121">
        <f>K1090/1.2</f>
        <v/>
      </c>
      <c r="K1090" s="242" t="n">
        <v>2.79</v>
      </c>
      <c r="L1090" s="122">
        <f>J1090-C1090-(J1090-C1090)*0.2</f>
        <v/>
      </c>
      <c r="M1090" s="123">
        <f>L1090*I1090</f>
        <v/>
      </c>
      <c r="N1090" s="124" t="inlineStr">
        <is>
          <t xml:space="preserve">500-990 шт - </t>
        </is>
      </c>
      <c r="O1090" s="47" t="inlineStr">
        <is>
          <t xml:space="preserve"> руб / шт с НДС</t>
        </is>
      </c>
      <c r="P1090" s="125">
        <f>ROUND(K1090,2)</f>
        <v/>
      </c>
      <c r="Q1090" s="207">
        <f>CONCATENATE(N1090,P1090,O1090,)</f>
        <v/>
      </c>
      <c r="R1090" s="240" t="n"/>
      <c r="T1090" s="241" t="n"/>
      <c r="U1090" s="240" t="n"/>
      <c r="V1090" s="241" t="n"/>
      <c r="Z1090" s="240" t="n"/>
      <c r="AB1090" s="241" t="n"/>
      <c r="AC1090" s="240" t="n"/>
      <c r="AD1090" s="241" t="n"/>
      <c r="AE1090" t="n">
        <v>4.08</v>
      </c>
    </row>
    <row r="1091">
      <c r="B1091" s="42" t="n">
        <v>219</v>
      </c>
      <c r="C1091" s="118">
        <f>INDIRECT("'Закуп'!A" &amp; B1091)</f>
        <v/>
      </c>
      <c r="D1091" s="119">
        <f>C1091*1.2</f>
        <v/>
      </c>
      <c r="G1091" s="172">
        <f>IF(INDIRECT("'Закуп'!L" &amp; B1091)="Sale","Sale","")</f>
        <v/>
      </c>
      <c r="H1091" s="158">
        <f>IF(INDIRECT("'Закуп'!F" &amp; B1091)=0,"",INDIRECT("'Закуп'!F" &amp; B1091))</f>
        <v/>
      </c>
      <c r="I1091" s="120" t="n">
        <v>1000</v>
      </c>
      <c r="J1091" s="121">
        <f>K1091/1.2</f>
        <v/>
      </c>
      <c r="K1091" s="242" t="n">
        <v>2.7</v>
      </c>
      <c r="L1091" s="122">
        <f>J1091-C1091-(J1091-C1091)*0.2</f>
        <v/>
      </c>
      <c r="M1091" s="123">
        <f>L1091*I1091</f>
        <v/>
      </c>
      <c r="N1091" s="124" t="inlineStr">
        <is>
          <t xml:space="preserve">1000 + шт - </t>
        </is>
      </c>
      <c r="O1091" s="47" t="inlineStr">
        <is>
          <t xml:space="preserve"> руб / шт с НДС</t>
        </is>
      </c>
      <c r="P1091" s="125">
        <f>ROUND(K1091,2)</f>
        <v/>
      </c>
      <c r="Q1091" s="207">
        <f>CONCATENATE(N1091,P1091,O1091,)</f>
        <v/>
      </c>
      <c r="R1091" s="240" t="n"/>
      <c r="T1091" s="241" t="n"/>
      <c r="U1091" s="240" t="n"/>
      <c r="V1091" s="241" t="n"/>
      <c r="Z1091" s="240" t="n"/>
      <c r="AB1091" s="241" t="n"/>
      <c r="AC1091" s="240" t="n"/>
      <c r="AD1091" s="241" t="n"/>
      <c r="AE1091" t="n">
        <v>4</v>
      </c>
    </row>
    <row r="1092">
      <c r="A1092" s="232" t="n">
        <v>220</v>
      </c>
      <c r="B1092" s="42" t="n">
        <v>220</v>
      </c>
      <c r="C1092" s="118">
        <f>INDIRECT("'Закуп'!A" &amp; B1092)</f>
        <v/>
      </c>
      <c r="D1092" s="119">
        <f>C1092*1.2</f>
        <v/>
      </c>
      <c r="E1092" s="224">
        <f>INDIRECT("'Закуп'!D" &amp; A1092)</f>
        <v/>
      </c>
      <c r="F1092" s="231">
        <f>INDIRECT("'Закуп'!E" &amp; B1092)</f>
        <v/>
      </c>
      <c r="G1092" s="172">
        <f>IF(INDIRECT("'Закуп'!L" &amp; B1092)="Sale","Sale","")</f>
        <v/>
      </c>
      <c r="H1092" s="158">
        <f>IF(INDIRECT("'Закуп'!F" &amp; B1092)=0,"",INDIRECT("'Закуп'!F" &amp; B1092))</f>
        <v/>
      </c>
      <c r="I1092" s="120" t="n">
        <v>50</v>
      </c>
      <c r="J1092" s="121">
        <f>K1092/1.2</f>
        <v/>
      </c>
      <c r="K1092" s="70" t="n">
        <v>0.54</v>
      </c>
      <c r="L1092" s="122">
        <f>J1092-C1092-(J1092-C1092)*0.2</f>
        <v/>
      </c>
      <c r="M1092" s="123">
        <f>L1092*I1092</f>
        <v/>
      </c>
      <c r="N1092" s="124" t="inlineStr">
        <is>
          <t xml:space="preserve">50-90 шт - </t>
        </is>
      </c>
      <c r="O1092" s="47" t="inlineStr">
        <is>
          <t xml:space="preserve"> руб / шт с НДС</t>
        </is>
      </c>
      <c r="P1092" s="125">
        <f>ROUND(K1092,2)</f>
        <v/>
      </c>
      <c r="Q1092" s="207">
        <f>CONCATENATE(N1092,P1092,O1092,)</f>
        <v/>
      </c>
      <c r="R1092" s="235">
        <f>INDIRECT("'Закуп'!k" &amp; A1092)</f>
        <v/>
      </c>
      <c r="S1092" s="239">
        <f>INDIRECT("'Закуп'!o" &amp; A1092)</f>
        <v/>
      </c>
      <c r="T1092" s="226">
        <f>INDIRECT("'Закуп'!p" &amp; A1092)</f>
        <v/>
      </c>
      <c r="U1092" s="235">
        <f>INDIRECT("'Закуп'!v" &amp; A1092)</f>
        <v/>
      </c>
      <c r="V1092" s="222">
        <f>INDIRECT("'Закуп'!w" &amp; A1092)</f>
        <v/>
      </c>
      <c r="W1092" s="229">
        <f>INDIRECT("'Закуп'!H" &amp; A1092)</f>
        <v/>
      </c>
      <c r="X1092" s="237">
        <f>INDIRECT("'Закуп'!g" &amp; A1092)</f>
        <v/>
      </c>
      <c r="Y1092" s="229">
        <f>INDIRECT("'Закуп'!i" &amp; A1092)</f>
        <v/>
      </c>
      <c r="Z1092" s="236">
        <f>INDIRECT("'Закуп'!x" &amp; A1092)</f>
        <v/>
      </c>
      <c r="AA1092" s="237">
        <f>INDIRECT("'Закуп'!y" &amp; A1092)</f>
        <v/>
      </c>
      <c r="AB1092" s="238">
        <f>INDIRECT("'Закуп'!z" &amp; A1092)</f>
        <v/>
      </c>
      <c r="AC1092" s="223">
        <f>SUBSTITUTE(INDEX(F:F, ROUNDUP((ROW(A1091))/5,0)*5 - 3), "х", "x")</f>
        <v/>
      </c>
      <c r="AD1092" s="222">
        <f>SUBSTITUTE(INDEX(F:F, ROUNDUP((ROW(A1091))/5,0)*5 - 3), "х", "x") &amp; " - " &amp; SUBSTITUTE(SUBSTITUTE(INDEX(F:F, ROUNDUP((ROW(A1091))/5,0)*5 - 3), "х", "*"), "x", "*") &amp; " мм"</f>
        <v/>
      </c>
    </row>
    <row r="1093">
      <c r="B1093" s="42" t="n">
        <v>220</v>
      </c>
      <c r="C1093" s="118">
        <f>INDIRECT("'Закуп'!A" &amp; B1093)</f>
        <v/>
      </c>
      <c r="D1093" s="119">
        <f>C1093*1.2</f>
        <v/>
      </c>
      <c r="G1093" s="172">
        <f>IF(INDIRECT("'Закуп'!L" &amp; B1093)="Sale","Sale","")</f>
        <v/>
      </c>
      <c r="H1093" s="158">
        <f>IF(INDIRECT("'Закуп'!F" &amp; B1093)=0,"",INDIRECT("'Закуп'!F" &amp; B1093))</f>
        <v/>
      </c>
      <c r="I1093" s="120" t="n">
        <v>100</v>
      </c>
      <c r="J1093" s="121">
        <f>K1093/1.2</f>
        <v/>
      </c>
      <c r="K1093" s="70" t="n">
        <v>0.54</v>
      </c>
      <c r="L1093" s="122">
        <f>J1093-C1093-(J1093-C1093)*0.2</f>
        <v/>
      </c>
      <c r="M1093" s="123">
        <f>L1093*I1093</f>
        <v/>
      </c>
      <c r="N1093" s="124" t="inlineStr">
        <is>
          <t xml:space="preserve">100-290 шт - </t>
        </is>
      </c>
      <c r="O1093" s="47" t="inlineStr">
        <is>
          <t xml:space="preserve"> руб / шт с НДС</t>
        </is>
      </c>
      <c r="P1093" s="125">
        <f>ROUND(K1093,2)</f>
        <v/>
      </c>
      <c r="Q1093" s="207">
        <f>CONCATENATE(N1093,P1093,O1093,)</f>
        <v/>
      </c>
      <c r="R1093" s="240" t="n"/>
      <c r="T1093" s="241" t="n"/>
      <c r="U1093" s="240" t="n"/>
      <c r="V1093" s="241" t="n"/>
      <c r="Z1093" s="240" t="n"/>
      <c r="AB1093" s="241" t="n"/>
      <c r="AC1093" s="240" t="n"/>
      <c r="AD1093" s="241" t="n"/>
    </row>
    <row r="1094">
      <c r="B1094" s="42" t="n">
        <v>220</v>
      </c>
      <c r="C1094" s="118">
        <f>INDIRECT("'Закуп'!A" &amp; B1094)</f>
        <v/>
      </c>
      <c r="D1094" s="119">
        <f>C1094*1.2</f>
        <v/>
      </c>
      <c r="G1094" s="172">
        <f>IF(INDIRECT("'Закуп'!L" &amp; B1094)="Sale","Sale","")</f>
        <v/>
      </c>
      <c r="H1094" s="158">
        <f>IF(INDIRECT("'Закуп'!F" &amp; B1094)=0,"",INDIRECT("'Закуп'!F" &amp; B1094))</f>
        <v/>
      </c>
      <c r="I1094" s="120" t="n">
        <v>300</v>
      </c>
      <c r="J1094" s="121">
        <f>K1094/1.2</f>
        <v/>
      </c>
      <c r="K1094" s="70" t="n">
        <v>0.54</v>
      </c>
      <c r="L1094" s="122">
        <f>J1094-C1094-(J1094-C1094)*0.2</f>
        <v/>
      </c>
      <c r="M1094" s="123">
        <f>L1094*I1094</f>
        <v/>
      </c>
      <c r="N1094" s="124" t="inlineStr">
        <is>
          <t xml:space="preserve">300-490 шт - </t>
        </is>
      </c>
      <c r="O1094" s="47" t="inlineStr">
        <is>
          <t xml:space="preserve"> руб / шт с НДС</t>
        </is>
      </c>
      <c r="P1094" s="125">
        <f>ROUND(K1094,2)</f>
        <v/>
      </c>
      <c r="Q1094" s="207">
        <f>CONCATENATE(N1094,P1094,O1094,)</f>
        <v/>
      </c>
      <c r="R1094" s="240" t="n"/>
      <c r="T1094" s="241" t="n"/>
      <c r="U1094" s="240" t="n"/>
      <c r="V1094" s="241" t="n"/>
      <c r="Z1094" s="240" t="n"/>
      <c r="AB1094" s="241" t="n"/>
      <c r="AC1094" s="240" t="n"/>
      <c r="AD1094" s="241" t="n"/>
    </row>
    <row r="1095">
      <c r="B1095" s="42" t="n">
        <v>220</v>
      </c>
      <c r="C1095" s="118">
        <f>INDIRECT("'Закуп'!A" &amp; B1095)</f>
        <v/>
      </c>
      <c r="D1095" s="119">
        <f>C1095*1.2</f>
        <v/>
      </c>
      <c r="G1095" s="172">
        <f>IF(INDIRECT("'Закуп'!L" &amp; B1095)="Sale","Sale","")</f>
        <v/>
      </c>
      <c r="H1095" s="158">
        <f>IF(INDIRECT("'Закуп'!F" &amp; B1095)=0,"",INDIRECT("'Закуп'!F" &amp; B1095))</f>
        <v/>
      </c>
      <c r="I1095" s="120" t="n">
        <v>500</v>
      </c>
      <c r="J1095" s="121">
        <f>K1095/1.2</f>
        <v/>
      </c>
      <c r="K1095" s="70" t="n">
        <v>0.54</v>
      </c>
      <c r="L1095" s="122">
        <f>J1095-C1095-(J1095-C1095)*0.2</f>
        <v/>
      </c>
      <c r="M1095" s="123">
        <f>L1095*I1095</f>
        <v/>
      </c>
      <c r="N1095" s="124" t="inlineStr">
        <is>
          <t xml:space="preserve">500-990 шт - </t>
        </is>
      </c>
      <c r="O1095" s="47" t="inlineStr">
        <is>
          <t xml:space="preserve"> руб / шт с НДС</t>
        </is>
      </c>
      <c r="P1095" s="125">
        <f>ROUND(K1095,2)</f>
        <v/>
      </c>
      <c r="Q1095" s="207">
        <f>CONCATENATE(N1095,P1095,O1095,)</f>
        <v/>
      </c>
      <c r="R1095" s="240" t="n"/>
      <c r="T1095" s="241" t="n"/>
      <c r="U1095" s="240" t="n"/>
      <c r="V1095" s="241" t="n"/>
      <c r="Z1095" s="240" t="n"/>
      <c r="AB1095" s="241" t="n"/>
      <c r="AC1095" s="240" t="n"/>
      <c r="AD1095" s="241" t="n"/>
    </row>
    <row r="1096">
      <c r="B1096" s="42" t="n">
        <v>220</v>
      </c>
      <c r="C1096" s="118">
        <f>INDIRECT("'Закуп'!A" &amp; B1096)</f>
        <v/>
      </c>
      <c r="D1096" s="119">
        <f>C1096*1.2</f>
        <v/>
      </c>
      <c r="G1096" s="172">
        <f>IF(INDIRECT("'Закуп'!L" &amp; B1096)="Sale","Sale","")</f>
        <v/>
      </c>
      <c r="H1096" s="158">
        <f>IF(INDIRECT("'Закуп'!F" &amp; B1096)=0,"",INDIRECT("'Закуп'!F" &amp; B1096))</f>
        <v/>
      </c>
      <c r="I1096" s="120" t="n">
        <v>1000</v>
      </c>
      <c r="J1096" s="121">
        <f>K1096/1.2</f>
        <v/>
      </c>
      <c r="K1096" s="70" t="n">
        <v>0.54</v>
      </c>
      <c r="L1096" s="122">
        <f>J1096-C1096-(J1096-C1096)*0.2</f>
        <v/>
      </c>
      <c r="M1096" s="123">
        <f>L1096*I1096</f>
        <v/>
      </c>
      <c r="N1096" s="124" t="inlineStr">
        <is>
          <t xml:space="preserve">1000 + шт - </t>
        </is>
      </c>
      <c r="O1096" s="47" t="inlineStr">
        <is>
          <t xml:space="preserve"> руб / шт с НДС</t>
        </is>
      </c>
      <c r="P1096" s="125">
        <f>ROUND(K1096,2)</f>
        <v/>
      </c>
      <c r="Q1096" s="207">
        <f>CONCATENATE(N1096,P1096,O1096,)</f>
        <v/>
      </c>
      <c r="R1096" s="240" t="n"/>
      <c r="T1096" s="241" t="n"/>
      <c r="U1096" s="240" t="n"/>
      <c r="V1096" s="241" t="n"/>
      <c r="Z1096" s="240" t="n"/>
      <c r="AB1096" s="241" t="n"/>
      <c r="AC1096" s="240" t="n"/>
      <c r="AD1096" s="241" t="n"/>
    </row>
    <row r="1097">
      <c r="A1097" s="232" t="n">
        <v>221</v>
      </c>
      <c r="B1097" s="42" t="n">
        <v>221</v>
      </c>
      <c r="C1097" s="118">
        <f>INDIRECT("'Закуп'!A" &amp; B1097)</f>
        <v/>
      </c>
      <c r="D1097" s="119">
        <f>C1097*1.2</f>
        <v/>
      </c>
      <c r="E1097" s="224">
        <f>INDIRECT("'Закуп'!D" &amp; A1097)</f>
        <v/>
      </c>
      <c r="F1097" s="231">
        <f>INDIRECT("'Закуп'!E" &amp; B1097)</f>
        <v/>
      </c>
      <c r="G1097" s="172">
        <f>IF(INDIRECT("'Закуп'!L" &amp; B1097)="Sale","Sale","")</f>
        <v/>
      </c>
      <c r="H1097" s="158">
        <f>IF(INDIRECT("'Закуп'!F" &amp; B1097)=0,"",INDIRECT("'Закуп'!F" &amp; B1097))</f>
        <v/>
      </c>
      <c r="I1097" s="120" t="n">
        <v>50</v>
      </c>
      <c r="J1097" s="121">
        <f>K1097/1.2</f>
        <v/>
      </c>
      <c r="K1097" s="242" t="n">
        <v>0.98</v>
      </c>
      <c r="L1097" s="122">
        <f>J1097-C1097-(J1097-C1097)*0.2</f>
        <v/>
      </c>
      <c r="M1097" s="123">
        <f>L1097*I1097</f>
        <v/>
      </c>
      <c r="N1097" s="124" t="inlineStr">
        <is>
          <t xml:space="preserve">50-90 шт - </t>
        </is>
      </c>
      <c r="O1097" s="47" t="inlineStr">
        <is>
          <t xml:space="preserve"> руб / шт с НДС</t>
        </is>
      </c>
      <c r="P1097" s="125">
        <f>ROUND(K1097,2)</f>
        <v/>
      </c>
      <c r="Q1097" s="207">
        <f>CONCATENATE(N1097,P1097,O1097,)</f>
        <v/>
      </c>
      <c r="R1097" s="235">
        <f>INDIRECT("'Закуп'!k" &amp; A1097)</f>
        <v/>
      </c>
      <c r="S1097" s="239">
        <f>INDIRECT("'Закуп'!o" &amp; A1097)</f>
        <v/>
      </c>
      <c r="T1097" s="226">
        <f>INDIRECT("'Закуп'!p" &amp; A1097)</f>
        <v/>
      </c>
      <c r="U1097" s="235">
        <f>INDIRECT("'Закуп'!v" &amp; A1097)</f>
        <v/>
      </c>
      <c r="V1097" s="222">
        <f>INDIRECT("'Закуп'!w" &amp; A1097)</f>
        <v/>
      </c>
      <c r="W1097" s="229">
        <f>INDIRECT("'Закуп'!H" &amp; A1097)</f>
        <v/>
      </c>
      <c r="X1097" s="237">
        <f>INDIRECT("'Закуп'!g" &amp; A1097)</f>
        <v/>
      </c>
      <c r="Y1097" s="229">
        <f>INDIRECT("'Закуп'!i" &amp; A1097)</f>
        <v/>
      </c>
      <c r="Z1097" s="236">
        <f>INDIRECT("'Закуп'!x" &amp; A1097)</f>
        <v/>
      </c>
      <c r="AA1097" s="237">
        <f>INDIRECT("'Закуп'!y" &amp; A1097)</f>
        <v/>
      </c>
      <c r="AB1097" s="238">
        <f>INDIRECT("'Закуп'!z" &amp; A1097)</f>
        <v/>
      </c>
      <c r="AC1097" s="223">
        <f>SUBSTITUTE(INDEX(F:F, ROUNDUP((ROW(A1096))/5,0)*5 - 3), "х", "x")</f>
        <v/>
      </c>
      <c r="AD1097" s="222">
        <f>SUBSTITUTE(INDEX(F:F, ROUNDUP((ROW(A1096))/5,0)*5 - 3), "х", "x") &amp; " - " &amp; SUBSTITUTE(SUBSTITUTE(INDEX(F:F, ROUNDUP((ROW(A1096))/5,0)*5 - 3), "х", "*"), "x", "*") &amp; " мм"</f>
        <v/>
      </c>
      <c r="AE1097" t="n">
        <v>1.18</v>
      </c>
    </row>
    <row r="1098">
      <c r="B1098" s="42" t="n">
        <v>221</v>
      </c>
      <c r="C1098" s="118">
        <f>INDIRECT("'Закуп'!A" &amp; B1098)</f>
        <v/>
      </c>
      <c r="D1098" s="119">
        <f>C1098*1.2</f>
        <v/>
      </c>
      <c r="G1098" s="172">
        <f>IF(INDIRECT("'Закуп'!L" &amp; B1098)="Sale","Sale","")</f>
        <v/>
      </c>
      <c r="H1098" s="158">
        <f>IF(INDIRECT("'Закуп'!F" &amp; B1098)=0,"",INDIRECT("'Закуп'!F" &amp; B1098))</f>
        <v/>
      </c>
      <c r="I1098" s="120" t="n">
        <v>100</v>
      </c>
      <c r="J1098" s="121">
        <f>K1098/1.2</f>
        <v/>
      </c>
      <c r="K1098" s="242" t="n">
        <v>0.86</v>
      </c>
      <c r="L1098" s="122">
        <f>J1098-C1098-(J1098-C1098)*0.2</f>
        <v/>
      </c>
      <c r="M1098" s="123">
        <f>L1098*I1098</f>
        <v/>
      </c>
      <c r="N1098" s="124" t="inlineStr">
        <is>
          <t xml:space="preserve">100-290 шт - </t>
        </is>
      </c>
      <c r="O1098" s="47" t="inlineStr">
        <is>
          <t xml:space="preserve"> руб / шт с НДС</t>
        </is>
      </c>
      <c r="P1098" s="125">
        <f>ROUND(K1098,2)</f>
        <v/>
      </c>
      <c r="Q1098" s="207">
        <f>CONCATENATE(N1098,P1098,O1098,)</f>
        <v/>
      </c>
      <c r="R1098" s="240" t="n"/>
      <c r="T1098" s="241" t="n"/>
      <c r="U1098" s="240" t="n"/>
      <c r="V1098" s="241" t="n"/>
      <c r="Z1098" s="240" t="n"/>
      <c r="AB1098" s="241" t="n"/>
      <c r="AC1098" s="240" t="n"/>
      <c r="AD1098" s="241" t="n"/>
      <c r="AE1098" t="n">
        <v>1.07</v>
      </c>
    </row>
    <row r="1099">
      <c r="B1099" s="42" t="n">
        <v>221</v>
      </c>
      <c r="C1099" s="118">
        <f>INDIRECT("'Закуп'!A" &amp; B1099)</f>
        <v/>
      </c>
      <c r="D1099" s="119">
        <f>C1099*1.2</f>
        <v/>
      </c>
      <c r="G1099" s="172">
        <f>IF(INDIRECT("'Закуп'!L" &amp; B1099)="Sale","Sale","")</f>
        <v/>
      </c>
      <c r="H1099" s="158">
        <f>IF(INDIRECT("'Закуп'!F" &amp; B1099)=0,"",INDIRECT("'Закуп'!F" &amp; B1099))</f>
        <v/>
      </c>
      <c r="I1099" s="120" t="n">
        <v>300</v>
      </c>
      <c r="J1099" s="121">
        <f>K1099/1.2</f>
        <v/>
      </c>
      <c r="K1099" s="242" t="n">
        <v>0.75</v>
      </c>
      <c r="L1099" s="122">
        <f>J1099-C1099-(J1099-C1099)*0.2</f>
        <v/>
      </c>
      <c r="M1099" s="123">
        <f>L1099*I1099</f>
        <v/>
      </c>
      <c r="N1099" s="124" t="inlineStr">
        <is>
          <t xml:space="preserve">300-490 шт - </t>
        </is>
      </c>
      <c r="O1099" s="47" t="inlineStr">
        <is>
          <t xml:space="preserve"> руб / шт с НДС</t>
        </is>
      </c>
      <c r="P1099" s="125">
        <f>ROUND(K1099,2)</f>
        <v/>
      </c>
      <c r="Q1099" s="207">
        <f>CONCATENATE(N1099,P1099,O1099,)</f>
        <v/>
      </c>
      <c r="R1099" s="240" t="n"/>
      <c r="T1099" s="241" t="n"/>
      <c r="U1099" s="240" t="n"/>
      <c r="V1099" s="241" t="n"/>
      <c r="Z1099" s="240" t="n"/>
      <c r="AB1099" s="241" t="n"/>
      <c r="AC1099" s="240" t="n"/>
      <c r="AD1099" s="241" t="n"/>
      <c r="AE1099" t="n">
        <v>0.96</v>
      </c>
    </row>
    <row r="1100">
      <c r="B1100" s="42" t="n">
        <v>221</v>
      </c>
      <c r="C1100" s="118">
        <f>INDIRECT("'Закуп'!A" &amp; B1100)</f>
        <v/>
      </c>
      <c r="D1100" s="119">
        <f>C1100*1.2</f>
        <v/>
      </c>
      <c r="G1100" s="172">
        <f>IF(INDIRECT("'Закуп'!L" &amp; B1100)="Sale","Sale","")</f>
        <v/>
      </c>
      <c r="H1100" s="158">
        <f>IF(INDIRECT("'Закуп'!F" &amp; B1100)=0,"",INDIRECT("'Закуп'!F" &amp; B1100))</f>
        <v/>
      </c>
      <c r="I1100" s="120" t="n">
        <v>500</v>
      </c>
      <c r="J1100" s="121">
        <f>K1100/1.2</f>
        <v/>
      </c>
      <c r="K1100" s="242" t="n">
        <v>0.6899999999999999</v>
      </c>
      <c r="L1100" s="122">
        <f>J1100-C1100-(J1100-C1100)*0.2</f>
        <v/>
      </c>
      <c r="M1100" s="123">
        <f>L1100*I1100</f>
        <v/>
      </c>
      <c r="N1100" s="124" t="inlineStr">
        <is>
          <t xml:space="preserve">500-990 шт - </t>
        </is>
      </c>
      <c r="O1100" s="47" t="inlineStr">
        <is>
          <t xml:space="preserve"> руб / шт с НДС</t>
        </is>
      </c>
      <c r="P1100" s="125">
        <f>ROUND(K1100,2)</f>
        <v/>
      </c>
      <c r="Q1100" s="207">
        <f>CONCATENATE(N1100,P1100,O1100,)</f>
        <v/>
      </c>
      <c r="R1100" s="240" t="n"/>
      <c r="T1100" s="241" t="n"/>
      <c r="U1100" s="240" t="n"/>
      <c r="V1100" s="241" t="n"/>
      <c r="Z1100" s="240" t="n"/>
      <c r="AB1100" s="241" t="n"/>
      <c r="AC1100" s="240" t="n"/>
      <c r="AD1100" s="241" t="n"/>
      <c r="AE1100" t="n">
        <v>0.86</v>
      </c>
    </row>
    <row r="1101">
      <c r="B1101" s="42" t="n">
        <v>221</v>
      </c>
      <c r="C1101" s="118">
        <f>INDIRECT("'Закуп'!A" &amp; B1101)</f>
        <v/>
      </c>
      <c r="D1101" s="119">
        <f>C1101*1.2</f>
        <v/>
      </c>
      <c r="G1101" s="172">
        <f>IF(INDIRECT("'Закуп'!L" &amp; B1101)="Sale","Sale","")</f>
        <v/>
      </c>
      <c r="H1101" s="158">
        <f>IF(INDIRECT("'Закуп'!F" &amp; B1101)=0,"",INDIRECT("'Закуп'!F" &amp; B1101))</f>
        <v/>
      </c>
      <c r="I1101" s="120" t="n">
        <v>1000</v>
      </c>
      <c r="J1101" s="121">
        <f>K1101/1.2</f>
        <v/>
      </c>
      <c r="K1101" s="242" t="n">
        <v>0.57</v>
      </c>
      <c r="L1101" s="122">
        <f>J1101-C1101-(J1101-C1101)*0.2</f>
        <v/>
      </c>
      <c r="M1101" s="123">
        <f>L1101*I1101</f>
        <v/>
      </c>
      <c r="N1101" s="124" t="inlineStr">
        <is>
          <t xml:space="preserve">1000 + шт - </t>
        </is>
      </c>
      <c r="O1101" s="47" t="inlineStr">
        <is>
          <t xml:space="preserve"> руб / шт с НДС</t>
        </is>
      </c>
      <c r="P1101" s="125">
        <f>ROUND(K1101,2)</f>
        <v/>
      </c>
      <c r="Q1101" s="207">
        <f>CONCATENATE(N1101,P1101,O1101,)</f>
        <v/>
      </c>
      <c r="R1101" s="240" t="n"/>
      <c r="T1101" s="241" t="n"/>
      <c r="U1101" s="240" t="n"/>
      <c r="V1101" s="241" t="n"/>
      <c r="Z1101" s="240" t="n"/>
      <c r="AB1101" s="241" t="n"/>
      <c r="AC1101" s="240" t="n"/>
      <c r="AD1101" s="241" t="n"/>
      <c r="AE1101" t="n">
        <v>0.75</v>
      </c>
    </row>
    <row r="1102">
      <c r="A1102" s="232" t="n">
        <v>222</v>
      </c>
      <c r="B1102" s="42" t="n">
        <v>222</v>
      </c>
      <c r="C1102" s="118">
        <f>INDIRECT("'Закуп'!A" &amp; B1102)</f>
        <v/>
      </c>
      <c r="D1102" s="119">
        <f>C1102*1.2</f>
        <v/>
      </c>
      <c r="E1102" s="225">
        <f>INDIRECT("'Закуп'!D" &amp; A1102)</f>
        <v/>
      </c>
      <c r="F1102" s="231">
        <f>INDIRECT("'Закуп'!E" &amp; B1102)</f>
        <v/>
      </c>
      <c r="G1102" s="172">
        <f>IF(INDIRECT("'Закуп'!L" &amp; B1102)="Sale","Sale","")</f>
        <v/>
      </c>
      <c r="H1102" s="158">
        <f>IF(INDIRECT("'Закуп'!F" &amp; B1102)=0,"",INDIRECT("'Закуп'!F" &amp; B1102))</f>
        <v/>
      </c>
      <c r="I1102" s="120" t="n">
        <v>50</v>
      </c>
      <c r="J1102" s="121">
        <f>K1102/1.2</f>
        <v/>
      </c>
      <c r="K1102" s="70" t="n">
        <v>2.34</v>
      </c>
      <c r="L1102" s="122">
        <f>J1102-C1102-(J1102-C1102)*0.2</f>
        <v/>
      </c>
      <c r="M1102" s="123">
        <f>L1102*I1102</f>
        <v/>
      </c>
      <c r="N1102" s="124" t="inlineStr">
        <is>
          <t xml:space="preserve">50-90 шт - </t>
        </is>
      </c>
      <c r="O1102" s="47" t="inlineStr">
        <is>
          <t xml:space="preserve"> руб / шт с НДС</t>
        </is>
      </c>
      <c r="P1102" s="125">
        <f>ROUND(K1102,2)</f>
        <v/>
      </c>
      <c r="Q1102" s="207">
        <f>CONCATENATE(N1102,P1102,O1102,)</f>
        <v/>
      </c>
      <c r="R1102" s="235">
        <f>INDIRECT("'Закуп'!k" &amp; A1102)</f>
        <v/>
      </c>
      <c r="S1102" s="239">
        <f>INDIRECT("'Закуп'!o" &amp; A1102)</f>
        <v/>
      </c>
      <c r="T1102" s="226">
        <f>INDIRECT("'Закуп'!p" &amp; A1102)</f>
        <v/>
      </c>
      <c r="U1102" s="235">
        <f>INDIRECT("'Закуп'!v" &amp; A1102)</f>
        <v/>
      </c>
      <c r="V1102" s="222">
        <f>INDIRECT("'Закуп'!w" &amp; A1102)</f>
        <v/>
      </c>
      <c r="W1102" s="229">
        <f>INDIRECT("'Закуп'!H" &amp; A1102)</f>
        <v/>
      </c>
      <c r="X1102" s="237">
        <f>INDIRECT("'Закуп'!g" &amp; A1102)</f>
        <v/>
      </c>
      <c r="Y1102" s="229">
        <f>INDIRECT("'Закуп'!i" &amp; A1102)</f>
        <v/>
      </c>
      <c r="Z1102" s="236">
        <f>INDIRECT("'Закуп'!x" &amp; A1102)</f>
        <v/>
      </c>
      <c r="AA1102" s="237">
        <f>INDIRECT("'Закуп'!y" &amp; A1102)</f>
        <v/>
      </c>
      <c r="AB1102" s="238">
        <f>INDIRECT("'Закуп'!z" &amp; A1102)</f>
        <v/>
      </c>
      <c r="AC1102" s="223">
        <f>SUBSTITUTE(INDEX(F:F, ROUNDUP((ROW(A1101))/5,0)*5 - 3), "х", "x")</f>
        <v/>
      </c>
      <c r="AD1102" s="222">
        <f>SUBSTITUTE(INDEX(F:F, ROUNDUP((ROW(A1101))/5,0)*5 - 3), "х", "x") &amp; " - " &amp; SUBSTITUTE(SUBSTITUTE(INDEX(F:F, ROUNDUP((ROW(A1101))/5,0)*5 - 3), "х", "*"), "x", "*") &amp; " мм"</f>
        <v/>
      </c>
    </row>
    <row r="1103">
      <c r="B1103" s="42" t="n">
        <v>222</v>
      </c>
      <c r="C1103" s="118">
        <f>INDIRECT("'Закуп'!A" &amp; B1103)</f>
        <v/>
      </c>
      <c r="D1103" s="119">
        <f>C1103*1.2</f>
        <v/>
      </c>
      <c r="G1103" s="172">
        <f>IF(INDIRECT("'Закуп'!L" &amp; B1103)="Sale","Sale","")</f>
        <v/>
      </c>
      <c r="H1103" s="158">
        <f>IF(INDIRECT("'Закуп'!F" &amp; B1103)=0,"",INDIRECT("'Закуп'!F" &amp; B1103))</f>
        <v/>
      </c>
      <c r="I1103" s="120" t="n">
        <v>100</v>
      </c>
      <c r="J1103" s="121">
        <f>K1103/1.2</f>
        <v/>
      </c>
      <c r="K1103" s="70" t="n">
        <v>2.13</v>
      </c>
      <c r="L1103" s="122">
        <f>J1103-C1103-(J1103-C1103)*0.2</f>
        <v/>
      </c>
      <c r="M1103" s="123">
        <f>L1103*I1103</f>
        <v/>
      </c>
      <c r="N1103" s="124" t="inlineStr">
        <is>
          <t xml:space="preserve">100-290 шт - </t>
        </is>
      </c>
      <c r="O1103" s="47" t="inlineStr">
        <is>
          <t xml:space="preserve"> руб / шт с НДС</t>
        </is>
      </c>
      <c r="P1103" s="125">
        <f>ROUND(K1103,2)</f>
        <v/>
      </c>
      <c r="Q1103" s="207">
        <f>CONCATENATE(N1103,P1103,O1103,)</f>
        <v/>
      </c>
      <c r="R1103" s="240" t="n"/>
      <c r="T1103" s="241" t="n"/>
      <c r="U1103" s="240" t="n"/>
      <c r="V1103" s="241" t="n"/>
      <c r="Z1103" s="240" t="n"/>
      <c r="AB1103" s="241" t="n"/>
      <c r="AC1103" s="240" t="n"/>
      <c r="AD1103" s="241" t="n"/>
    </row>
    <row r="1104">
      <c r="B1104" s="42" t="n">
        <v>222</v>
      </c>
      <c r="C1104" s="118">
        <f>INDIRECT("'Закуп'!A" &amp; B1104)</f>
        <v/>
      </c>
      <c r="D1104" s="119">
        <f>C1104*1.2</f>
        <v/>
      </c>
      <c r="G1104" s="172">
        <f>IF(INDIRECT("'Закуп'!L" &amp; B1104)="Sale","Sale","")</f>
        <v/>
      </c>
      <c r="H1104" s="158">
        <f>IF(INDIRECT("'Закуп'!F" &amp; B1104)=0,"",INDIRECT("'Закуп'!F" &amp; B1104))</f>
        <v/>
      </c>
      <c r="I1104" s="120" t="n">
        <v>300</v>
      </c>
      <c r="J1104" s="121">
        <f>K1104/1.2</f>
        <v/>
      </c>
      <c r="K1104" s="70" t="n">
        <v>1.66</v>
      </c>
      <c r="L1104" s="122">
        <f>J1104-C1104-(J1104-C1104)*0.2</f>
        <v/>
      </c>
      <c r="M1104" s="123">
        <f>L1104*I1104</f>
        <v/>
      </c>
      <c r="N1104" s="124" t="inlineStr">
        <is>
          <t xml:space="preserve">300-490 шт - </t>
        </is>
      </c>
      <c r="O1104" s="47" t="inlineStr">
        <is>
          <t xml:space="preserve"> руб / шт с НДС</t>
        </is>
      </c>
      <c r="P1104" s="125">
        <f>ROUND(K1104,2)</f>
        <v/>
      </c>
      <c r="Q1104" s="207">
        <f>CONCATENATE(N1104,P1104,O1104,)</f>
        <v/>
      </c>
      <c r="R1104" s="240" t="n"/>
      <c r="T1104" s="241" t="n"/>
      <c r="U1104" s="240" t="n"/>
      <c r="V1104" s="241" t="n"/>
      <c r="Z1104" s="240" t="n"/>
      <c r="AB1104" s="241" t="n"/>
      <c r="AC1104" s="240" t="n"/>
      <c r="AD1104" s="241" t="n"/>
    </row>
    <row r="1105">
      <c r="B1105" s="42" t="n">
        <v>222</v>
      </c>
      <c r="C1105" s="118">
        <f>INDIRECT("'Закуп'!A" &amp; B1105)</f>
        <v/>
      </c>
      <c r="D1105" s="119">
        <f>C1105*1.2</f>
        <v/>
      </c>
      <c r="G1105" s="172">
        <f>IF(INDIRECT("'Закуп'!L" &amp; B1105)="Sale","Sale","")</f>
        <v/>
      </c>
      <c r="H1105" s="158">
        <f>IF(INDIRECT("'Закуп'!F" &amp; B1105)=0,"",INDIRECT("'Закуп'!F" &amp; B1105))</f>
        <v/>
      </c>
      <c r="I1105" s="120" t="n">
        <v>500</v>
      </c>
      <c r="J1105" s="121">
        <f>K1105/1.2</f>
        <v/>
      </c>
      <c r="K1105" s="70" t="n">
        <v>1.43</v>
      </c>
      <c r="L1105" s="122">
        <f>J1105-C1105-(J1105-C1105)*0.2</f>
        <v/>
      </c>
      <c r="M1105" s="123">
        <f>L1105*I1105</f>
        <v/>
      </c>
      <c r="N1105" s="124" t="inlineStr">
        <is>
          <t xml:space="preserve">500-990 шт - </t>
        </is>
      </c>
      <c r="O1105" s="47" t="inlineStr">
        <is>
          <t xml:space="preserve"> руб / шт с НДС</t>
        </is>
      </c>
      <c r="P1105" s="125">
        <f>ROUND(K1105,2)</f>
        <v/>
      </c>
      <c r="Q1105" s="207">
        <f>CONCATENATE(N1105,P1105,O1105,)</f>
        <v/>
      </c>
      <c r="R1105" s="240" t="n"/>
      <c r="T1105" s="241" t="n"/>
      <c r="U1105" s="240" t="n"/>
      <c r="V1105" s="241" t="n"/>
      <c r="Z1105" s="240" t="n"/>
      <c r="AB1105" s="241" t="n"/>
      <c r="AC1105" s="240" t="n"/>
      <c r="AD1105" s="241" t="n"/>
    </row>
    <row r="1106">
      <c r="B1106" s="42" t="n">
        <v>222</v>
      </c>
      <c r="C1106" s="118">
        <f>INDIRECT("'Закуп'!A" &amp; B1106)</f>
        <v/>
      </c>
      <c r="D1106" s="119">
        <f>C1106*1.2</f>
        <v/>
      </c>
      <c r="G1106" s="172">
        <f>IF(INDIRECT("'Закуп'!L" &amp; B1106)="Sale","Sale","")</f>
        <v/>
      </c>
      <c r="H1106" s="158">
        <f>IF(INDIRECT("'Закуп'!F" &amp; B1106)=0,"",INDIRECT("'Закуп'!F" &amp; B1106))</f>
        <v/>
      </c>
      <c r="I1106" s="120" t="n">
        <v>1000</v>
      </c>
      <c r="J1106" s="121">
        <f>K1106/1.2</f>
        <v/>
      </c>
      <c r="K1106" s="70" t="n">
        <v>1.34</v>
      </c>
      <c r="L1106" s="122">
        <f>J1106-C1106-(J1106-C1106)*0.2</f>
        <v/>
      </c>
      <c r="M1106" s="123">
        <f>L1106*I1106</f>
        <v/>
      </c>
      <c r="N1106" s="124" t="inlineStr">
        <is>
          <t xml:space="preserve">1000 + шт - </t>
        </is>
      </c>
      <c r="O1106" s="47" t="inlineStr">
        <is>
          <t xml:space="preserve"> руб / шт с НДС</t>
        </is>
      </c>
      <c r="P1106" s="125">
        <f>ROUND(K1106,2)</f>
        <v/>
      </c>
      <c r="Q1106" s="207">
        <f>CONCATENATE(N1106,P1106,O1106,)</f>
        <v/>
      </c>
      <c r="R1106" s="240" t="n"/>
      <c r="T1106" s="241" t="n"/>
      <c r="U1106" s="240" t="n"/>
      <c r="V1106" s="241" t="n"/>
      <c r="Z1106" s="240" t="n"/>
      <c r="AB1106" s="241" t="n"/>
      <c r="AC1106" s="240" t="n"/>
      <c r="AD1106" s="241" t="n"/>
    </row>
    <row r="1107">
      <c r="A1107" s="232" t="n">
        <v>223</v>
      </c>
      <c r="B1107" s="42" t="n">
        <v>223</v>
      </c>
      <c r="C1107" s="118">
        <f>INDIRECT("'Закуп'!A" &amp; B1107)</f>
        <v/>
      </c>
      <c r="D1107" s="119">
        <f>C1107*1.2</f>
        <v/>
      </c>
      <c r="E1107" s="224">
        <f>INDIRECT("'Закуп'!D" &amp; A1107)</f>
        <v/>
      </c>
      <c r="F1107" s="231">
        <f>INDIRECT("'Закуп'!E" &amp; B1107)</f>
        <v/>
      </c>
      <c r="G1107" s="172">
        <f>IF(INDIRECT("'Закуп'!L" &amp; B1107)="Sale","Sale","")</f>
        <v/>
      </c>
      <c r="H1107" s="158">
        <f>IF(INDIRECT("'Закуп'!F" &amp; B1107)=0,"",INDIRECT("'Закуп'!F" &amp; B1107))</f>
        <v/>
      </c>
      <c r="I1107" s="120" t="n">
        <v>50</v>
      </c>
      <c r="J1107" s="121">
        <f>K1107/1.2</f>
        <v/>
      </c>
      <c r="K1107" s="70" t="n">
        <v>1.33</v>
      </c>
      <c r="L1107" s="122">
        <f>J1107-C1107-(J1107-C1107)*0.2</f>
        <v/>
      </c>
      <c r="M1107" s="123">
        <f>L1107*I1107</f>
        <v/>
      </c>
      <c r="N1107" s="124" t="inlineStr">
        <is>
          <t xml:space="preserve">50-90 шт - </t>
        </is>
      </c>
      <c r="O1107" s="47" t="inlineStr">
        <is>
          <t xml:space="preserve"> руб / шт с НДС</t>
        </is>
      </c>
      <c r="P1107" s="125">
        <f>ROUND(K1107,2)</f>
        <v/>
      </c>
      <c r="Q1107" s="207">
        <f>CONCATENATE(N1107,P1107,O1107,)</f>
        <v/>
      </c>
      <c r="R1107" s="235">
        <f>INDIRECT("'Закуп'!k" &amp; A1107)</f>
        <v/>
      </c>
      <c r="S1107" s="239">
        <f>INDIRECT("'Закуп'!o" &amp; A1107)</f>
        <v/>
      </c>
      <c r="T1107" s="226">
        <f>INDIRECT("'Закуп'!p" &amp; A1107)</f>
        <v/>
      </c>
      <c r="U1107" s="235">
        <f>INDIRECT("'Закуп'!v" &amp; A1107)</f>
        <v/>
      </c>
      <c r="V1107" s="222">
        <f>INDIRECT("'Закуп'!w" &amp; A1107)</f>
        <v/>
      </c>
      <c r="W1107" s="229">
        <f>INDIRECT("'Закуп'!H" &amp; A1107)</f>
        <v/>
      </c>
      <c r="X1107" s="237">
        <f>INDIRECT("'Закуп'!g" &amp; A1107)</f>
        <v/>
      </c>
      <c r="Y1107" s="229">
        <f>INDIRECT("'Закуп'!i" &amp; A1107)</f>
        <v/>
      </c>
      <c r="Z1107" s="236">
        <f>INDIRECT("'Закуп'!x" &amp; A1107)</f>
        <v/>
      </c>
      <c r="AA1107" s="237">
        <f>INDIRECT("'Закуп'!y" &amp; A1107)</f>
        <v/>
      </c>
      <c r="AB1107" s="238">
        <f>INDIRECT("'Закуп'!z" &amp; A1107)</f>
        <v/>
      </c>
      <c r="AC1107" s="223">
        <f>SUBSTITUTE(INDEX(F:F, ROUNDUP((ROW(A1106))/5,0)*5 - 3), "х", "x")</f>
        <v/>
      </c>
      <c r="AD1107" s="222">
        <f>SUBSTITUTE(INDEX(F:F, ROUNDUP((ROW(A1106))/5,0)*5 - 3), "х", "x") &amp; " - " &amp; SUBSTITUTE(SUBSTITUTE(INDEX(F:F, ROUNDUP((ROW(A1106))/5,0)*5 - 3), "х", "*"), "x", "*") &amp; " мм"</f>
        <v/>
      </c>
    </row>
    <row r="1108">
      <c r="B1108" s="42" t="n">
        <v>223</v>
      </c>
      <c r="C1108" s="118">
        <f>INDIRECT("'Закуп'!A" &amp; B1108)</f>
        <v/>
      </c>
      <c r="D1108" s="119">
        <f>C1108*1.2</f>
        <v/>
      </c>
      <c r="G1108" s="172">
        <f>IF(INDIRECT("'Закуп'!L" &amp; B1108)="Sale","Sale","")</f>
        <v/>
      </c>
      <c r="H1108" s="158">
        <f>IF(INDIRECT("'Закуп'!F" &amp; B1108)=0,"",INDIRECT("'Закуп'!F" &amp; B1108))</f>
        <v/>
      </c>
      <c r="I1108" s="120" t="n">
        <v>100</v>
      </c>
      <c r="J1108" s="121">
        <f>K1108/1.2</f>
        <v/>
      </c>
      <c r="K1108" s="70" t="n">
        <v>1.16</v>
      </c>
      <c r="L1108" s="122">
        <f>J1108-C1108-(J1108-C1108)*0.2</f>
        <v/>
      </c>
      <c r="M1108" s="123">
        <f>L1108*I1108</f>
        <v/>
      </c>
      <c r="N1108" s="124" t="inlineStr">
        <is>
          <t xml:space="preserve">100-290 шт - </t>
        </is>
      </c>
      <c r="O1108" s="47" t="inlineStr">
        <is>
          <t xml:space="preserve"> руб / шт с НДС</t>
        </is>
      </c>
      <c r="P1108" s="125">
        <f>ROUND(K1108,2)</f>
        <v/>
      </c>
      <c r="Q1108" s="207">
        <f>CONCATENATE(N1108,P1108,O1108,)</f>
        <v/>
      </c>
      <c r="R1108" s="240" t="n"/>
      <c r="T1108" s="241" t="n"/>
      <c r="U1108" s="240" t="n"/>
      <c r="V1108" s="241" t="n"/>
      <c r="Z1108" s="240" t="n"/>
      <c r="AB1108" s="241" t="n"/>
      <c r="AC1108" s="240" t="n"/>
      <c r="AD1108" s="241" t="n"/>
    </row>
    <row r="1109">
      <c r="B1109" s="42" t="n">
        <v>223</v>
      </c>
      <c r="C1109" s="118">
        <f>INDIRECT("'Закуп'!A" &amp; B1109)</f>
        <v/>
      </c>
      <c r="D1109" s="119">
        <f>C1109*1.2</f>
        <v/>
      </c>
      <c r="G1109" s="172">
        <f>IF(INDIRECT("'Закуп'!L" &amp; B1109)="Sale","Sale","")</f>
        <v/>
      </c>
      <c r="H1109" s="158">
        <f>IF(INDIRECT("'Закуп'!F" &amp; B1109)=0,"",INDIRECT("'Закуп'!F" &amp; B1109))</f>
        <v/>
      </c>
      <c r="I1109" s="120" t="n">
        <v>300</v>
      </c>
      <c r="J1109" s="121">
        <f>K1109/1.2</f>
        <v/>
      </c>
      <c r="K1109" s="70" t="n">
        <v>0.98</v>
      </c>
      <c r="L1109" s="122">
        <f>J1109-C1109-(J1109-C1109)*0.2</f>
        <v/>
      </c>
      <c r="M1109" s="123">
        <f>L1109*I1109</f>
        <v/>
      </c>
      <c r="N1109" s="124" t="inlineStr">
        <is>
          <t xml:space="preserve">300-490 шт - </t>
        </is>
      </c>
      <c r="O1109" s="47" t="inlineStr">
        <is>
          <t xml:space="preserve"> руб / шт с НДС</t>
        </is>
      </c>
      <c r="P1109" s="125">
        <f>ROUND(K1109,2)</f>
        <v/>
      </c>
      <c r="Q1109" s="207">
        <f>CONCATENATE(N1109,P1109,O1109,)</f>
        <v/>
      </c>
      <c r="R1109" s="240" t="n"/>
      <c r="T1109" s="241" t="n"/>
      <c r="U1109" s="240" t="n"/>
      <c r="V1109" s="241" t="n"/>
      <c r="Z1109" s="240" t="n"/>
      <c r="AB1109" s="241" t="n"/>
      <c r="AC1109" s="240" t="n"/>
      <c r="AD1109" s="241" t="n"/>
    </row>
    <row r="1110">
      <c r="B1110" s="42" t="n">
        <v>223</v>
      </c>
      <c r="C1110" s="118">
        <f>INDIRECT("'Закуп'!A" &amp; B1110)</f>
        <v/>
      </c>
      <c r="D1110" s="119">
        <f>C1110*1.2</f>
        <v/>
      </c>
      <c r="G1110" s="172">
        <f>IF(INDIRECT("'Закуп'!L" &amp; B1110)="Sale","Sale","")</f>
        <v/>
      </c>
      <c r="H1110" s="158">
        <f>IF(INDIRECT("'Закуп'!F" &amp; B1110)=0,"",INDIRECT("'Закуп'!F" &amp; B1110))</f>
        <v/>
      </c>
      <c r="I1110" s="120" t="n">
        <v>500</v>
      </c>
      <c r="J1110" s="121">
        <f>K1110/1.2</f>
        <v/>
      </c>
      <c r="K1110" s="70" t="n">
        <v>0.92</v>
      </c>
      <c r="L1110" s="122">
        <f>J1110-C1110-(J1110-C1110)*0.2</f>
        <v/>
      </c>
      <c r="M1110" s="123">
        <f>L1110*I1110</f>
        <v/>
      </c>
      <c r="N1110" s="124" t="inlineStr">
        <is>
          <t xml:space="preserve">500-990 шт - </t>
        </is>
      </c>
      <c r="O1110" s="47" t="inlineStr">
        <is>
          <t xml:space="preserve"> руб / шт с НДС</t>
        </is>
      </c>
      <c r="P1110" s="125">
        <f>ROUND(K1110,2)</f>
        <v/>
      </c>
      <c r="Q1110" s="207">
        <f>CONCATENATE(N1110,P1110,O1110,)</f>
        <v/>
      </c>
      <c r="R1110" s="240" t="n"/>
      <c r="T1110" s="241" t="n"/>
      <c r="U1110" s="240" t="n"/>
      <c r="V1110" s="241" t="n"/>
      <c r="Z1110" s="240" t="n"/>
      <c r="AB1110" s="241" t="n"/>
      <c r="AC1110" s="240" t="n"/>
      <c r="AD1110" s="241" t="n"/>
    </row>
    <row r="1111">
      <c r="B1111" s="42" t="n">
        <v>223</v>
      </c>
      <c r="C1111" s="118">
        <f>INDIRECT("'Закуп'!A" &amp; B1111)</f>
        <v/>
      </c>
      <c r="D1111" s="119">
        <f>C1111*1.2</f>
        <v/>
      </c>
      <c r="G1111" s="172">
        <f>IF(INDIRECT("'Закуп'!L" &amp; B1111)="Sale","Sale","")</f>
        <v/>
      </c>
      <c r="H1111" s="158">
        <f>IF(INDIRECT("'Закуп'!F" &amp; B1111)=0,"",INDIRECT("'Закуп'!F" &amp; B1111))</f>
        <v/>
      </c>
      <c r="I1111" s="120" t="n">
        <v>1000</v>
      </c>
      <c r="J1111" s="121">
        <f>K1111/1.2</f>
        <v/>
      </c>
      <c r="K1111" s="70" t="n">
        <v>0.86</v>
      </c>
      <c r="L1111" s="122">
        <f>J1111-C1111-(J1111-C1111)*0.2</f>
        <v/>
      </c>
      <c r="M1111" s="123">
        <f>L1111*I1111</f>
        <v/>
      </c>
      <c r="N1111" s="124" t="inlineStr">
        <is>
          <t xml:space="preserve">1000 + шт - </t>
        </is>
      </c>
      <c r="O1111" s="47" t="inlineStr">
        <is>
          <t xml:space="preserve"> руб / шт с НДС</t>
        </is>
      </c>
      <c r="P1111" s="125">
        <f>ROUND(K1111,2)</f>
        <v/>
      </c>
      <c r="Q1111" s="207">
        <f>CONCATENATE(N1111,P1111,O1111,)</f>
        <v/>
      </c>
      <c r="R1111" s="240" t="n"/>
      <c r="T1111" s="241" t="n"/>
      <c r="U1111" s="240" t="n"/>
      <c r="V1111" s="241" t="n"/>
      <c r="Z1111" s="240" t="n"/>
      <c r="AB1111" s="241" t="n"/>
      <c r="AC1111" s="240" t="n"/>
      <c r="AD1111" s="241" t="n"/>
    </row>
    <row r="1112">
      <c r="A1112" s="232" t="n">
        <v>224</v>
      </c>
      <c r="B1112" s="42" t="n">
        <v>224</v>
      </c>
      <c r="C1112" s="118">
        <f>INDIRECT("'Закуп'!A" &amp; B1112)</f>
        <v/>
      </c>
      <c r="D1112" s="119">
        <f>C1112*1.2</f>
        <v/>
      </c>
      <c r="E1112" s="224">
        <f>INDIRECT("'Закуп'!D" &amp; A1112)</f>
        <v/>
      </c>
      <c r="F1112" s="231">
        <f>INDIRECT("'Закуп'!E" &amp; B1112)</f>
        <v/>
      </c>
      <c r="G1112" s="172">
        <f>IF(INDIRECT("'Закуп'!L" &amp; B1112)="Sale","Sale","")</f>
        <v/>
      </c>
      <c r="H1112" s="158">
        <f>IF(INDIRECT("'Закуп'!F" &amp; B1112)=0,"",INDIRECT("'Закуп'!F" &amp; B1112))</f>
        <v/>
      </c>
      <c r="I1112" s="120" t="n">
        <v>50</v>
      </c>
      <c r="J1112" s="121">
        <f>K1112/1.2</f>
        <v/>
      </c>
      <c r="K1112" s="70" t="n">
        <v>14</v>
      </c>
      <c r="L1112" s="122">
        <f>J1112-C1112-(J1112-C1112)*0.2</f>
        <v/>
      </c>
      <c r="M1112" s="123">
        <f>L1112*I1112</f>
        <v/>
      </c>
      <c r="N1112" s="124" t="inlineStr">
        <is>
          <t xml:space="preserve">50-90 шт - </t>
        </is>
      </c>
      <c r="O1112" s="47" t="inlineStr">
        <is>
          <t xml:space="preserve"> руб / шт с НДС</t>
        </is>
      </c>
      <c r="P1112" s="125">
        <f>ROUND(K1112,2)</f>
        <v/>
      </c>
      <c r="Q1112" s="207">
        <f>CONCATENATE(N1112,P1112,O1112,)</f>
        <v/>
      </c>
      <c r="R1112" s="235">
        <f>INDIRECT("'Закуп'!k" &amp; A1112)</f>
        <v/>
      </c>
      <c r="S1112" s="239">
        <f>INDIRECT("'Закуп'!o" &amp; A1112)</f>
        <v/>
      </c>
      <c r="T1112" s="226">
        <f>INDIRECT("'Закуп'!p" &amp; A1112)</f>
        <v/>
      </c>
      <c r="U1112" s="235">
        <f>INDIRECT("'Закуп'!v" &amp; A1112)</f>
        <v/>
      </c>
      <c r="V1112" s="222">
        <f>INDIRECT("'Закуп'!w" &amp; A1112)</f>
        <v/>
      </c>
      <c r="W1112" s="229">
        <f>INDIRECT("'Закуп'!H" &amp; A1112)</f>
        <v/>
      </c>
      <c r="X1112" s="237">
        <f>INDIRECT("'Закуп'!g" &amp; A1112)</f>
        <v/>
      </c>
      <c r="Y1112" s="229">
        <f>INDIRECT("'Закуп'!i" &amp; A1112)</f>
        <v/>
      </c>
      <c r="Z1112" s="236">
        <f>INDIRECT("'Закуп'!x" &amp; A1112)</f>
        <v/>
      </c>
      <c r="AA1112" s="237">
        <f>INDIRECT("'Закуп'!y" &amp; A1112)</f>
        <v/>
      </c>
      <c r="AB1112" s="238">
        <f>INDIRECT("'Закуп'!z" &amp; A1112)</f>
        <v/>
      </c>
      <c r="AC1112" s="223">
        <f>SUBSTITUTE(INDEX(F:F, ROUNDUP((ROW(A1111))/5,0)*5 - 3), "х", "x")</f>
        <v/>
      </c>
      <c r="AD1112" s="222">
        <f>SUBSTITUTE(INDEX(F:F, ROUNDUP((ROW(A1111))/5,0)*5 - 3), "х", "x") &amp; " - " &amp; SUBSTITUTE(SUBSTITUTE(INDEX(F:F, ROUNDUP((ROW(A1111))/5,0)*5 - 3), "х", "*"), "x", "*") &amp; " мм"</f>
        <v/>
      </c>
    </row>
    <row r="1113">
      <c r="B1113" s="42" t="n">
        <v>224</v>
      </c>
      <c r="C1113" s="118">
        <f>INDIRECT("'Закуп'!A" &amp; B1113)</f>
        <v/>
      </c>
      <c r="D1113" s="119">
        <f>C1113*1.2</f>
        <v/>
      </c>
      <c r="G1113" s="172">
        <f>IF(INDIRECT("'Закуп'!L" &amp; B1113)="Sale","Sale","")</f>
        <v/>
      </c>
      <c r="H1113" s="158">
        <f>IF(INDIRECT("'Закуп'!F" &amp; B1113)=0,"",INDIRECT("'Закуп'!F" &amp; B1113))</f>
        <v/>
      </c>
      <c r="I1113" s="120" t="n">
        <v>100</v>
      </c>
      <c r="J1113" s="121">
        <f>K1113/1.2</f>
        <v/>
      </c>
      <c r="K1113" s="70" t="n">
        <v>13.8</v>
      </c>
      <c r="L1113" s="122">
        <f>J1113-C1113-(J1113-C1113)*0.2</f>
        <v/>
      </c>
      <c r="M1113" s="123">
        <f>L1113*I1113</f>
        <v/>
      </c>
      <c r="N1113" s="124" t="inlineStr">
        <is>
          <t xml:space="preserve">100-290 шт - </t>
        </is>
      </c>
      <c r="O1113" s="47" t="inlineStr">
        <is>
          <t xml:space="preserve"> руб / шт с НДС</t>
        </is>
      </c>
      <c r="P1113" s="125">
        <f>ROUND(K1113,2)</f>
        <v/>
      </c>
      <c r="Q1113" s="207">
        <f>CONCATENATE(N1113,P1113,O1113,)</f>
        <v/>
      </c>
      <c r="R1113" s="240" t="n"/>
      <c r="T1113" s="241" t="n"/>
      <c r="U1113" s="240" t="n"/>
      <c r="V1113" s="241" t="n"/>
      <c r="Z1113" s="240" t="n"/>
      <c r="AB1113" s="241" t="n"/>
      <c r="AC1113" s="240" t="n"/>
      <c r="AD1113" s="241" t="n"/>
    </row>
    <row r="1114">
      <c r="B1114" s="42" t="n">
        <v>224</v>
      </c>
      <c r="C1114" s="118">
        <f>INDIRECT("'Закуп'!A" &amp; B1114)</f>
        <v/>
      </c>
      <c r="D1114" s="119">
        <f>C1114*1.2</f>
        <v/>
      </c>
      <c r="G1114" s="172">
        <f>IF(INDIRECT("'Закуп'!L" &amp; B1114)="Sale","Sale","")</f>
        <v/>
      </c>
      <c r="H1114" s="158">
        <f>IF(INDIRECT("'Закуп'!F" &amp; B1114)=0,"",INDIRECT("'Закуп'!F" &amp; B1114))</f>
        <v/>
      </c>
      <c r="I1114" s="120" t="n">
        <v>300</v>
      </c>
      <c r="J1114" s="121">
        <f>K1114/1.2</f>
        <v/>
      </c>
      <c r="K1114" s="70" t="n">
        <v>13.6</v>
      </c>
      <c r="L1114" s="122">
        <f>J1114-C1114-(J1114-C1114)*0.2</f>
        <v/>
      </c>
      <c r="M1114" s="123">
        <f>L1114*I1114</f>
        <v/>
      </c>
      <c r="N1114" s="124" t="inlineStr">
        <is>
          <t xml:space="preserve">300-490 шт - </t>
        </is>
      </c>
      <c r="O1114" s="47" t="inlineStr">
        <is>
          <t xml:space="preserve"> руб / шт с НДС</t>
        </is>
      </c>
      <c r="P1114" s="125">
        <f>ROUND(K1114,2)</f>
        <v/>
      </c>
      <c r="Q1114" s="207">
        <f>CONCATENATE(N1114,P1114,O1114,)</f>
        <v/>
      </c>
      <c r="R1114" s="240" t="n"/>
      <c r="T1114" s="241" t="n"/>
      <c r="U1114" s="240" t="n"/>
      <c r="V1114" s="241" t="n"/>
      <c r="Z1114" s="240" t="n"/>
      <c r="AB1114" s="241" t="n"/>
      <c r="AC1114" s="240" t="n"/>
      <c r="AD1114" s="241" t="n"/>
    </row>
    <row r="1115">
      <c r="B1115" s="42" t="n">
        <v>224</v>
      </c>
      <c r="C1115" s="118">
        <f>INDIRECT("'Закуп'!A" &amp; B1115)</f>
        <v/>
      </c>
      <c r="D1115" s="119">
        <f>C1115*1.2</f>
        <v/>
      </c>
      <c r="G1115" s="172">
        <f>IF(INDIRECT("'Закуп'!L" &amp; B1115)="Sale","Sale","")</f>
        <v/>
      </c>
      <c r="H1115" s="158">
        <f>IF(INDIRECT("'Закуп'!F" &amp; B1115)=0,"",INDIRECT("'Закуп'!F" &amp; B1115))</f>
        <v/>
      </c>
      <c r="I1115" s="120" t="n">
        <v>500</v>
      </c>
      <c r="J1115" s="121">
        <f>K1115/1.2</f>
        <v/>
      </c>
      <c r="K1115" s="70" t="n">
        <v>13.5</v>
      </c>
      <c r="L1115" s="122">
        <f>J1115-C1115-(J1115-C1115)*0.2</f>
        <v/>
      </c>
      <c r="M1115" s="123">
        <f>L1115*I1115</f>
        <v/>
      </c>
      <c r="N1115" s="124" t="inlineStr">
        <is>
          <t xml:space="preserve">500-990 шт - </t>
        </is>
      </c>
      <c r="O1115" s="47" t="inlineStr">
        <is>
          <t xml:space="preserve"> руб / шт с НДС</t>
        </is>
      </c>
      <c r="P1115" s="125">
        <f>ROUND(K1115,2)</f>
        <v/>
      </c>
      <c r="Q1115" s="207">
        <f>CONCATENATE(N1115,P1115,O1115,)</f>
        <v/>
      </c>
      <c r="R1115" s="240" t="n"/>
      <c r="T1115" s="241" t="n"/>
      <c r="U1115" s="240" t="n"/>
      <c r="V1115" s="241" t="n"/>
      <c r="Z1115" s="240" t="n"/>
      <c r="AB1115" s="241" t="n"/>
      <c r="AC1115" s="240" t="n"/>
      <c r="AD1115" s="241" t="n"/>
    </row>
    <row r="1116">
      <c r="B1116" s="42" t="n">
        <v>224</v>
      </c>
      <c r="C1116" s="118">
        <f>INDIRECT("'Закуп'!A" &amp; B1116)</f>
        <v/>
      </c>
      <c r="D1116" s="119">
        <f>C1116*1.2</f>
        <v/>
      </c>
      <c r="G1116" s="172">
        <f>IF(INDIRECT("'Закуп'!L" &amp; B1116)="Sale","Sale","")</f>
        <v/>
      </c>
      <c r="H1116" s="158">
        <f>IF(INDIRECT("'Закуп'!F" &amp; B1116)=0,"",INDIRECT("'Закуп'!F" &amp; B1116))</f>
        <v/>
      </c>
      <c r="I1116" s="120" t="n">
        <v>1000</v>
      </c>
      <c r="J1116" s="121">
        <f>K1116/1.2</f>
        <v/>
      </c>
      <c r="K1116" s="70" t="n">
        <v>13.4</v>
      </c>
      <c r="L1116" s="122">
        <f>J1116-C1116-(J1116-C1116)*0.2</f>
        <v/>
      </c>
      <c r="M1116" s="123">
        <f>L1116*I1116</f>
        <v/>
      </c>
      <c r="N1116" s="124" t="inlineStr">
        <is>
          <t xml:space="preserve">1000 + шт - </t>
        </is>
      </c>
      <c r="O1116" s="47" t="inlineStr">
        <is>
          <t xml:space="preserve"> руб / шт с НДС</t>
        </is>
      </c>
      <c r="P1116" s="125">
        <f>ROUND(K1116,2)</f>
        <v/>
      </c>
      <c r="Q1116" s="207">
        <f>CONCATENATE(N1116,P1116,O1116,)</f>
        <v/>
      </c>
      <c r="R1116" s="240" t="n"/>
      <c r="T1116" s="241" t="n"/>
      <c r="U1116" s="240" t="n"/>
      <c r="V1116" s="241" t="n"/>
      <c r="Z1116" s="240" t="n"/>
      <c r="AB1116" s="241" t="n"/>
      <c r="AC1116" s="240" t="n"/>
      <c r="AD1116" s="241" t="n"/>
    </row>
    <row r="1117">
      <c r="A1117" s="232" t="n">
        <v>225</v>
      </c>
      <c r="B1117" s="42" t="n">
        <v>225</v>
      </c>
      <c r="C1117" s="118">
        <f>INDIRECT("'Закуп'!A" &amp; B1117)</f>
        <v/>
      </c>
      <c r="D1117" s="119">
        <f>C1117*1.2</f>
        <v/>
      </c>
      <c r="E1117" s="225">
        <f>INDIRECT("'Закуп'!D" &amp; A1117)</f>
        <v/>
      </c>
      <c r="F1117" s="231">
        <f>INDIRECT("'Закуп'!E" &amp; B1117)</f>
        <v/>
      </c>
      <c r="G1117" s="172">
        <f>IF(INDIRECT("'Закуп'!L" &amp; B1117)="Sale","Sale","")</f>
        <v/>
      </c>
      <c r="H1117" s="158">
        <f>IF(INDIRECT("'Закуп'!F" &amp; B1117)=0,"",INDIRECT("'Закуп'!F" &amp; B1117))</f>
        <v/>
      </c>
      <c r="I1117" s="120" t="n">
        <v>50</v>
      </c>
      <c r="J1117" s="121">
        <f>K1117/1.2</f>
        <v/>
      </c>
      <c r="K1117" s="70" t="n">
        <v>0.5</v>
      </c>
      <c r="L1117" s="122">
        <f>J1117-C1117-(J1117-C1117)*0.2</f>
        <v/>
      </c>
      <c r="M1117" s="123">
        <f>L1117*I1117</f>
        <v/>
      </c>
      <c r="N1117" s="124" t="inlineStr">
        <is>
          <t xml:space="preserve">50-90 шт - </t>
        </is>
      </c>
      <c r="O1117" s="47" t="inlineStr">
        <is>
          <t xml:space="preserve"> руб / шт с НДС</t>
        </is>
      </c>
      <c r="P1117" s="125">
        <f>ROUND(K1117,2)</f>
        <v/>
      </c>
      <c r="Q1117" s="207">
        <f>CONCATENATE(N1117,P1117,O1117,)</f>
        <v/>
      </c>
      <c r="R1117" s="235">
        <f>INDIRECT("'Закуп'!k" &amp; A1117)</f>
        <v/>
      </c>
      <c r="S1117" s="239">
        <f>INDIRECT("'Закуп'!o" &amp; A1117)</f>
        <v/>
      </c>
      <c r="T1117" s="226">
        <f>INDIRECT("'Закуп'!p" &amp; A1117)</f>
        <v/>
      </c>
      <c r="U1117" s="235">
        <f>INDIRECT("'Закуп'!v" &amp; A1117)</f>
        <v/>
      </c>
      <c r="V1117" s="222">
        <f>INDIRECT("'Закуп'!w" &amp; A1117)</f>
        <v/>
      </c>
      <c r="W1117" s="229">
        <f>INDIRECT("'Закуп'!H" &amp; A1117)</f>
        <v/>
      </c>
      <c r="X1117" s="237">
        <f>INDIRECT("'Закуп'!g" &amp; A1117)</f>
        <v/>
      </c>
      <c r="Y1117" s="229">
        <f>INDIRECT("'Закуп'!i" &amp; A1117)</f>
        <v/>
      </c>
      <c r="Z1117" s="236">
        <f>INDIRECT("'Закуп'!x" &amp; A1117)</f>
        <v/>
      </c>
      <c r="AA1117" s="237">
        <f>INDIRECT("'Закуп'!y" &amp; A1117)</f>
        <v/>
      </c>
      <c r="AB1117" s="238">
        <f>INDIRECT("'Закуп'!z" &amp; A1117)</f>
        <v/>
      </c>
      <c r="AC1117" s="223">
        <f>SUBSTITUTE(INDEX(F:F, ROUNDUP((ROW(A1116))/5,0)*5 - 3), "х", "x")</f>
        <v/>
      </c>
      <c r="AD1117" s="222">
        <f>SUBSTITUTE(INDEX(F:F, ROUNDUP((ROW(A1116))/5,0)*5 - 3), "х", "x") &amp; " - " &amp; SUBSTITUTE(SUBSTITUTE(INDEX(F:F, ROUNDUP((ROW(A1116))/5,0)*5 - 3), "х", "*"), "x", "*") &amp; " мм"</f>
        <v/>
      </c>
    </row>
    <row r="1118">
      <c r="B1118" s="42" t="n">
        <v>225</v>
      </c>
      <c r="C1118" s="118">
        <f>INDIRECT("'Закуп'!A" &amp; B1118)</f>
        <v/>
      </c>
      <c r="D1118" s="119">
        <f>C1118*1.2</f>
        <v/>
      </c>
      <c r="G1118" s="172">
        <f>IF(INDIRECT("'Закуп'!L" &amp; B1118)="Sale","Sale","")</f>
        <v/>
      </c>
      <c r="H1118" s="158">
        <f>IF(INDIRECT("'Закуп'!F" &amp; B1118)=0,"",INDIRECT("'Закуп'!F" &amp; B1118))</f>
        <v/>
      </c>
      <c r="I1118" s="120" t="n">
        <v>100</v>
      </c>
      <c r="J1118" s="121">
        <f>K1118/1.2</f>
        <v/>
      </c>
      <c r="K1118" s="70" t="n">
        <v>0.5</v>
      </c>
      <c r="L1118" s="122">
        <f>J1118-C1118-(J1118-C1118)*0.2</f>
        <v/>
      </c>
      <c r="M1118" s="123">
        <f>L1118*I1118</f>
        <v/>
      </c>
      <c r="N1118" s="124" t="inlineStr">
        <is>
          <t xml:space="preserve">100-290 шт - </t>
        </is>
      </c>
      <c r="O1118" s="47" t="inlineStr">
        <is>
          <t xml:space="preserve"> руб / шт с НДС</t>
        </is>
      </c>
      <c r="P1118" s="125">
        <f>ROUND(K1118,2)</f>
        <v/>
      </c>
      <c r="Q1118" s="207">
        <f>CONCATENATE(N1118,P1118,O1118,)</f>
        <v/>
      </c>
      <c r="R1118" s="240" t="n"/>
      <c r="T1118" s="241" t="n"/>
      <c r="U1118" s="240" t="n"/>
      <c r="V1118" s="241" t="n"/>
      <c r="Z1118" s="240" t="n"/>
      <c r="AB1118" s="241" t="n"/>
      <c r="AC1118" s="240" t="n"/>
      <c r="AD1118" s="241" t="n"/>
    </row>
    <row r="1119">
      <c r="B1119" s="42" t="n">
        <v>225</v>
      </c>
      <c r="C1119" s="118">
        <f>INDIRECT("'Закуп'!A" &amp; B1119)</f>
        <v/>
      </c>
      <c r="D1119" s="119">
        <f>C1119*1.2</f>
        <v/>
      </c>
      <c r="G1119" s="172">
        <f>IF(INDIRECT("'Закуп'!L" &amp; B1119)="Sale","Sale","")</f>
        <v/>
      </c>
      <c r="H1119" s="158">
        <f>IF(INDIRECT("'Закуп'!F" &amp; B1119)=0,"",INDIRECT("'Закуп'!F" &amp; B1119))</f>
        <v/>
      </c>
      <c r="I1119" s="120" t="n">
        <v>300</v>
      </c>
      <c r="J1119" s="121">
        <f>K1119/1.2</f>
        <v/>
      </c>
      <c r="K1119" s="70" t="n">
        <v>0.5</v>
      </c>
      <c r="L1119" s="122">
        <f>J1119-C1119-(J1119-C1119)*0.2</f>
        <v/>
      </c>
      <c r="M1119" s="123">
        <f>L1119*I1119</f>
        <v/>
      </c>
      <c r="N1119" s="124" t="inlineStr">
        <is>
          <t xml:space="preserve">300-490 шт - </t>
        </is>
      </c>
      <c r="O1119" s="47" t="inlineStr">
        <is>
          <t xml:space="preserve"> руб / шт с НДС</t>
        </is>
      </c>
      <c r="P1119" s="125">
        <f>ROUND(K1119,2)</f>
        <v/>
      </c>
      <c r="Q1119" s="207">
        <f>CONCATENATE(N1119,P1119,O1119,)</f>
        <v/>
      </c>
      <c r="R1119" s="240" t="n"/>
      <c r="T1119" s="241" t="n"/>
      <c r="U1119" s="240" t="n"/>
      <c r="V1119" s="241" t="n"/>
      <c r="Z1119" s="240" t="n"/>
      <c r="AB1119" s="241" t="n"/>
      <c r="AC1119" s="240" t="n"/>
      <c r="AD1119" s="241" t="n"/>
    </row>
    <row r="1120">
      <c r="B1120" s="42" t="n">
        <v>225</v>
      </c>
      <c r="C1120" s="118">
        <f>INDIRECT("'Закуп'!A" &amp; B1120)</f>
        <v/>
      </c>
      <c r="D1120" s="119">
        <f>C1120*1.2</f>
        <v/>
      </c>
      <c r="G1120" s="172">
        <f>IF(INDIRECT("'Закуп'!L" &amp; B1120)="Sale","Sale","")</f>
        <v/>
      </c>
      <c r="H1120" s="158">
        <f>IF(INDIRECT("'Закуп'!F" &amp; B1120)=0,"",INDIRECT("'Закуп'!F" &amp; B1120))</f>
        <v/>
      </c>
      <c r="I1120" s="120" t="n">
        <v>500</v>
      </c>
      <c r="J1120" s="121">
        <f>K1120/1.2</f>
        <v/>
      </c>
      <c r="K1120" s="70" t="n">
        <v>0.5</v>
      </c>
      <c r="L1120" s="122">
        <f>J1120-C1120-(J1120-C1120)*0.2</f>
        <v/>
      </c>
      <c r="M1120" s="123">
        <f>L1120*I1120</f>
        <v/>
      </c>
      <c r="N1120" s="124" t="inlineStr">
        <is>
          <t xml:space="preserve">500-990 шт - </t>
        </is>
      </c>
      <c r="O1120" s="47" t="inlineStr">
        <is>
          <t xml:space="preserve"> руб / шт с НДС</t>
        </is>
      </c>
      <c r="P1120" s="125">
        <f>ROUND(K1120,2)</f>
        <v/>
      </c>
      <c r="Q1120" s="207">
        <f>CONCATENATE(N1120,P1120,O1120,)</f>
        <v/>
      </c>
      <c r="R1120" s="240" t="n"/>
      <c r="T1120" s="241" t="n"/>
      <c r="U1120" s="240" t="n"/>
      <c r="V1120" s="241" t="n"/>
      <c r="Z1120" s="240" t="n"/>
      <c r="AB1120" s="241" t="n"/>
      <c r="AC1120" s="240" t="n"/>
      <c r="AD1120" s="241" t="n"/>
    </row>
    <row r="1121">
      <c r="B1121" s="42" t="n">
        <v>225</v>
      </c>
      <c r="C1121" s="118">
        <f>INDIRECT("'Закуп'!A" &amp; B1121)</f>
        <v/>
      </c>
      <c r="D1121" s="119">
        <f>C1121*1.2</f>
        <v/>
      </c>
      <c r="G1121" s="172">
        <f>IF(INDIRECT("'Закуп'!L" &amp; B1121)="Sale","Sale","")</f>
        <v/>
      </c>
      <c r="H1121" s="158">
        <f>IF(INDIRECT("'Закуп'!F" &amp; B1121)=0,"",INDIRECT("'Закуп'!F" &amp; B1121))</f>
        <v/>
      </c>
      <c r="I1121" s="120" t="n">
        <v>1000</v>
      </c>
      <c r="J1121" s="121">
        <f>K1121/1.2</f>
        <v/>
      </c>
      <c r="K1121" s="70" t="n">
        <v>0.5</v>
      </c>
      <c r="L1121" s="122">
        <f>J1121-C1121-(J1121-C1121)*0.2</f>
        <v/>
      </c>
      <c r="M1121" s="123">
        <f>L1121*I1121</f>
        <v/>
      </c>
      <c r="N1121" s="124" t="inlineStr">
        <is>
          <t xml:space="preserve">1000 + шт - </t>
        </is>
      </c>
      <c r="O1121" s="47" t="inlineStr">
        <is>
          <t xml:space="preserve"> руб / шт с НДС</t>
        </is>
      </c>
      <c r="P1121" s="125">
        <f>ROUND(K1121,2)</f>
        <v/>
      </c>
      <c r="Q1121" s="207">
        <f>CONCATENATE(N1121,P1121,O1121,)</f>
        <v/>
      </c>
      <c r="R1121" s="240" t="n"/>
      <c r="T1121" s="241" t="n"/>
      <c r="U1121" s="240" t="n"/>
      <c r="V1121" s="241" t="n"/>
      <c r="Z1121" s="240" t="n"/>
      <c r="AB1121" s="241" t="n"/>
      <c r="AC1121" s="240" t="n"/>
      <c r="AD1121" s="241" t="n"/>
    </row>
    <row r="1122">
      <c r="A1122" s="232" t="n">
        <v>226</v>
      </c>
      <c r="B1122" s="42" t="n">
        <v>226</v>
      </c>
      <c r="C1122" s="118">
        <f>INDIRECT("'Закуп'!A" &amp; B1122)</f>
        <v/>
      </c>
      <c r="D1122" s="119">
        <f>C1122*1.2</f>
        <v/>
      </c>
      <c r="E1122" s="224">
        <f>INDIRECT("'Закуп'!D" &amp; A1122)</f>
        <v/>
      </c>
      <c r="F1122" s="231">
        <f>INDIRECT("'Закуп'!E" &amp; B1122)</f>
        <v/>
      </c>
      <c r="G1122" s="172">
        <f>IF(INDIRECT("'Закуп'!L" &amp; B1122)="Sale","Sale","")</f>
        <v/>
      </c>
      <c r="H1122" s="158">
        <f>IF(INDIRECT("'Закуп'!F" &amp; B1122)=0,"",INDIRECT("'Закуп'!F" &amp; B1122))</f>
        <v/>
      </c>
      <c r="I1122" s="120" t="n">
        <v>50</v>
      </c>
      <c r="J1122" s="121">
        <f>K1122/1.2</f>
        <v/>
      </c>
      <c r="K1122" s="70" t="n">
        <v>1.07</v>
      </c>
      <c r="L1122" s="122">
        <f>J1122-C1122-(J1122-C1122)*0.2</f>
        <v/>
      </c>
      <c r="M1122" s="123">
        <f>L1122*I1122</f>
        <v/>
      </c>
      <c r="N1122" s="124" t="inlineStr">
        <is>
          <t xml:space="preserve">50-90 шт - </t>
        </is>
      </c>
      <c r="O1122" s="47" t="inlineStr">
        <is>
          <t xml:space="preserve"> руб / шт с НДС</t>
        </is>
      </c>
      <c r="P1122" s="125">
        <f>ROUND(K1122,2)</f>
        <v/>
      </c>
      <c r="Q1122" s="207">
        <f>CONCATENATE(N1122,P1122,O1122,)</f>
        <v/>
      </c>
      <c r="R1122" s="235">
        <f>INDIRECT("'Закуп'!k" &amp; A1122)</f>
        <v/>
      </c>
      <c r="S1122" s="239">
        <f>INDIRECT("'Закуп'!o" &amp; A1122)</f>
        <v/>
      </c>
      <c r="T1122" s="226">
        <f>INDIRECT("'Закуп'!p" &amp; A1122)</f>
        <v/>
      </c>
      <c r="U1122" s="235">
        <f>INDIRECT("'Закуп'!v" &amp; A1122)</f>
        <v/>
      </c>
      <c r="V1122" s="222">
        <f>INDIRECT("'Закуп'!w" &amp; A1122)</f>
        <v/>
      </c>
      <c r="W1122" s="229">
        <f>INDIRECT("'Закуп'!H" &amp; A1122)</f>
        <v/>
      </c>
      <c r="X1122" s="237">
        <f>INDIRECT("'Закуп'!g" &amp; A1122)</f>
        <v/>
      </c>
      <c r="Y1122" s="229">
        <f>INDIRECT("'Закуп'!i" &amp; A1122)</f>
        <v/>
      </c>
      <c r="Z1122" s="236">
        <f>INDIRECT("'Закуп'!x" &amp; A1122)</f>
        <v/>
      </c>
      <c r="AA1122" s="237">
        <f>INDIRECT("'Закуп'!y" &amp; A1122)</f>
        <v/>
      </c>
      <c r="AB1122" s="238">
        <f>INDIRECT("'Закуп'!z" &amp; A1122)</f>
        <v/>
      </c>
      <c r="AC1122" s="223">
        <f>SUBSTITUTE(INDEX(F:F, ROUNDUP((ROW(A1121))/5,0)*5 - 3), "х", "x")</f>
        <v/>
      </c>
      <c r="AD1122" s="222">
        <f>SUBSTITUTE(INDEX(F:F, ROUNDUP((ROW(A1121))/5,0)*5 - 3), "х", "x") &amp; " - " &amp; SUBSTITUTE(SUBSTITUTE(INDEX(F:F, ROUNDUP((ROW(A1121))/5,0)*5 - 3), "х", "*"), "x", "*") &amp; " мм"</f>
        <v/>
      </c>
    </row>
    <row r="1123">
      <c r="B1123" s="42" t="n">
        <v>226</v>
      </c>
      <c r="C1123" s="118">
        <f>INDIRECT("'Закуп'!A" &amp; B1123)</f>
        <v/>
      </c>
      <c r="D1123" s="119">
        <f>C1123*1.2</f>
        <v/>
      </c>
      <c r="G1123" s="172">
        <f>IF(INDIRECT("'Закуп'!L" &amp; B1123)="Sale","Sale","")</f>
        <v/>
      </c>
      <c r="H1123" s="158">
        <f>IF(INDIRECT("'Закуп'!F" &amp; B1123)=0,"",INDIRECT("'Закуп'!F" &amp; B1123))</f>
        <v/>
      </c>
      <c r="I1123" s="120" t="n">
        <v>100</v>
      </c>
      <c r="J1123" s="121">
        <f>K1123/1.2</f>
        <v/>
      </c>
      <c r="K1123" s="70" t="n">
        <v>0.91</v>
      </c>
      <c r="L1123" s="122">
        <f>J1123-C1123-(J1123-C1123)*0.2</f>
        <v/>
      </c>
      <c r="M1123" s="123">
        <f>L1123*I1123</f>
        <v/>
      </c>
      <c r="N1123" s="124" t="inlineStr">
        <is>
          <t xml:space="preserve">100-290 шт - </t>
        </is>
      </c>
      <c r="O1123" s="47" t="inlineStr">
        <is>
          <t xml:space="preserve"> руб / шт с НДС</t>
        </is>
      </c>
      <c r="P1123" s="125">
        <f>ROUND(K1123,2)</f>
        <v/>
      </c>
      <c r="Q1123" s="207">
        <f>CONCATENATE(N1123,P1123,O1123,)</f>
        <v/>
      </c>
      <c r="R1123" s="240" t="n"/>
      <c r="T1123" s="241" t="n"/>
      <c r="U1123" s="240" t="n"/>
      <c r="V1123" s="241" t="n"/>
      <c r="Z1123" s="240" t="n"/>
      <c r="AB1123" s="241" t="n"/>
      <c r="AC1123" s="240" t="n"/>
      <c r="AD1123" s="241" t="n"/>
    </row>
    <row r="1124">
      <c r="B1124" s="42" t="n">
        <v>226</v>
      </c>
      <c r="C1124" s="118">
        <f>INDIRECT("'Закуп'!A" &amp; B1124)</f>
        <v/>
      </c>
      <c r="D1124" s="119">
        <f>C1124*1.2</f>
        <v/>
      </c>
      <c r="G1124" s="172">
        <f>IF(INDIRECT("'Закуп'!L" &amp; B1124)="Sale","Sale","")</f>
        <v/>
      </c>
      <c r="H1124" s="158">
        <f>IF(INDIRECT("'Закуп'!F" &amp; B1124)=0,"",INDIRECT("'Закуп'!F" &amp; B1124))</f>
        <v/>
      </c>
      <c r="I1124" s="120" t="n">
        <v>300</v>
      </c>
      <c r="J1124" s="121">
        <f>K1124/1.2</f>
        <v/>
      </c>
      <c r="K1124" s="70" t="n">
        <v>0.75</v>
      </c>
      <c r="L1124" s="122">
        <f>J1124-C1124-(J1124-C1124)*0.2</f>
        <v/>
      </c>
      <c r="M1124" s="123">
        <f>L1124*I1124</f>
        <v/>
      </c>
      <c r="N1124" s="124" t="inlineStr">
        <is>
          <t xml:space="preserve">300-490 шт - </t>
        </is>
      </c>
      <c r="O1124" s="47" t="inlineStr">
        <is>
          <t xml:space="preserve"> руб / шт с НДС</t>
        </is>
      </c>
      <c r="P1124" s="125">
        <f>ROUND(K1124,2)</f>
        <v/>
      </c>
      <c r="Q1124" s="207">
        <f>CONCATENATE(N1124,P1124,O1124,)</f>
        <v/>
      </c>
      <c r="R1124" s="240" t="n"/>
      <c r="T1124" s="241" t="n"/>
      <c r="U1124" s="240" t="n"/>
      <c r="V1124" s="241" t="n"/>
      <c r="Z1124" s="240" t="n"/>
      <c r="AB1124" s="241" t="n"/>
      <c r="AC1124" s="240" t="n"/>
      <c r="AD1124" s="241" t="n"/>
    </row>
    <row r="1125">
      <c r="B1125" s="42" t="n">
        <v>226</v>
      </c>
      <c r="C1125" s="118">
        <f>INDIRECT("'Закуп'!A" &amp; B1125)</f>
        <v/>
      </c>
      <c r="D1125" s="119">
        <f>C1125*1.2</f>
        <v/>
      </c>
      <c r="G1125" s="172">
        <f>IF(INDIRECT("'Закуп'!L" &amp; B1125)="Sale","Sale","")</f>
        <v/>
      </c>
      <c r="H1125" s="158">
        <f>IF(INDIRECT("'Закуп'!F" &amp; B1125)=0,"",INDIRECT("'Закуп'!F" &amp; B1125))</f>
        <v/>
      </c>
      <c r="I1125" s="120" t="n">
        <v>500</v>
      </c>
      <c r="J1125" s="121">
        <f>K1125/1.2</f>
        <v/>
      </c>
      <c r="K1125" s="70" t="n">
        <v>0.64</v>
      </c>
      <c r="L1125" s="122">
        <f>J1125-C1125-(J1125-C1125)*0.2</f>
        <v/>
      </c>
      <c r="M1125" s="123">
        <f>L1125*I1125</f>
        <v/>
      </c>
      <c r="N1125" s="124" t="inlineStr">
        <is>
          <t xml:space="preserve">500-990 шт - </t>
        </is>
      </c>
      <c r="O1125" s="47" t="inlineStr">
        <is>
          <t xml:space="preserve"> руб / шт с НДС</t>
        </is>
      </c>
      <c r="P1125" s="125">
        <f>ROUND(K1125,2)</f>
        <v/>
      </c>
      <c r="Q1125" s="207">
        <f>CONCATENATE(N1125,P1125,O1125,)</f>
        <v/>
      </c>
      <c r="R1125" s="240" t="n"/>
      <c r="T1125" s="241" t="n"/>
      <c r="U1125" s="240" t="n"/>
      <c r="V1125" s="241" t="n"/>
      <c r="Z1125" s="240" t="n"/>
      <c r="AB1125" s="241" t="n"/>
      <c r="AC1125" s="240" t="n"/>
      <c r="AD1125" s="241" t="n"/>
    </row>
    <row r="1126">
      <c r="B1126" s="42" t="n">
        <v>226</v>
      </c>
      <c r="C1126" s="118">
        <f>INDIRECT("'Закуп'!A" &amp; B1126)</f>
        <v/>
      </c>
      <c r="D1126" s="119">
        <f>C1126*1.2</f>
        <v/>
      </c>
      <c r="G1126" s="172">
        <f>IF(INDIRECT("'Закуп'!L" &amp; B1126)="Sale","Sale","")</f>
        <v/>
      </c>
      <c r="H1126" s="158">
        <f>IF(INDIRECT("'Закуп'!F" &amp; B1126)=0,"",INDIRECT("'Закуп'!F" &amp; B1126))</f>
        <v/>
      </c>
      <c r="I1126" s="120" t="n">
        <v>1000</v>
      </c>
      <c r="J1126" s="121">
        <f>K1126/1.2</f>
        <v/>
      </c>
      <c r="K1126" s="70" t="n">
        <v>0.54</v>
      </c>
      <c r="L1126" s="122">
        <f>J1126-C1126-(J1126-C1126)*0.2</f>
        <v/>
      </c>
      <c r="M1126" s="123">
        <f>L1126*I1126</f>
        <v/>
      </c>
      <c r="N1126" s="124" t="inlineStr">
        <is>
          <t xml:space="preserve">1000 + шт - </t>
        </is>
      </c>
      <c r="O1126" s="47" t="inlineStr">
        <is>
          <t xml:space="preserve"> руб / шт с НДС</t>
        </is>
      </c>
      <c r="P1126" s="125">
        <f>ROUND(K1126,2)</f>
        <v/>
      </c>
      <c r="Q1126" s="207">
        <f>CONCATENATE(N1126,P1126,O1126,)</f>
        <v/>
      </c>
      <c r="R1126" s="240" t="n"/>
      <c r="T1126" s="241" t="n"/>
      <c r="U1126" s="240" t="n"/>
      <c r="V1126" s="241" t="n"/>
      <c r="Z1126" s="240" t="n"/>
      <c r="AB1126" s="241" t="n"/>
      <c r="AC1126" s="240" t="n"/>
      <c r="AD1126" s="241" t="n"/>
    </row>
    <row r="1127">
      <c r="A1127" s="232" t="n">
        <v>227</v>
      </c>
      <c r="B1127" s="42" t="n">
        <v>227</v>
      </c>
      <c r="C1127" s="118">
        <f>INDIRECT("'Закуп'!A" &amp; B1127)</f>
        <v/>
      </c>
      <c r="D1127" s="119">
        <f>C1127*1.2</f>
        <v/>
      </c>
      <c r="E1127" s="225">
        <f>INDIRECT("'Закуп'!D" &amp; A1127)</f>
        <v/>
      </c>
      <c r="F1127" s="231">
        <f>INDIRECT("'Закуп'!E" &amp; B1127)</f>
        <v/>
      </c>
      <c r="G1127" s="172">
        <f>IF(INDIRECT("'Закуп'!L" &amp; B1127)="Sale","Sale","")</f>
        <v/>
      </c>
      <c r="H1127" s="158">
        <f>IF(INDIRECT("'Закуп'!F" &amp; B1127)=0,"",INDIRECT("'Закуп'!F" &amp; B1127))</f>
        <v/>
      </c>
      <c r="I1127" s="120" t="n">
        <v>50</v>
      </c>
      <c r="J1127" s="121">
        <f>K1127/1.2</f>
        <v/>
      </c>
      <c r="K1127" s="70" t="n">
        <v>0.5</v>
      </c>
      <c r="L1127" s="122">
        <f>J1127-C1127-(J1127-C1127)*0.2</f>
        <v/>
      </c>
      <c r="M1127" s="123">
        <f>L1127*I1127</f>
        <v/>
      </c>
      <c r="N1127" s="124" t="inlineStr">
        <is>
          <t xml:space="preserve">50-90 шт - </t>
        </is>
      </c>
      <c r="O1127" s="47" t="inlineStr">
        <is>
          <t xml:space="preserve"> руб / шт с НДС</t>
        </is>
      </c>
      <c r="P1127" s="125">
        <f>ROUND(K1127,2)</f>
        <v/>
      </c>
      <c r="Q1127" s="207">
        <f>CONCATENATE(N1127,P1127,O1127,)</f>
        <v/>
      </c>
      <c r="R1127" s="235">
        <f>INDIRECT("'Закуп'!k" &amp; A1127)</f>
        <v/>
      </c>
      <c r="S1127" s="239">
        <f>INDIRECT("'Закуп'!o" &amp; A1127)</f>
        <v/>
      </c>
      <c r="T1127" s="226">
        <f>INDIRECT("'Закуп'!p" &amp; A1127)</f>
        <v/>
      </c>
      <c r="U1127" s="235">
        <f>INDIRECT("'Закуп'!v" &amp; A1127)</f>
        <v/>
      </c>
      <c r="V1127" s="222">
        <f>INDIRECT("'Закуп'!w" &amp; A1127)</f>
        <v/>
      </c>
      <c r="W1127" s="229">
        <f>INDIRECT("'Закуп'!H" &amp; A1127)</f>
        <v/>
      </c>
      <c r="X1127" s="237">
        <f>INDIRECT("'Закуп'!g" &amp; A1127)</f>
        <v/>
      </c>
      <c r="Y1127" s="229">
        <f>INDIRECT("'Закуп'!i" &amp; A1127)</f>
        <v/>
      </c>
      <c r="Z1127" s="236">
        <f>INDIRECT("'Закуп'!x" &amp; A1127)</f>
        <v/>
      </c>
      <c r="AA1127" s="237">
        <f>INDIRECT("'Закуп'!y" &amp; A1127)</f>
        <v/>
      </c>
      <c r="AB1127" s="238">
        <f>INDIRECT("'Закуп'!z" &amp; A1127)</f>
        <v/>
      </c>
      <c r="AC1127" s="223">
        <f>SUBSTITUTE(INDEX(F:F, ROUNDUP((ROW(A1126))/5,0)*5 - 3), "х", "x")</f>
        <v/>
      </c>
      <c r="AD1127" s="222">
        <f>SUBSTITUTE(INDEX(F:F, ROUNDUP((ROW(A1126))/5,0)*5 - 3), "х", "x") &amp; " - " &amp; SUBSTITUTE(SUBSTITUTE(INDEX(F:F, ROUNDUP((ROW(A1126))/5,0)*5 - 3), "х", "*"), "x", "*") &amp; " мм"</f>
        <v/>
      </c>
    </row>
    <row r="1128">
      <c r="B1128" s="42" t="n">
        <v>227</v>
      </c>
      <c r="C1128" s="118">
        <f>INDIRECT("'Закуп'!A" &amp; B1128)</f>
        <v/>
      </c>
      <c r="D1128" s="119">
        <f>C1128*1.2</f>
        <v/>
      </c>
      <c r="G1128" s="172">
        <f>IF(INDIRECT("'Закуп'!L" &amp; B1128)="Sale","Sale","")</f>
        <v/>
      </c>
      <c r="H1128" s="158">
        <f>IF(INDIRECT("'Закуп'!F" &amp; B1128)=0,"",INDIRECT("'Закуп'!F" &amp; B1128))</f>
        <v/>
      </c>
      <c r="I1128" s="120" t="n">
        <v>100</v>
      </c>
      <c r="J1128" s="121">
        <f>K1128/1.2</f>
        <v/>
      </c>
      <c r="K1128" s="70" t="n">
        <v>0.5</v>
      </c>
      <c r="L1128" s="122">
        <f>J1128-C1128-(J1128-C1128)*0.2</f>
        <v/>
      </c>
      <c r="M1128" s="123">
        <f>L1128*I1128</f>
        <v/>
      </c>
      <c r="N1128" s="124" t="inlineStr">
        <is>
          <t xml:space="preserve">100-290 шт - </t>
        </is>
      </c>
      <c r="O1128" s="47" t="inlineStr">
        <is>
          <t xml:space="preserve"> руб / шт с НДС</t>
        </is>
      </c>
      <c r="P1128" s="125">
        <f>ROUND(K1128,2)</f>
        <v/>
      </c>
      <c r="Q1128" s="207">
        <f>CONCATENATE(N1128,P1128,O1128,)</f>
        <v/>
      </c>
      <c r="R1128" s="240" t="n"/>
      <c r="T1128" s="241" t="n"/>
      <c r="U1128" s="240" t="n"/>
      <c r="V1128" s="241" t="n"/>
      <c r="Z1128" s="240" t="n"/>
      <c r="AB1128" s="241" t="n"/>
      <c r="AC1128" s="240" t="n"/>
      <c r="AD1128" s="241" t="n"/>
    </row>
    <row r="1129">
      <c r="B1129" s="42" t="n">
        <v>227</v>
      </c>
      <c r="C1129" s="118">
        <f>INDIRECT("'Закуп'!A" &amp; B1129)</f>
        <v/>
      </c>
      <c r="D1129" s="119">
        <f>C1129*1.2</f>
        <v/>
      </c>
      <c r="G1129" s="172">
        <f>IF(INDIRECT("'Закуп'!L" &amp; B1129)="Sale","Sale","")</f>
        <v/>
      </c>
      <c r="H1129" s="158">
        <f>IF(INDIRECT("'Закуп'!F" &amp; B1129)=0,"",INDIRECT("'Закуп'!F" &amp; B1129))</f>
        <v/>
      </c>
      <c r="I1129" s="120" t="n">
        <v>300</v>
      </c>
      <c r="J1129" s="121">
        <f>K1129/1.2</f>
        <v/>
      </c>
      <c r="K1129" s="70" t="n">
        <v>0.5</v>
      </c>
      <c r="L1129" s="122">
        <f>J1129-C1129-(J1129-C1129)*0.2</f>
        <v/>
      </c>
      <c r="M1129" s="123">
        <f>L1129*I1129</f>
        <v/>
      </c>
      <c r="N1129" s="124" t="inlineStr">
        <is>
          <t xml:space="preserve">300-490 шт - </t>
        </is>
      </c>
      <c r="O1129" s="47" t="inlineStr">
        <is>
          <t xml:space="preserve"> руб / шт с НДС</t>
        </is>
      </c>
      <c r="P1129" s="125">
        <f>ROUND(K1129,2)</f>
        <v/>
      </c>
      <c r="Q1129" s="207">
        <f>CONCATENATE(N1129,P1129,O1129,)</f>
        <v/>
      </c>
      <c r="R1129" s="240" t="n"/>
      <c r="T1129" s="241" t="n"/>
      <c r="U1129" s="240" t="n"/>
      <c r="V1129" s="241" t="n"/>
      <c r="Z1129" s="240" t="n"/>
      <c r="AB1129" s="241" t="n"/>
      <c r="AC1129" s="240" t="n"/>
      <c r="AD1129" s="241" t="n"/>
    </row>
    <row r="1130">
      <c r="B1130" s="42" t="n">
        <v>227</v>
      </c>
      <c r="C1130" s="118">
        <f>INDIRECT("'Закуп'!A" &amp; B1130)</f>
        <v/>
      </c>
      <c r="D1130" s="119">
        <f>C1130*1.2</f>
        <v/>
      </c>
      <c r="G1130" s="172">
        <f>IF(INDIRECT("'Закуп'!L" &amp; B1130)="Sale","Sale","")</f>
        <v/>
      </c>
      <c r="H1130" s="158">
        <f>IF(INDIRECT("'Закуп'!F" &amp; B1130)=0,"",INDIRECT("'Закуп'!F" &amp; B1130))</f>
        <v/>
      </c>
      <c r="I1130" s="120" t="n">
        <v>500</v>
      </c>
      <c r="J1130" s="121">
        <f>K1130/1.2</f>
        <v/>
      </c>
      <c r="K1130" s="70" t="n">
        <v>0.5</v>
      </c>
      <c r="L1130" s="122">
        <f>J1130-C1130-(J1130-C1130)*0.2</f>
        <v/>
      </c>
      <c r="M1130" s="123">
        <f>L1130*I1130</f>
        <v/>
      </c>
      <c r="N1130" s="124" t="inlineStr">
        <is>
          <t xml:space="preserve">500-990 шт - </t>
        </is>
      </c>
      <c r="O1130" s="47" t="inlineStr">
        <is>
          <t xml:space="preserve"> руб / шт с НДС</t>
        </is>
      </c>
      <c r="P1130" s="125">
        <f>ROUND(K1130,2)</f>
        <v/>
      </c>
      <c r="Q1130" s="207">
        <f>CONCATENATE(N1130,P1130,O1130,)</f>
        <v/>
      </c>
      <c r="R1130" s="240" t="n"/>
      <c r="T1130" s="241" t="n"/>
      <c r="U1130" s="240" t="n"/>
      <c r="V1130" s="241" t="n"/>
      <c r="Z1130" s="240" t="n"/>
      <c r="AB1130" s="241" t="n"/>
      <c r="AC1130" s="240" t="n"/>
      <c r="AD1130" s="241" t="n"/>
    </row>
    <row r="1131">
      <c r="B1131" s="42" t="n">
        <v>227</v>
      </c>
      <c r="C1131" s="118">
        <f>INDIRECT("'Закуп'!A" &amp; B1131)</f>
        <v/>
      </c>
      <c r="D1131" s="119">
        <f>C1131*1.2</f>
        <v/>
      </c>
      <c r="G1131" s="172">
        <f>IF(INDIRECT("'Закуп'!L" &amp; B1131)="Sale","Sale","")</f>
        <v/>
      </c>
      <c r="H1131" s="158">
        <f>IF(INDIRECT("'Закуп'!F" &amp; B1131)=0,"",INDIRECT("'Закуп'!F" &amp; B1131))</f>
        <v/>
      </c>
      <c r="I1131" s="120" t="n">
        <v>1000</v>
      </c>
      <c r="J1131" s="121">
        <f>K1131/1.2</f>
        <v/>
      </c>
      <c r="K1131" s="70" t="n">
        <v>0.5</v>
      </c>
      <c r="L1131" s="122">
        <f>J1131-C1131-(J1131-C1131)*0.2</f>
        <v/>
      </c>
      <c r="M1131" s="123">
        <f>L1131*I1131</f>
        <v/>
      </c>
      <c r="N1131" s="124" t="inlineStr">
        <is>
          <t xml:space="preserve">1000 + шт - </t>
        </is>
      </c>
      <c r="O1131" s="47" t="inlineStr">
        <is>
          <t xml:space="preserve"> руб / шт с НДС</t>
        </is>
      </c>
      <c r="P1131" s="125">
        <f>ROUND(K1131,2)</f>
        <v/>
      </c>
      <c r="Q1131" s="207">
        <f>CONCATENATE(N1131,P1131,O1131,)</f>
        <v/>
      </c>
      <c r="R1131" s="240" t="n"/>
      <c r="T1131" s="241" t="n"/>
      <c r="U1131" s="240" t="n"/>
      <c r="V1131" s="241" t="n"/>
      <c r="Z1131" s="240" t="n"/>
      <c r="AB1131" s="241" t="n"/>
      <c r="AC1131" s="240" t="n"/>
      <c r="AD1131" s="241" t="n"/>
    </row>
    <row r="1132">
      <c r="A1132" s="232" t="n">
        <v>228</v>
      </c>
      <c r="B1132" s="42" t="n">
        <v>228</v>
      </c>
      <c r="C1132" s="118">
        <f>INDIRECT("'Закуп'!A" &amp; B1132)</f>
        <v/>
      </c>
      <c r="D1132" s="119">
        <f>C1132*1.2</f>
        <v/>
      </c>
      <c r="E1132" s="225">
        <f>INDIRECT("'Закуп'!D" &amp; A1132)</f>
        <v/>
      </c>
      <c r="F1132" s="231">
        <f>INDIRECT("'Закуп'!E" &amp; B1132)</f>
        <v/>
      </c>
      <c r="G1132" s="172">
        <f>IF(INDIRECT("'Закуп'!L" &amp; B1132)="Sale","Sale","")</f>
        <v/>
      </c>
      <c r="H1132" s="158">
        <f>IF(INDIRECT("'Закуп'!F" &amp; B1132)=0,"",INDIRECT("'Закуп'!F" &amp; B1132))</f>
        <v/>
      </c>
      <c r="I1132" s="120" t="n">
        <v>50</v>
      </c>
      <c r="J1132" s="121">
        <f>K1132/1.2</f>
        <v/>
      </c>
      <c r="K1132" s="70" t="n">
        <v>0.5</v>
      </c>
      <c r="L1132" s="122">
        <f>J1132-C1132-(J1132-C1132)*0.2</f>
        <v/>
      </c>
      <c r="M1132" s="123">
        <f>L1132*I1132</f>
        <v/>
      </c>
      <c r="N1132" s="124" t="inlineStr">
        <is>
          <t xml:space="preserve">50-90 шт - </t>
        </is>
      </c>
      <c r="O1132" s="47" t="inlineStr">
        <is>
          <t xml:space="preserve"> руб / шт с НДС</t>
        </is>
      </c>
      <c r="P1132" s="125">
        <f>ROUND(K1132,2)</f>
        <v/>
      </c>
      <c r="Q1132" s="207">
        <f>CONCATENATE(N1132,P1132,O1132,)</f>
        <v/>
      </c>
      <c r="R1132" s="235">
        <f>INDIRECT("'Закуп'!k" &amp; A1132)</f>
        <v/>
      </c>
      <c r="S1132" s="239">
        <f>INDIRECT("'Закуп'!o" &amp; A1132)</f>
        <v/>
      </c>
      <c r="T1132" s="226">
        <f>INDIRECT("'Закуп'!p" &amp; A1132)</f>
        <v/>
      </c>
      <c r="U1132" s="235">
        <f>INDIRECT("'Закуп'!v" &amp; A1132)</f>
        <v/>
      </c>
      <c r="V1132" s="222">
        <f>INDIRECT("'Закуп'!w" &amp; A1132)</f>
        <v/>
      </c>
      <c r="W1132" s="229">
        <f>INDIRECT("'Закуп'!H" &amp; A1132)</f>
        <v/>
      </c>
      <c r="X1132" s="237">
        <f>INDIRECT("'Закуп'!g" &amp; A1132)</f>
        <v/>
      </c>
      <c r="Y1132" s="229">
        <f>INDIRECT("'Закуп'!i" &amp; A1132)</f>
        <v/>
      </c>
      <c r="Z1132" s="236">
        <f>INDIRECT("'Закуп'!x" &amp; A1132)</f>
        <v/>
      </c>
      <c r="AA1132" s="237">
        <f>INDIRECT("'Закуп'!y" &amp; A1132)</f>
        <v/>
      </c>
      <c r="AB1132" s="238">
        <f>INDIRECT("'Закуп'!z" &amp; A1132)</f>
        <v/>
      </c>
      <c r="AC1132" s="223">
        <f>SUBSTITUTE(INDEX(F:F, ROUNDUP((ROW(A1131))/5,0)*5 - 3), "х", "x")</f>
        <v/>
      </c>
      <c r="AD1132" s="222">
        <f>SUBSTITUTE(INDEX(F:F, ROUNDUP((ROW(A1131))/5,0)*5 - 3), "х", "x") &amp; " - " &amp; SUBSTITUTE(SUBSTITUTE(INDEX(F:F, ROUNDUP((ROW(A1131))/5,0)*5 - 3), "х", "*"), "x", "*") &amp; " мм"</f>
        <v/>
      </c>
    </row>
    <row r="1133">
      <c r="B1133" s="42" t="n">
        <v>228</v>
      </c>
      <c r="C1133" s="118">
        <f>INDIRECT("'Закуп'!A" &amp; B1133)</f>
        <v/>
      </c>
      <c r="D1133" s="119">
        <f>C1133*1.2</f>
        <v/>
      </c>
      <c r="G1133" s="172">
        <f>IF(INDIRECT("'Закуп'!L" &amp; B1133)="Sale","Sale","")</f>
        <v/>
      </c>
      <c r="H1133" s="158">
        <f>IF(INDIRECT("'Закуп'!F" &amp; B1133)=0,"",INDIRECT("'Закуп'!F" &amp; B1133))</f>
        <v/>
      </c>
      <c r="I1133" s="120" t="n">
        <v>100</v>
      </c>
      <c r="J1133" s="121">
        <f>K1133/1.2</f>
        <v/>
      </c>
      <c r="K1133" s="70" t="n">
        <v>0.5</v>
      </c>
      <c r="L1133" s="122">
        <f>J1133-C1133-(J1133-C1133)*0.2</f>
        <v/>
      </c>
      <c r="M1133" s="123">
        <f>L1133*I1133</f>
        <v/>
      </c>
      <c r="N1133" s="124" t="inlineStr">
        <is>
          <t xml:space="preserve">100-290 шт - </t>
        </is>
      </c>
      <c r="O1133" s="47" t="inlineStr">
        <is>
          <t xml:space="preserve"> руб / шт с НДС</t>
        </is>
      </c>
      <c r="P1133" s="125">
        <f>ROUND(K1133,2)</f>
        <v/>
      </c>
      <c r="Q1133" s="207">
        <f>CONCATENATE(N1133,P1133,O1133,)</f>
        <v/>
      </c>
      <c r="R1133" s="240" t="n"/>
      <c r="T1133" s="241" t="n"/>
      <c r="U1133" s="240" t="n"/>
      <c r="V1133" s="241" t="n"/>
      <c r="Z1133" s="240" t="n"/>
      <c r="AB1133" s="241" t="n"/>
      <c r="AC1133" s="240" t="n"/>
      <c r="AD1133" s="241" t="n"/>
    </row>
    <row r="1134">
      <c r="B1134" s="42" t="n">
        <v>228</v>
      </c>
      <c r="C1134" s="118">
        <f>INDIRECT("'Закуп'!A" &amp; B1134)</f>
        <v/>
      </c>
      <c r="D1134" s="119">
        <f>C1134*1.2</f>
        <v/>
      </c>
      <c r="G1134" s="172">
        <f>IF(INDIRECT("'Закуп'!L" &amp; B1134)="Sale","Sale","")</f>
        <v/>
      </c>
      <c r="H1134" s="158">
        <f>IF(INDIRECT("'Закуп'!F" &amp; B1134)=0,"",INDIRECT("'Закуп'!F" &amp; B1134))</f>
        <v/>
      </c>
      <c r="I1134" s="120" t="n">
        <v>300</v>
      </c>
      <c r="J1134" s="121">
        <f>K1134/1.2</f>
        <v/>
      </c>
      <c r="K1134" s="70" t="n">
        <v>0.5</v>
      </c>
      <c r="L1134" s="122">
        <f>J1134-C1134-(J1134-C1134)*0.2</f>
        <v/>
      </c>
      <c r="M1134" s="123">
        <f>L1134*I1134</f>
        <v/>
      </c>
      <c r="N1134" s="124" t="inlineStr">
        <is>
          <t xml:space="preserve">300-490 шт - </t>
        </is>
      </c>
      <c r="O1134" s="47" t="inlineStr">
        <is>
          <t xml:space="preserve"> руб / шт с НДС</t>
        </is>
      </c>
      <c r="P1134" s="125">
        <f>ROUND(K1134,2)</f>
        <v/>
      </c>
      <c r="Q1134" s="207">
        <f>CONCATENATE(N1134,P1134,O1134,)</f>
        <v/>
      </c>
      <c r="R1134" s="240" t="n"/>
      <c r="T1134" s="241" t="n"/>
      <c r="U1134" s="240" t="n"/>
      <c r="V1134" s="241" t="n"/>
      <c r="Z1134" s="240" t="n"/>
      <c r="AB1134" s="241" t="n"/>
      <c r="AC1134" s="240" t="n"/>
      <c r="AD1134" s="241" t="n"/>
    </row>
    <row r="1135">
      <c r="B1135" s="42" t="n">
        <v>228</v>
      </c>
      <c r="C1135" s="118">
        <f>INDIRECT("'Закуп'!A" &amp; B1135)</f>
        <v/>
      </c>
      <c r="D1135" s="119">
        <f>C1135*1.2</f>
        <v/>
      </c>
      <c r="G1135" s="172">
        <f>IF(INDIRECT("'Закуп'!L" &amp; B1135)="Sale","Sale","")</f>
        <v/>
      </c>
      <c r="H1135" s="158">
        <f>IF(INDIRECT("'Закуп'!F" &amp; B1135)=0,"",INDIRECT("'Закуп'!F" &amp; B1135))</f>
        <v/>
      </c>
      <c r="I1135" s="120" t="n">
        <v>500</v>
      </c>
      <c r="J1135" s="121">
        <f>K1135/1.2</f>
        <v/>
      </c>
      <c r="K1135" s="70" t="n">
        <v>0.5</v>
      </c>
      <c r="L1135" s="122">
        <f>J1135-C1135-(J1135-C1135)*0.2</f>
        <v/>
      </c>
      <c r="M1135" s="123">
        <f>L1135*I1135</f>
        <v/>
      </c>
      <c r="N1135" s="124" t="inlineStr">
        <is>
          <t xml:space="preserve">500-990 шт - </t>
        </is>
      </c>
      <c r="O1135" s="47" t="inlineStr">
        <is>
          <t xml:space="preserve"> руб / шт с НДС</t>
        </is>
      </c>
      <c r="P1135" s="125">
        <f>ROUND(K1135,2)</f>
        <v/>
      </c>
      <c r="Q1135" s="207">
        <f>CONCATENATE(N1135,P1135,O1135,)</f>
        <v/>
      </c>
      <c r="R1135" s="240" t="n"/>
      <c r="T1135" s="241" t="n"/>
      <c r="U1135" s="240" t="n"/>
      <c r="V1135" s="241" t="n"/>
      <c r="Z1135" s="240" t="n"/>
      <c r="AB1135" s="241" t="n"/>
      <c r="AC1135" s="240" t="n"/>
      <c r="AD1135" s="241" t="n"/>
    </row>
    <row r="1136">
      <c r="B1136" s="42" t="n">
        <v>228</v>
      </c>
      <c r="C1136" s="118">
        <f>INDIRECT("'Закуп'!A" &amp; B1136)</f>
        <v/>
      </c>
      <c r="D1136" s="119">
        <f>C1136*1.2</f>
        <v/>
      </c>
      <c r="G1136" s="172">
        <f>IF(INDIRECT("'Закуп'!L" &amp; B1136)="Sale","Sale","")</f>
        <v/>
      </c>
      <c r="H1136" s="158">
        <f>IF(INDIRECT("'Закуп'!F" &amp; B1136)=0,"",INDIRECT("'Закуп'!F" &amp; B1136))</f>
        <v/>
      </c>
      <c r="I1136" s="120" t="n">
        <v>1000</v>
      </c>
      <c r="J1136" s="121">
        <f>K1136/1.2</f>
        <v/>
      </c>
      <c r="K1136" s="70" t="n">
        <v>0.5</v>
      </c>
      <c r="L1136" s="122">
        <f>J1136-C1136-(J1136-C1136)*0.2</f>
        <v/>
      </c>
      <c r="M1136" s="123">
        <f>L1136*I1136</f>
        <v/>
      </c>
      <c r="N1136" s="124" t="inlineStr">
        <is>
          <t xml:space="preserve">1000 + шт - </t>
        </is>
      </c>
      <c r="O1136" s="47" t="inlineStr">
        <is>
          <t xml:space="preserve"> руб / шт с НДС</t>
        </is>
      </c>
      <c r="P1136" s="125">
        <f>ROUND(K1136,2)</f>
        <v/>
      </c>
      <c r="Q1136" s="207">
        <f>CONCATENATE(N1136,P1136,O1136,)</f>
        <v/>
      </c>
      <c r="R1136" s="240" t="n"/>
      <c r="T1136" s="241" t="n"/>
      <c r="U1136" s="240" t="n"/>
      <c r="V1136" s="241" t="n"/>
      <c r="Z1136" s="240" t="n"/>
      <c r="AB1136" s="241" t="n"/>
      <c r="AC1136" s="240" t="n"/>
      <c r="AD1136" s="241" t="n"/>
    </row>
    <row r="1137">
      <c r="A1137" s="232" t="n">
        <v>229</v>
      </c>
      <c r="B1137" s="42" t="n">
        <v>229</v>
      </c>
      <c r="C1137" s="118">
        <f>INDIRECT("'Закуп'!A" &amp; B1137)</f>
        <v/>
      </c>
      <c r="D1137" s="119">
        <f>C1137*1.2</f>
        <v/>
      </c>
      <c r="E1137" s="225">
        <f>INDIRECT("'Закуп'!D" &amp; A1137)</f>
        <v/>
      </c>
      <c r="F1137" s="231">
        <f>INDIRECT("'Закуп'!E" &amp; B1137)</f>
        <v/>
      </c>
      <c r="G1137" s="172">
        <f>IF(INDIRECT("'Закуп'!L" &amp; B1137)="Sale","Sale","")</f>
        <v/>
      </c>
      <c r="H1137" s="158">
        <f>IF(INDIRECT("'Закуп'!F" &amp; B1137)=0,"",INDIRECT("'Закуп'!F" &amp; B1137))</f>
        <v/>
      </c>
      <c r="I1137" s="120" t="n">
        <v>50</v>
      </c>
      <c r="J1137" s="121">
        <f>K1137/1.2</f>
        <v/>
      </c>
      <c r="K1137" s="70" t="n">
        <v>0.75</v>
      </c>
      <c r="L1137" s="122">
        <f>J1137-C1137-(J1137-C1137)*0.2</f>
        <v/>
      </c>
      <c r="M1137" s="123">
        <f>L1137*I1137</f>
        <v/>
      </c>
      <c r="N1137" s="124" t="inlineStr">
        <is>
          <t xml:space="preserve">50-90 шт - </t>
        </is>
      </c>
      <c r="O1137" s="47" t="inlineStr">
        <is>
          <t xml:space="preserve"> руб / шт с НДС</t>
        </is>
      </c>
      <c r="P1137" s="125">
        <f>ROUND(K1137,2)</f>
        <v/>
      </c>
      <c r="Q1137" s="207">
        <f>CONCATENATE(N1137,P1137,O1137,)</f>
        <v/>
      </c>
      <c r="R1137" s="235">
        <f>INDIRECT("'Закуп'!k" &amp; A1137)</f>
        <v/>
      </c>
      <c r="S1137" s="239">
        <f>INDIRECT("'Закуп'!o" &amp; A1137)</f>
        <v/>
      </c>
      <c r="T1137" s="226">
        <f>INDIRECT("'Закуп'!p" &amp; A1137)</f>
        <v/>
      </c>
      <c r="U1137" s="235">
        <f>INDIRECT("'Закуп'!v" &amp; A1137)</f>
        <v/>
      </c>
      <c r="V1137" s="222">
        <f>INDIRECT("'Закуп'!w" &amp; A1137)</f>
        <v/>
      </c>
      <c r="W1137" s="229">
        <f>INDIRECT("'Закуп'!H" &amp; A1137)</f>
        <v/>
      </c>
      <c r="X1137" s="237">
        <f>INDIRECT("'Закуп'!g" &amp; A1137)</f>
        <v/>
      </c>
      <c r="Y1137" s="229">
        <f>INDIRECT("'Закуп'!i" &amp; A1137)</f>
        <v/>
      </c>
      <c r="Z1137" s="236">
        <f>INDIRECT("'Закуп'!x" &amp; A1137)</f>
        <v/>
      </c>
      <c r="AA1137" s="237">
        <f>INDIRECT("'Закуп'!y" &amp; A1137)</f>
        <v/>
      </c>
      <c r="AB1137" s="238">
        <f>INDIRECT("'Закуп'!z" &amp; A1137)</f>
        <v/>
      </c>
      <c r="AC1137" s="223">
        <f>SUBSTITUTE(INDEX(F:F, ROUNDUP((ROW(A1136))/5,0)*5 - 3), "х", "x")</f>
        <v/>
      </c>
      <c r="AD1137" s="222">
        <f>SUBSTITUTE(INDEX(F:F, ROUNDUP((ROW(A1136))/5,0)*5 - 3), "х", "x") &amp; " - " &amp; SUBSTITUTE(SUBSTITUTE(INDEX(F:F, ROUNDUP((ROW(A1136))/5,0)*5 - 3), "х", "*"), "x", "*") &amp; " мм"</f>
        <v/>
      </c>
    </row>
    <row r="1138">
      <c r="B1138" s="42" t="n">
        <v>229</v>
      </c>
      <c r="C1138" s="118">
        <f>INDIRECT("'Закуп'!A" &amp; B1138)</f>
        <v/>
      </c>
      <c r="D1138" s="119">
        <f>C1138*1.2</f>
        <v/>
      </c>
      <c r="G1138" s="172">
        <f>IF(INDIRECT("'Закуп'!L" &amp; B1138)="Sale","Sale","")</f>
        <v/>
      </c>
      <c r="H1138" s="158">
        <f>IF(INDIRECT("'Закуп'!F" &amp; B1138)=0,"",INDIRECT("'Закуп'!F" &amp; B1138))</f>
        <v/>
      </c>
      <c r="I1138" s="120" t="n">
        <v>100</v>
      </c>
      <c r="J1138" s="121">
        <f>K1138/1.2</f>
        <v/>
      </c>
      <c r="K1138" s="70" t="n">
        <v>0.75</v>
      </c>
      <c r="L1138" s="122">
        <f>J1138-C1138-(J1138-C1138)*0.2</f>
        <v/>
      </c>
      <c r="M1138" s="123">
        <f>L1138*I1138</f>
        <v/>
      </c>
      <c r="N1138" s="124" t="inlineStr">
        <is>
          <t xml:space="preserve">100-290 шт - </t>
        </is>
      </c>
      <c r="O1138" s="47" t="inlineStr">
        <is>
          <t xml:space="preserve"> руб / шт с НДС</t>
        </is>
      </c>
      <c r="P1138" s="125">
        <f>ROUND(K1138,2)</f>
        <v/>
      </c>
      <c r="Q1138" s="207">
        <f>CONCATENATE(N1138,P1138,O1138,)</f>
        <v/>
      </c>
      <c r="R1138" s="240" t="n"/>
      <c r="T1138" s="241" t="n"/>
      <c r="U1138" s="240" t="n"/>
      <c r="V1138" s="241" t="n"/>
      <c r="Z1138" s="240" t="n"/>
      <c r="AB1138" s="241" t="n"/>
      <c r="AC1138" s="240" t="n"/>
      <c r="AD1138" s="241" t="n"/>
    </row>
    <row r="1139">
      <c r="B1139" s="42" t="n">
        <v>229</v>
      </c>
      <c r="C1139" s="118">
        <f>INDIRECT("'Закуп'!A" &amp; B1139)</f>
        <v/>
      </c>
      <c r="D1139" s="119">
        <f>C1139*1.2</f>
        <v/>
      </c>
      <c r="G1139" s="172">
        <f>IF(INDIRECT("'Закуп'!L" &amp; B1139)="Sale","Sale","")</f>
        <v/>
      </c>
      <c r="H1139" s="158">
        <f>IF(INDIRECT("'Закуп'!F" &amp; B1139)=0,"",INDIRECT("'Закуп'!F" &amp; B1139))</f>
        <v/>
      </c>
      <c r="I1139" s="120" t="n">
        <v>300</v>
      </c>
      <c r="J1139" s="121">
        <f>K1139/1.2</f>
        <v/>
      </c>
      <c r="K1139" s="70" t="n">
        <v>0.75</v>
      </c>
      <c r="L1139" s="122">
        <f>J1139-C1139-(J1139-C1139)*0.2</f>
        <v/>
      </c>
      <c r="M1139" s="123">
        <f>L1139*I1139</f>
        <v/>
      </c>
      <c r="N1139" s="124" t="inlineStr">
        <is>
          <t xml:space="preserve">300-490 шт - </t>
        </is>
      </c>
      <c r="O1139" s="47" t="inlineStr">
        <is>
          <t xml:space="preserve"> руб / шт с НДС</t>
        </is>
      </c>
      <c r="P1139" s="125">
        <f>ROUND(K1139,2)</f>
        <v/>
      </c>
      <c r="Q1139" s="207">
        <f>CONCATENATE(N1139,P1139,O1139,)</f>
        <v/>
      </c>
      <c r="R1139" s="240" t="n"/>
      <c r="T1139" s="241" t="n"/>
      <c r="U1139" s="240" t="n"/>
      <c r="V1139" s="241" t="n"/>
      <c r="Z1139" s="240" t="n"/>
      <c r="AB1139" s="241" t="n"/>
      <c r="AC1139" s="240" t="n"/>
      <c r="AD1139" s="241" t="n"/>
    </row>
    <row r="1140">
      <c r="B1140" s="42" t="n">
        <v>229</v>
      </c>
      <c r="C1140" s="118">
        <f>INDIRECT("'Закуп'!A" &amp; B1140)</f>
        <v/>
      </c>
      <c r="D1140" s="119">
        <f>C1140*1.2</f>
        <v/>
      </c>
      <c r="G1140" s="172">
        <f>IF(INDIRECT("'Закуп'!L" &amp; B1140)="Sale","Sale","")</f>
        <v/>
      </c>
      <c r="H1140" s="158">
        <f>IF(INDIRECT("'Закуп'!F" &amp; B1140)=0,"",INDIRECT("'Закуп'!F" &amp; B1140))</f>
        <v/>
      </c>
      <c r="I1140" s="120" t="n">
        <v>500</v>
      </c>
      <c r="J1140" s="121">
        <f>K1140/1.2</f>
        <v/>
      </c>
      <c r="K1140" s="70" t="n">
        <v>0.75</v>
      </c>
      <c r="L1140" s="122">
        <f>J1140-C1140-(J1140-C1140)*0.2</f>
        <v/>
      </c>
      <c r="M1140" s="123">
        <f>L1140*I1140</f>
        <v/>
      </c>
      <c r="N1140" s="124" t="inlineStr">
        <is>
          <t xml:space="preserve">500-990 шт - </t>
        </is>
      </c>
      <c r="O1140" s="47" t="inlineStr">
        <is>
          <t xml:space="preserve"> руб / шт с НДС</t>
        </is>
      </c>
      <c r="P1140" s="125">
        <f>ROUND(K1140,2)</f>
        <v/>
      </c>
      <c r="Q1140" s="207">
        <f>CONCATENATE(N1140,P1140,O1140,)</f>
        <v/>
      </c>
      <c r="R1140" s="240" t="n"/>
      <c r="T1140" s="241" t="n"/>
      <c r="U1140" s="240" t="n"/>
      <c r="V1140" s="241" t="n"/>
      <c r="Z1140" s="240" t="n"/>
      <c r="AB1140" s="241" t="n"/>
      <c r="AC1140" s="240" t="n"/>
      <c r="AD1140" s="241" t="n"/>
    </row>
    <row r="1141">
      <c r="B1141" s="42" t="n">
        <v>229</v>
      </c>
      <c r="C1141" s="118">
        <f>INDIRECT("'Закуп'!A" &amp; B1141)</f>
        <v/>
      </c>
      <c r="D1141" s="119">
        <f>C1141*1.2</f>
        <v/>
      </c>
      <c r="G1141" s="172">
        <f>IF(INDIRECT("'Закуп'!L" &amp; B1141)="Sale","Sale","")</f>
        <v/>
      </c>
      <c r="H1141" s="158">
        <f>IF(INDIRECT("'Закуп'!F" &amp; B1141)=0,"",INDIRECT("'Закуп'!F" &amp; B1141))</f>
        <v/>
      </c>
      <c r="I1141" s="120" t="n">
        <v>1000</v>
      </c>
      <c r="J1141" s="121">
        <f>K1141/1.2</f>
        <v/>
      </c>
      <c r="K1141" s="70" t="n">
        <v>0.75</v>
      </c>
      <c r="L1141" s="122">
        <f>J1141-C1141-(J1141-C1141)*0.2</f>
        <v/>
      </c>
      <c r="M1141" s="123">
        <f>L1141*I1141</f>
        <v/>
      </c>
      <c r="N1141" s="124" t="inlineStr">
        <is>
          <t xml:space="preserve">1000 + шт - </t>
        </is>
      </c>
      <c r="O1141" s="47" t="inlineStr">
        <is>
          <t xml:space="preserve"> руб / шт с НДС</t>
        </is>
      </c>
      <c r="P1141" s="125">
        <f>ROUND(K1141,2)</f>
        <v/>
      </c>
      <c r="Q1141" s="207">
        <f>CONCATENATE(N1141,P1141,O1141,)</f>
        <v/>
      </c>
      <c r="R1141" s="240" t="n"/>
      <c r="T1141" s="241" t="n"/>
      <c r="U1141" s="240" t="n"/>
      <c r="V1141" s="241" t="n"/>
      <c r="Z1141" s="240" t="n"/>
      <c r="AB1141" s="241" t="n"/>
      <c r="AC1141" s="240" t="n"/>
      <c r="AD1141" s="241" t="n"/>
    </row>
    <row r="1142">
      <c r="A1142" s="232" t="n">
        <v>230</v>
      </c>
      <c r="B1142" s="42" t="n">
        <v>230</v>
      </c>
      <c r="C1142" s="118">
        <f>INDIRECT("'Закуп'!A" &amp; B1142)</f>
        <v/>
      </c>
      <c r="D1142" s="119">
        <f>C1142*1.2</f>
        <v/>
      </c>
      <c r="E1142" s="224">
        <f>INDIRECT("'Закуп'!D" &amp; A1142)</f>
        <v/>
      </c>
      <c r="F1142" s="231">
        <f>INDIRECT("'Закуп'!E" &amp; B1142)</f>
        <v/>
      </c>
      <c r="G1142" s="172">
        <f>IF(INDIRECT("'Закуп'!L" &amp; B1142)="Sale","Sale","")</f>
        <v/>
      </c>
      <c r="H1142" s="158">
        <f>IF(INDIRECT("'Закуп'!F" &amp; B1142)=0,"",INDIRECT("'Закуп'!F" &amp; B1142))</f>
        <v/>
      </c>
      <c r="I1142" s="120" t="n">
        <v>50</v>
      </c>
      <c r="J1142" s="121">
        <f>K1142/1.2</f>
        <v/>
      </c>
      <c r="K1142" s="70" t="n">
        <v>1.07</v>
      </c>
      <c r="L1142" s="122">
        <f>J1142-C1142-(J1142-C1142)*0.2</f>
        <v/>
      </c>
      <c r="M1142" s="123">
        <f>L1142*I1142</f>
        <v/>
      </c>
      <c r="N1142" s="124" t="inlineStr">
        <is>
          <t xml:space="preserve">50-90 шт - </t>
        </is>
      </c>
      <c r="O1142" s="47" t="inlineStr">
        <is>
          <t xml:space="preserve"> руб / шт с НДС</t>
        </is>
      </c>
      <c r="P1142" s="125">
        <f>ROUND(K1142,2)</f>
        <v/>
      </c>
      <c r="Q1142" s="207">
        <f>CONCATENATE(N1142,P1142,O1142,)</f>
        <v/>
      </c>
      <c r="R1142" s="235">
        <f>INDIRECT("'Закуп'!k" &amp; A1142)</f>
        <v/>
      </c>
      <c r="S1142" s="239">
        <f>INDIRECT("'Закуп'!o" &amp; A1142)</f>
        <v/>
      </c>
      <c r="T1142" s="226">
        <f>INDIRECT("'Закуп'!p" &amp; A1142)</f>
        <v/>
      </c>
      <c r="U1142" s="235">
        <f>INDIRECT("'Закуп'!v" &amp; A1142)</f>
        <v/>
      </c>
      <c r="V1142" s="222">
        <f>INDIRECT("'Закуп'!w" &amp; A1142)</f>
        <v/>
      </c>
      <c r="W1142" s="229">
        <f>INDIRECT("'Закуп'!H" &amp; A1142)</f>
        <v/>
      </c>
      <c r="X1142" s="237">
        <f>INDIRECT("'Закуп'!g" &amp; A1142)</f>
        <v/>
      </c>
      <c r="Y1142" s="229">
        <f>INDIRECT("'Закуп'!i" &amp; A1142)</f>
        <v/>
      </c>
      <c r="Z1142" s="236">
        <f>INDIRECT("'Закуп'!x" &amp; A1142)</f>
        <v/>
      </c>
      <c r="AA1142" s="237">
        <f>INDIRECT("'Закуп'!y" &amp; A1142)</f>
        <v/>
      </c>
      <c r="AB1142" s="238">
        <f>INDIRECT("'Закуп'!z" &amp; A1142)</f>
        <v/>
      </c>
      <c r="AC1142" s="223">
        <f>SUBSTITUTE(INDEX(F:F, ROUNDUP((ROW(A1141))/5,0)*5 - 3), "х", "x")</f>
        <v/>
      </c>
      <c r="AD1142" s="222">
        <f>SUBSTITUTE(INDEX(F:F, ROUNDUP((ROW(A1141))/5,0)*5 - 3), "х", "x") &amp; " - " &amp; SUBSTITUTE(SUBSTITUTE(INDEX(F:F, ROUNDUP((ROW(A1141))/5,0)*5 - 3), "х", "*"), "x", "*") &amp; " мм"</f>
        <v/>
      </c>
    </row>
    <row r="1143">
      <c r="B1143" s="42" t="n">
        <v>230</v>
      </c>
      <c r="C1143" s="118">
        <f>INDIRECT("'Закуп'!A" &amp; B1143)</f>
        <v/>
      </c>
      <c r="D1143" s="119">
        <f>C1143*1.2</f>
        <v/>
      </c>
      <c r="G1143" s="172">
        <f>IF(INDIRECT("'Закуп'!L" &amp; B1143)="Sale","Sale","")</f>
        <v/>
      </c>
      <c r="H1143" s="158">
        <f>IF(INDIRECT("'Закуп'!F" &amp; B1143)=0,"",INDIRECT("'Закуп'!F" &amp; B1143))</f>
        <v/>
      </c>
      <c r="I1143" s="120" t="n">
        <v>100</v>
      </c>
      <c r="J1143" s="121">
        <f>K1143/1.2</f>
        <v/>
      </c>
      <c r="K1143" s="70" t="n">
        <v>0.91</v>
      </c>
      <c r="L1143" s="122">
        <f>J1143-C1143-(J1143-C1143)*0.2</f>
        <v/>
      </c>
      <c r="M1143" s="123">
        <f>L1143*I1143</f>
        <v/>
      </c>
      <c r="N1143" s="124" t="inlineStr">
        <is>
          <t xml:space="preserve">100-290 шт - </t>
        </is>
      </c>
      <c r="O1143" s="47" t="inlineStr">
        <is>
          <t xml:space="preserve"> руб / шт с НДС</t>
        </is>
      </c>
      <c r="P1143" s="125">
        <f>ROUND(K1143,2)</f>
        <v/>
      </c>
      <c r="Q1143" s="207">
        <f>CONCATENATE(N1143,P1143,O1143,)</f>
        <v/>
      </c>
      <c r="R1143" s="240" t="n"/>
      <c r="T1143" s="241" t="n"/>
      <c r="U1143" s="240" t="n"/>
      <c r="V1143" s="241" t="n"/>
      <c r="Z1143" s="240" t="n"/>
      <c r="AB1143" s="241" t="n"/>
      <c r="AC1143" s="240" t="n"/>
      <c r="AD1143" s="241" t="n"/>
    </row>
    <row r="1144">
      <c r="B1144" s="42" t="n">
        <v>230</v>
      </c>
      <c r="C1144" s="118">
        <f>INDIRECT("'Закуп'!A" &amp; B1144)</f>
        <v/>
      </c>
      <c r="D1144" s="119">
        <f>C1144*1.2</f>
        <v/>
      </c>
      <c r="G1144" s="172">
        <f>IF(INDIRECT("'Закуп'!L" &amp; B1144)="Sale","Sale","")</f>
        <v/>
      </c>
      <c r="H1144" s="158">
        <f>IF(INDIRECT("'Закуп'!F" &amp; B1144)=0,"",INDIRECT("'Закуп'!F" &amp; B1144))</f>
        <v/>
      </c>
      <c r="I1144" s="120" t="n">
        <v>300</v>
      </c>
      <c r="J1144" s="121">
        <f>K1144/1.2</f>
        <v/>
      </c>
      <c r="K1144" s="70" t="n">
        <v>0.75</v>
      </c>
      <c r="L1144" s="122">
        <f>J1144-C1144-(J1144-C1144)*0.2</f>
        <v/>
      </c>
      <c r="M1144" s="123">
        <f>L1144*I1144</f>
        <v/>
      </c>
      <c r="N1144" s="124" t="inlineStr">
        <is>
          <t xml:space="preserve">300-490 шт - </t>
        </is>
      </c>
      <c r="O1144" s="47" t="inlineStr">
        <is>
          <t xml:space="preserve"> руб / шт с НДС</t>
        </is>
      </c>
      <c r="P1144" s="125">
        <f>ROUND(K1144,2)</f>
        <v/>
      </c>
      <c r="Q1144" s="207">
        <f>CONCATENATE(N1144,P1144,O1144,)</f>
        <v/>
      </c>
      <c r="R1144" s="240" t="n"/>
      <c r="T1144" s="241" t="n"/>
      <c r="U1144" s="240" t="n"/>
      <c r="V1144" s="241" t="n"/>
      <c r="Z1144" s="240" t="n"/>
      <c r="AB1144" s="241" t="n"/>
      <c r="AC1144" s="240" t="n"/>
      <c r="AD1144" s="241" t="n"/>
    </row>
    <row r="1145">
      <c r="B1145" s="42" t="n">
        <v>230</v>
      </c>
      <c r="C1145" s="118">
        <f>INDIRECT("'Закуп'!A" &amp; B1145)</f>
        <v/>
      </c>
      <c r="D1145" s="119">
        <f>C1145*1.2</f>
        <v/>
      </c>
      <c r="G1145" s="172">
        <f>IF(INDIRECT("'Закуп'!L" &amp; B1145)="Sale","Sale","")</f>
        <v/>
      </c>
      <c r="H1145" s="158">
        <f>IF(INDIRECT("'Закуп'!F" &amp; B1145)=0,"",INDIRECT("'Закуп'!F" &amp; B1145))</f>
        <v/>
      </c>
      <c r="I1145" s="120" t="n">
        <v>500</v>
      </c>
      <c r="J1145" s="121">
        <f>K1145/1.2</f>
        <v/>
      </c>
      <c r="K1145" s="70" t="n">
        <v>0.64</v>
      </c>
      <c r="L1145" s="122">
        <f>J1145-C1145-(J1145-C1145)*0.2</f>
        <v/>
      </c>
      <c r="M1145" s="123">
        <f>L1145*I1145</f>
        <v/>
      </c>
      <c r="N1145" s="124" t="inlineStr">
        <is>
          <t xml:space="preserve">500-990 шт - </t>
        </is>
      </c>
      <c r="O1145" s="47" t="inlineStr">
        <is>
          <t xml:space="preserve"> руб / шт с НДС</t>
        </is>
      </c>
      <c r="P1145" s="125">
        <f>ROUND(K1145,2)</f>
        <v/>
      </c>
      <c r="Q1145" s="207">
        <f>CONCATENATE(N1145,P1145,O1145,)</f>
        <v/>
      </c>
      <c r="R1145" s="240" t="n"/>
      <c r="T1145" s="241" t="n"/>
      <c r="U1145" s="240" t="n"/>
      <c r="V1145" s="241" t="n"/>
      <c r="Z1145" s="240" t="n"/>
      <c r="AB1145" s="241" t="n"/>
      <c r="AC1145" s="240" t="n"/>
      <c r="AD1145" s="241" t="n"/>
    </row>
    <row r="1146">
      <c r="B1146" s="42" t="n">
        <v>230</v>
      </c>
      <c r="C1146" s="118">
        <f>INDIRECT("'Закуп'!A" &amp; B1146)</f>
        <v/>
      </c>
      <c r="D1146" s="119">
        <f>C1146*1.2</f>
        <v/>
      </c>
      <c r="G1146" s="172">
        <f>IF(INDIRECT("'Закуп'!L" &amp; B1146)="Sale","Sale","")</f>
        <v/>
      </c>
      <c r="H1146" s="158">
        <f>IF(INDIRECT("'Закуп'!F" &amp; B1146)=0,"",INDIRECT("'Закуп'!F" &amp; B1146))</f>
        <v/>
      </c>
      <c r="I1146" s="120" t="n">
        <v>1000</v>
      </c>
      <c r="J1146" s="121">
        <f>K1146/1.2</f>
        <v/>
      </c>
      <c r="K1146" s="70" t="n">
        <v>0.54</v>
      </c>
      <c r="L1146" s="122">
        <f>J1146-C1146-(J1146-C1146)*0.2</f>
        <v/>
      </c>
      <c r="M1146" s="123">
        <f>L1146*I1146</f>
        <v/>
      </c>
      <c r="N1146" s="124" t="inlineStr">
        <is>
          <t xml:space="preserve">1000 + шт - </t>
        </is>
      </c>
      <c r="O1146" s="47" t="inlineStr">
        <is>
          <t xml:space="preserve"> руб / шт с НДС</t>
        </is>
      </c>
      <c r="P1146" s="125">
        <f>ROUND(K1146,2)</f>
        <v/>
      </c>
      <c r="Q1146" s="207">
        <f>CONCATENATE(N1146,P1146,O1146,)</f>
        <v/>
      </c>
      <c r="R1146" s="240" t="n"/>
      <c r="T1146" s="241" t="n"/>
      <c r="U1146" s="240" t="n"/>
      <c r="V1146" s="241" t="n"/>
      <c r="Z1146" s="240" t="n"/>
      <c r="AB1146" s="241" t="n"/>
      <c r="AC1146" s="240" t="n"/>
      <c r="AD1146" s="241" t="n"/>
    </row>
    <row r="1147">
      <c r="A1147" s="232" t="n">
        <v>231</v>
      </c>
      <c r="B1147" s="42" t="n">
        <v>231</v>
      </c>
      <c r="C1147" s="118">
        <f>INDIRECT("'Закуп'!A" &amp; B1147)</f>
        <v/>
      </c>
      <c r="D1147" s="119">
        <f>C1147*1.2</f>
        <v/>
      </c>
      <c r="E1147" s="224">
        <f>INDIRECT("'Закуп'!D" &amp; A1147)</f>
        <v/>
      </c>
      <c r="F1147" s="231">
        <f>INDIRECT("'Закуп'!E" &amp; B1147)</f>
        <v/>
      </c>
      <c r="G1147" s="172">
        <f>IF(INDIRECT("'Закуп'!L" &amp; B1147)="Sale","Sale","")</f>
        <v/>
      </c>
      <c r="H1147" s="158">
        <f>IF(INDIRECT("'Закуп'!F" &amp; B1147)=0,"",INDIRECT("'Закуп'!F" &amp; B1147))</f>
        <v/>
      </c>
      <c r="I1147" s="120" t="n">
        <v>50</v>
      </c>
      <c r="J1147" s="121">
        <f>K1147/1.2</f>
        <v/>
      </c>
      <c r="K1147" s="70" t="n">
        <v>1.41</v>
      </c>
      <c r="L1147" s="122">
        <f>J1147-C1147-(J1147-C1147)*0.2</f>
        <v/>
      </c>
      <c r="M1147" s="123">
        <f>L1147*I1147</f>
        <v/>
      </c>
      <c r="N1147" s="124" t="inlineStr">
        <is>
          <t xml:space="preserve">50-90 шт - </t>
        </is>
      </c>
      <c r="O1147" s="47" t="inlineStr">
        <is>
          <t xml:space="preserve"> руб / шт с НДС</t>
        </is>
      </c>
      <c r="P1147" s="125">
        <f>ROUND(K1147,2)</f>
        <v/>
      </c>
      <c r="Q1147" s="207">
        <f>CONCATENATE(N1147,P1147,O1147,)</f>
        <v/>
      </c>
      <c r="R1147" s="235">
        <f>INDIRECT("'Закуп'!k" &amp; A1147)</f>
        <v/>
      </c>
      <c r="S1147" s="239">
        <f>INDIRECT("'Закуп'!o" &amp; A1147)</f>
        <v/>
      </c>
      <c r="T1147" s="226">
        <f>INDIRECT("'Закуп'!p" &amp; A1147)</f>
        <v/>
      </c>
      <c r="U1147" s="235">
        <f>INDIRECT("'Закуп'!v" &amp; A1147)</f>
        <v/>
      </c>
      <c r="V1147" s="222">
        <f>INDIRECT("'Закуп'!w" &amp; A1147)</f>
        <v/>
      </c>
      <c r="W1147" s="229">
        <f>INDIRECT("'Закуп'!H" &amp; A1147)</f>
        <v/>
      </c>
      <c r="X1147" s="237">
        <f>INDIRECT("'Закуп'!g" &amp; A1147)</f>
        <v/>
      </c>
      <c r="Y1147" s="229">
        <f>INDIRECT("'Закуп'!i" &amp; A1147)</f>
        <v/>
      </c>
      <c r="Z1147" s="236">
        <f>INDIRECT("'Закуп'!x" &amp; A1147)</f>
        <v/>
      </c>
      <c r="AA1147" s="237">
        <f>INDIRECT("'Закуп'!y" &amp; A1147)</f>
        <v/>
      </c>
      <c r="AB1147" s="238">
        <f>INDIRECT("'Закуп'!z" &amp; A1147)</f>
        <v/>
      </c>
      <c r="AC1147" s="223">
        <f>SUBSTITUTE(INDEX(F:F, ROUNDUP((ROW(A1146))/5,0)*5 - 3), "х", "x")</f>
        <v/>
      </c>
      <c r="AD1147" s="222">
        <f>SUBSTITUTE(INDEX(F:F, ROUNDUP((ROW(A1146))/5,0)*5 - 3), "х", "x") &amp; " - " &amp; SUBSTITUTE(SUBSTITUTE(INDEX(F:F, ROUNDUP((ROW(A1146))/5,0)*5 - 3), "х", "*"), "x", "*") &amp; " мм"</f>
        <v/>
      </c>
    </row>
    <row r="1148">
      <c r="B1148" s="42" t="n">
        <v>231</v>
      </c>
      <c r="C1148" s="118">
        <f>INDIRECT("'Закуп'!A" &amp; B1148)</f>
        <v/>
      </c>
      <c r="D1148" s="119">
        <f>C1148*1.2</f>
        <v/>
      </c>
      <c r="G1148" s="172">
        <f>IF(INDIRECT("'Закуп'!L" &amp; B1148)="Sale","Sale","")</f>
        <v/>
      </c>
      <c r="H1148" s="158">
        <f>IF(INDIRECT("'Закуп'!F" &amp; B1148)=0,"",INDIRECT("'Закуп'!F" &amp; B1148))</f>
        <v/>
      </c>
      <c r="I1148" s="120" t="n">
        <v>100</v>
      </c>
      <c r="J1148" s="121">
        <f>K1148/1.2</f>
        <v/>
      </c>
      <c r="K1148" s="70" t="n">
        <v>1.23</v>
      </c>
      <c r="L1148" s="122">
        <f>J1148-C1148-(J1148-C1148)*0.2</f>
        <v/>
      </c>
      <c r="M1148" s="123">
        <f>L1148*I1148</f>
        <v/>
      </c>
      <c r="N1148" s="124" t="inlineStr">
        <is>
          <t xml:space="preserve">100-290 шт - </t>
        </is>
      </c>
      <c r="O1148" s="47" t="inlineStr">
        <is>
          <t xml:space="preserve"> руб / шт с НДС</t>
        </is>
      </c>
      <c r="P1148" s="125">
        <f>ROUND(K1148,2)</f>
        <v/>
      </c>
      <c r="Q1148" s="207">
        <f>CONCATENATE(N1148,P1148,O1148,)</f>
        <v/>
      </c>
      <c r="R1148" s="240" t="n"/>
      <c r="T1148" s="241" t="n"/>
      <c r="U1148" s="240" t="n"/>
      <c r="V1148" s="241" t="n"/>
      <c r="Z1148" s="240" t="n"/>
      <c r="AB1148" s="241" t="n"/>
      <c r="AC1148" s="240" t="n"/>
      <c r="AD1148" s="241" t="n"/>
    </row>
    <row r="1149">
      <c r="B1149" s="42" t="n">
        <v>231</v>
      </c>
      <c r="C1149" s="118">
        <f>INDIRECT("'Закуп'!A" &amp; B1149)</f>
        <v/>
      </c>
      <c r="D1149" s="119">
        <f>C1149*1.2</f>
        <v/>
      </c>
      <c r="G1149" s="172">
        <f>IF(INDIRECT("'Закуп'!L" &amp; B1149)="Sale","Sale","")</f>
        <v/>
      </c>
      <c r="H1149" s="158">
        <f>IF(INDIRECT("'Закуп'!F" &amp; B1149)=0,"",INDIRECT("'Закуп'!F" &amp; B1149))</f>
        <v/>
      </c>
      <c r="I1149" s="120" t="n">
        <v>300</v>
      </c>
      <c r="J1149" s="121">
        <f>K1149/1.2</f>
        <v/>
      </c>
      <c r="K1149" s="70" t="n">
        <v>1.05</v>
      </c>
      <c r="L1149" s="122">
        <f>J1149-C1149-(J1149-C1149)*0.2</f>
        <v/>
      </c>
      <c r="M1149" s="123">
        <f>L1149*I1149</f>
        <v/>
      </c>
      <c r="N1149" s="124" t="inlineStr">
        <is>
          <t xml:space="preserve">300-490 шт - </t>
        </is>
      </c>
      <c r="O1149" s="47" t="inlineStr">
        <is>
          <t xml:space="preserve"> руб / шт с НДС</t>
        </is>
      </c>
      <c r="P1149" s="125">
        <f>ROUND(K1149,2)</f>
        <v/>
      </c>
      <c r="Q1149" s="207">
        <f>CONCATENATE(N1149,P1149,O1149,)</f>
        <v/>
      </c>
      <c r="R1149" s="240" t="n"/>
      <c r="T1149" s="241" t="n"/>
      <c r="U1149" s="240" t="n"/>
      <c r="V1149" s="241" t="n"/>
      <c r="Z1149" s="240" t="n"/>
      <c r="AB1149" s="241" t="n"/>
      <c r="AC1149" s="240" t="n"/>
      <c r="AD1149" s="241" t="n"/>
    </row>
    <row r="1150">
      <c r="B1150" s="42" t="n">
        <v>231</v>
      </c>
      <c r="C1150" s="118">
        <f>INDIRECT("'Закуп'!A" &amp; B1150)</f>
        <v/>
      </c>
      <c r="D1150" s="119">
        <f>C1150*1.2</f>
        <v/>
      </c>
      <c r="G1150" s="172">
        <f>IF(INDIRECT("'Закуп'!L" &amp; B1150)="Sale","Sale","")</f>
        <v/>
      </c>
      <c r="H1150" s="158">
        <f>IF(INDIRECT("'Закуп'!F" &amp; B1150)=0,"",INDIRECT("'Закуп'!F" &amp; B1150))</f>
        <v/>
      </c>
      <c r="I1150" s="120" t="n">
        <v>500</v>
      </c>
      <c r="J1150" s="121">
        <f>K1150/1.2</f>
        <v/>
      </c>
      <c r="K1150" s="70" t="n">
        <v>0.98</v>
      </c>
      <c r="L1150" s="122">
        <f>J1150-C1150-(J1150-C1150)*0.2</f>
        <v/>
      </c>
      <c r="M1150" s="123">
        <f>L1150*I1150</f>
        <v/>
      </c>
      <c r="N1150" s="124" t="inlineStr">
        <is>
          <t xml:space="preserve">500-990 шт - </t>
        </is>
      </c>
      <c r="O1150" s="47" t="inlineStr">
        <is>
          <t xml:space="preserve"> руб / шт с НДС</t>
        </is>
      </c>
      <c r="P1150" s="125">
        <f>ROUND(K1150,2)</f>
        <v/>
      </c>
      <c r="Q1150" s="207">
        <f>CONCATENATE(N1150,P1150,O1150,)</f>
        <v/>
      </c>
      <c r="R1150" s="240" t="n"/>
      <c r="T1150" s="241" t="n"/>
      <c r="U1150" s="240" t="n"/>
      <c r="V1150" s="241" t="n"/>
      <c r="Z1150" s="240" t="n"/>
      <c r="AB1150" s="241" t="n"/>
      <c r="AC1150" s="240" t="n"/>
      <c r="AD1150" s="241" t="n"/>
    </row>
    <row r="1151">
      <c r="B1151" s="42" t="n">
        <v>231</v>
      </c>
      <c r="C1151" s="118">
        <f>INDIRECT("'Закуп'!A" &amp; B1151)</f>
        <v/>
      </c>
      <c r="D1151" s="119">
        <f>C1151*1.2</f>
        <v/>
      </c>
      <c r="G1151" s="172">
        <f>IF(INDIRECT("'Закуп'!L" &amp; B1151)="Sale","Sale","")</f>
        <v/>
      </c>
      <c r="H1151" s="158">
        <f>IF(INDIRECT("'Закуп'!F" &amp; B1151)=0,"",INDIRECT("'Закуп'!F" &amp; B1151))</f>
        <v/>
      </c>
      <c r="I1151" s="120" t="n">
        <v>1000</v>
      </c>
      <c r="J1151" s="121">
        <f>K1151/1.2</f>
        <v/>
      </c>
      <c r="K1151" s="70" t="n">
        <v>0.92</v>
      </c>
      <c r="L1151" s="122">
        <f>J1151-C1151-(J1151-C1151)*0.2</f>
        <v/>
      </c>
      <c r="M1151" s="123">
        <f>L1151*I1151</f>
        <v/>
      </c>
      <c r="N1151" s="124" t="inlineStr">
        <is>
          <t xml:space="preserve">1000 + шт - </t>
        </is>
      </c>
      <c r="O1151" s="47" t="inlineStr">
        <is>
          <t xml:space="preserve"> руб / шт с НДС</t>
        </is>
      </c>
      <c r="P1151" s="125">
        <f>ROUND(K1151,2)</f>
        <v/>
      </c>
      <c r="Q1151" s="207">
        <f>CONCATENATE(N1151,P1151,O1151,)</f>
        <v/>
      </c>
      <c r="R1151" s="240" t="n"/>
      <c r="T1151" s="241" t="n"/>
      <c r="U1151" s="240" t="n"/>
      <c r="V1151" s="241" t="n"/>
      <c r="Z1151" s="240" t="n"/>
      <c r="AB1151" s="241" t="n"/>
      <c r="AC1151" s="240" t="n"/>
      <c r="AD1151" s="241" t="n"/>
    </row>
    <row r="1152">
      <c r="A1152" s="232" t="n">
        <v>232</v>
      </c>
      <c r="B1152" s="42" t="n">
        <v>232</v>
      </c>
      <c r="C1152" s="118">
        <f>INDIRECT("'Закуп'!A" &amp; B1152)</f>
        <v/>
      </c>
      <c r="D1152" s="119">
        <f>C1152*1.2</f>
        <v/>
      </c>
      <c r="E1152" s="225">
        <f>INDIRECT("'Закуп'!D" &amp; A1152)</f>
        <v/>
      </c>
      <c r="F1152" s="231">
        <f>INDIRECT("'Закуп'!E" &amp; B1152)</f>
        <v/>
      </c>
      <c r="G1152" s="172">
        <f>IF(INDIRECT("'Закуп'!L" &amp; B1152)="Sale","Sale","")</f>
        <v/>
      </c>
      <c r="H1152" s="158">
        <f>IF(INDIRECT("'Закуп'!F" &amp; B1152)=0,"",INDIRECT("'Закуп'!F" &amp; B1152))</f>
        <v/>
      </c>
      <c r="I1152" s="120" t="n">
        <v>50</v>
      </c>
      <c r="J1152" s="121">
        <f>K1152/1.2</f>
        <v/>
      </c>
      <c r="K1152" s="70" t="n">
        <v>1.3</v>
      </c>
      <c r="L1152" s="122">
        <f>J1152-C1152-(J1152-C1152)*0.2</f>
        <v/>
      </c>
      <c r="M1152" s="123">
        <f>L1152*I1152</f>
        <v/>
      </c>
      <c r="N1152" s="124" t="inlineStr">
        <is>
          <t xml:space="preserve">50-90 шт - </t>
        </is>
      </c>
      <c r="O1152" s="47" t="inlineStr">
        <is>
          <t xml:space="preserve"> руб / шт с НДС</t>
        </is>
      </c>
      <c r="P1152" s="125">
        <f>ROUND(K1152,2)</f>
        <v/>
      </c>
      <c r="Q1152" s="207">
        <f>CONCATENATE(N1152,P1152,O1152,)</f>
        <v/>
      </c>
      <c r="R1152" s="235">
        <f>INDIRECT("'Закуп'!k" &amp; A1152)</f>
        <v/>
      </c>
      <c r="S1152" s="239">
        <f>INDIRECT("'Закуп'!o" &amp; A1152)</f>
        <v/>
      </c>
      <c r="T1152" s="226">
        <f>INDIRECT("'Закуп'!p" &amp; A1152)</f>
        <v/>
      </c>
      <c r="U1152" s="235">
        <f>INDIRECT("'Закуп'!v" &amp; A1152)</f>
        <v/>
      </c>
      <c r="V1152" s="222">
        <f>INDIRECT("'Закуп'!w" &amp; A1152)</f>
        <v/>
      </c>
      <c r="W1152" s="229">
        <f>INDIRECT("'Закуп'!H" &amp; A1152)</f>
        <v/>
      </c>
      <c r="X1152" s="237">
        <f>INDIRECT("'Закуп'!g" &amp; A1152)</f>
        <v/>
      </c>
      <c r="Y1152" s="229">
        <f>INDIRECT("'Закуп'!i" &amp; A1152)</f>
        <v/>
      </c>
      <c r="Z1152" s="236">
        <f>INDIRECT("'Закуп'!x" &amp; A1152)</f>
        <v/>
      </c>
      <c r="AA1152" s="237">
        <f>INDIRECT("'Закуп'!y" &amp; A1152)</f>
        <v/>
      </c>
      <c r="AB1152" s="238">
        <f>INDIRECT("'Закуп'!z" &amp; A1152)</f>
        <v/>
      </c>
      <c r="AC1152" s="223">
        <f>SUBSTITUTE(INDEX(F:F, ROUNDUP((ROW(A1151))/5,0)*5 - 3), "х", "x")</f>
        <v/>
      </c>
      <c r="AD1152" s="222">
        <f>SUBSTITUTE(INDEX(F:F, ROUNDUP((ROW(A1151))/5,0)*5 - 3), "х", "x") &amp; " - " &amp; SUBSTITUTE(SUBSTITUTE(INDEX(F:F, ROUNDUP((ROW(A1151))/5,0)*5 - 3), "х", "*"), "x", "*") &amp; " мм"</f>
        <v/>
      </c>
    </row>
    <row r="1153">
      <c r="B1153" s="42" t="n">
        <v>232</v>
      </c>
      <c r="C1153" s="118">
        <f>INDIRECT("'Закуп'!A" &amp; B1153)</f>
        <v/>
      </c>
      <c r="D1153" s="119">
        <f>C1153*1.2</f>
        <v/>
      </c>
      <c r="G1153" s="172">
        <f>IF(INDIRECT("'Закуп'!L" &amp; B1153)="Sale","Sale","")</f>
        <v/>
      </c>
      <c r="H1153" s="158">
        <f>IF(INDIRECT("'Закуп'!F" &amp; B1153)=0,"",INDIRECT("'Закуп'!F" &amp; B1153))</f>
        <v/>
      </c>
      <c r="I1153" s="120" t="n">
        <v>100</v>
      </c>
      <c r="J1153" s="121">
        <f>K1153/1.2</f>
        <v/>
      </c>
      <c r="K1153" s="70" t="n">
        <v>1.3</v>
      </c>
      <c r="L1153" s="122">
        <f>J1153-C1153-(J1153-C1153)*0.2</f>
        <v/>
      </c>
      <c r="M1153" s="123">
        <f>L1153*I1153</f>
        <v/>
      </c>
      <c r="N1153" s="124" t="inlineStr">
        <is>
          <t xml:space="preserve">100-290 шт - </t>
        </is>
      </c>
      <c r="O1153" s="47" t="inlineStr">
        <is>
          <t xml:space="preserve"> руб / шт с НДС</t>
        </is>
      </c>
      <c r="P1153" s="125">
        <f>ROUND(K1153,2)</f>
        <v/>
      </c>
      <c r="Q1153" s="207">
        <f>CONCATENATE(N1153,P1153,O1153,)</f>
        <v/>
      </c>
      <c r="R1153" s="240" t="n"/>
      <c r="T1153" s="241" t="n"/>
      <c r="U1153" s="240" t="n"/>
      <c r="V1153" s="241" t="n"/>
      <c r="Z1153" s="240" t="n"/>
      <c r="AB1153" s="241" t="n"/>
      <c r="AC1153" s="240" t="n"/>
      <c r="AD1153" s="241" t="n"/>
    </row>
    <row r="1154">
      <c r="B1154" s="42" t="n">
        <v>232</v>
      </c>
      <c r="C1154" s="118">
        <f>INDIRECT("'Закуп'!A" &amp; B1154)</f>
        <v/>
      </c>
      <c r="D1154" s="119">
        <f>C1154*1.2</f>
        <v/>
      </c>
      <c r="G1154" s="172">
        <f>IF(INDIRECT("'Закуп'!L" &amp; B1154)="Sale","Sale","")</f>
        <v/>
      </c>
      <c r="H1154" s="158">
        <f>IF(INDIRECT("'Закуп'!F" &amp; B1154)=0,"",INDIRECT("'Закуп'!F" &amp; B1154))</f>
        <v/>
      </c>
      <c r="I1154" s="120" t="n">
        <v>300</v>
      </c>
      <c r="J1154" s="121">
        <f>K1154/1.2</f>
        <v/>
      </c>
      <c r="K1154" s="70" t="n">
        <v>1.3</v>
      </c>
      <c r="L1154" s="122">
        <f>J1154-C1154-(J1154-C1154)*0.2</f>
        <v/>
      </c>
      <c r="M1154" s="123">
        <f>L1154*I1154</f>
        <v/>
      </c>
      <c r="N1154" s="124" t="inlineStr">
        <is>
          <t xml:space="preserve">300-490 шт - </t>
        </is>
      </c>
      <c r="O1154" s="47" t="inlineStr">
        <is>
          <t xml:space="preserve"> руб / шт с НДС</t>
        </is>
      </c>
      <c r="P1154" s="125">
        <f>ROUND(K1154,2)</f>
        <v/>
      </c>
      <c r="Q1154" s="207">
        <f>CONCATENATE(N1154,P1154,O1154,)</f>
        <v/>
      </c>
      <c r="R1154" s="240" t="n"/>
      <c r="T1154" s="241" t="n"/>
      <c r="U1154" s="240" t="n"/>
      <c r="V1154" s="241" t="n"/>
      <c r="Z1154" s="240" t="n"/>
      <c r="AB1154" s="241" t="n"/>
      <c r="AC1154" s="240" t="n"/>
      <c r="AD1154" s="241" t="n"/>
    </row>
    <row r="1155">
      <c r="B1155" s="42" t="n">
        <v>232</v>
      </c>
      <c r="C1155" s="118">
        <f>INDIRECT("'Закуп'!A" &amp; B1155)</f>
        <v/>
      </c>
      <c r="D1155" s="119">
        <f>C1155*1.2</f>
        <v/>
      </c>
      <c r="G1155" s="172">
        <f>IF(INDIRECT("'Закуп'!L" &amp; B1155)="Sale","Sale","")</f>
        <v/>
      </c>
      <c r="H1155" s="158">
        <f>IF(INDIRECT("'Закуп'!F" &amp; B1155)=0,"",INDIRECT("'Закуп'!F" &amp; B1155))</f>
        <v/>
      </c>
      <c r="I1155" s="120" t="n">
        <v>500</v>
      </c>
      <c r="J1155" s="121">
        <f>K1155/1.2</f>
        <v/>
      </c>
      <c r="K1155" s="70" t="n">
        <v>1.3</v>
      </c>
      <c r="L1155" s="122">
        <f>J1155-C1155-(J1155-C1155)*0.2</f>
        <v/>
      </c>
      <c r="M1155" s="123">
        <f>L1155*I1155</f>
        <v/>
      </c>
      <c r="N1155" s="124" t="inlineStr">
        <is>
          <t xml:space="preserve">500-990 шт - </t>
        </is>
      </c>
      <c r="O1155" s="47" t="inlineStr">
        <is>
          <t xml:space="preserve"> руб / шт с НДС</t>
        </is>
      </c>
      <c r="P1155" s="125">
        <f>ROUND(K1155,2)</f>
        <v/>
      </c>
      <c r="Q1155" s="207">
        <f>CONCATENATE(N1155,P1155,O1155,)</f>
        <v/>
      </c>
      <c r="R1155" s="240" t="n"/>
      <c r="T1155" s="241" t="n"/>
      <c r="U1155" s="240" t="n"/>
      <c r="V1155" s="241" t="n"/>
      <c r="Z1155" s="240" t="n"/>
      <c r="AB1155" s="241" t="n"/>
      <c r="AC1155" s="240" t="n"/>
      <c r="AD1155" s="241" t="n"/>
    </row>
    <row r="1156">
      <c r="B1156" s="42" t="n">
        <v>232</v>
      </c>
      <c r="C1156" s="118">
        <f>INDIRECT("'Закуп'!A" &amp; B1156)</f>
        <v/>
      </c>
      <c r="D1156" s="119">
        <f>C1156*1.2</f>
        <v/>
      </c>
      <c r="G1156" s="172">
        <f>IF(INDIRECT("'Закуп'!L" &amp; B1156)="Sale","Sale","")</f>
        <v/>
      </c>
      <c r="H1156" s="158">
        <f>IF(INDIRECT("'Закуп'!F" &amp; B1156)=0,"",INDIRECT("'Закуп'!F" &amp; B1156))</f>
        <v/>
      </c>
      <c r="I1156" s="120" t="n">
        <v>1000</v>
      </c>
      <c r="J1156" s="121">
        <f>K1156/1.2</f>
        <v/>
      </c>
      <c r="K1156" s="70" t="n">
        <v>1.3</v>
      </c>
      <c r="L1156" s="122">
        <f>J1156-C1156-(J1156-C1156)*0.2</f>
        <v/>
      </c>
      <c r="M1156" s="123">
        <f>L1156*I1156</f>
        <v/>
      </c>
      <c r="N1156" s="124" t="inlineStr">
        <is>
          <t xml:space="preserve">1000 + шт - </t>
        </is>
      </c>
      <c r="O1156" s="47" t="inlineStr">
        <is>
          <t xml:space="preserve"> руб / шт с НДС</t>
        </is>
      </c>
      <c r="P1156" s="125">
        <f>ROUND(K1156,2)</f>
        <v/>
      </c>
      <c r="Q1156" s="207">
        <f>CONCATENATE(N1156,P1156,O1156,)</f>
        <v/>
      </c>
      <c r="R1156" s="240" t="n"/>
      <c r="T1156" s="241" t="n"/>
      <c r="U1156" s="240" t="n"/>
      <c r="V1156" s="241" t="n"/>
      <c r="Z1156" s="240" t="n"/>
      <c r="AB1156" s="241" t="n"/>
      <c r="AC1156" s="240" t="n"/>
      <c r="AD1156" s="241" t="n"/>
    </row>
    <row r="1157">
      <c r="A1157" s="232" t="n">
        <v>233</v>
      </c>
      <c r="B1157" s="42" t="n">
        <v>233</v>
      </c>
      <c r="C1157" s="118">
        <f>INDIRECT("'Закуп'!A" &amp; B1157)</f>
        <v/>
      </c>
      <c r="D1157" s="119">
        <f>C1157*1.2</f>
        <v/>
      </c>
      <c r="E1157" s="225">
        <f>INDIRECT("'Закуп'!D" &amp; A1157)</f>
        <v/>
      </c>
      <c r="F1157" s="231">
        <f>INDIRECT("'Закуп'!E" &amp; B1157)</f>
        <v/>
      </c>
      <c r="G1157" s="172">
        <f>IF(INDIRECT("'Закуп'!L" &amp; B1157)="Sale","Sale","")</f>
        <v/>
      </c>
      <c r="H1157" s="158">
        <f>IF(INDIRECT("'Закуп'!F" &amp; B1157)=0,"",INDIRECT("'Закуп'!F" &amp; B1157))</f>
        <v/>
      </c>
      <c r="I1157" s="120" t="n">
        <v>50</v>
      </c>
      <c r="J1157" s="121">
        <f>K1157/1.2</f>
        <v/>
      </c>
      <c r="K1157" s="70" t="n">
        <v>1.35</v>
      </c>
      <c r="L1157" s="122">
        <f>J1157-C1157-(J1157-C1157)*0.2</f>
        <v/>
      </c>
      <c r="M1157" s="123">
        <f>L1157*I1157</f>
        <v/>
      </c>
      <c r="N1157" s="124" t="inlineStr">
        <is>
          <t xml:space="preserve">50-90 шт - </t>
        </is>
      </c>
      <c r="O1157" s="47" t="inlineStr">
        <is>
          <t xml:space="preserve"> руб / шт с НДС</t>
        </is>
      </c>
      <c r="P1157" s="125">
        <f>ROUND(K1157,2)</f>
        <v/>
      </c>
      <c r="Q1157" s="207">
        <f>CONCATENATE(N1157,P1157,O1157,)</f>
        <v/>
      </c>
      <c r="R1157" s="235">
        <f>INDIRECT("'Закуп'!k" &amp; A1157)</f>
        <v/>
      </c>
      <c r="S1157" s="239">
        <f>INDIRECT("'Закуп'!o" &amp; A1157)</f>
        <v/>
      </c>
      <c r="T1157" s="226">
        <f>INDIRECT("'Закуп'!p" &amp; A1157)</f>
        <v/>
      </c>
      <c r="U1157" s="235">
        <f>INDIRECT("'Закуп'!v" &amp; A1157)</f>
        <v/>
      </c>
      <c r="V1157" s="222">
        <f>INDIRECT("'Закуп'!w" &amp; A1157)</f>
        <v/>
      </c>
      <c r="W1157" s="229">
        <f>INDIRECT("'Закуп'!H" &amp; A1157)</f>
        <v/>
      </c>
      <c r="X1157" s="237">
        <f>INDIRECT("'Закуп'!g" &amp; A1157)</f>
        <v/>
      </c>
      <c r="Y1157" s="229">
        <f>INDIRECT("'Закуп'!i" &amp; A1157)</f>
        <v/>
      </c>
      <c r="Z1157" s="236">
        <f>INDIRECT("'Закуп'!x" &amp; A1157)</f>
        <v/>
      </c>
      <c r="AA1157" s="237">
        <f>INDIRECT("'Закуп'!y" &amp; A1157)</f>
        <v/>
      </c>
      <c r="AB1157" s="238">
        <f>INDIRECT("'Закуп'!z" &amp; A1157)</f>
        <v/>
      </c>
      <c r="AC1157" s="223">
        <f>SUBSTITUTE(INDEX(F:F, ROUNDUP((ROW(A1156))/5,0)*5 - 3), "х", "x")</f>
        <v/>
      </c>
      <c r="AD1157" s="222">
        <f>SUBSTITUTE(INDEX(F:F, ROUNDUP((ROW(A1156))/5,0)*5 - 3), "х", "x") &amp; " - " &amp; SUBSTITUTE(SUBSTITUTE(INDEX(F:F, ROUNDUP((ROW(A1156))/5,0)*5 - 3), "х", "*"), "x", "*") &amp; " мм"</f>
        <v/>
      </c>
    </row>
    <row r="1158">
      <c r="B1158" s="42" t="n">
        <v>233</v>
      </c>
      <c r="C1158" s="118">
        <f>INDIRECT("'Закуп'!A" &amp; B1158)</f>
        <v/>
      </c>
      <c r="D1158" s="119">
        <f>C1158*1.2</f>
        <v/>
      </c>
      <c r="G1158" s="172">
        <f>IF(INDIRECT("'Закуп'!L" &amp; B1158)="Sale","Sale","")</f>
        <v/>
      </c>
      <c r="H1158" s="158">
        <f>IF(INDIRECT("'Закуп'!F" &amp; B1158)=0,"",INDIRECT("'Закуп'!F" &amp; B1158))</f>
        <v/>
      </c>
      <c r="I1158" s="120" t="n">
        <v>100</v>
      </c>
      <c r="J1158" s="121">
        <f>K1158/1.2</f>
        <v/>
      </c>
      <c r="K1158" s="70" t="n">
        <v>1.35</v>
      </c>
      <c r="L1158" s="122">
        <f>J1158-C1158-(J1158-C1158)*0.2</f>
        <v/>
      </c>
      <c r="M1158" s="123">
        <f>L1158*I1158</f>
        <v/>
      </c>
      <c r="N1158" s="124" t="inlineStr">
        <is>
          <t xml:space="preserve">100-290 шт - </t>
        </is>
      </c>
      <c r="O1158" s="47" t="inlineStr">
        <is>
          <t xml:space="preserve"> руб / шт с НДС</t>
        </is>
      </c>
      <c r="P1158" s="125">
        <f>ROUND(K1158,2)</f>
        <v/>
      </c>
      <c r="Q1158" s="207">
        <f>CONCATENATE(N1158,P1158,O1158,)</f>
        <v/>
      </c>
      <c r="R1158" s="240" t="n"/>
      <c r="T1158" s="241" t="n"/>
      <c r="U1158" s="240" t="n"/>
      <c r="V1158" s="241" t="n"/>
      <c r="Z1158" s="240" t="n"/>
      <c r="AB1158" s="241" t="n"/>
      <c r="AC1158" s="240" t="n"/>
      <c r="AD1158" s="241" t="n"/>
    </row>
    <row r="1159">
      <c r="B1159" s="42" t="n">
        <v>233</v>
      </c>
      <c r="C1159" s="118">
        <f>INDIRECT("'Закуп'!A" &amp; B1159)</f>
        <v/>
      </c>
      <c r="D1159" s="119">
        <f>C1159*1.2</f>
        <v/>
      </c>
      <c r="G1159" s="172">
        <f>IF(INDIRECT("'Закуп'!L" &amp; B1159)="Sale","Sale","")</f>
        <v/>
      </c>
      <c r="H1159" s="158">
        <f>IF(INDIRECT("'Закуп'!F" &amp; B1159)=0,"",INDIRECT("'Закуп'!F" &amp; B1159))</f>
        <v/>
      </c>
      <c r="I1159" s="120" t="n">
        <v>300</v>
      </c>
      <c r="J1159" s="121">
        <f>K1159/1.2</f>
        <v/>
      </c>
      <c r="K1159" s="70" t="n">
        <v>1.35</v>
      </c>
      <c r="L1159" s="122">
        <f>J1159-C1159-(J1159-C1159)*0.2</f>
        <v/>
      </c>
      <c r="M1159" s="123">
        <f>L1159*I1159</f>
        <v/>
      </c>
      <c r="N1159" s="124" t="inlineStr">
        <is>
          <t xml:space="preserve">300-490 шт - </t>
        </is>
      </c>
      <c r="O1159" s="47" t="inlineStr">
        <is>
          <t xml:space="preserve"> руб / шт с НДС</t>
        </is>
      </c>
      <c r="P1159" s="125">
        <f>ROUND(K1159,2)</f>
        <v/>
      </c>
      <c r="Q1159" s="207">
        <f>CONCATENATE(N1159,P1159,O1159,)</f>
        <v/>
      </c>
      <c r="R1159" s="240" t="n"/>
      <c r="T1159" s="241" t="n"/>
      <c r="U1159" s="240" t="n"/>
      <c r="V1159" s="241" t="n"/>
      <c r="Z1159" s="240" t="n"/>
      <c r="AB1159" s="241" t="n"/>
      <c r="AC1159" s="240" t="n"/>
      <c r="AD1159" s="241" t="n"/>
    </row>
    <row r="1160">
      <c r="B1160" s="42" t="n">
        <v>233</v>
      </c>
      <c r="C1160" s="118">
        <f>INDIRECT("'Закуп'!A" &amp; B1160)</f>
        <v/>
      </c>
      <c r="D1160" s="119">
        <f>C1160*1.2</f>
        <v/>
      </c>
      <c r="G1160" s="172">
        <f>IF(INDIRECT("'Закуп'!L" &amp; B1160)="Sale","Sale","")</f>
        <v/>
      </c>
      <c r="H1160" s="158">
        <f>IF(INDIRECT("'Закуп'!F" &amp; B1160)=0,"",INDIRECT("'Закуп'!F" &amp; B1160))</f>
        <v/>
      </c>
      <c r="I1160" s="120" t="n">
        <v>500</v>
      </c>
      <c r="J1160" s="121">
        <f>K1160/1.2</f>
        <v/>
      </c>
      <c r="K1160" s="70" t="n">
        <v>1.35</v>
      </c>
      <c r="L1160" s="122">
        <f>J1160-C1160-(J1160-C1160)*0.2</f>
        <v/>
      </c>
      <c r="M1160" s="123">
        <f>L1160*I1160</f>
        <v/>
      </c>
      <c r="N1160" s="124" t="inlineStr">
        <is>
          <t xml:space="preserve">500-990 шт - </t>
        </is>
      </c>
      <c r="O1160" s="47" t="inlineStr">
        <is>
          <t xml:space="preserve"> руб / шт с НДС</t>
        </is>
      </c>
      <c r="P1160" s="125">
        <f>ROUND(K1160,2)</f>
        <v/>
      </c>
      <c r="Q1160" s="207">
        <f>CONCATENATE(N1160,P1160,O1160,)</f>
        <v/>
      </c>
      <c r="R1160" s="240" t="n"/>
      <c r="T1160" s="241" t="n"/>
      <c r="U1160" s="240" t="n"/>
      <c r="V1160" s="241" t="n"/>
      <c r="Z1160" s="240" t="n"/>
      <c r="AB1160" s="241" t="n"/>
      <c r="AC1160" s="240" t="n"/>
      <c r="AD1160" s="241" t="n"/>
    </row>
    <row r="1161">
      <c r="B1161" s="42" t="n">
        <v>233</v>
      </c>
      <c r="C1161" s="118">
        <f>INDIRECT("'Закуп'!A" &amp; B1161)</f>
        <v/>
      </c>
      <c r="D1161" s="119">
        <f>C1161*1.2</f>
        <v/>
      </c>
      <c r="G1161" s="172">
        <f>IF(INDIRECT("'Закуп'!L" &amp; B1161)="Sale","Sale","")</f>
        <v/>
      </c>
      <c r="H1161" s="158">
        <f>IF(INDIRECT("'Закуп'!F" &amp; B1161)=0,"",INDIRECT("'Закуп'!F" &amp; B1161))</f>
        <v/>
      </c>
      <c r="I1161" s="120" t="n">
        <v>1000</v>
      </c>
      <c r="J1161" s="121">
        <f>K1161/1.2</f>
        <v/>
      </c>
      <c r="K1161" s="70" t="n">
        <v>1.35</v>
      </c>
      <c r="L1161" s="122">
        <f>J1161-C1161-(J1161-C1161)*0.2</f>
        <v/>
      </c>
      <c r="M1161" s="123">
        <f>L1161*I1161</f>
        <v/>
      </c>
      <c r="N1161" s="124" t="inlineStr">
        <is>
          <t xml:space="preserve">1000 + шт - </t>
        </is>
      </c>
      <c r="O1161" s="47" t="inlineStr">
        <is>
          <t xml:space="preserve"> руб / шт с НДС</t>
        </is>
      </c>
      <c r="P1161" s="125">
        <f>ROUND(K1161,2)</f>
        <v/>
      </c>
      <c r="Q1161" s="207">
        <f>CONCATENATE(N1161,P1161,O1161,)</f>
        <v/>
      </c>
      <c r="R1161" s="240" t="n"/>
      <c r="T1161" s="241" t="n"/>
      <c r="U1161" s="240" t="n"/>
      <c r="V1161" s="241" t="n"/>
      <c r="Z1161" s="240" t="n"/>
      <c r="AB1161" s="241" t="n"/>
      <c r="AC1161" s="240" t="n"/>
      <c r="AD1161" s="241" t="n"/>
    </row>
    <row r="1162" ht="21.45" customHeight="1" s="55">
      <c r="A1162" s="232" t="n">
        <v>234</v>
      </c>
      <c r="B1162" s="42" t="n">
        <v>234</v>
      </c>
      <c r="C1162" s="118">
        <f>INDIRECT("'Закуп'!A" &amp; B1162)</f>
        <v/>
      </c>
      <c r="D1162" s="119">
        <f>C1162*1.2</f>
        <v/>
      </c>
      <c r="E1162" s="225">
        <f>INDIRECT("'Закуп'!D" &amp; A1162)</f>
        <v/>
      </c>
      <c r="F1162" s="231">
        <f>INDIRECT("'Закуп'!E" &amp; B1162)</f>
        <v/>
      </c>
      <c r="G1162" s="172">
        <f>IF(INDIRECT("'Закуп'!L" &amp; B1162)="Sale","Sale","")</f>
        <v/>
      </c>
      <c r="H1162" s="158">
        <f>IF(INDIRECT("'Закуп'!F" &amp; B1162)=0,"",INDIRECT("'Закуп'!F" &amp; B1162))</f>
        <v/>
      </c>
      <c r="I1162" s="120" t="n">
        <v>50</v>
      </c>
      <c r="J1162" s="121">
        <f>K1162/1.2</f>
        <v/>
      </c>
      <c r="K1162" s="70" t="n">
        <v>0.75</v>
      </c>
      <c r="L1162" s="122">
        <f>J1162-C1162-(J1162-C1162)*0.2</f>
        <v/>
      </c>
      <c r="M1162" s="123">
        <f>L1162*I1162</f>
        <v/>
      </c>
      <c r="N1162" s="124" t="inlineStr">
        <is>
          <t xml:space="preserve">50-90 шт - </t>
        </is>
      </c>
      <c r="O1162" s="47" t="inlineStr">
        <is>
          <t xml:space="preserve"> руб / шт с НДС</t>
        </is>
      </c>
      <c r="P1162" s="125">
        <f>ROUND(K1162,2)</f>
        <v/>
      </c>
      <c r="Q1162" s="207">
        <f>CONCATENATE(N1162,P1162,O1162,)</f>
        <v/>
      </c>
      <c r="R1162" s="235">
        <f>INDIRECT("'Закуп'!k" &amp; A1162)</f>
        <v/>
      </c>
      <c r="S1162" s="239">
        <f>INDIRECT("'Закуп'!o" &amp; A1162)</f>
        <v/>
      </c>
      <c r="T1162" s="226">
        <f>INDIRECT("'Закуп'!p" &amp; A1162)</f>
        <v/>
      </c>
      <c r="U1162" s="235">
        <f>INDIRECT("'Закуп'!v" &amp; A1162)</f>
        <v/>
      </c>
      <c r="V1162" s="222">
        <f>INDIRECT("'Закуп'!w" &amp; A1162)</f>
        <v/>
      </c>
      <c r="W1162" s="229">
        <f>INDIRECT("'Закуп'!H" &amp; A1162)</f>
        <v/>
      </c>
      <c r="X1162" s="237">
        <f>INDIRECT("'Закуп'!g" &amp; A1162)</f>
        <v/>
      </c>
      <c r="Y1162" s="229">
        <f>INDIRECT("'Закуп'!i" &amp; A1162)</f>
        <v/>
      </c>
      <c r="Z1162" s="236">
        <f>INDIRECT("'Закуп'!x" &amp; A1162)</f>
        <v/>
      </c>
      <c r="AA1162" s="237">
        <f>INDIRECT("'Закуп'!y" &amp; A1162)</f>
        <v/>
      </c>
      <c r="AB1162" s="238">
        <f>INDIRECT("'Закуп'!z" &amp; A1162)</f>
        <v/>
      </c>
      <c r="AC1162" s="223">
        <f>SUBSTITUTE(INDEX(F:F, ROUNDUP((ROW(A1161))/5,0)*5 - 3), "х", "x")</f>
        <v/>
      </c>
      <c r="AD1162" s="222">
        <f>SUBSTITUTE(INDEX(F:F, ROUNDUP((ROW(A1161))/5,0)*5 - 3), "х", "x") &amp; " - " &amp; SUBSTITUTE(SUBSTITUTE(INDEX(F:F, ROUNDUP((ROW(A1161))/5,0)*5 - 3), "х", "*"), "x", "*") &amp; " мм"</f>
        <v/>
      </c>
    </row>
    <row r="1163" ht="21.45" customHeight="1" s="55">
      <c r="B1163" s="42" t="n">
        <v>234</v>
      </c>
      <c r="C1163" s="118">
        <f>INDIRECT("'Закуп'!A" &amp; B1163)</f>
        <v/>
      </c>
      <c r="D1163" s="119">
        <f>C1163*1.2</f>
        <v/>
      </c>
      <c r="G1163" s="172">
        <f>IF(INDIRECT("'Закуп'!L" &amp; B1163)="Sale","Sale","")</f>
        <v/>
      </c>
      <c r="H1163" s="158">
        <f>IF(INDIRECT("'Закуп'!F" &amp; B1163)=0,"",INDIRECT("'Закуп'!F" &amp; B1163))</f>
        <v/>
      </c>
      <c r="I1163" s="120" t="n">
        <v>100</v>
      </c>
      <c r="J1163" s="121">
        <f>K1163/1.2</f>
        <v/>
      </c>
      <c r="K1163" s="70" t="n">
        <v>0.75</v>
      </c>
      <c r="L1163" s="122">
        <f>J1163-C1163-(J1163-C1163)*0.2</f>
        <v/>
      </c>
      <c r="M1163" s="123">
        <f>L1163*I1163</f>
        <v/>
      </c>
      <c r="N1163" s="124" t="inlineStr">
        <is>
          <t xml:space="preserve">100-290 шт - </t>
        </is>
      </c>
      <c r="O1163" s="47" t="inlineStr">
        <is>
          <t xml:space="preserve"> руб / шт с НДС</t>
        </is>
      </c>
      <c r="P1163" s="125">
        <f>ROUND(K1163,2)</f>
        <v/>
      </c>
      <c r="Q1163" s="207">
        <f>CONCATENATE(N1163,P1163,O1163,)</f>
        <v/>
      </c>
      <c r="R1163" s="240" t="n"/>
      <c r="T1163" s="241" t="n"/>
      <c r="U1163" s="240" t="n"/>
      <c r="V1163" s="241" t="n"/>
      <c r="Z1163" s="240" t="n"/>
      <c r="AB1163" s="241" t="n"/>
      <c r="AC1163" s="240" t="n"/>
      <c r="AD1163" s="241" t="n"/>
    </row>
    <row r="1164" ht="21.45" customHeight="1" s="55">
      <c r="B1164" s="42" t="n">
        <v>234</v>
      </c>
      <c r="C1164" s="118">
        <f>INDIRECT("'Закуп'!A" &amp; B1164)</f>
        <v/>
      </c>
      <c r="D1164" s="119">
        <f>C1164*1.2</f>
        <v/>
      </c>
      <c r="G1164" s="172">
        <f>IF(INDIRECT("'Закуп'!L" &amp; B1164)="Sale","Sale","")</f>
        <v/>
      </c>
      <c r="H1164" s="158">
        <f>IF(INDIRECT("'Закуп'!F" &amp; B1164)=0,"",INDIRECT("'Закуп'!F" &amp; B1164))</f>
        <v/>
      </c>
      <c r="I1164" s="120" t="n">
        <v>300</v>
      </c>
      <c r="J1164" s="121">
        <f>K1164/1.2</f>
        <v/>
      </c>
      <c r="K1164" s="70" t="n">
        <v>0.75</v>
      </c>
      <c r="L1164" s="122">
        <f>J1164-C1164-(J1164-C1164)*0.2</f>
        <v/>
      </c>
      <c r="M1164" s="123">
        <f>L1164*I1164</f>
        <v/>
      </c>
      <c r="N1164" s="124" t="inlineStr">
        <is>
          <t xml:space="preserve">300-490 шт - </t>
        </is>
      </c>
      <c r="O1164" s="47" t="inlineStr">
        <is>
          <t xml:space="preserve"> руб / шт с НДС</t>
        </is>
      </c>
      <c r="P1164" s="125">
        <f>ROUND(K1164,2)</f>
        <v/>
      </c>
      <c r="Q1164" s="207">
        <f>CONCATENATE(N1164,P1164,O1164,)</f>
        <v/>
      </c>
      <c r="R1164" s="240" t="n"/>
      <c r="T1164" s="241" t="n"/>
      <c r="U1164" s="240" t="n"/>
      <c r="V1164" s="241" t="n"/>
      <c r="Z1164" s="240" t="n"/>
      <c r="AB1164" s="241" t="n"/>
      <c r="AC1164" s="240" t="n"/>
      <c r="AD1164" s="241" t="n"/>
    </row>
    <row r="1165" ht="21.45" customHeight="1" s="55">
      <c r="B1165" s="42" t="n">
        <v>234</v>
      </c>
      <c r="C1165" s="118">
        <f>INDIRECT("'Закуп'!A" &amp; B1165)</f>
        <v/>
      </c>
      <c r="D1165" s="119">
        <f>C1165*1.2</f>
        <v/>
      </c>
      <c r="G1165" s="172">
        <f>IF(INDIRECT("'Закуп'!L" &amp; B1165)="Sale","Sale","")</f>
        <v/>
      </c>
      <c r="H1165" s="158">
        <f>IF(INDIRECT("'Закуп'!F" &amp; B1165)=0,"",INDIRECT("'Закуп'!F" &amp; B1165))</f>
        <v/>
      </c>
      <c r="I1165" s="120" t="n">
        <v>500</v>
      </c>
      <c r="J1165" s="121">
        <f>K1165/1.2</f>
        <v/>
      </c>
      <c r="K1165" s="70" t="n">
        <v>0.75</v>
      </c>
      <c r="L1165" s="122">
        <f>J1165-C1165-(J1165-C1165)*0.2</f>
        <v/>
      </c>
      <c r="M1165" s="123">
        <f>L1165*I1165</f>
        <v/>
      </c>
      <c r="N1165" s="124" t="inlineStr">
        <is>
          <t xml:space="preserve">500-990 шт - </t>
        </is>
      </c>
      <c r="O1165" s="47" t="inlineStr">
        <is>
          <t xml:space="preserve"> руб / шт с НДС</t>
        </is>
      </c>
      <c r="P1165" s="125">
        <f>ROUND(K1165,2)</f>
        <v/>
      </c>
      <c r="Q1165" s="207">
        <f>CONCATENATE(N1165,P1165,O1165,)</f>
        <v/>
      </c>
      <c r="R1165" s="240" t="n"/>
      <c r="T1165" s="241" t="n"/>
      <c r="U1165" s="240" t="n"/>
      <c r="V1165" s="241" t="n"/>
      <c r="Z1165" s="240" t="n"/>
      <c r="AB1165" s="241" t="n"/>
      <c r="AC1165" s="240" t="n"/>
      <c r="AD1165" s="241" t="n"/>
    </row>
    <row r="1166" ht="21.45" customHeight="1" s="55">
      <c r="B1166" s="42" t="n">
        <v>234</v>
      </c>
      <c r="C1166" s="118">
        <f>INDIRECT("'Закуп'!A" &amp; B1166)</f>
        <v/>
      </c>
      <c r="D1166" s="119">
        <f>C1166*1.2</f>
        <v/>
      </c>
      <c r="G1166" s="172">
        <f>IF(INDIRECT("'Закуп'!L" &amp; B1166)="Sale","Sale","")</f>
        <v/>
      </c>
      <c r="H1166" s="158">
        <f>IF(INDIRECT("'Закуп'!F" &amp; B1166)=0,"",INDIRECT("'Закуп'!F" &amp; B1166))</f>
        <v/>
      </c>
      <c r="I1166" s="120" t="n">
        <v>1000</v>
      </c>
      <c r="J1166" s="121">
        <f>K1166/1.2</f>
        <v/>
      </c>
      <c r="K1166" s="70" t="n">
        <v>0.75</v>
      </c>
      <c r="L1166" s="122">
        <f>J1166-C1166-(J1166-C1166)*0.2</f>
        <v/>
      </c>
      <c r="M1166" s="123">
        <f>L1166*I1166</f>
        <v/>
      </c>
      <c r="N1166" s="124" t="inlineStr">
        <is>
          <t xml:space="preserve">1000 + шт - </t>
        </is>
      </c>
      <c r="O1166" s="47" t="inlineStr">
        <is>
          <t xml:space="preserve"> руб / шт с НДС</t>
        </is>
      </c>
      <c r="P1166" s="125">
        <f>ROUND(K1166,2)</f>
        <v/>
      </c>
      <c r="Q1166" s="207">
        <f>CONCATENATE(N1166,P1166,O1166,)</f>
        <v/>
      </c>
      <c r="R1166" s="240" t="n"/>
      <c r="T1166" s="241" t="n"/>
      <c r="U1166" s="240" t="n"/>
      <c r="V1166" s="241" t="n"/>
      <c r="Z1166" s="240" t="n"/>
      <c r="AB1166" s="241" t="n"/>
      <c r="AC1166" s="240" t="n"/>
      <c r="AD1166" s="241" t="n"/>
    </row>
    <row r="1167" ht="21.45" customHeight="1" s="55">
      <c r="A1167" s="232" t="n">
        <v>235</v>
      </c>
      <c r="B1167" s="42" t="n">
        <v>235</v>
      </c>
      <c r="C1167" s="118">
        <f>INDIRECT("'Закуп'!A" &amp; B1167)</f>
        <v/>
      </c>
      <c r="D1167" s="119">
        <f>C1167*1.2</f>
        <v/>
      </c>
      <c r="E1167" s="224">
        <f>INDIRECT("'Закуп'!D" &amp; A1167)</f>
        <v/>
      </c>
      <c r="F1167" s="231">
        <f>INDIRECT("'Закуп'!E" &amp; B1167)</f>
        <v/>
      </c>
      <c r="G1167" s="172">
        <f>IF(INDIRECT("'Закуп'!L" &amp; B1167)="Sale","Sale","")</f>
        <v/>
      </c>
      <c r="H1167" s="158">
        <f>IF(INDIRECT("'Закуп'!F" &amp; B1167)=0,"",INDIRECT("'Закуп'!F" &amp; B1167))</f>
        <v/>
      </c>
      <c r="I1167" s="120" t="n">
        <v>50</v>
      </c>
      <c r="J1167" s="121">
        <f>K1167/1.2</f>
        <v/>
      </c>
      <c r="K1167" s="70" t="n">
        <v>1.07</v>
      </c>
      <c r="L1167" s="122">
        <f>J1167-C1167-(J1167-C1167)*0.2</f>
        <v/>
      </c>
      <c r="M1167" s="123">
        <f>L1167*I1167</f>
        <v/>
      </c>
      <c r="N1167" s="124" t="inlineStr">
        <is>
          <t xml:space="preserve">50-90 шт - </t>
        </is>
      </c>
      <c r="O1167" s="47" t="inlineStr">
        <is>
          <t xml:space="preserve"> руб / шт с НДС</t>
        </is>
      </c>
      <c r="P1167" s="125">
        <f>ROUND(K1167,2)</f>
        <v/>
      </c>
      <c r="Q1167" s="207">
        <f>CONCATENATE(N1167,P1167,O1167,)</f>
        <v/>
      </c>
      <c r="R1167" s="235">
        <f>INDIRECT("'Закуп'!k" &amp; A1167)</f>
        <v/>
      </c>
      <c r="S1167" s="239">
        <f>INDIRECT("'Закуп'!o" &amp; A1167)</f>
        <v/>
      </c>
      <c r="T1167" s="226">
        <f>INDIRECT("'Закуп'!p" &amp; A1167)</f>
        <v/>
      </c>
      <c r="U1167" s="235">
        <f>INDIRECT("'Закуп'!v" &amp; A1167)</f>
        <v/>
      </c>
      <c r="V1167" s="222">
        <f>INDIRECT("'Закуп'!w" &amp; A1167)</f>
        <v/>
      </c>
      <c r="W1167" s="229">
        <f>INDIRECT("'Закуп'!H" &amp; A1167)</f>
        <v/>
      </c>
      <c r="X1167" s="237">
        <f>INDIRECT("'Закуп'!g" &amp; A1167)</f>
        <v/>
      </c>
      <c r="Y1167" s="229">
        <f>INDIRECT("'Закуп'!i" &amp; A1167)</f>
        <v/>
      </c>
      <c r="Z1167" s="236">
        <f>INDIRECT("'Закуп'!x" &amp; A1167)</f>
        <v/>
      </c>
      <c r="AA1167" s="237">
        <f>INDIRECT("'Закуп'!y" &amp; A1167)</f>
        <v/>
      </c>
      <c r="AB1167" s="238">
        <f>INDIRECT("'Закуп'!z" &amp; A1167)</f>
        <v/>
      </c>
      <c r="AC1167" s="223">
        <f>SUBSTITUTE(INDEX(F:F, ROUNDUP((ROW(A1166))/5,0)*5 - 3), "х", "x")</f>
        <v/>
      </c>
      <c r="AD1167" s="222">
        <f>SUBSTITUTE(INDEX(F:F, ROUNDUP((ROW(A1166))/5,0)*5 - 3), "х", "x") &amp; " - " &amp; SUBSTITUTE(SUBSTITUTE(INDEX(F:F, ROUNDUP((ROW(A1166))/5,0)*5 - 3), "х", "*"), "x", "*") &amp; " мм"</f>
        <v/>
      </c>
    </row>
    <row r="1168" ht="21.45" customHeight="1" s="55">
      <c r="B1168" s="42" t="n">
        <v>235</v>
      </c>
      <c r="C1168" s="118">
        <f>INDIRECT("'Закуп'!A" &amp; B1168)</f>
        <v/>
      </c>
      <c r="D1168" s="119">
        <f>C1168*1.2</f>
        <v/>
      </c>
      <c r="G1168" s="172">
        <f>IF(INDIRECT("'Закуп'!L" &amp; B1168)="Sale","Sale","")</f>
        <v/>
      </c>
      <c r="H1168" s="158">
        <f>IF(INDIRECT("'Закуп'!F" &amp; B1168)=0,"",INDIRECT("'Закуп'!F" &amp; B1168))</f>
        <v/>
      </c>
      <c r="I1168" s="120" t="n">
        <v>100</v>
      </c>
      <c r="J1168" s="121">
        <f>K1168/1.2</f>
        <v/>
      </c>
      <c r="K1168" s="70" t="n">
        <v>0.91</v>
      </c>
      <c r="L1168" s="122">
        <f>J1168-C1168-(J1168-C1168)*0.2</f>
        <v/>
      </c>
      <c r="M1168" s="123">
        <f>L1168*I1168</f>
        <v/>
      </c>
      <c r="N1168" s="124" t="inlineStr">
        <is>
          <t xml:space="preserve">100-290 шт - </t>
        </is>
      </c>
      <c r="O1168" s="47" t="inlineStr">
        <is>
          <t xml:space="preserve"> руб / шт с НДС</t>
        </is>
      </c>
      <c r="P1168" s="125">
        <f>ROUND(K1168,2)</f>
        <v/>
      </c>
      <c r="Q1168" s="207">
        <f>CONCATENATE(N1168,P1168,O1168,)</f>
        <v/>
      </c>
      <c r="R1168" s="240" t="n"/>
      <c r="T1168" s="241" t="n"/>
      <c r="U1168" s="240" t="n"/>
      <c r="V1168" s="241" t="n"/>
      <c r="Z1168" s="240" t="n"/>
      <c r="AB1168" s="241" t="n"/>
      <c r="AC1168" s="240" t="n"/>
      <c r="AD1168" s="241" t="n"/>
    </row>
    <row r="1169" ht="21.45" customHeight="1" s="55">
      <c r="B1169" s="42" t="n">
        <v>235</v>
      </c>
      <c r="C1169" s="118">
        <f>INDIRECT("'Закуп'!A" &amp; B1169)</f>
        <v/>
      </c>
      <c r="D1169" s="119">
        <f>C1169*1.2</f>
        <v/>
      </c>
      <c r="G1169" s="172">
        <f>IF(INDIRECT("'Закуп'!L" &amp; B1169)="Sale","Sale","")</f>
        <v/>
      </c>
      <c r="H1169" s="158">
        <f>IF(INDIRECT("'Закуп'!F" &amp; B1169)=0,"",INDIRECT("'Закуп'!F" &amp; B1169))</f>
        <v/>
      </c>
      <c r="I1169" s="120" t="n">
        <v>300</v>
      </c>
      <c r="J1169" s="121">
        <f>K1169/1.2</f>
        <v/>
      </c>
      <c r="K1169" s="70" t="n">
        <v>0.75</v>
      </c>
      <c r="L1169" s="122">
        <f>J1169-C1169-(J1169-C1169)*0.2</f>
        <v/>
      </c>
      <c r="M1169" s="123">
        <f>L1169*I1169</f>
        <v/>
      </c>
      <c r="N1169" s="124" t="inlineStr">
        <is>
          <t xml:space="preserve">300-490 шт - </t>
        </is>
      </c>
      <c r="O1169" s="47" t="inlineStr">
        <is>
          <t xml:space="preserve"> руб / шт с НДС</t>
        </is>
      </c>
      <c r="P1169" s="125">
        <f>ROUND(K1169,2)</f>
        <v/>
      </c>
      <c r="Q1169" s="207">
        <f>CONCATENATE(N1169,P1169,O1169,)</f>
        <v/>
      </c>
      <c r="R1169" s="240" t="n"/>
      <c r="T1169" s="241" t="n"/>
      <c r="U1169" s="240" t="n"/>
      <c r="V1169" s="241" t="n"/>
      <c r="Z1169" s="240" t="n"/>
      <c r="AB1169" s="241" t="n"/>
      <c r="AC1169" s="240" t="n"/>
      <c r="AD1169" s="241" t="n"/>
    </row>
    <row r="1170" ht="21.45" customHeight="1" s="55">
      <c r="B1170" s="42" t="n">
        <v>235</v>
      </c>
      <c r="C1170" s="118">
        <f>INDIRECT("'Закуп'!A" &amp; B1170)</f>
        <v/>
      </c>
      <c r="D1170" s="119">
        <f>C1170*1.2</f>
        <v/>
      </c>
      <c r="G1170" s="172">
        <f>IF(INDIRECT("'Закуп'!L" &amp; B1170)="Sale","Sale","")</f>
        <v/>
      </c>
      <c r="H1170" s="158">
        <f>IF(INDIRECT("'Закуп'!F" &amp; B1170)=0,"",INDIRECT("'Закуп'!F" &amp; B1170))</f>
        <v/>
      </c>
      <c r="I1170" s="120" t="n">
        <v>500</v>
      </c>
      <c r="J1170" s="121">
        <f>K1170/1.2</f>
        <v/>
      </c>
      <c r="K1170" s="70" t="n">
        <v>0.64</v>
      </c>
      <c r="L1170" s="122">
        <f>J1170-C1170-(J1170-C1170)*0.2</f>
        <v/>
      </c>
      <c r="M1170" s="123">
        <f>L1170*I1170</f>
        <v/>
      </c>
      <c r="N1170" s="124" t="inlineStr">
        <is>
          <t xml:space="preserve">500-990 шт - </t>
        </is>
      </c>
      <c r="O1170" s="47" t="inlineStr">
        <is>
          <t xml:space="preserve"> руб / шт с НДС</t>
        </is>
      </c>
      <c r="P1170" s="125">
        <f>ROUND(K1170,2)</f>
        <v/>
      </c>
      <c r="Q1170" s="207">
        <f>CONCATENATE(N1170,P1170,O1170,)</f>
        <v/>
      </c>
      <c r="R1170" s="240" t="n"/>
      <c r="T1170" s="241" t="n"/>
      <c r="U1170" s="240" t="n"/>
      <c r="V1170" s="241" t="n"/>
      <c r="Z1170" s="240" t="n"/>
      <c r="AB1170" s="241" t="n"/>
      <c r="AC1170" s="240" t="n"/>
      <c r="AD1170" s="241" t="n"/>
    </row>
    <row r="1171" ht="21.45" customHeight="1" s="55">
      <c r="B1171" s="42" t="n">
        <v>235</v>
      </c>
      <c r="C1171" s="118">
        <f>INDIRECT("'Закуп'!A" &amp; B1171)</f>
        <v/>
      </c>
      <c r="D1171" s="119">
        <f>C1171*1.2</f>
        <v/>
      </c>
      <c r="G1171" s="172">
        <f>IF(INDIRECT("'Закуп'!L" &amp; B1171)="Sale","Sale","")</f>
        <v/>
      </c>
      <c r="H1171" s="158">
        <f>IF(INDIRECT("'Закуп'!F" &amp; B1171)=0,"",INDIRECT("'Закуп'!F" &amp; B1171))</f>
        <v/>
      </c>
      <c r="I1171" s="120" t="n">
        <v>1000</v>
      </c>
      <c r="J1171" s="121">
        <f>K1171/1.2</f>
        <v/>
      </c>
      <c r="K1171" s="70" t="n">
        <v>0.57</v>
      </c>
      <c r="L1171" s="122">
        <f>J1171-C1171-(J1171-C1171)*0.2</f>
        <v/>
      </c>
      <c r="M1171" s="123">
        <f>L1171*I1171</f>
        <v/>
      </c>
      <c r="N1171" s="124" t="inlineStr">
        <is>
          <t xml:space="preserve">1000 + шт - </t>
        </is>
      </c>
      <c r="O1171" s="47" t="inlineStr">
        <is>
          <t xml:space="preserve"> руб / шт с НДС</t>
        </is>
      </c>
      <c r="P1171" s="125">
        <f>ROUND(K1171,2)</f>
        <v/>
      </c>
      <c r="Q1171" s="207">
        <f>CONCATENATE(N1171,P1171,O1171,)</f>
        <v/>
      </c>
      <c r="R1171" s="240" t="n"/>
      <c r="T1171" s="241" t="n"/>
      <c r="U1171" s="240" t="n"/>
      <c r="V1171" s="241" t="n"/>
      <c r="Z1171" s="240" t="n"/>
      <c r="AB1171" s="241" t="n"/>
      <c r="AC1171" s="240" t="n"/>
      <c r="AD1171" s="241" t="n"/>
    </row>
    <row r="1172">
      <c r="A1172" s="232" t="n">
        <v>236</v>
      </c>
      <c r="B1172" s="42" t="n">
        <v>236</v>
      </c>
      <c r="C1172" s="118">
        <f>INDIRECT("'Закуп'!A" &amp; B1172)</f>
        <v/>
      </c>
      <c r="D1172" s="119">
        <f>C1172*1.2</f>
        <v/>
      </c>
      <c r="E1172" s="225">
        <f>INDIRECT("'Закуп'!D" &amp; A1172)</f>
        <v/>
      </c>
      <c r="F1172" s="231">
        <f>INDIRECT("'Закуп'!E" &amp; B1172)</f>
        <v/>
      </c>
      <c r="G1172" s="172">
        <f>IF(INDIRECT("'Закуп'!L" &amp; B1172)="Sale","Sale","")</f>
        <v/>
      </c>
      <c r="H1172" s="158">
        <f>IF(INDIRECT("'Закуп'!F" &amp; B1172)=0,"",INDIRECT("'Закуп'!F" &amp; B1172))</f>
        <v/>
      </c>
      <c r="I1172" s="120" t="n">
        <v>50</v>
      </c>
      <c r="J1172" s="121">
        <f>K1172/1.2</f>
        <v/>
      </c>
      <c r="K1172" s="70" t="n">
        <v>1.15</v>
      </c>
      <c r="L1172" s="122">
        <f>J1172-C1172-(J1172-C1172)*0.2</f>
        <v/>
      </c>
      <c r="M1172" s="123">
        <f>L1172*I1172</f>
        <v/>
      </c>
      <c r="N1172" s="124" t="inlineStr">
        <is>
          <t xml:space="preserve">50-90 шт - </t>
        </is>
      </c>
      <c r="O1172" s="47" t="inlineStr">
        <is>
          <t xml:space="preserve"> руб / шт с НДС</t>
        </is>
      </c>
      <c r="P1172" s="125">
        <f>ROUND(K1172,2)</f>
        <v/>
      </c>
      <c r="Q1172" s="207">
        <f>CONCATENATE(N1172,P1172,O1172,)</f>
        <v/>
      </c>
      <c r="R1172" s="235">
        <f>INDIRECT("'Закуп'!k" &amp; A1172)</f>
        <v/>
      </c>
      <c r="S1172" s="239">
        <f>INDIRECT("'Закуп'!o" &amp; A1172)</f>
        <v/>
      </c>
      <c r="T1172" s="226">
        <f>INDIRECT("'Закуп'!p" &amp; A1172)</f>
        <v/>
      </c>
      <c r="U1172" s="235">
        <f>INDIRECT("'Закуп'!v" &amp; A1172)</f>
        <v/>
      </c>
      <c r="V1172" s="222">
        <f>INDIRECT("'Закуп'!w" &amp; A1172)</f>
        <v/>
      </c>
      <c r="W1172" s="229">
        <f>INDIRECT("'Закуп'!H" &amp; A1172)</f>
        <v/>
      </c>
      <c r="X1172" s="237">
        <f>INDIRECT("'Закуп'!g" &amp; A1172)</f>
        <v/>
      </c>
      <c r="Y1172" s="229">
        <f>INDIRECT("'Закуп'!i" &amp; A1172)</f>
        <v/>
      </c>
      <c r="Z1172" s="236">
        <f>INDIRECT("'Закуп'!x" &amp; A1172)</f>
        <v/>
      </c>
      <c r="AA1172" s="237">
        <f>INDIRECT("'Закуп'!y" &amp; A1172)</f>
        <v/>
      </c>
      <c r="AB1172" s="238">
        <f>INDIRECT("'Закуп'!z" &amp; A1172)</f>
        <v/>
      </c>
      <c r="AC1172" s="223">
        <f>SUBSTITUTE(INDEX(F:F, ROUNDUP((ROW(A1171))/5,0)*5 - 3), "х", "x")</f>
        <v/>
      </c>
      <c r="AD1172" s="222">
        <f>SUBSTITUTE(INDEX(F:F, ROUNDUP((ROW(A1171))/5,0)*5 - 3), "х", "x") &amp; " - " &amp; SUBSTITUTE(SUBSTITUTE(INDEX(F:F, ROUNDUP((ROW(A1171))/5,0)*5 - 3), "х", "*"), "x", "*") &amp; " мм"</f>
        <v/>
      </c>
    </row>
    <row r="1173">
      <c r="B1173" s="42" t="n">
        <v>236</v>
      </c>
      <c r="C1173" s="118">
        <f>INDIRECT("'Закуп'!A" &amp; B1173)</f>
        <v/>
      </c>
      <c r="D1173" s="119">
        <f>C1173*1.2</f>
        <v/>
      </c>
      <c r="G1173" s="172">
        <f>IF(INDIRECT("'Закуп'!L" &amp; B1173)="Sale","Sale","")</f>
        <v/>
      </c>
      <c r="H1173" s="158">
        <f>IF(INDIRECT("'Закуп'!F" &amp; B1173)=0,"",INDIRECT("'Закуп'!F" &amp; B1173))</f>
        <v/>
      </c>
      <c r="I1173" s="120" t="n">
        <v>100</v>
      </c>
      <c r="J1173" s="121">
        <f>K1173/1.2</f>
        <v/>
      </c>
      <c r="K1173" s="70" t="n">
        <v>1.15</v>
      </c>
      <c r="L1173" s="122">
        <f>J1173-C1173-(J1173-C1173)*0.2</f>
        <v/>
      </c>
      <c r="M1173" s="123">
        <f>L1173*I1173</f>
        <v/>
      </c>
      <c r="N1173" s="124" t="inlineStr">
        <is>
          <t xml:space="preserve">100-290 шт - </t>
        </is>
      </c>
      <c r="O1173" s="47" t="inlineStr">
        <is>
          <t xml:space="preserve"> руб / шт с НДС</t>
        </is>
      </c>
      <c r="P1173" s="125">
        <f>ROUND(K1173,2)</f>
        <v/>
      </c>
      <c r="Q1173" s="207">
        <f>CONCATENATE(N1173,P1173,O1173,)</f>
        <v/>
      </c>
      <c r="R1173" s="240" t="n"/>
      <c r="T1173" s="241" t="n"/>
      <c r="U1173" s="240" t="n"/>
      <c r="V1173" s="241" t="n"/>
      <c r="Z1173" s="240" t="n"/>
      <c r="AB1173" s="241" t="n"/>
      <c r="AC1173" s="240" t="n"/>
      <c r="AD1173" s="241" t="n"/>
    </row>
    <row r="1174">
      <c r="B1174" s="42" t="n">
        <v>236</v>
      </c>
      <c r="C1174" s="118">
        <f>INDIRECT("'Закуп'!A" &amp; B1174)</f>
        <v/>
      </c>
      <c r="D1174" s="119">
        <f>C1174*1.2</f>
        <v/>
      </c>
      <c r="G1174" s="172">
        <f>IF(INDIRECT("'Закуп'!L" &amp; B1174)="Sale","Sale","")</f>
        <v/>
      </c>
      <c r="H1174" s="158">
        <f>IF(INDIRECT("'Закуп'!F" &amp; B1174)=0,"",INDIRECT("'Закуп'!F" &amp; B1174))</f>
        <v/>
      </c>
      <c r="I1174" s="120" t="n">
        <v>300</v>
      </c>
      <c r="J1174" s="121">
        <f>K1174/1.2</f>
        <v/>
      </c>
      <c r="K1174" s="70" t="n">
        <v>1.15</v>
      </c>
      <c r="L1174" s="122">
        <f>J1174-C1174-(J1174-C1174)*0.2</f>
        <v/>
      </c>
      <c r="M1174" s="123">
        <f>L1174*I1174</f>
        <v/>
      </c>
      <c r="N1174" s="124" t="inlineStr">
        <is>
          <t xml:space="preserve">300-490 шт - </t>
        </is>
      </c>
      <c r="O1174" s="47" t="inlineStr">
        <is>
          <t xml:space="preserve"> руб / шт с НДС</t>
        </is>
      </c>
      <c r="P1174" s="125">
        <f>ROUND(K1174,2)</f>
        <v/>
      </c>
      <c r="Q1174" s="207">
        <f>CONCATENATE(N1174,P1174,O1174,)</f>
        <v/>
      </c>
      <c r="R1174" s="240" t="n"/>
      <c r="T1174" s="241" t="n"/>
      <c r="U1174" s="240" t="n"/>
      <c r="V1174" s="241" t="n"/>
      <c r="Z1174" s="240" t="n"/>
      <c r="AB1174" s="241" t="n"/>
      <c r="AC1174" s="240" t="n"/>
      <c r="AD1174" s="241" t="n"/>
    </row>
    <row r="1175">
      <c r="B1175" s="42" t="n">
        <v>236</v>
      </c>
      <c r="C1175" s="118">
        <f>INDIRECT("'Закуп'!A" &amp; B1175)</f>
        <v/>
      </c>
      <c r="D1175" s="119">
        <f>C1175*1.2</f>
        <v/>
      </c>
      <c r="G1175" s="172">
        <f>IF(INDIRECT("'Закуп'!L" &amp; B1175)="Sale","Sale","")</f>
        <v/>
      </c>
      <c r="H1175" s="158">
        <f>IF(INDIRECT("'Закуп'!F" &amp; B1175)=0,"",INDIRECT("'Закуп'!F" &amp; B1175))</f>
        <v/>
      </c>
      <c r="I1175" s="120" t="n">
        <v>500</v>
      </c>
      <c r="J1175" s="121">
        <f>K1175/1.2</f>
        <v/>
      </c>
      <c r="K1175" s="70" t="n">
        <v>1.15</v>
      </c>
      <c r="L1175" s="122">
        <f>J1175-C1175-(J1175-C1175)*0.2</f>
        <v/>
      </c>
      <c r="M1175" s="123">
        <f>L1175*I1175</f>
        <v/>
      </c>
      <c r="N1175" s="124" t="inlineStr">
        <is>
          <t xml:space="preserve">500-990 шт - </t>
        </is>
      </c>
      <c r="O1175" s="47" t="inlineStr">
        <is>
          <t xml:space="preserve"> руб / шт с НДС</t>
        </is>
      </c>
      <c r="P1175" s="125">
        <f>ROUND(K1175,2)</f>
        <v/>
      </c>
      <c r="Q1175" s="207">
        <f>CONCATENATE(N1175,P1175,O1175,)</f>
        <v/>
      </c>
      <c r="R1175" s="240" t="n"/>
      <c r="T1175" s="241" t="n"/>
      <c r="U1175" s="240" t="n"/>
      <c r="V1175" s="241" t="n"/>
      <c r="Z1175" s="240" t="n"/>
      <c r="AB1175" s="241" t="n"/>
      <c r="AC1175" s="240" t="n"/>
      <c r="AD1175" s="241" t="n"/>
    </row>
    <row r="1176">
      <c r="B1176" s="42" t="n">
        <v>236</v>
      </c>
      <c r="C1176" s="118">
        <f>INDIRECT("'Закуп'!A" &amp; B1176)</f>
        <v/>
      </c>
      <c r="D1176" s="119">
        <f>C1176*1.2</f>
        <v/>
      </c>
      <c r="G1176" s="172">
        <f>IF(INDIRECT("'Закуп'!L" &amp; B1176)="Sale","Sale","")</f>
        <v/>
      </c>
      <c r="H1176" s="158">
        <f>IF(INDIRECT("'Закуп'!F" &amp; B1176)=0,"",INDIRECT("'Закуп'!F" &amp; B1176))</f>
        <v/>
      </c>
      <c r="I1176" s="120" t="n">
        <v>1000</v>
      </c>
      <c r="J1176" s="121">
        <f>K1176/1.2</f>
        <v/>
      </c>
      <c r="K1176" s="70" t="n">
        <v>1.15</v>
      </c>
      <c r="L1176" s="122">
        <f>J1176-C1176-(J1176-C1176)*0.2</f>
        <v/>
      </c>
      <c r="M1176" s="123">
        <f>L1176*I1176</f>
        <v/>
      </c>
      <c r="N1176" s="124" t="inlineStr">
        <is>
          <t xml:space="preserve">1000 + шт - </t>
        </is>
      </c>
      <c r="O1176" s="47" t="inlineStr">
        <is>
          <t xml:space="preserve"> руб / шт с НДС</t>
        </is>
      </c>
      <c r="P1176" s="125">
        <f>ROUND(K1176,2)</f>
        <v/>
      </c>
      <c r="Q1176" s="207">
        <f>CONCATENATE(N1176,P1176,O1176,)</f>
        <v/>
      </c>
      <c r="R1176" s="240" t="n"/>
      <c r="T1176" s="241" t="n"/>
      <c r="U1176" s="240" t="n"/>
      <c r="V1176" s="241" t="n"/>
      <c r="Z1176" s="240" t="n"/>
      <c r="AB1176" s="241" t="n"/>
      <c r="AC1176" s="240" t="n"/>
      <c r="AD1176" s="241" t="n"/>
    </row>
    <row r="1177">
      <c r="A1177" s="232" t="n">
        <v>237</v>
      </c>
      <c r="B1177" s="42" t="n">
        <v>237</v>
      </c>
      <c r="C1177" s="118">
        <f>INDIRECT("'Закуп'!A" &amp; B1177)</f>
        <v/>
      </c>
      <c r="D1177" s="119">
        <f>C1177*1.2</f>
        <v/>
      </c>
      <c r="E1177" s="225">
        <f>INDIRECT("'Закуп'!D" &amp; A1177)</f>
        <v/>
      </c>
      <c r="F1177" s="231">
        <f>INDIRECT("'Закуп'!E" &amp; B1177)</f>
        <v/>
      </c>
      <c r="G1177" s="172">
        <f>IF(INDIRECT("'Закуп'!L" &amp; B1177)="Sale","Sale","")</f>
        <v/>
      </c>
      <c r="H1177" s="158">
        <f>IF(INDIRECT("'Закуп'!F" &amp; B1177)=0,"",INDIRECT("'Закуп'!F" &amp; B1177))</f>
        <v/>
      </c>
      <c r="I1177" s="120" t="n">
        <v>50</v>
      </c>
      <c r="J1177" s="121">
        <f>K1177/1.2</f>
        <v/>
      </c>
      <c r="K1177" s="70" t="n">
        <v>0.8</v>
      </c>
      <c r="L1177" s="122">
        <f>J1177-C1177-(J1177-C1177)*0.2</f>
        <v/>
      </c>
      <c r="M1177" s="123">
        <f>L1177*I1177</f>
        <v/>
      </c>
      <c r="N1177" s="124" t="inlineStr">
        <is>
          <t xml:space="preserve">50-90 шт - </t>
        </is>
      </c>
      <c r="O1177" s="47" t="inlineStr">
        <is>
          <t xml:space="preserve"> руб / шт с НДС</t>
        </is>
      </c>
      <c r="P1177" s="125">
        <f>ROUND(K1177,2)</f>
        <v/>
      </c>
      <c r="Q1177" s="207">
        <f>CONCATENATE(N1177,P1177,O1177,)</f>
        <v/>
      </c>
      <c r="R1177" s="235">
        <f>INDIRECT("'Закуп'!k" &amp; A1177)</f>
        <v/>
      </c>
      <c r="S1177" s="239">
        <f>INDIRECT("'Закуп'!o" &amp; A1177)</f>
        <v/>
      </c>
      <c r="T1177" s="226">
        <f>INDIRECT("'Закуп'!p" &amp; A1177)</f>
        <v/>
      </c>
      <c r="U1177" s="235">
        <f>INDIRECT("'Закуп'!v" &amp; A1177)</f>
        <v/>
      </c>
      <c r="V1177" s="222">
        <f>INDIRECT("'Закуп'!w" &amp; A1177)</f>
        <v/>
      </c>
      <c r="W1177" s="229">
        <f>INDIRECT("'Закуп'!H" &amp; A1177)</f>
        <v/>
      </c>
      <c r="X1177" s="237">
        <f>INDIRECT("'Закуп'!g" &amp; A1177)</f>
        <v/>
      </c>
      <c r="Y1177" s="229">
        <f>INDIRECT("'Закуп'!i" &amp; A1177)</f>
        <v/>
      </c>
      <c r="Z1177" s="236">
        <f>INDIRECT("'Закуп'!x" &amp; A1177)</f>
        <v/>
      </c>
      <c r="AA1177" s="237">
        <f>INDIRECT("'Закуп'!y" &amp; A1177)</f>
        <v/>
      </c>
      <c r="AB1177" s="238">
        <f>INDIRECT("'Закуп'!z" &amp; A1177)</f>
        <v/>
      </c>
      <c r="AC1177" s="223">
        <f>SUBSTITUTE(INDEX(F:F, ROUNDUP((ROW(A1176))/5,0)*5 - 3), "х", "x")</f>
        <v/>
      </c>
      <c r="AD1177" s="222">
        <f>SUBSTITUTE(INDEX(F:F, ROUNDUP((ROW(A1176))/5,0)*5 - 3), "х", "x") &amp; " - " &amp; SUBSTITUTE(SUBSTITUTE(INDEX(F:F, ROUNDUP((ROW(A1176))/5,0)*5 - 3), "х", "*"), "x", "*") &amp; " мм"</f>
        <v/>
      </c>
    </row>
    <row r="1178">
      <c r="B1178" s="42" t="n">
        <v>237</v>
      </c>
      <c r="C1178" s="118">
        <f>INDIRECT("'Закуп'!A" &amp; B1178)</f>
        <v/>
      </c>
      <c r="D1178" s="119">
        <f>C1178*1.2</f>
        <v/>
      </c>
      <c r="G1178" s="172">
        <f>IF(INDIRECT("'Закуп'!L" &amp; B1178)="Sale","Sale","")</f>
        <v/>
      </c>
      <c r="H1178" s="158">
        <f>IF(INDIRECT("'Закуп'!F" &amp; B1178)=0,"",INDIRECT("'Закуп'!F" &amp; B1178))</f>
        <v/>
      </c>
      <c r="I1178" s="120" t="n">
        <v>100</v>
      </c>
      <c r="J1178" s="121">
        <f>K1178/1.2</f>
        <v/>
      </c>
      <c r="K1178" s="70" t="n">
        <v>0.8</v>
      </c>
      <c r="L1178" s="122">
        <f>J1178-C1178-(J1178-C1178)*0.2</f>
        <v/>
      </c>
      <c r="M1178" s="123">
        <f>L1178*I1178</f>
        <v/>
      </c>
      <c r="N1178" s="124" t="inlineStr">
        <is>
          <t xml:space="preserve">100-290 шт - </t>
        </is>
      </c>
      <c r="O1178" s="47" t="inlineStr">
        <is>
          <t xml:space="preserve"> руб / шт с НДС</t>
        </is>
      </c>
      <c r="P1178" s="125">
        <f>ROUND(K1178,2)</f>
        <v/>
      </c>
      <c r="Q1178" s="207">
        <f>CONCATENATE(N1178,P1178,O1178,)</f>
        <v/>
      </c>
      <c r="R1178" s="240" t="n"/>
      <c r="T1178" s="241" t="n"/>
      <c r="U1178" s="240" t="n"/>
      <c r="V1178" s="241" t="n"/>
      <c r="Z1178" s="240" t="n"/>
      <c r="AB1178" s="241" t="n"/>
      <c r="AC1178" s="240" t="n"/>
      <c r="AD1178" s="241" t="n"/>
    </row>
    <row r="1179">
      <c r="B1179" s="42" t="n">
        <v>237</v>
      </c>
      <c r="C1179" s="118">
        <f>INDIRECT("'Закуп'!A" &amp; B1179)</f>
        <v/>
      </c>
      <c r="D1179" s="119">
        <f>C1179*1.2</f>
        <v/>
      </c>
      <c r="G1179" s="172">
        <f>IF(INDIRECT("'Закуп'!L" &amp; B1179)="Sale","Sale","")</f>
        <v/>
      </c>
      <c r="H1179" s="158">
        <f>IF(INDIRECT("'Закуп'!F" &amp; B1179)=0,"",INDIRECT("'Закуп'!F" &amp; B1179))</f>
        <v/>
      </c>
      <c r="I1179" s="120" t="n">
        <v>300</v>
      </c>
      <c r="J1179" s="121">
        <f>K1179/1.2</f>
        <v/>
      </c>
      <c r="K1179" s="70" t="n">
        <v>0.8</v>
      </c>
      <c r="L1179" s="122">
        <f>J1179-C1179-(J1179-C1179)*0.2</f>
        <v/>
      </c>
      <c r="M1179" s="123">
        <f>L1179*I1179</f>
        <v/>
      </c>
      <c r="N1179" s="124" t="inlineStr">
        <is>
          <t xml:space="preserve">300-490 шт - </t>
        </is>
      </c>
      <c r="O1179" s="47" t="inlineStr">
        <is>
          <t xml:space="preserve"> руб / шт с НДС</t>
        </is>
      </c>
      <c r="P1179" s="125">
        <f>ROUND(K1179,2)</f>
        <v/>
      </c>
      <c r="Q1179" s="207">
        <f>CONCATENATE(N1179,P1179,O1179,)</f>
        <v/>
      </c>
      <c r="R1179" s="240" t="n"/>
      <c r="T1179" s="241" t="n"/>
      <c r="U1179" s="240" t="n"/>
      <c r="V1179" s="241" t="n"/>
      <c r="Z1179" s="240" t="n"/>
      <c r="AB1179" s="241" t="n"/>
      <c r="AC1179" s="240" t="n"/>
      <c r="AD1179" s="241" t="n"/>
    </row>
    <row r="1180">
      <c r="B1180" s="42" t="n">
        <v>237</v>
      </c>
      <c r="C1180" s="118">
        <f>INDIRECT("'Закуп'!A" &amp; B1180)</f>
        <v/>
      </c>
      <c r="D1180" s="119">
        <f>C1180*1.2</f>
        <v/>
      </c>
      <c r="G1180" s="172">
        <f>IF(INDIRECT("'Закуп'!L" &amp; B1180)="Sale","Sale","")</f>
        <v/>
      </c>
      <c r="H1180" s="158">
        <f>IF(INDIRECT("'Закуп'!F" &amp; B1180)=0,"",INDIRECT("'Закуп'!F" &amp; B1180))</f>
        <v/>
      </c>
      <c r="I1180" s="120" t="n">
        <v>500</v>
      </c>
      <c r="J1180" s="121">
        <f>K1180/1.2</f>
        <v/>
      </c>
      <c r="K1180" s="70" t="n">
        <v>0.8</v>
      </c>
      <c r="L1180" s="122">
        <f>J1180-C1180-(J1180-C1180)*0.2</f>
        <v/>
      </c>
      <c r="M1180" s="123">
        <f>L1180*I1180</f>
        <v/>
      </c>
      <c r="N1180" s="124" t="inlineStr">
        <is>
          <t xml:space="preserve">500-990 шт - </t>
        </is>
      </c>
      <c r="O1180" s="47" t="inlineStr">
        <is>
          <t xml:space="preserve"> руб / шт с НДС</t>
        </is>
      </c>
      <c r="P1180" s="125">
        <f>ROUND(K1180,2)</f>
        <v/>
      </c>
      <c r="Q1180" s="207">
        <f>CONCATENATE(N1180,P1180,O1180,)</f>
        <v/>
      </c>
      <c r="R1180" s="240" t="n"/>
      <c r="T1180" s="241" t="n"/>
      <c r="U1180" s="240" t="n"/>
      <c r="V1180" s="241" t="n"/>
      <c r="Z1180" s="240" t="n"/>
      <c r="AB1180" s="241" t="n"/>
      <c r="AC1180" s="240" t="n"/>
      <c r="AD1180" s="241" t="n"/>
    </row>
    <row r="1181">
      <c r="B1181" s="42" t="n">
        <v>237</v>
      </c>
      <c r="C1181" s="118">
        <f>INDIRECT("'Закуп'!A" &amp; B1181)</f>
        <v/>
      </c>
      <c r="D1181" s="119">
        <f>C1181*1.2</f>
        <v/>
      </c>
      <c r="G1181" s="172">
        <f>IF(INDIRECT("'Закуп'!L" &amp; B1181)="Sale","Sale","")</f>
        <v/>
      </c>
      <c r="H1181" s="158">
        <f>IF(INDIRECT("'Закуп'!F" &amp; B1181)=0,"",INDIRECT("'Закуп'!F" &amp; B1181))</f>
        <v/>
      </c>
      <c r="I1181" s="120" t="n">
        <v>1000</v>
      </c>
      <c r="J1181" s="121">
        <f>K1181/1.2</f>
        <v/>
      </c>
      <c r="K1181" s="70" t="n">
        <v>0.8</v>
      </c>
      <c r="L1181" s="122">
        <f>J1181-C1181-(J1181-C1181)*0.2</f>
        <v/>
      </c>
      <c r="M1181" s="123">
        <f>L1181*I1181</f>
        <v/>
      </c>
      <c r="N1181" s="124" t="inlineStr">
        <is>
          <t xml:space="preserve">1000 + шт - </t>
        </is>
      </c>
      <c r="O1181" s="47" t="inlineStr">
        <is>
          <t xml:space="preserve"> руб / шт с НДС</t>
        </is>
      </c>
      <c r="P1181" s="125">
        <f>ROUND(K1181,2)</f>
        <v/>
      </c>
      <c r="Q1181" s="207">
        <f>CONCATENATE(N1181,P1181,O1181,)</f>
        <v/>
      </c>
      <c r="R1181" s="240" t="n"/>
      <c r="T1181" s="241" t="n"/>
      <c r="U1181" s="240" t="n"/>
      <c r="V1181" s="241" t="n"/>
      <c r="Z1181" s="240" t="n"/>
      <c r="AB1181" s="241" t="n"/>
      <c r="AC1181" s="240" t="n"/>
      <c r="AD1181" s="241" t="n"/>
    </row>
    <row r="1182">
      <c r="A1182" s="232" t="n">
        <v>238</v>
      </c>
      <c r="B1182" s="42" t="n">
        <v>238</v>
      </c>
      <c r="C1182" s="118">
        <f>INDIRECT("'Закуп'!A" &amp; B1182)</f>
        <v/>
      </c>
      <c r="D1182" s="119">
        <f>C1182*1.2</f>
        <v/>
      </c>
      <c r="E1182" s="225">
        <f>INDIRECT("'Закуп'!D" &amp; A1182)</f>
        <v/>
      </c>
      <c r="F1182" s="231">
        <f>INDIRECT("'Закуп'!E" &amp; B1182)</f>
        <v/>
      </c>
      <c r="G1182" s="172">
        <f>IF(INDIRECT("'Закуп'!L" &amp; B1182)="Sale","Sale","")</f>
        <v/>
      </c>
      <c r="H1182" s="158">
        <f>IF(INDIRECT("'Закуп'!F" &amp; B1182)=0,"",INDIRECT("'Закуп'!F" &amp; B1182))</f>
        <v/>
      </c>
      <c r="I1182" s="120" t="n">
        <v>50</v>
      </c>
      <c r="J1182" s="121">
        <f>K1182/1.2</f>
        <v/>
      </c>
      <c r="K1182" s="70" t="n">
        <v>0.65</v>
      </c>
      <c r="L1182" s="122">
        <f>J1182-C1182-(J1182-C1182)*0.2</f>
        <v/>
      </c>
      <c r="M1182" s="123">
        <f>L1182*I1182</f>
        <v/>
      </c>
      <c r="N1182" s="124" t="inlineStr">
        <is>
          <t xml:space="preserve">50-90 шт - </t>
        </is>
      </c>
      <c r="O1182" s="47" t="inlineStr">
        <is>
          <t xml:space="preserve"> руб / шт с НДС</t>
        </is>
      </c>
      <c r="P1182" s="125">
        <f>ROUND(K1182,2)</f>
        <v/>
      </c>
      <c r="Q1182" s="207">
        <f>CONCATENATE(N1182,P1182,O1182,)</f>
        <v/>
      </c>
      <c r="R1182" s="235">
        <f>INDIRECT("'Закуп'!k" &amp; A1182)</f>
        <v/>
      </c>
      <c r="S1182" s="239">
        <f>INDIRECT("'Закуп'!o" &amp; A1182)</f>
        <v/>
      </c>
      <c r="T1182" s="226">
        <f>INDIRECT("'Закуп'!p" &amp; A1182)</f>
        <v/>
      </c>
      <c r="U1182" s="235">
        <f>INDIRECT("'Закуп'!v" &amp; A1182)</f>
        <v/>
      </c>
      <c r="V1182" s="222">
        <f>INDIRECT("'Закуп'!w" &amp; A1182)</f>
        <v/>
      </c>
      <c r="W1182" s="229">
        <f>INDIRECT("'Закуп'!H" &amp; A1182)</f>
        <v/>
      </c>
      <c r="X1182" s="237">
        <f>INDIRECT("'Закуп'!g" &amp; A1182)</f>
        <v/>
      </c>
      <c r="Y1182" s="229">
        <f>INDIRECT("'Закуп'!i" &amp; A1182)</f>
        <v/>
      </c>
      <c r="Z1182" s="236">
        <f>INDIRECT("'Закуп'!x" &amp; A1182)</f>
        <v/>
      </c>
      <c r="AA1182" s="237">
        <f>INDIRECT("'Закуп'!y" &amp; A1182)</f>
        <v/>
      </c>
      <c r="AB1182" s="238">
        <f>INDIRECT("'Закуп'!z" &amp; A1182)</f>
        <v/>
      </c>
      <c r="AC1182" s="223">
        <f>SUBSTITUTE(INDEX(F:F, ROUNDUP((ROW(A1181))/5,0)*5 - 3), "х", "x")</f>
        <v/>
      </c>
      <c r="AD1182" s="222">
        <f>SUBSTITUTE(INDEX(F:F, ROUNDUP((ROW(A1181))/5,0)*5 - 3), "х", "x") &amp; " - " &amp; SUBSTITUTE(SUBSTITUTE(INDEX(F:F, ROUNDUP((ROW(A1181))/5,0)*5 - 3), "х", "*"), "x", "*") &amp; " мм"</f>
        <v/>
      </c>
    </row>
    <row r="1183">
      <c r="B1183" s="42" t="n">
        <v>238</v>
      </c>
      <c r="C1183" s="118">
        <f>INDIRECT("'Закуп'!A" &amp; B1183)</f>
        <v/>
      </c>
      <c r="D1183" s="119">
        <f>C1183*1.2</f>
        <v/>
      </c>
      <c r="G1183" s="172">
        <f>IF(INDIRECT("'Закуп'!L" &amp; B1183)="Sale","Sale","")</f>
        <v/>
      </c>
      <c r="H1183" s="158">
        <f>IF(INDIRECT("'Закуп'!F" &amp; B1183)=0,"",INDIRECT("'Закуп'!F" &amp; B1183))</f>
        <v/>
      </c>
      <c r="I1183" s="120" t="n">
        <v>100</v>
      </c>
      <c r="J1183" s="121">
        <f>K1183/1.2</f>
        <v/>
      </c>
      <c r="K1183" s="70" t="n">
        <v>0.65</v>
      </c>
      <c r="L1183" s="122">
        <f>J1183-C1183-(J1183-C1183)*0.2</f>
        <v/>
      </c>
      <c r="M1183" s="123">
        <f>L1183*I1183</f>
        <v/>
      </c>
      <c r="N1183" s="124" t="inlineStr">
        <is>
          <t xml:space="preserve">100-290 шт - </t>
        </is>
      </c>
      <c r="O1183" s="47" t="inlineStr">
        <is>
          <t xml:space="preserve"> руб / шт с НДС</t>
        </is>
      </c>
      <c r="P1183" s="125">
        <f>ROUND(K1183,2)</f>
        <v/>
      </c>
      <c r="Q1183" s="207">
        <f>CONCATENATE(N1183,P1183,O1183,)</f>
        <v/>
      </c>
      <c r="R1183" s="240" t="n"/>
      <c r="T1183" s="241" t="n"/>
      <c r="U1183" s="240" t="n"/>
      <c r="V1183" s="241" t="n"/>
      <c r="Z1183" s="240" t="n"/>
      <c r="AB1183" s="241" t="n"/>
      <c r="AC1183" s="240" t="n"/>
      <c r="AD1183" s="241" t="n"/>
    </row>
    <row r="1184">
      <c r="B1184" s="42" t="n">
        <v>238</v>
      </c>
      <c r="C1184" s="118">
        <f>INDIRECT("'Закуп'!A" &amp; B1184)</f>
        <v/>
      </c>
      <c r="D1184" s="119">
        <f>C1184*1.2</f>
        <v/>
      </c>
      <c r="G1184" s="172">
        <f>IF(INDIRECT("'Закуп'!L" &amp; B1184)="Sale","Sale","")</f>
        <v/>
      </c>
      <c r="H1184" s="158">
        <f>IF(INDIRECT("'Закуп'!F" &amp; B1184)=0,"",INDIRECT("'Закуп'!F" &amp; B1184))</f>
        <v/>
      </c>
      <c r="I1184" s="120" t="n">
        <v>300</v>
      </c>
      <c r="J1184" s="121">
        <f>K1184/1.2</f>
        <v/>
      </c>
      <c r="K1184" s="70" t="n">
        <v>0.65</v>
      </c>
      <c r="L1184" s="122">
        <f>J1184-C1184-(J1184-C1184)*0.2</f>
        <v/>
      </c>
      <c r="M1184" s="123">
        <f>L1184*I1184</f>
        <v/>
      </c>
      <c r="N1184" s="124" t="inlineStr">
        <is>
          <t xml:space="preserve">300-490 шт - </t>
        </is>
      </c>
      <c r="O1184" s="47" t="inlineStr">
        <is>
          <t xml:space="preserve"> руб / шт с НДС</t>
        </is>
      </c>
      <c r="P1184" s="125">
        <f>ROUND(K1184,2)</f>
        <v/>
      </c>
      <c r="Q1184" s="207">
        <f>CONCATENATE(N1184,P1184,O1184,)</f>
        <v/>
      </c>
      <c r="R1184" s="240" t="n"/>
      <c r="T1184" s="241" t="n"/>
      <c r="U1184" s="240" t="n"/>
      <c r="V1184" s="241" t="n"/>
      <c r="Z1184" s="240" t="n"/>
      <c r="AB1184" s="241" t="n"/>
      <c r="AC1184" s="240" t="n"/>
      <c r="AD1184" s="241" t="n"/>
    </row>
    <row r="1185">
      <c r="B1185" s="42" t="n">
        <v>238</v>
      </c>
      <c r="C1185" s="118">
        <f>INDIRECT("'Закуп'!A" &amp; B1185)</f>
        <v/>
      </c>
      <c r="D1185" s="119">
        <f>C1185*1.2</f>
        <v/>
      </c>
      <c r="G1185" s="172">
        <f>IF(INDIRECT("'Закуп'!L" &amp; B1185)="Sale","Sale","")</f>
        <v/>
      </c>
      <c r="H1185" s="158">
        <f>IF(INDIRECT("'Закуп'!F" &amp; B1185)=0,"",INDIRECT("'Закуп'!F" &amp; B1185))</f>
        <v/>
      </c>
      <c r="I1185" s="120" t="n">
        <v>500</v>
      </c>
      <c r="J1185" s="121">
        <f>K1185/1.2</f>
        <v/>
      </c>
      <c r="K1185" s="70" t="n">
        <v>0.65</v>
      </c>
      <c r="L1185" s="122">
        <f>J1185-C1185-(J1185-C1185)*0.2</f>
        <v/>
      </c>
      <c r="M1185" s="123">
        <f>L1185*I1185</f>
        <v/>
      </c>
      <c r="N1185" s="124" t="inlineStr">
        <is>
          <t xml:space="preserve">500-990 шт - </t>
        </is>
      </c>
      <c r="O1185" s="47" t="inlineStr">
        <is>
          <t xml:space="preserve"> руб / шт с НДС</t>
        </is>
      </c>
      <c r="P1185" s="125">
        <f>ROUND(K1185,2)</f>
        <v/>
      </c>
      <c r="Q1185" s="207">
        <f>CONCATENATE(N1185,P1185,O1185,)</f>
        <v/>
      </c>
      <c r="R1185" s="240" t="n"/>
      <c r="T1185" s="241" t="n"/>
      <c r="U1185" s="240" t="n"/>
      <c r="V1185" s="241" t="n"/>
      <c r="Z1185" s="240" t="n"/>
      <c r="AB1185" s="241" t="n"/>
      <c r="AC1185" s="240" t="n"/>
      <c r="AD1185" s="241" t="n"/>
    </row>
    <row r="1186">
      <c r="B1186" s="42" t="n">
        <v>238</v>
      </c>
      <c r="C1186" s="118">
        <f>INDIRECT("'Закуп'!A" &amp; B1186)</f>
        <v/>
      </c>
      <c r="D1186" s="119">
        <f>C1186*1.2</f>
        <v/>
      </c>
      <c r="G1186" s="172">
        <f>IF(INDIRECT("'Закуп'!L" &amp; B1186)="Sale","Sale","")</f>
        <v/>
      </c>
      <c r="H1186" s="158">
        <f>IF(INDIRECT("'Закуп'!F" &amp; B1186)=0,"",INDIRECT("'Закуп'!F" &amp; B1186))</f>
        <v/>
      </c>
      <c r="I1186" s="120" t="n">
        <v>1000</v>
      </c>
      <c r="J1186" s="121">
        <f>K1186/1.2</f>
        <v/>
      </c>
      <c r="K1186" s="70" t="n">
        <v>0.65</v>
      </c>
      <c r="L1186" s="122">
        <f>J1186-C1186-(J1186-C1186)*0.2</f>
        <v/>
      </c>
      <c r="M1186" s="123">
        <f>L1186*I1186</f>
        <v/>
      </c>
      <c r="N1186" s="124" t="inlineStr">
        <is>
          <t xml:space="preserve">1000 + шт - </t>
        </is>
      </c>
      <c r="O1186" s="47" t="inlineStr">
        <is>
          <t xml:space="preserve"> руб / шт с НДС</t>
        </is>
      </c>
      <c r="P1186" s="125">
        <f>ROUND(K1186,2)</f>
        <v/>
      </c>
      <c r="Q1186" s="207">
        <f>CONCATENATE(N1186,P1186,O1186,)</f>
        <v/>
      </c>
      <c r="R1186" s="240" t="n"/>
      <c r="T1186" s="241" t="n"/>
      <c r="U1186" s="240" t="n"/>
      <c r="V1186" s="241" t="n"/>
      <c r="Z1186" s="240" t="n"/>
      <c r="AB1186" s="241" t="n"/>
      <c r="AC1186" s="240" t="n"/>
      <c r="AD1186" s="241" t="n"/>
    </row>
    <row r="1187">
      <c r="A1187" s="232" t="n">
        <v>239</v>
      </c>
      <c r="B1187" s="42" t="n">
        <v>239</v>
      </c>
      <c r="C1187" s="118">
        <f>INDIRECT("'Закуп'!A" &amp; B1187)</f>
        <v/>
      </c>
      <c r="D1187" s="119">
        <f>C1187*1.2</f>
        <v/>
      </c>
      <c r="E1187" s="225">
        <f>INDIRECT("'Закуп'!D" &amp; A1187)</f>
        <v/>
      </c>
      <c r="F1187" s="231">
        <f>INDIRECT("'Закуп'!E" &amp; B1187)</f>
        <v/>
      </c>
      <c r="G1187" s="172">
        <f>IF(INDIRECT("'Закуп'!L" &amp; B1187)="Sale","Sale","")</f>
        <v/>
      </c>
      <c r="H1187" s="158">
        <f>IF(INDIRECT("'Закуп'!F" &amp; B1187)=0,"",INDIRECT("'Закуп'!F" &amp; B1187))</f>
        <v/>
      </c>
      <c r="I1187" s="120" t="n">
        <v>50</v>
      </c>
      <c r="J1187" s="121">
        <f>K1187/1.2</f>
        <v/>
      </c>
      <c r="K1187" s="70" t="n">
        <v>0.85</v>
      </c>
      <c r="L1187" s="122">
        <f>J1187-C1187-(J1187-C1187)*0.2</f>
        <v/>
      </c>
      <c r="M1187" s="123">
        <f>L1187*I1187</f>
        <v/>
      </c>
      <c r="N1187" s="124" t="inlineStr">
        <is>
          <t xml:space="preserve">50-90 шт - </t>
        </is>
      </c>
      <c r="O1187" s="47" t="inlineStr">
        <is>
          <t xml:space="preserve"> руб / шт с НДС</t>
        </is>
      </c>
      <c r="P1187" s="125">
        <f>ROUND(K1187,2)</f>
        <v/>
      </c>
      <c r="Q1187" s="207">
        <f>CONCATENATE(N1187,P1187,O1187,)</f>
        <v/>
      </c>
      <c r="R1187" s="235">
        <f>INDIRECT("'Закуп'!k" &amp; A1187)</f>
        <v/>
      </c>
      <c r="S1187" s="239">
        <f>INDIRECT("'Закуп'!o" &amp; A1187)</f>
        <v/>
      </c>
      <c r="T1187" s="226">
        <f>INDIRECT("'Закуп'!p" &amp; A1187)</f>
        <v/>
      </c>
      <c r="U1187" s="235">
        <f>INDIRECT("'Закуп'!v" &amp; A1187)</f>
        <v/>
      </c>
      <c r="V1187" s="222">
        <f>INDIRECT("'Закуп'!w" &amp; A1187)</f>
        <v/>
      </c>
      <c r="W1187" s="229">
        <f>INDIRECT("'Закуп'!H" &amp; A1187)</f>
        <v/>
      </c>
      <c r="X1187" s="237">
        <f>INDIRECT("'Закуп'!g" &amp; A1187)</f>
        <v/>
      </c>
      <c r="Y1187" s="229">
        <f>INDIRECT("'Закуп'!i" &amp; A1187)</f>
        <v/>
      </c>
      <c r="Z1187" s="236">
        <f>INDIRECT("'Закуп'!x" &amp; A1187)</f>
        <v/>
      </c>
      <c r="AA1187" s="237">
        <f>INDIRECT("'Закуп'!y" &amp; A1187)</f>
        <v/>
      </c>
      <c r="AB1187" s="238">
        <f>INDIRECT("'Закуп'!z" &amp; A1187)</f>
        <v/>
      </c>
      <c r="AC1187" s="223">
        <f>SUBSTITUTE(INDEX(F:F, ROUNDUP((ROW(A1186))/5,0)*5 - 3), "х", "x")</f>
        <v/>
      </c>
      <c r="AD1187" s="222">
        <f>SUBSTITUTE(INDEX(F:F, ROUNDUP((ROW(A1186))/5,0)*5 - 3), "х", "x") &amp; " - " &amp; SUBSTITUTE(SUBSTITUTE(INDEX(F:F, ROUNDUP((ROW(A1186))/5,0)*5 - 3), "х", "*"), "x", "*") &amp; " мм"</f>
        <v/>
      </c>
    </row>
    <row r="1188">
      <c r="B1188" s="42" t="n">
        <v>239</v>
      </c>
      <c r="C1188" s="118">
        <f>INDIRECT("'Закуп'!A" &amp; B1188)</f>
        <v/>
      </c>
      <c r="D1188" s="119">
        <f>C1188*1.2</f>
        <v/>
      </c>
      <c r="G1188" s="172">
        <f>IF(INDIRECT("'Закуп'!L" &amp; B1188)="Sale","Sale","")</f>
        <v/>
      </c>
      <c r="H1188" s="158">
        <f>IF(INDIRECT("'Закуп'!F" &amp; B1188)=0,"",INDIRECT("'Закуп'!F" &amp; B1188))</f>
        <v/>
      </c>
      <c r="I1188" s="120" t="n">
        <v>100</v>
      </c>
      <c r="J1188" s="121">
        <f>K1188/1.2</f>
        <v/>
      </c>
      <c r="K1188" s="70" t="n">
        <v>0.85</v>
      </c>
      <c r="L1188" s="122">
        <f>J1188-C1188-(J1188-C1188)*0.2</f>
        <v/>
      </c>
      <c r="M1188" s="123">
        <f>L1188*I1188</f>
        <v/>
      </c>
      <c r="N1188" s="124" t="inlineStr">
        <is>
          <t xml:space="preserve">100-290 шт - </t>
        </is>
      </c>
      <c r="O1188" s="47" t="inlineStr">
        <is>
          <t xml:space="preserve"> руб / шт с НДС</t>
        </is>
      </c>
      <c r="P1188" s="125">
        <f>ROUND(K1188,2)</f>
        <v/>
      </c>
      <c r="Q1188" s="207">
        <f>CONCATENATE(N1188,P1188,O1188,)</f>
        <v/>
      </c>
      <c r="R1188" s="240" t="n"/>
      <c r="T1188" s="241" t="n"/>
      <c r="U1188" s="240" t="n"/>
      <c r="V1188" s="241" t="n"/>
      <c r="Z1188" s="240" t="n"/>
      <c r="AB1188" s="241" t="n"/>
      <c r="AC1188" s="240" t="n"/>
      <c r="AD1188" s="241" t="n"/>
    </row>
    <row r="1189">
      <c r="B1189" s="42" t="n">
        <v>239</v>
      </c>
      <c r="C1189" s="118">
        <f>INDIRECT("'Закуп'!A" &amp; B1189)</f>
        <v/>
      </c>
      <c r="D1189" s="119">
        <f>C1189*1.2</f>
        <v/>
      </c>
      <c r="G1189" s="172">
        <f>IF(INDIRECT("'Закуп'!L" &amp; B1189)="Sale","Sale","")</f>
        <v/>
      </c>
      <c r="H1189" s="158">
        <f>IF(INDIRECT("'Закуп'!F" &amp; B1189)=0,"",INDIRECT("'Закуп'!F" &amp; B1189))</f>
        <v/>
      </c>
      <c r="I1189" s="120" t="n">
        <v>300</v>
      </c>
      <c r="J1189" s="121">
        <f>K1189/1.2</f>
        <v/>
      </c>
      <c r="K1189" s="70" t="n">
        <v>0.85</v>
      </c>
      <c r="L1189" s="122">
        <f>J1189-C1189-(J1189-C1189)*0.2</f>
        <v/>
      </c>
      <c r="M1189" s="123">
        <f>L1189*I1189</f>
        <v/>
      </c>
      <c r="N1189" s="124" t="inlineStr">
        <is>
          <t xml:space="preserve">300-490 шт - </t>
        </is>
      </c>
      <c r="O1189" s="47" t="inlineStr">
        <is>
          <t xml:space="preserve"> руб / шт с НДС</t>
        </is>
      </c>
      <c r="P1189" s="125">
        <f>ROUND(K1189,2)</f>
        <v/>
      </c>
      <c r="Q1189" s="207">
        <f>CONCATENATE(N1189,P1189,O1189,)</f>
        <v/>
      </c>
      <c r="R1189" s="240" t="n"/>
      <c r="T1189" s="241" t="n"/>
      <c r="U1189" s="240" t="n"/>
      <c r="V1189" s="241" t="n"/>
      <c r="Z1189" s="240" t="n"/>
      <c r="AB1189" s="241" t="n"/>
      <c r="AC1189" s="240" t="n"/>
      <c r="AD1189" s="241" t="n"/>
    </row>
    <row r="1190">
      <c r="B1190" s="42" t="n">
        <v>239</v>
      </c>
      <c r="C1190" s="118">
        <f>INDIRECT("'Закуп'!A" &amp; B1190)</f>
        <v/>
      </c>
      <c r="D1190" s="119">
        <f>C1190*1.2</f>
        <v/>
      </c>
      <c r="G1190" s="172">
        <f>IF(INDIRECT("'Закуп'!L" &amp; B1190)="Sale","Sale","")</f>
        <v/>
      </c>
      <c r="H1190" s="158">
        <f>IF(INDIRECT("'Закуп'!F" &amp; B1190)=0,"",INDIRECT("'Закуп'!F" &amp; B1190))</f>
        <v/>
      </c>
      <c r="I1190" s="120" t="n">
        <v>500</v>
      </c>
      <c r="J1190" s="121">
        <f>K1190/1.2</f>
        <v/>
      </c>
      <c r="K1190" s="70" t="n">
        <v>0.85</v>
      </c>
      <c r="L1190" s="122">
        <f>J1190-C1190-(J1190-C1190)*0.2</f>
        <v/>
      </c>
      <c r="M1190" s="123">
        <f>L1190*I1190</f>
        <v/>
      </c>
      <c r="N1190" s="124" t="inlineStr">
        <is>
          <t xml:space="preserve">500-990 шт - </t>
        </is>
      </c>
      <c r="O1190" s="47" t="inlineStr">
        <is>
          <t xml:space="preserve"> руб / шт с НДС</t>
        </is>
      </c>
      <c r="P1190" s="125">
        <f>ROUND(K1190,2)</f>
        <v/>
      </c>
      <c r="Q1190" s="207">
        <f>CONCATENATE(N1190,P1190,O1190,)</f>
        <v/>
      </c>
      <c r="R1190" s="240" t="n"/>
      <c r="T1190" s="241" t="n"/>
      <c r="U1190" s="240" t="n"/>
      <c r="V1190" s="241" t="n"/>
      <c r="Z1190" s="240" t="n"/>
      <c r="AB1190" s="241" t="n"/>
      <c r="AC1190" s="240" t="n"/>
      <c r="AD1190" s="241" t="n"/>
    </row>
    <row r="1191">
      <c r="B1191" s="42" t="n">
        <v>239</v>
      </c>
      <c r="C1191" s="118">
        <f>INDIRECT("'Закуп'!A" &amp; B1191)</f>
        <v/>
      </c>
      <c r="D1191" s="119">
        <f>C1191*1.2</f>
        <v/>
      </c>
      <c r="G1191" s="172">
        <f>IF(INDIRECT("'Закуп'!L" &amp; B1191)="Sale","Sale","")</f>
        <v/>
      </c>
      <c r="H1191" s="158">
        <f>IF(INDIRECT("'Закуп'!F" &amp; B1191)=0,"",INDIRECT("'Закуп'!F" &amp; B1191))</f>
        <v/>
      </c>
      <c r="I1191" s="120" t="n">
        <v>1000</v>
      </c>
      <c r="J1191" s="121">
        <f>K1191/1.2</f>
        <v/>
      </c>
      <c r="K1191" s="70" t="n">
        <v>0.85</v>
      </c>
      <c r="L1191" s="122">
        <f>J1191-C1191-(J1191-C1191)*0.2</f>
        <v/>
      </c>
      <c r="M1191" s="123">
        <f>L1191*I1191</f>
        <v/>
      </c>
      <c r="N1191" s="124" t="inlineStr">
        <is>
          <t xml:space="preserve">1000 + шт - </t>
        </is>
      </c>
      <c r="O1191" s="47" t="inlineStr">
        <is>
          <t xml:space="preserve"> руб / шт с НДС</t>
        </is>
      </c>
      <c r="P1191" s="125">
        <f>ROUND(K1191,2)</f>
        <v/>
      </c>
      <c r="Q1191" s="207">
        <f>CONCATENATE(N1191,P1191,O1191,)</f>
        <v/>
      </c>
      <c r="R1191" s="240" t="n"/>
      <c r="T1191" s="241" t="n"/>
      <c r="U1191" s="240" t="n"/>
      <c r="V1191" s="241" t="n"/>
      <c r="Z1191" s="240" t="n"/>
      <c r="AB1191" s="241" t="n"/>
      <c r="AC1191" s="240" t="n"/>
      <c r="AD1191" s="241" t="n"/>
    </row>
    <row r="1192">
      <c r="A1192" s="232" t="n">
        <v>240</v>
      </c>
      <c r="B1192" s="42" t="n">
        <v>240</v>
      </c>
      <c r="C1192" s="118">
        <f>INDIRECT("'Закуп'!A" &amp; B1192)</f>
        <v/>
      </c>
      <c r="D1192" s="119">
        <f>C1192*1.2</f>
        <v/>
      </c>
      <c r="E1192" s="225">
        <f>INDIRECT("'Закуп'!D" &amp; A1192)</f>
        <v/>
      </c>
      <c r="F1192" s="231">
        <f>INDIRECT("'Закуп'!E" &amp; B1192)</f>
        <v/>
      </c>
      <c r="G1192" s="172">
        <f>IF(INDIRECT("'Закуп'!L" &amp; B1192)="Sale","Sale","")</f>
        <v/>
      </c>
      <c r="H1192" s="158">
        <f>IF(INDIRECT("'Закуп'!F" &amp; B1192)=0,"",INDIRECT("'Закуп'!F" &amp; B1192))</f>
        <v/>
      </c>
      <c r="I1192" s="120" t="n">
        <v>50</v>
      </c>
      <c r="J1192" s="121">
        <f>K1192/1.2</f>
        <v/>
      </c>
      <c r="K1192" s="70" t="n">
        <v>0.7</v>
      </c>
      <c r="L1192" s="122">
        <f>J1192-C1192-(J1192-C1192)*0.2</f>
        <v/>
      </c>
      <c r="M1192" s="123">
        <f>L1192*I1192</f>
        <v/>
      </c>
      <c r="N1192" s="124" t="inlineStr">
        <is>
          <t xml:space="preserve">50-90 шт - </t>
        </is>
      </c>
      <c r="O1192" s="47" t="inlineStr">
        <is>
          <t xml:space="preserve"> руб / шт с НДС</t>
        </is>
      </c>
      <c r="P1192" s="125">
        <f>ROUND(K1192,2)</f>
        <v/>
      </c>
      <c r="Q1192" s="207">
        <f>CONCATENATE(N1192,P1192,O1192,)</f>
        <v/>
      </c>
      <c r="R1192" s="235">
        <f>INDIRECT("'Закуп'!k" &amp; A1192)</f>
        <v/>
      </c>
      <c r="S1192" s="239">
        <f>INDIRECT("'Закуп'!o" &amp; A1192)</f>
        <v/>
      </c>
      <c r="T1192" s="226">
        <f>INDIRECT("'Закуп'!p" &amp; A1192)</f>
        <v/>
      </c>
      <c r="U1192" s="235">
        <f>INDIRECT("'Закуп'!v" &amp; A1192)</f>
        <v/>
      </c>
      <c r="V1192" s="222">
        <f>INDIRECT("'Закуп'!w" &amp; A1192)</f>
        <v/>
      </c>
      <c r="W1192" s="229">
        <f>INDIRECT("'Закуп'!H" &amp; A1192)</f>
        <v/>
      </c>
      <c r="X1192" s="237">
        <f>INDIRECT("'Закуп'!g" &amp; A1192)</f>
        <v/>
      </c>
      <c r="Y1192" s="229">
        <f>INDIRECT("'Закуп'!i" &amp; A1192)</f>
        <v/>
      </c>
      <c r="Z1192" s="236">
        <f>INDIRECT("'Закуп'!x" &amp; A1192)</f>
        <v/>
      </c>
      <c r="AA1192" s="237">
        <f>INDIRECT("'Закуп'!y" &amp; A1192)</f>
        <v/>
      </c>
      <c r="AB1192" s="238">
        <f>INDIRECT("'Закуп'!z" &amp; A1192)</f>
        <v/>
      </c>
      <c r="AC1192" s="223">
        <f>SUBSTITUTE(INDEX(F:F, ROUNDUP((ROW(A1191))/5,0)*5 - 3), "х", "x")</f>
        <v/>
      </c>
      <c r="AD1192" s="222">
        <f>SUBSTITUTE(INDEX(F:F, ROUNDUP((ROW(A1191))/5,0)*5 - 3), "х", "x") &amp; " - " &amp; SUBSTITUTE(SUBSTITUTE(INDEX(F:F, ROUNDUP((ROW(A1191))/5,0)*5 - 3), "х", "*"), "x", "*") &amp; " мм"</f>
        <v/>
      </c>
    </row>
    <row r="1193">
      <c r="B1193" s="42" t="n">
        <v>240</v>
      </c>
      <c r="C1193" s="118">
        <f>INDIRECT("'Закуп'!A" &amp; B1193)</f>
        <v/>
      </c>
      <c r="D1193" s="119">
        <f>C1193*1.2</f>
        <v/>
      </c>
      <c r="G1193" s="172">
        <f>IF(INDIRECT("'Закуп'!L" &amp; B1193)="Sale","Sale","")</f>
        <v/>
      </c>
      <c r="H1193" s="158">
        <f>IF(INDIRECT("'Закуп'!F" &amp; B1193)=0,"",INDIRECT("'Закуп'!F" &amp; B1193))</f>
        <v/>
      </c>
      <c r="I1193" s="120" t="n">
        <v>100</v>
      </c>
      <c r="J1193" s="121">
        <f>K1193/1.2</f>
        <v/>
      </c>
      <c r="K1193" s="70" t="n">
        <v>0.7</v>
      </c>
      <c r="L1193" s="122">
        <f>J1193-C1193-(J1193-C1193)*0.2</f>
        <v/>
      </c>
      <c r="M1193" s="123">
        <f>L1193*I1193</f>
        <v/>
      </c>
      <c r="N1193" s="124" t="inlineStr">
        <is>
          <t xml:space="preserve">100-290 шт - </t>
        </is>
      </c>
      <c r="O1193" s="47" t="inlineStr">
        <is>
          <t xml:space="preserve"> руб / шт с НДС</t>
        </is>
      </c>
      <c r="P1193" s="125">
        <f>ROUND(K1193,2)</f>
        <v/>
      </c>
      <c r="Q1193" s="207">
        <f>CONCATENATE(N1193,P1193,O1193,)</f>
        <v/>
      </c>
      <c r="R1193" s="240" t="n"/>
      <c r="T1193" s="241" t="n"/>
      <c r="U1193" s="240" t="n"/>
      <c r="V1193" s="241" t="n"/>
      <c r="Z1193" s="240" t="n"/>
      <c r="AB1193" s="241" t="n"/>
      <c r="AC1193" s="240" t="n"/>
      <c r="AD1193" s="241" t="n"/>
    </row>
    <row r="1194">
      <c r="B1194" s="42" t="n">
        <v>240</v>
      </c>
      <c r="C1194" s="118">
        <f>INDIRECT("'Закуп'!A" &amp; B1194)</f>
        <v/>
      </c>
      <c r="D1194" s="119">
        <f>C1194*1.2</f>
        <v/>
      </c>
      <c r="G1194" s="172">
        <f>IF(INDIRECT("'Закуп'!L" &amp; B1194)="Sale","Sale","")</f>
        <v/>
      </c>
      <c r="H1194" s="158">
        <f>IF(INDIRECT("'Закуп'!F" &amp; B1194)=0,"",INDIRECT("'Закуп'!F" &amp; B1194))</f>
        <v/>
      </c>
      <c r="I1194" s="120" t="n">
        <v>300</v>
      </c>
      <c r="J1194" s="121">
        <f>K1194/1.2</f>
        <v/>
      </c>
      <c r="K1194" s="70" t="n">
        <v>0.7</v>
      </c>
      <c r="L1194" s="122">
        <f>J1194-C1194-(J1194-C1194)*0.2</f>
        <v/>
      </c>
      <c r="M1194" s="123">
        <f>L1194*I1194</f>
        <v/>
      </c>
      <c r="N1194" s="124" t="inlineStr">
        <is>
          <t xml:space="preserve">300-490 шт - </t>
        </is>
      </c>
      <c r="O1194" s="47" t="inlineStr">
        <is>
          <t xml:space="preserve"> руб / шт с НДС</t>
        </is>
      </c>
      <c r="P1194" s="125">
        <f>ROUND(K1194,2)</f>
        <v/>
      </c>
      <c r="Q1194" s="207">
        <f>CONCATENATE(N1194,P1194,O1194,)</f>
        <v/>
      </c>
      <c r="R1194" s="240" t="n"/>
      <c r="T1194" s="241" t="n"/>
      <c r="U1194" s="240" t="n"/>
      <c r="V1194" s="241" t="n"/>
      <c r="Z1194" s="240" t="n"/>
      <c r="AB1194" s="241" t="n"/>
      <c r="AC1194" s="240" t="n"/>
      <c r="AD1194" s="241" t="n"/>
    </row>
    <row r="1195">
      <c r="B1195" s="42" t="n">
        <v>240</v>
      </c>
      <c r="C1195" s="118">
        <f>INDIRECT("'Закуп'!A" &amp; B1195)</f>
        <v/>
      </c>
      <c r="D1195" s="119">
        <f>C1195*1.2</f>
        <v/>
      </c>
      <c r="G1195" s="172">
        <f>IF(INDIRECT("'Закуп'!L" &amp; B1195)="Sale","Sale","")</f>
        <v/>
      </c>
      <c r="H1195" s="158">
        <f>IF(INDIRECT("'Закуп'!F" &amp; B1195)=0,"",INDIRECT("'Закуп'!F" &amp; B1195))</f>
        <v/>
      </c>
      <c r="I1195" s="120" t="n">
        <v>500</v>
      </c>
      <c r="J1195" s="121">
        <f>K1195/1.2</f>
        <v/>
      </c>
      <c r="K1195" s="70" t="n">
        <v>0.7</v>
      </c>
      <c r="L1195" s="122">
        <f>J1195-C1195-(J1195-C1195)*0.2</f>
        <v/>
      </c>
      <c r="M1195" s="123">
        <f>L1195*I1195</f>
        <v/>
      </c>
      <c r="N1195" s="124" t="inlineStr">
        <is>
          <t xml:space="preserve">500-990 шт - </t>
        </is>
      </c>
      <c r="O1195" s="47" t="inlineStr">
        <is>
          <t xml:space="preserve"> руб / шт с НДС</t>
        </is>
      </c>
      <c r="P1195" s="125">
        <f>ROUND(K1195,2)</f>
        <v/>
      </c>
      <c r="Q1195" s="207">
        <f>CONCATENATE(N1195,P1195,O1195,)</f>
        <v/>
      </c>
      <c r="R1195" s="240" t="n"/>
      <c r="T1195" s="241" t="n"/>
      <c r="U1195" s="240" t="n"/>
      <c r="V1195" s="241" t="n"/>
      <c r="Z1195" s="240" t="n"/>
      <c r="AB1195" s="241" t="n"/>
      <c r="AC1195" s="240" t="n"/>
      <c r="AD1195" s="241" t="n"/>
    </row>
    <row r="1196">
      <c r="B1196" s="42" t="n">
        <v>240</v>
      </c>
      <c r="C1196" s="118">
        <f>INDIRECT("'Закуп'!A" &amp; B1196)</f>
        <v/>
      </c>
      <c r="D1196" s="119">
        <f>C1196*1.2</f>
        <v/>
      </c>
      <c r="G1196" s="172">
        <f>IF(INDIRECT("'Закуп'!L" &amp; B1196)="Sale","Sale","")</f>
        <v/>
      </c>
      <c r="H1196" s="158">
        <f>IF(INDIRECT("'Закуп'!F" &amp; B1196)=0,"",INDIRECT("'Закуп'!F" &amp; B1196))</f>
        <v/>
      </c>
      <c r="I1196" s="120" t="n">
        <v>1000</v>
      </c>
      <c r="J1196" s="121">
        <f>K1196/1.2</f>
        <v/>
      </c>
      <c r="K1196" s="70" t="n">
        <v>0.7</v>
      </c>
      <c r="L1196" s="122">
        <f>J1196-C1196-(J1196-C1196)*0.2</f>
        <v/>
      </c>
      <c r="M1196" s="123">
        <f>L1196*I1196</f>
        <v/>
      </c>
      <c r="N1196" s="124" t="inlineStr">
        <is>
          <t xml:space="preserve">1000 + шт - </t>
        </is>
      </c>
      <c r="O1196" s="47" t="inlineStr">
        <is>
          <t xml:space="preserve"> руб / шт с НДС</t>
        </is>
      </c>
      <c r="P1196" s="125">
        <f>ROUND(K1196,2)</f>
        <v/>
      </c>
      <c r="Q1196" s="207">
        <f>CONCATENATE(N1196,P1196,O1196,)</f>
        <v/>
      </c>
      <c r="R1196" s="240" t="n"/>
      <c r="T1196" s="241" t="n"/>
      <c r="U1196" s="240" t="n"/>
      <c r="V1196" s="241" t="n"/>
      <c r="Z1196" s="240" t="n"/>
      <c r="AB1196" s="241" t="n"/>
      <c r="AC1196" s="240" t="n"/>
      <c r="AD1196" s="241" t="n"/>
    </row>
    <row r="1197">
      <c r="A1197" s="232" t="n">
        <v>241</v>
      </c>
      <c r="B1197" s="42" t="n">
        <v>241</v>
      </c>
      <c r="C1197" s="118">
        <f>INDIRECT("'Закуп'!A" &amp; B1197)</f>
        <v/>
      </c>
      <c r="D1197" s="119">
        <f>C1197*1.2</f>
        <v/>
      </c>
      <c r="E1197" s="224">
        <f>INDIRECT("'Закуп'!D" &amp; A1197)</f>
        <v/>
      </c>
      <c r="F1197" s="231">
        <f>INDIRECT("'Закуп'!E" &amp; B1197)</f>
        <v/>
      </c>
      <c r="G1197" s="172">
        <f>IF(INDIRECT("'Закуп'!L" &amp; B1197)="Sale","Sale","")</f>
        <v/>
      </c>
      <c r="H1197" s="158">
        <f>IF(INDIRECT("'Закуп'!F" &amp; B1197)=0,"",INDIRECT("'Закуп'!F" &amp; B1197))</f>
        <v/>
      </c>
      <c r="I1197" s="120" t="n">
        <v>50</v>
      </c>
      <c r="J1197" s="121">
        <f>K1197/1.2</f>
        <v/>
      </c>
      <c r="K1197" s="70" t="n">
        <v>1.07</v>
      </c>
      <c r="L1197" s="122">
        <f>J1197-C1197-(J1197-C1197)*0.2</f>
        <v/>
      </c>
      <c r="M1197" s="123">
        <f>L1197*I1197</f>
        <v/>
      </c>
      <c r="N1197" s="124" t="inlineStr">
        <is>
          <t xml:space="preserve">50-90 шт - </t>
        </is>
      </c>
      <c r="O1197" s="47" t="inlineStr">
        <is>
          <t xml:space="preserve"> руб / шт с НДС</t>
        </is>
      </c>
      <c r="P1197" s="125">
        <f>ROUND(K1197,2)</f>
        <v/>
      </c>
      <c r="Q1197" s="207">
        <f>CONCATENATE(N1197,P1197,O1197,)</f>
        <v/>
      </c>
      <c r="R1197" s="235">
        <f>INDIRECT("'Закуп'!k" &amp; A1197)</f>
        <v/>
      </c>
      <c r="S1197" s="239">
        <f>INDIRECT("'Закуп'!o" &amp; A1197)</f>
        <v/>
      </c>
      <c r="T1197" s="226">
        <f>INDIRECT("'Закуп'!p" &amp; A1197)</f>
        <v/>
      </c>
      <c r="U1197" s="235">
        <f>INDIRECT("'Закуп'!v" &amp; A1197)</f>
        <v/>
      </c>
      <c r="V1197" s="222">
        <f>INDIRECT("'Закуп'!w" &amp; A1197)</f>
        <v/>
      </c>
      <c r="W1197" s="229">
        <f>INDIRECT("'Закуп'!H" &amp; A1197)</f>
        <v/>
      </c>
      <c r="X1197" s="237">
        <f>INDIRECT("'Закуп'!g" &amp; A1197)</f>
        <v/>
      </c>
      <c r="Y1197" s="229">
        <f>INDIRECT("'Закуп'!i" &amp; A1197)</f>
        <v/>
      </c>
      <c r="Z1197" s="236">
        <f>INDIRECT("'Закуп'!x" &amp; A1197)</f>
        <v/>
      </c>
      <c r="AA1197" s="237">
        <f>INDIRECT("'Закуп'!y" &amp; A1197)</f>
        <v/>
      </c>
      <c r="AB1197" s="238">
        <f>INDIRECT("'Закуп'!z" &amp; A1197)</f>
        <v/>
      </c>
      <c r="AC1197" s="223">
        <f>SUBSTITUTE(INDEX(F:F, ROUNDUP((ROW(A1196))/5,0)*5 - 3), "х", "x")</f>
        <v/>
      </c>
      <c r="AD1197" s="222">
        <f>SUBSTITUTE(INDEX(F:F, ROUNDUP((ROW(A1196))/5,0)*5 - 3), "х", "x") &amp; " - " &amp; SUBSTITUTE(SUBSTITUTE(INDEX(F:F, ROUNDUP((ROW(A1196))/5,0)*5 - 3), "х", "*"), "x", "*") &amp; " мм"</f>
        <v/>
      </c>
    </row>
    <row r="1198">
      <c r="B1198" s="42" t="n">
        <v>241</v>
      </c>
      <c r="C1198" s="118">
        <f>INDIRECT("'Закуп'!A" &amp; B1198)</f>
        <v/>
      </c>
      <c r="D1198" s="119">
        <f>C1198*1.2</f>
        <v/>
      </c>
      <c r="G1198" s="172">
        <f>IF(INDIRECT("'Закуп'!L" &amp; B1198)="Sale","Sale","")</f>
        <v/>
      </c>
      <c r="H1198" s="158">
        <f>IF(INDIRECT("'Закуп'!F" &amp; B1198)=0,"",INDIRECT("'Закуп'!F" &amp; B1198))</f>
        <v/>
      </c>
      <c r="I1198" s="120" t="n">
        <v>100</v>
      </c>
      <c r="J1198" s="121">
        <f>K1198/1.2</f>
        <v/>
      </c>
      <c r="K1198" s="70" t="n">
        <v>0.96</v>
      </c>
      <c r="L1198" s="122">
        <f>J1198-C1198-(J1198-C1198)*0.2</f>
        <v/>
      </c>
      <c r="M1198" s="123">
        <f>L1198*I1198</f>
        <v/>
      </c>
      <c r="N1198" s="124" t="inlineStr">
        <is>
          <t xml:space="preserve">100-290 шт - </t>
        </is>
      </c>
      <c r="O1198" s="47" t="inlineStr">
        <is>
          <t xml:space="preserve"> руб / шт с НДС</t>
        </is>
      </c>
      <c r="P1198" s="125">
        <f>ROUND(K1198,2)</f>
        <v/>
      </c>
      <c r="Q1198" s="207">
        <f>CONCATENATE(N1198,P1198,O1198,)</f>
        <v/>
      </c>
      <c r="R1198" s="240" t="n"/>
      <c r="T1198" s="241" t="n"/>
      <c r="U1198" s="240" t="n"/>
      <c r="V1198" s="241" t="n"/>
      <c r="Z1198" s="240" t="n"/>
      <c r="AB1198" s="241" t="n"/>
      <c r="AC1198" s="240" t="n"/>
      <c r="AD1198" s="241" t="n"/>
    </row>
    <row r="1199">
      <c r="B1199" s="42" t="n">
        <v>241</v>
      </c>
      <c r="C1199" s="118">
        <f>INDIRECT("'Закуп'!A" &amp; B1199)</f>
        <v/>
      </c>
      <c r="D1199" s="119">
        <f>C1199*1.2</f>
        <v/>
      </c>
      <c r="G1199" s="172">
        <f>IF(INDIRECT("'Закуп'!L" &amp; B1199)="Sale","Sale","")</f>
        <v/>
      </c>
      <c r="H1199" s="158">
        <f>IF(INDIRECT("'Закуп'!F" &amp; B1199)=0,"",INDIRECT("'Закуп'!F" &amp; B1199))</f>
        <v/>
      </c>
      <c r="I1199" s="120" t="n">
        <v>300</v>
      </c>
      <c r="J1199" s="121">
        <f>K1199/1.2</f>
        <v/>
      </c>
      <c r="K1199" s="70" t="n">
        <v>0.86</v>
      </c>
      <c r="L1199" s="122">
        <f>J1199-C1199-(J1199-C1199)*0.2</f>
        <v/>
      </c>
      <c r="M1199" s="123">
        <f>L1199*I1199</f>
        <v/>
      </c>
      <c r="N1199" s="124" t="inlineStr">
        <is>
          <t xml:space="preserve">300-490 шт - </t>
        </is>
      </c>
      <c r="O1199" s="47" t="inlineStr">
        <is>
          <t xml:space="preserve"> руб / шт с НДС</t>
        </is>
      </c>
      <c r="P1199" s="125">
        <f>ROUND(K1199,2)</f>
        <v/>
      </c>
      <c r="Q1199" s="207">
        <f>CONCATENATE(N1199,P1199,O1199,)</f>
        <v/>
      </c>
      <c r="R1199" s="240" t="n"/>
      <c r="T1199" s="241" t="n"/>
      <c r="U1199" s="240" t="n"/>
      <c r="V1199" s="241" t="n"/>
      <c r="Z1199" s="240" t="n"/>
      <c r="AB1199" s="241" t="n"/>
      <c r="AC1199" s="240" t="n"/>
      <c r="AD1199" s="241" t="n"/>
    </row>
    <row r="1200">
      <c r="B1200" s="42" t="n">
        <v>241</v>
      </c>
      <c r="C1200" s="118">
        <f>INDIRECT("'Закуп'!A" &amp; B1200)</f>
        <v/>
      </c>
      <c r="D1200" s="119">
        <f>C1200*1.2</f>
        <v/>
      </c>
      <c r="G1200" s="172">
        <f>IF(INDIRECT("'Закуп'!L" &amp; B1200)="Sale","Sale","")</f>
        <v/>
      </c>
      <c r="H1200" s="158">
        <f>IF(INDIRECT("'Закуп'!F" &amp; B1200)=0,"",INDIRECT("'Закуп'!F" &amp; B1200))</f>
        <v/>
      </c>
      <c r="I1200" s="120" t="n">
        <v>500</v>
      </c>
      <c r="J1200" s="121">
        <f>K1200/1.2</f>
        <v/>
      </c>
      <c r="K1200" s="70" t="n">
        <v>0.75</v>
      </c>
      <c r="L1200" s="122">
        <f>J1200-C1200-(J1200-C1200)*0.2</f>
        <v/>
      </c>
      <c r="M1200" s="123">
        <f>L1200*I1200</f>
        <v/>
      </c>
      <c r="N1200" s="124" t="inlineStr">
        <is>
          <t xml:space="preserve">500-990 шт - </t>
        </is>
      </c>
      <c r="O1200" s="47" t="inlineStr">
        <is>
          <t xml:space="preserve"> руб / шт с НДС</t>
        </is>
      </c>
      <c r="P1200" s="125">
        <f>ROUND(K1200,2)</f>
        <v/>
      </c>
      <c r="Q1200" s="207">
        <f>CONCATENATE(N1200,P1200,O1200,)</f>
        <v/>
      </c>
      <c r="R1200" s="240" t="n"/>
      <c r="T1200" s="241" t="n"/>
      <c r="U1200" s="240" t="n"/>
      <c r="V1200" s="241" t="n"/>
      <c r="Z1200" s="240" t="n"/>
      <c r="AB1200" s="241" t="n"/>
      <c r="AC1200" s="240" t="n"/>
      <c r="AD1200" s="241" t="n"/>
    </row>
    <row r="1201">
      <c r="B1201" s="42" t="n">
        <v>241</v>
      </c>
      <c r="C1201" s="118">
        <f>INDIRECT("'Закуп'!A" &amp; B1201)</f>
        <v/>
      </c>
      <c r="D1201" s="119">
        <f>C1201*1.2</f>
        <v/>
      </c>
      <c r="G1201" s="172">
        <f>IF(INDIRECT("'Закуп'!L" &amp; B1201)="Sale","Sale","")</f>
        <v/>
      </c>
      <c r="H1201" s="158">
        <f>IF(INDIRECT("'Закуп'!F" &amp; B1201)=0,"",INDIRECT("'Закуп'!F" &amp; B1201))</f>
        <v/>
      </c>
      <c r="I1201" s="120" t="n">
        <v>1000</v>
      </c>
      <c r="J1201" s="121">
        <f>K1201/1.2</f>
        <v/>
      </c>
      <c r="K1201" s="70" t="n">
        <v>0.64</v>
      </c>
      <c r="L1201" s="122">
        <f>J1201-C1201-(J1201-C1201)*0.2</f>
        <v/>
      </c>
      <c r="M1201" s="123">
        <f>L1201*I1201</f>
        <v/>
      </c>
      <c r="N1201" s="124" t="inlineStr">
        <is>
          <t xml:space="preserve">1000 + шт - </t>
        </is>
      </c>
      <c r="O1201" s="47" t="inlineStr">
        <is>
          <t xml:space="preserve"> руб / шт с НДС</t>
        </is>
      </c>
      <c r="P1201" s="125">
        <f>ROUND(K1201,2)</f>
        <v/>
      </c>
      <c r="Q1201" s="207">
        <f>CONCATENATE(N1201,P1201,O1201,)</f>
        <v/>
      </c>
      <c r="R1201" s="240" t="n"/>
      <c r="T1201" s="241" t="n"/>
      <c r="U1201" s="240" t="n"/>
      <c r="V1201" s="241" t="n"/>
      <c r="Z1201" s="240" t="n"/>
      <c r="AB1201" s="241" t="n"/>
      <c r="AC1201" s="240" t="n"/>
      <c r="AD1201" s="241" t="n"/>
    </row>
    <row r="1202">
      <c r="A1202" s="232" t="n">
        <v>242</v>
      </c>
      <c r="B1202" s="42" t="n">
        <v>242</v>
      </c>
      <c r="C1202" s="118">
        <f>INDIRECT("'Закуп'!A" &amp; B1202)</f>
        <v/>
      </c>
      <c r="D1202" s="119">
        <f>C1202*1.2</f>
        <v/>
      </c>
      <c r="E1202" s="225">
        <f>INDIRECT("'Закуп'!D" &amp; A1202)</f>
        <v/>
      </c>
      <c r="F1202" s="231">
        <f>INDIRECT("'Закуп'!E" &amp; B1202)</f>
        <v/>
      </c>
      <c r="G1202" s="172">
        <f>IF(INDIRECT("'Закуп'!L" &amp; B1202)="Sale","Sale","")</f>
        <v/>
      </c>
      <c r="H1202" s="158">
        <f>IF(INDIRECT("'Закуп'!F" &amp; B1202)=0,"",INDIRECT("'Закуп'!F" &amp; B1202))</f>
        <v/>
      </c>
      <c r="I1202" s="120" t="n">
        <v>50</v>
      </c>
      <c r="J1202" s="121">
        <f>K1202/1.2</f>
        <v/>
      </c>
      <c r="K1202" s="70" t="n">
        <v>3.2</v>
      </c>
      <c r="L1202" s="122">
        <f>J1202-C1202-(J1202-C1202)*0.2</f>
        <v/>
      </c>
      <c r="M1202" s="123">
        <f>L1202*I1202</f>
        <v/>
      </c>
      <c r="N1202" s="124" t="inlineStr">
        <is>
          <t xml:space="preserve">50-90 шт - </t>
        </is>
      </c>
      <c r="O1202" s="47" t="inlineStr">
        <is>
          <t xml:space="preserve"> руб / шт с НДС</t>
        </is>
      </c>
      <c r="P1202" s="125">
        <f>ROUND(K1202,2)</f>
        <v/>
      </c>
      <c r="Q1202" s="207">
        <f>CONCATENATE(N1202,P1202,O1202,)</f>
        <v/>
      </c>
      <c r="R1202" s="235">
        <f>INDIRECT("'Закуп'!k" &amp; A1202)</f>
        <v/>
      </c>
      <c r="S1202" s="239">
        <f>INDIRECT("'Закуп'!o" &amp; A1202)</f>
        <v/>
      </c>
      <c r="T1202" s="226">
        <f>INDIRECT("'Закуп'!p" &amp; A1202)</f>
        <v/>
      </c>
      <c r="U1202" s="235">
        <f>INDIRECT("'Закуп'!v" &amp; A1202)</f>
        <v/>
      </c>
      <c r="V1202" s="222">
        <f>INDIRECT("'Закуп'!w" &amp; A1202)</f>
        <v/>
      </c>
      <c r="W1202" s="229">
        <f>INDIRECT("'Закуп'!H" &amp; A1202)</f>
        <v/>
      </c>
      <c r="X1202" s="237">
        <f>INDIRECT("'Закуп'!g" &amp; A1202)</f>
        <v/>
      </c>
      <c r="Y1202" s="229">
        <f>INDIRECT("'Закуп'!i" &amp; A1202)</f>
        <v/>
      </c>
      <c r="Z1202" s="236">
        <f>INDIRECT("'Закуп'!x" &amp; A1202)</f>
        <v/>
      </c>
      <c r="AA1202" s="237">
        <f>INDIRECT("'Закуп'!y" &amp; A1202)</f>
        <v/>
      </c>
      <c r="AB1202" s="238">
        <f>INDIRECT("'Закуп'!z" &amp; A1202)</f>
        <v/>
      </c>
      <c r="AC1202" s="223">
        <f>SUBSTITUTE(INDEX(F:F, ROUNDUP((ROW(A1201))/5,0)*5 - 3), "х", "x")</f>
        <v/>
      </c>
      <c r="AD1202" s="222">
        <f>SUBSTITUTE(INDEX(F:F, ROUNDUP((ROW(A1201))/5,0)*5 - 3), "х", "x") &amp; " - " &amp; SUBSTITUTE(SUBSTITUTE(INDEX(F:F, ROUNDUP((ROW(A1201))/5,0)*5 - 3), "х", "*"), "x", "*") &amp; " мм"</f>
        <v/>
      </c>
    </row>
    <row r="1203">
      <c r="B1203" s="42" t="n">
        <v>242</v>
      </c>
      <c r="C1203" s="118">
        <f>INDIRECT("'Закуп'!A" &amp; B1203)</f>
        <v/>
      </c>
      <c r="D1203" s="119">
        <f>C1203*1.2</f>
        <v/>
      </c>
      <c r="G1203" s="172">
        <f>IF(INDIRECT("'Закуп'!L" &amp; B1203)="Sale","Sale","")</f>
        <v/>
      </c>
      <c r="H1203" s="158">
        <f>IF(INDIRECT("'Закуп'!F" &amp; B1203)=0,"",INDIRECT("'Закуп'!F" &amp; B1203))</f>
        <v/>
      </c>
      <c r="I1203" s="120" t="n">
        <v>100</v>
      </c>
      <c r="J1203" s="121">
        <f>K1203/1.2</f>
        <v/>
      </c>
      <c r="K1203" s="70" t="n">
        <v>3</v>
      </c>
      <c r="L1203" s="122">
        <f>J1203-C1203-(J1203-C1203)*0.2</f>
        <v/>
      </c>
      <c r="M1203" s="123">
        <f>L1203*I1203</f>
        <v/>
      </c>
      <c r="N1203" s="124" t="inlineStr">
        <is>
          <t xml:space="preserve">100-290 шт - </t>
        </is>
      </c>
      <c r="O1203" s="47" t="inlineStr">
        <is>
          <t xml:space="preserve"> руб / шт с НДС</t>
        </is>
      </c>
      <c r="P1203" s="125">
        <f>ROUND(K1203,2)</f>
        <v/>
      </c>
      <c r="Q1203" s="207">
        <f>CONCATENATE(N1203,P1203,O1203,)</f>
        <v/>
      </c>
      <c r="R1203" s="240" t="n"/>
      <c r="T1203" s="241" t="n"/>
      <c r="U1203" s="240" t="n"/>
      <c r="V1203" s="241" t="n"/>
      <c r="Z1203" s="240" t="n"/>
      <c r="AB1203" s="241" t="n"/>
      <c r="AC1203" s="240" t="n"/>
      <c r="AD1203" s="241" t="n"/>
    </row>
    <row r="1204">
      <c r="B1204" s="42" t="n">
        <v>242</v>
      </c>
      <c r="C1204" s="118">
        <f>INDIRECT("'Закуп'!A" &amp; B1204)</f>
        <v/>
      </c>
      <c r="D1204" s="119">
        <f>C1204*1.2</f>
        <v/>
      </c>
      <c r="G1204" s="172">
        <f>IF(INDIRECT("'Закуп'!L" &amp; B1204)="Sale","Sale","")</f>
        <v/>
      </c>
      <c r="H1204" s="158">
        <f>IF(INDIRECT("'Закуп'!F" &amp; B1204)=0,"",INDIRECT("'Закуп'!F" &amp; B1204))</f>
        <v/>
      </c>
      <c r="I1204" s="120" t="n">
        <v>300</v>
      </c>
      <c r="J1204" s="121">
        <f>K1204/1.2</f>
        <v/>
      </c>
      <c r="K1204" s="70" t="n">
        <v>2.75</v>
      </c>
      <c r="L1204" s="122">
        <f>J1204-C1204-(J1204-C1204)*0.2</f>
        <v/>
      </c>
      <c r="M1204" s="123">
        <f>L1204*I1204</f>
        <v/>
      </c>
      <c r="N1204" s="124" t="inlineStr">
        <is>
          <t xml:space="preserve">300-490 шт - </t>
        </is>
      </c>
      <c r="O1204" s="47" t="inlineStr">
        <is>
          <t xml:space="preserve"> руб / шт с НДС</t>
        </is>
      </c>
      <c r="P1204" s="125">
        <f>ROUND(K1204,2)</f>
        <v/>
      </c>
      <c r="Q1204" s="207">
        <f>CONCATENATE(N1204,P1204,O1204,)</f>
        <v/>
      </c>
      <c r="R1204" s="240" t="n"/>
      <c r="T1204" s="241" t="n"/>
      <c r="U1204" s="240" t="n"/>
      <c r="V1204" s="241" t="n"/>
      <c r="Z1204" s="240" t="n"/>
      <c r="AB1204" s="241" t="n"/>
      <c r="AC1204" s="240" t="n"/>
      <c r="AD1204" s="241" t="n"/>
    </row>
    <row r="1205">
      <c r="B1205" s="42" t="n">
        <v>242</v>
      </c>
      <c r="C1205" s="118">
        <f>INDIRECT("'Закуп'!A" &amp; B1205)</f>
        <v/>
      </c>
      <c r="D1205" s="119">
        <f>C1205*1.2</f>
        <v/>
      </c>
      <c r="G1205" s="172">
        <f>IF(INDIRECT("'Закуп'!L" &amp; B1205)="Sale","Sale","")</f>
        <v/>
      </c>
      <c r="H1205" s="158">
        <f>IF(INDIRECT("'Закуп'!F" &amp; B1205)=0,"",INDIRECT("'Закуп'!F" &amp; B1205))</f>
        <v/>
      </c>
      <c r="I1205" s="120" t="n">
        <v>500</v>
      </c>
      <c r="J1205" s="121">
        <f>K1205/1.2</f>
        <v/>
      </c>
      <c r="K1205" s="70" t="n">
        <v>2.5</v>
      </c>
      <c r="L1205" s="122">
        <f>J1205-C1205-(J1205-C1205)*0.2</f>
        <v/>
      </c>
      <c r="M1205" s="123">
        <f>L1205*I1205</f>
        <v/>
      </c>
      <c r="N1205" s="124" t="inlineStr">
        <is>
          <t xml:space="preserve">500-990 шт - </t>
        </is>
      </c>
      <c r="O1205" s="47" t="inlineStr">
        <is>
          <t xml:space="preserve"> руб / шт с НДС</t>
        </is>
      </c>
      <c r="P1205" s="125">
        <f>ROUND(K1205,2)</f>
        <v/>
      </c>
      <c r="Q1205" s="207">
        <f>CONCATENATE(N1205,P1205,O1205,)</f>
        <v/>
      </c>
      <c r="R1205" s="240" t="n"/>
      <c r="T1205" s="241" t="n"/>
      <c r="U1205" s="240" t="n"/>
      <c r="V1205" s="241" t="n"/>
      <c r="Z1205" s="240" t="n"/>
      <c r="AB1205" s="241" t="n"/>
      <c r="AC1205" s="240" t="n"/>
      <c r="AD1205" s="241" t="n"/>
    </row>
    <row r="1206">
      <c r="B1206" s="42" t="n">
        <v>242</v>
      </c>
      <c r="C1206" s="118">
        <f>INDIRECT("'Закуп'!A" &amp; B1206)</f>
        <v/>
      </c>
      <c r="D1206" s="119">
        <f>C1206*1.2</f>
        <v/>
      </c>
      <c r="G1206" s="172">
        <f>IF(INDIRECT("'Закуп'!L" &amp; B1206)="Sale","Sale","")</f>
        <v/>
      </c>
      <c r="H1206" s="158">
        <f>IF(INDIRECT("'Закуп'!F" &amp; B1206)=0,"",INDIRECT("'Закуп'!F" &amp; B1206))</f>
        <v/>
      </c>
      <c r="I1206" s="120" t="n">
        <v>1000</v>
      </c>
      <c r="J1206" s="121">
        <f>K1206/1.2</f>
        <v/>
      </c>
      <c r="K1206" s="70" t="n">
        <v>2.3</v>
      </c>
      <c r="L1206" s="122">
        <f>J1206-C1206-(J1206-C1206)*0.2</f>
        <v/>
      </c>
      <c r="M1206" s="123">
        <f>L1206*I1206</f>
        <v/>
      </c>
      <c r="N1206" s="124" t="inlineStr">
        <is>
          <t xml:space="preserve">1000 + шт - </t>
        </is>
      </c>
      <c r="O1206" s="47" t="inlineStr">
        <is>
          <t xml:space="preserve"> руб / шт с НДС</t>
        </is>
      </c>
      <c r="P1206" s="125">
        <f>ROUND(K1206,2)</f>
        <v/>
      </c>
      <c r="Q1206" s="207">
        <f>CONCATENATE(N1206,P1206,O1206,)</f>
        <v/>
      </c>
      <c r="R1206" s="240" t="n"/>
      <c r="T1206" s="241" t="n"/>
      <c r="U1206" s="240" t="n"/>
      <c r="V1206" s="241" t="n"/>
      <c r="Z1206" s="240" t="n"/>
      <c r="AB1206" s="241" t="n"/>
      <c r="AC1206" s="240" t="n"/>
      <c r="AD1206" s="241" t="n"/>
    </row>
    <row r="1207">
      <c r="A1207" s="232" t="n">
        <v>243</v>
      </c>
      <c r="B1207" s="42" t="n">
        <v>243</v>
      </c>
      <c r="C1207" s="118">
        <f>INDIRECT("'Закуп'!A" &amp; B1207)</f>
        <v/>
      </c>
      <c r="D1207" s="119">
        <f>C1207*1.2</f>
        <v/>
      </c>
      <c r="E1207" s="225">
        <f>INDIRECT("'Закуп'!D" &amp; A1207)</f>
        <v/>
      </c>
      <c r="F1207" s="231">
        <f>INDIRECT("'Закуп'!E" &amp; B1207)</f>
        <v/>
      </c>
      <c r="G1207" s="172">
        <f>IF(INDIRECT("'Закуп'!L" &amp; B1207)="Sale","Sale","")</f>
        <v/>
      </c>
      <c r="H1207" s="158">
        <f>IF(INDIRECT("'Закуп'!F" &amp; B1207)=0,"",INDIRECT("'Закуп'!F" &amp; B1207))</f>
        <v/>
      </c>
      <c r="I1207" s="120" t="n">
        <v>50</v>
      </c>
      <c r="J1207" s="121">
        <f>K1207/1.2</f>
        <v/>
      </c>
      <c r="K1207" s="70" t="n">
        <v>3.65</v>
      </c>
      <c r="L1207" s="122">
        <f>J1207-C1207-(J1207-C1207)*0.2</f>
        <v/>
      </c>
      <c r="M1207" s="123">
        <f>L1207*I1207</f>
        <v/>
      </c>
      <c r="N1207" s="124" t="inlineStr">
        <is>
          <t xml:space="preserve">50-90 шт - </t>
        </is>
      </c>
      <c r="O1207" s="47" t="inlineStr">
        <is>
          <t xml:space="preserve"> руб / шт с НДС</t>
        </is>
      </c>
      <c r="P1207" s="125">
        <f>ROUND(K1207,2)</f>
        <v/>
      </c>
      <c r="Q1207" s="207">
        <f>CONCATENATE(N1207,P1207,O1207,)</f>
        <v/>
      </c>
      <c r="R1207" s="235">
        <f>INDIRECT("'Закуп'!k" &amp; A1207)</f>
        <v/>
      </c>
      <c r="S1207" s="239">
        <f>INDIRECT("'Закуп'!o" &amp; A1207)</f>
        <v/>
      </c>
      <c r="T1207" s="226">
        <f>INDIRECT("'Закуп'!p" &amp; A1207)</f>
        <v/>
      </c>
      <c r="U1207" s="235">
        <f>INDIRECT("'Закуп'!v" &amp; A1207)</f>
        <v/>
      </c>
      <c r="V1207" s="222">
        <f>INDIRECT("'Закуп'!w" &amp; A1207)</f>
        <v/>
      </c>
      <c r="W1207" s="229">
        <f>INDIRECT("'Закуп'!H" &amp; A1207)</f>
        <v/>
      </c>
      <c r="X1207" s="237">
        <f>INDIRECT("'Закуп'!g" &amp; A1207)</f>
        <v/>
      </c>
      <c r="Y1207" s="229">
        <f>INDIRECT("'Закуп'!i" &amp; A1207)</f>
        <v/>
      </c>
      <c r="Z1207" s="236">
        <f>INDIRECT("'Закуп'!x" &amp; A1207)</f>
        <v/>
      </c>
      <c r="AA1207" s="237">
        <f>INDIRECT("'Закуп'!y" &amp; A1207)</f>
        <v/>
      </c>
      <c r="AB1207" s="238">
        <f>INDIRECT("'Закуп'!z" &amp; A1207)</f>
        <v/>
      </c>
      <c r="AC1207" s="223">
        <f>SUBSTITUTE(INDEX(F:F, ROUNDUP((ROW(A1206))/5,0)*5 - 3), "х", "x")</f>
        <v/>
      </c>
      <c r="AD1207" s="222">
        <f>SUBSTITUTE(INDEX(F:F, ROUNDUP((ROW(A1206))/5,0)*5 - 3), "х", "x") &amp; " - " &amp; SUBSTITUTE(SUBSTITUTE(INDEX(F:F, ROUNDUP((ROW(A1206))/5,0)*5 - 3), "х", "*"), "x", "*") &amp; " мм"</f>
        <v/>
      </c>
    </row>
    <row r="1208">
      <c r="B1208" s="42" t="n">
        <v>243</v>
      </c>
      <c r="C1208" s="118">
        <f>INDIRECT("'Закуп'!A" &amp; B1208)</f>
        <v/>
      </c>
      <c r="D1208" s="119">
        <f>C1208*1.2</f>
        <v/>
      </c>
      <c r="G1208" s="172">
        <f>IF(INDIRECT("'Закуп'!L" &amp; B1208)="Sale","Sale","")</f>
        <v/>
      </c>
      <c r="H1208" s="158">
        <f>IF(INDIRECT("'Закуп'!F" &amp; B1208)=0,"",INDIRECT("'Закуп'!F" &amp; B1208))</f>
        <v/>
      </c>
      <c r="I1208" s="120" t="n">
        <v>100</v>
      </c>
      <c r="J1208" s="121">
        <f>K1208/1.2</f>
        <v/>
      </c>
      <c r="K1208" s="70" t="n">
        <v>3.4</v>
      </c>
      <c r="L1208" s="122">
        <f>J1208-C1208-(J1208-C1208)*0.2</f>
        <v/>
      </c>
      <c r="M1208" s="123">
        <f>L1208*I1208</f>
        <v/>
      </c>
      <c r="N1208" s="124" t="inlineStr">
        <is>
          <t xml:space="preserve">100-290 шт - </t>
        </is>
      </c>
      <c r="O1208" s="47" t="inlineStr">
        <is>
          <t xml:space="preserve"> руб / шт с НДС</t>
        </is>
      </c>
      <c r="P1208" s="125">
        <f>ROUND(K1208,2)</f>
        <v/>
      </c>
      <c r="Q1208" s="207">
        <f>CONCATENATE(N1208,P1208,O1208,)</f>
        <v/>
      </c>
      <c r="R1208" s="240" t="n"/>
      <c r="T1208" s="241" t="n"/>
      <c r="U1208" s="240" t="n"/>
      <c r="V1208" s="241" t="n"/>
      <c r="Z1208" s="240" t="n"/>
      <c r="AB1208" s="241" t="n"/>
      <c r="AC1208" s="240" t="n"/>
      <c r="AD1208" s="241" t="n"/>
    </row>
    <row r="1209">
      <c r="B1209" s="42" t="n">
        <v>243</v>
      </c>
      <c r="C1209" s="118">
        <f>INDIRECT("'Закуп'!A" &amp; B1209)</f>
        <v/>
      </c>
      <c r="D1209" s="119">
        <f>C1209*1.2</f>
        <v/>
      </c>
      <c r="G1209" s="172">
        <f>IF(INDIRECT("'Закуп'!L" &amp; B1209)="Sale","Sale","")</f>
        <v/>
      </c>
      <c r="H1209" s="158">
        <f>IF(INDIRECT("'Закуп'!F" &amp; B1209)=0,"",INDIRECT("'Закуп'!F" &amp; B1209))</f>
        <v/>
      </c>
      <c r="I1209" s="120" t="n">
        <v>300</v>
      </c>
      <c r="J1209" s="121">
        <f>K1209/1.2</f>
        <v/>
      </c>
      <c r="K1209" s="70" t="n">
        <v>3.1</v>
      </c>
      <c r="L1209" s="122">
        <f>J1209-C1209-(J1209-C1209)*0.2</f>
        <v/>
      </c>
      <c r="M1209" s="123">
        <f>L1209*I1209</f>
        <v/>
      </c>
      <c r="N1209" s="124" t="inlineStr">
        <is>
          <t xml:space="preserve">300-490 шт - </t>
        </is>
      </c>
      <c r="O1209" s="47" t="inlineStr">
        <is>
          <t xml:space="preserve"> руб / шт с НДС</t>
        </is>
      </c>
      <c r="P1209" s="125">
        <f>ROUND(K1209,2)</f>
        <v/>
      </c>
      <c r="Q1209" s="207">
        <f>CONCATENATE(N1209,P1209,O1209,)</f>
        <v/>
      </c>
      <c r="R1209" s="240" t="n"/>
      <c r="T1209" s="241" t="n"/>
      <c r="U1209" s="240" t="n"/>
      <c r="V1209" s="241" t="n"/>
      <c r="Z1209" s="240" t="n"/>
      <c r="AB1209" s="241" t="n"/>
      <c r="AC1209" s="240" t="n"/>
      <c r="AD1209" s="241" t="n"/>
    </row>
    <row r="1210">
      <c r="B1210" s="42" t="n">
        <v>243</v>
      </c>
      <c r="C1210" s="118">
        <f>INDIRECT("'Закуп'!A" &amp; B1210)</f>
        <v/>
      </c>
      <c r="D1210" s="119">
        <f>C1210*1.2</f>
        <v/>
      </c>
      <c r="G1210" s="172">
        <f>IF(INDIRECT("'Закуп'!L" &amp; B1210)="Sale","Sale","")</f>
        <v/>
      </c>
      <c r="H1210" s="158">
        <f>IF(INDIRECT("'Закуп'!F" &amp; B1210)=0,"",INDIRECT("'Закуп'!F" &amp; B1210))</f>
        <v/>
      </c>
      <c r="I1210" s="120" t="n">
        <v>500</v>
      </c>
      <c r="J1210" s="121">
        <f>K1210/1.2</f>
        <v/>
      </c>
      <c r="K1210" s="70" t="n">
        <v>2.9</v>
      </c>
      <c r="L1210" s="122">
        <f>J1210-C1210-(J1210-C1210)*0.2</f>
        <v/>
      </c>
      <c r="M1210" s="123">
        <f>L1210*I1210</f>
        <v/>
      </c>
      <c r="N1210" s="124" t="inlineStr">
        <is>
          <t xml:space="preserve">500-990 шт - </t>
        </is>
      </c>
      <c r="O1210" s="47" t="inlineStr">
        <is>
          <t xml:space="preserve"> руб / шт с НДС</t>
        </is>
      </c>
      <c r="P1210" s="125">
        <f>ROUND(K1210,2)</f>
        <v/>
      </c>
      <c r="Q1210" s="207">
        <f>CONCATENATE(N1210,P1210,O1210,)</f>
        <v/>
      </c>
      <c r="R1210" s="240" t="n"/>
      <c r="T1210" s="241" t="n"/>
      <c r="U1210" s="240" t="n"/>
      <c r="V1210" s="241" t="n"/>
      <c r="Z1210" s="240" t="n"/>
      <c r="AB1210" s="241" t="n"/>
      <c r="AC1210" s="240" t="n"/>
      <c r="AD1210" s="241" t="n"/>
    </row>
    <row r="1211">
      <c r="B1211" s="42" t="n">
        <v>243</v>
      </c>
      <c r="C1211" s="118">
        <f>INDIRECT("'Закуп'!A" &amp; B1211)</f>
        <v/>
      </c>
      <c r="D1211" s="119">
        <f>C1211*1.2</f>
        <v/>
      </c>
      <c r="G1211" s="172">
        <f>IF(INDIRECT("'Закуп'!L" &amp; B1211)="Sale","Sale","")</f>
        <v/>
      </c>
      <c r="H1211" s="158">
        <f>IF(INDIRECT("'Закуп'!F" &amp; B1211)=0,"",INDIRECT("'Закуп'!F" &amp; B1211))</f>
        <v/>
      </c>
      <c r="I1211" s="120" t="n">
        <v>1000</v>
      </c>
      <c r="J1211" s="121">
        <f>K1211/1.2</f>
        <v/>
      </c>
      <c r="K1211" s="70" t="n">
        <v>2.7</v>
      </c>
      <c r="L1211" s="122">
        <f>J1211-C1211-(J1211-C1211)*0.2</f>
        <v/>
      </c>
      <c r="M1211" s="123">
        <f>L1211*I1211</f>
        <v/>
      </c>
      <c r="N1211" s="124" t="inlineStr">
        <is>
          <t xml:space="preserve">1000 + шт - </t>
        </is>
      </c>
      <c r="O1211" s="47" t="inlineStr">
        <is>
          <t xml:space="preserve"> руб / шт с НДС</t>
        </is>
      </c>
      <c r="P1211" s="125">
        <f>ROUND(K1211,2)</f>
        <v/>
      </c>
      <c r="Q1211" s="207">
        <f>CONCATENATE(N1211,P1211,O1211,)</f>
        <v/>
      </c>
      <c r="R1211" s="240" t="n"/>
      <c r="T1211" s="241" t="n"/>
      <c r="U1211" s="240" t="n"/>
      <c r="V1211" s="241" t="n"/>
      <c r="Z1211" s="240" t="n"/>
      <c r="AB1211" s="241" t="n"/>
      <c r="AC1211" s="240" t="n"/>
      <c r="AD1211" s="241" t="n"/>
    </row>
    <row r="1212">
      <c r="A1212" s="232" t="n">
        <v>244</v>
      </c>
      <c r="B1212" s="42" t="n">
        <v>244</v>
      </c>
      <c r="C1212" s="118">
        <f>INDIRECT("'Закуп'!A" &amp; B1212)</f>
        <v/>
      </c>
      <c r="D1212" s="119">
        <f>C1212*1.2</f>
        <v/>
      </c>
      <c r="E1212" s="225">
        <f>INDIRECT("'Закуп'!D" &amp; A1212)</f>
        <v/>
      </c>
      <c r="F1212" s="231">
        <f>INDIRECT("'Закуп'!E" &amp; B1212)</f>
        <v/>
      </c>
      <c r="G1212" s="172">
        <f>IF(INDIRECT("'Закуп'!L" &amp; B1212)="Sale","Sale","")</f>
        <v/>
      </c>
      <c r="H1212" s="158">
        <f>IF(INDIRECT("'Закуп'!F" &amp; B1212)=0,"",INDIRECT("'Закуп'!F" &amp; B1212))</f>
        <v/>
      </c>
      <c r="I1212" s="120" t="n">
        <v>50</v>
      </c>
      <c r="J1212" s="121">
        <f>K1212/1.2</f>
        <v/>
      </c>
      <c r="K1212" s="70" t="n">
        <v>5</v>
      </c>
      <c r="L1212" s="122">
        <f>J1212-C1212-(J1212-C1212)*0.2</f>
        <v/>
      </c>
      <c r="M1212" s="123">
        <f>L1212*I1212</f>
        <v/>
      </c>
      <c r="N1212" s="124" t="inlineStr">
        <is>
          <t xml:space="preserve">50-90 шт - </t>
        </is>
      </c>
      <c r="O1212" s="47" t="inlineStr">
        <is>
          <t xml:space="preserve"> руб / шт с НДС</t>
        </is>
      </c>
      <c r="P1212" s="125">
        <f>ROUND(K1212,2)</f>
        <v/>
      </c>
      <c r="Q1212" s="207">
        <f>CONCATENATE(N1212,P1212,O1212,)</f>
        <v/>
      </c>
      <c r="R1212" s="235">
        <f>INDIRECT("'Закуп'!k" &amp; A1212)</f>
        <v/>
      </c>
      <c r="S1212" s="239">
        <f>INDIRECT("'Закуп'!o" &amp; A1212)</f>
        <v/>
      </c>
      <c r="T1212" s="226">
        <f>INDIRECT("'Закуп'!p" &amp; A1212)</f>
        <v/>
      </c>
      <c r="U1212" s="235">
        <f>INDIRECT("'Закуп'!v" &amp; A1212)</f>
        <v/>
      </c>
      <c r="V1212" s="222">
        <f>INDIRECT("'Закуп'!w" &amp; A1212)</f>
        <v/>
      </c>
      <c r="W1212" s="229">
        <f>INDIRECT("'Закуп'!H" &amp; A1212)</f>
        <v/>
      </c>
      <c r="X1212" s="237">
        <f>INDIRECT("'Закуп'!g" &amp; A1212)</f>
        <v/>
      </c>
      <c r="Y1212" s="229">
        <f>INDIRECT("'Закуп'!i" &amp; A1212)</f>
        <v/>
      </c>
      <c r="Z1212" s="236">
        <f>INDIRECT("'Закуп'!x" &amp; A1212)</f>
        <v/>
      </c>
      <c r="AA1212" s="237">
        <f>INDIRECT("'Закуп'!y" &amp; A1212)</f>
        <v/>
      </c>
      <c r="AB1212" s="238">
        <f>INDIRECT("'Закуп'!z" &amp; A1212)</f>
        <v/>
      </c>
      <c r="AC1212" s="223">
        <f>SUBSTITUTE(INDEX(F:F, ROUNDUP((ROW(A1211))/5,0)*5 - 3), "х", "x")</f>
        <v/>
      </c>
      <c r="AD1212" s="222">
        <f>SUBSTITUTE(INDEX(F:F, ROUNDUP((ROW(A1211))/5,0)*5 - 3), "х", "x") &amp; " - " &amp; SUBSTITUTE(SUBSTITUTE(INDEX(F:F, ROUNDUP((ROW(A1211))/5,0)*5 - 3), "х", "*"), "x", "*") &amp; " мм"</f>
        <v/>
      </c>
    </row>
    <row r="1213">
      <c r="B1213" s="42" t="n">
        <v>244</v>
      </c>
      <c r="C1213" s="118">
        <f>INDIRECT("'Закуп'!A" &amp; B1213)</f>
        <v/>
      </c>
      <c r="D1213" s="119">
        <f>C1213*1.2</f>
        <v/>
      </c>
      <c r="G1213" s="172">
        <f>IF(INDIRECT("'Закуп'!L" &amp; B1213)="Sale","Sale","")</f>
        <v/>
      </c>
      <c r="H1213" s="158">
        <f>IF(INDIRECT("'Закуп'!F" &amp; B1213)=0,"",INDIRECT("'Закуп'!F" &amp; B1213))</f>
        <v/>
      </c>
      <c r="I1213" s="120" t="n">
        <v>100</v>
      </c>
      <c r="J1213" s="121">
        <f>K1213/1.2</f>
        <v/>
      </c>
      <c r="K1213" s="70" t="n">
        <v>4.75</v>
      </c>
      <c r="L1213" s="122">
        <f>J1213-C1213-(J1213-C1213)*0.2</f>
        <v/>
      </c>
      <c r="M1213" s="123">
        <f>L1213*I1213</f>
        <v/>
      </c>
      <c r="N1213" s="124" t="inlineStr">
        <is>
          <t xml:space="preserve">100-290 шт - </t>
        </is>
      </c>
      <c r="O1213" s="47" t="inlineStr">
        <is>
          <t xml:space="preserve"> руб / шт с НДС</t>
        </is>
      </c>
      <c r="P1213" s="125">
        <f>ROUND(K1213,2)</f>
        <v/>
      </c>
      <c r="Q1213" s="207">
        <f>CONCATENATE(N1213,P1213,O1213,)</f>
        <v/>
      </c>
      <c r="R1213" s="240" t="n"/>
      <c r="T1213" s="241" t="n"/>
      <c r="U1213" s="240" t="n"/>
      <c r="V1213" s="241" t="n"/>
      <c r="Z1213" s="240" t="n"/>
      <c r="AB1213" s="241" t="n"/>
      <c r="AC1213" s="240" t="n"/>
      <c r="AD1213" s="241" t="n"/>
    </row>
    <row r="1214">
      <c r="B1214" s="42" t="n">
        <v>244</v>
      </c>
      <c r="C1214" s="118">
        <f>INDIRECT("'Закуп'!A" &amp; B1214)</f>
        <v/>
      </c>
      <c r="D1214" s="119">
        <f>C1214*1.2</f>
        <v/>
      </c>
      <c r="G1214" s="172">
        <f>IF(INDIRECT("'Закуп'!L" &amp; B1214)="Sale","Sale","")</f>
        <v/>
      </c>
      <c r="H1214" s="158">
        <f>IF(INDIRECT("'Закуп'!F" &amp; B1214)=0,"",INDIRECT("'Закуп'!F" &amp; B1214))</f>
        <v/>
      </c>
      <c r="I1214" s="120" t="n">
        <v>300</v>
      </c>
      <c r="J1214" s="121">
        <f>K1214/1.2</f>
        <v/>
      </c>
      <c r="K1214" s="70" t="n">
        <v>4.6</v>
      </c>
      <c r="L1214" s="122">
        <f>J1214-C1214-(J1214-C1214)*0.2</f>
        <v/>
      </c>
      <c r="M1214" s="123">
        <f>L1214*I1214</f>
        <v/>
      </c>
      <c r="N1214" s="124" t="inlineStr">
        <is>
          <t xml:space="preserve">300-490 шт - </t>
        </is>
      </c>
      <c r="O1214" s="47" t="inlineStr">
        <is>
          <t xml:space="preserve"> руб / шт с НДС</t>
        </is>
      </c>
      <c r="P1214" s="125">
        <f>ROUND(K1214,2)</f>
        <v/>
      </c>
      <c r="Q1214" s="207">
        <f>CONCATENATE(N1214,P1214,O1214,)</f>
        <v/>
      </c>
      <c r="R1214" s="240" t="n"/>
      <c r="T1214" s="241" t="n"/>
      <c r="U1214" s="240" t="n"/>
      <c r="V1214" s="241" t="n"/>
      <c r="Z1214" s="240" t="n"/>
      <c r="AB1214" s="241" t="n"/>
      <c r="AC1214" s="240" t="n"/>
      <c r="AD1214" s="241" t="n"/>
    </row>
    <row r="1215">
      <c r="B1215" s="42" t="n">
        <v>244</v>
      </c>
      <c r="C1215" s="118">
        <f>INDIRECT("'Закуп'!A" &amp; B1215)</f>
        <v/>
      </c>
      <c r="D1215" s="119">
        <f>C1215*1.2</f>
        <v/>
      </c>
      <c r="G1215" s="172">
        <f>IF(INDIRECT("'Закуп'!L" &amp; B1215)="Sale","Sale","")</f>
        <v/>
      </c>
      <c r="H1215" s="158">
        <f>IF(INDIRECT("'Закуп'!F" &amp; B1215)=0,"",INDIRECT("'Закуп'!F" &amp; B1215))</f>
        <v/>
      </c>
      <c r="I1215" s="120" t="n">
        <v>500</v>
      </c>
      <c r="J1215" s="121">
        <f>K1215/1.2</f>
        <v/>
      </c>
      <c r="K1215" s="70" t="n">
        <v>4.45</v>
      </c>
      <c r="L1215" s="122">
        <f>J1215-C1215-(J1215-C1215)*0.2</f>
        <v/>
      </c>
      <c r="M1215" s="123">
        <f>L1215*I1215</f>
        <v/>
      </c>
      <c r="N1215" s="124" t="inlineStr">
        <is>
          <t xml:space="preserve">500-990 шт - </t>
        </is>
      </c>
      <c r="O1215" s="47" t="inlineStr">
        <is>
          <t xml:space="preserve"> руб / шт с НДС</t>
        </is>
      </c>
      <c r="P1215" s="125">
        <f>ROUND(K1215,2)</f>
        <v/>
      </c>
      <c r="Q1215" s="207">
        <f>CONCATENATE(N1215,P1215,O1215,)</f>
        <v/>
      </c>
      <c r="R1215" s="240" t="n"/>
      <c r="T1215" s="241" t="n"/>
      <c r="U1215" s="240" t="n"/>
      <c r="V1215" s="241" t="n"/>
      <c r="Z1215" s="240" t="n"/>
      <c r="AB1215" s="241" t="n"/>
      <c r="AC1215" s="240" t="n"/>
      <c r="AD1215" s="241" t="n"/>
    </row>
    <row r="1216">
      <c r="B1216" s="42" t="n">
        <v>244</v>
      </c>
      <c r="C1216" s="118">
        <f>INDIRECT("'Закуп'!A" &amp; B1216)</f>
        <v/>
      </c>
      <c r="D1216" s="119">
        <f>C1216*1.2</f>
        <v/>
      </c>
      <c r="G1216" s="172">
        <f>IF(INDIRECT("'Закуп'!L" &amp; B1216)="Sale","Sale","")</f>
        <v/>
      </c>
      <c r="H1216" s="158">
        <f>IF(INDIRECT("'Закуп'!F" &amp; B1216)=0,"",INDIRECT("'Закуп'!F" &amp; B1216))</f>
        <v/>
      </c>
      <c r="I1216" s="120" t="n">
        <v>1000</v>
      </c>
      <c r="J1216" s="121">
        <f>K1216/1.2</f>
        <v/>
      </c>
      <c r="K1216" s="70" t="n">
        <v>4.3</v>
      </c>
      <c r="L1216" s="122">
        <f>J1216-C1216-(J1216-C1216)*0.2</f>
        <v/>
      </c>
      <c r="M1216" s="123">
        <f>L1216*I1216</f>
        <v/>
      </c>
      <c r="N1216" s="124" t="inlineStr">
        <is>
          <t xml:space="preserve">1000 + шт - </t>
        </is>
      </c>
      <c r="O1216" s="47" t="inlineStr">
        <is>
          <t xml:space="preserve"> руб / шт с НДС</t>
        </is>
      </c>
      <c r="P1216" s="125">
        <f>ROUND(K1216,2)</f>
        <v/>
      </c>
      <c r="Q1216" s="207">
        <f>CONCATENATE(N1216,P1216,O1216,)</f>
        <v/>
      </c>
      <c r="R1216" s="240" t="n"/>
      <c r="T1216" s="241" t="n"/>
      <c r="U1216" s="240" t="n"/>
      <c r="V1216" s="241" t="n"/>
      <c r="Z1216" s="240" t="n"/>
      <c r="AB1216" s="241" t="n"/>
      <c r="AC1216" s="240" t="n"/>
      <c r="AD1216" s="241" t="n"/>
    </row>
    <row r="1217">
      <c r="A1217" s="232" t="n">
        <v>245</v>
      </c>
      <c r="B1217" s="42" t="n">
        <v>245</v>
      </c>
      <c r="C1217" s="118">
        <f>INDIRECT("'Закуп'!A" &amp; B1217)</f>
        <v/>
      </c>
      <c r="D1217" s="119">
        <f>C1217*1.2</f>
        <v/>
      </c>
      <c r="E1217" s="225">
        <f>INDIRECT("'Закуп'!D" &amp; A1217)</f>
        <v/>
      </c>
      <c r="F1217" s="231">
        <f>INDIRECT("'Закуп'!E" &amp; B1217)</f>
        <v/>
      </c>
      <c r="G1217" s="172">
        <f>IF(INDIRECT("'Закуп'!L" &amp; B1217)="Sale","Sale","")</f>
        <v/>
      </c>
      <c r="H1217" s="158">
        <f>IF(INDIRECT("'Закуп'!F" &amp; B1217)=0,"",INDIRECT("'Закуп'!F" &amp; B1217))</f>
        <v/>
      </c>
      <c r="I1217" s="120" t="n">
        <v>50</v>
      </c>
      <c r="J1217" s="121">
        <f>K1217/1.2</f>
        <v/>
      </c>
      <c r="K1217" s="242" t="n">
        <v>3.45</v>
      </c>
      <c r="L1217" s="122">
        <f>J1217-C1217-(J1217-C1217)*0.2</f>
        <v/>
      </c>
      <c r="M1217" s="123">
        <f>L1217*I1217</f>
        <v/>
      </c>
      <c r="N1217" s="124" t="inlineStr">
        <is>
          <t xml:space="preserve">50-90 шт - </t>
        </is>
      </c>
      <c r="O1217" s="47" t="inlineStr">
        <is>
          <t xml:space="preserve"> руб / шт с НДС</t>
        </is>
      </c>
      <c r="P1217" s="125">
        <f>ROUND(K1217,2)</f>
        <v/>
      </c>
      <c r="Q1217" s="207">
        <f>CONCATENATE(N1217,P1217,O1217,)</f>
        <v/>
      </c>
      <c r="R1217" s="235">
        <f>INDIRECT("'Закуп'!k" &amp; A1217)</f>
        <v/>
      </c>
      <c r="S1217" s="239">
        <f>INDIRECT("'Закуп'!o" &amp; A1217)</f>
        <v/>
      </c>
      <c r="T1217" s="226">
        <f>INDIRECT("'Закуп'!p" &amp; A1217)</f>
        <v/>
      </c>
      <c r="U1217" s="235">
        <f>INDIRECT("'Закуп'!v" &amp; A1217)</f>
        <v/>
      </c>
      <c r="V1217" s="222">
        <f>INDIRECT("'Закуп'!w" &amp; A1217)</f>
        <v/>
      </c>
      <c r="W1217" s="229">
        <f>INDIRECT("'Закуп'!H" &amp; A1217)</f>
        <v/>
      </c>
      <c r="X1217" s="237">
        <f>INDIRECT("'Закуп'!g" &amp; A1217)</f>
        <v/>
      </c>
      <c r="Y1217" s="229">
        <f>INDIRECT("'Закуп'!i" &amp; A1217)</f>
        <v/>
      </c>
      <c r="Z1217" s="236">
        <f>INDIRECT("'Закуп'!x" &amp; A1217)</f>
        <v/>
      </c>
      <c r="AA1217" s="237">
        <f>INDIRECT("'Закуп'!y" &amp; A1217)</f>
        <v/>
      </c>
      <c r="AB1217" s="238">
        <f>INDIRECT("'Закуп'!z" &amp; A1217)</f>
        <v/>
      </c>
      <c r="AC1217" s="223">
        <f>SUBSTITUTE(INDEX(F:F, ROUNDUP((ROW(A1216))/5,0)*5 - 3), "х", "x")</f>
        <v/>
      </c>
      <c r="AD1217" s="222">
        <f>SUBSTITUTE(INDEX(F:F, ROUNDUP((ROW(A1216))/5,0)*5 - 3), "х", "x") &amp; " - " &amp; SUBSTITUTE(SUBSTITUTE(INDEX(F:F, ROUNDUP((ROW(A1216))/5,0)*5 - 3), "х", "*"), "x", "*") &amp; " мм"</f>
        <v/>
      </c>
      <c r="AE1217" t="n">
        <v>2.93</v>
      </c>
    </row>
    <row r="1218">
      <c r="B1218" s="42" t="n">
        <v>245</v>
      </c>
      <c r="C1218" s="118">
        <f>INDIRECT("'Закуп'!A" &amp; B1218)</f>
        <v/>
      </c>
      <c r="D1218" s="119">
        <f>C1218*1.2</f>
        <v/>
      </c>
      <c r="G1218" s="172">
        <f>IF(INDIRECT("'Закуп'!L" &amp; B1218)="Sale","Sale","")</f>
        <v/>
      </c>
      <c r="H1218" s="158">
        <f>IF(INDIRECT("'Закуп'!F" &amp; B1218)=0,"",INDIRECT("'Закуп'!F" &amp; B1218))</f>
        <v/>
      </c>
      <c r="I1218" s="120" t="n">
        <v>100</v>
      </c>
      <c r="J1218" s="121">
        <f>K1218/1.2</f>
        <v/>
      </c>
      <c r="K1218" s="242" t="n">
        <v>2.95</v>
      </c>
      <c r="L1218" s="122">
        <f>J1218-C1218-(J1218-C1218)*0.2</f>
        <v/>
      </c>
      <c r="M1218" s="123">
        <f>L1218*I1218</f>
        <v/>
      </c>
      <c r="N1218" s="124" t="inlineStr">
        <is>
          <t xml:space="preserve">100-290 шт - </t>
        </is>
      </c>
      <c r="O1218" s="47" t="inlineStr">
        <is>
          <t xml:space="preserve"> руб / шт с НДС</t>
        </is>
      </c>
      <c r="P1218" s="125">
        <f>ROUND(K1218,2)</f>
        <v/>
      </c>
      <c r="Q1218" s="207">
        <f>CONCATENATE(N1218,P1218,O1218,)</f>
        <v/>
      </c>
      <c r="R1218" s="240" t="n"/>
      <c r="T1218" s="241" t="n"/>
      <c r="U1218" s="240" t="n"/>
      <c r="V1218" s="241" t="n"/>
      <c r="Z1218" s="240" t="n"/>
      <c r="AB1218" s="241" t="n"/>
      <c r="AC1218" s="240" t="n"/>
      <c r="AD1218" s="241" t="n"/>
      <c r="AE1218" t="n">
        <v>2.34</v>
      </c>
    </row>
    <row r="1219">
      <c r="B1219" s="42" t="n">
        <v>245</v>
      </c>
      <c r="C1219" s="118">
        <f>INDIRECT("'Закуп'!A" &amp; B1219)</f>
        <v/>
      </c>
      <c r="D1219" s="119">
        <f>C1219*1.2</f>
        <v/>
      </c>
      <c r="G1219" s="172">
        <f>IF(INDIRECT("'Закуп'!L" &amp; B1219)="Sale","Sale","")</f>
        <v/>
      </c>
      <c r="H1219" s="158">
        <f>IF(INDIRECT("'Закуп'!F" &amp; B1219)=0,"",INDIRECT("'Закуп'!F" &amp; B1219))</f>
        <v/>
      </c>
      <c r="I1219" s="120" t="n">
        <v>300</v>
      </c>
      <c r="J1219" s="121">
        <f>K1219/1.2</f>
        <v/>
      </c>
      <c r="K1219" s="242" t="n">
        <v>2.66</v>
      </c>
      <c r="L1219" s="122">
        <f>J1219-C1219-(J1219-C1219)*0.2</f>
        <v/>
      </c>
      <c r="M1219" s="123">
        <f>L1219*I1219</f>
        <v/>
      </c>
      <c r="N1219" s="124" t="inlineStr">
        <is>
          <t xml:space="preserve">300-490 шт - </t>
        </is>
      </c>
      <c r="O1219" s="47" t="inlineStr">
        <is>
          <t xml:space="preserve"> руб / шт с НДС</t>
        </is>
      </c>
      <c r="P1219" s="125">
        <f>ROUND(K1219,2)</f>
        <v/>
      </c>
      <c r="Q1219" s="207">
        <f>CONCATENATE(N1219,P1219,O1219,)</f>
        <v/>
      </c>
      <c r="R1219" s="240" t="n"/>
      <c r="T1219" s="241" t="n"/>
      <c r="U1219" s="240" t="n"/>
      <c r="V1219" s="241" t="n"/>
      <c r="Z1219" s="240" t="n"/>
      <c r="AB1219" s="241" t="n"/>
      <c r="AC1219" s="240" t="n"/>
      <c r="AD1219" s="241" t="n"/>
      <c r="AE1219" t="n">
        <v>2.11</v>
      </c>
    </row>
    <row r="1220">
      <c r="B1220" s="42" t="n">
        <v>245</v>
      </c>
      <c r="C1220" s="118">
        <f>INDIRECT("'Закуп'!A" &amp; B1220)</f>
        <v/>
      </c>
      <c r="D1220" s="119">
        <f>C1220*1.2</f>
        <v/>
      </c>
      <c r="G1220" s="172">
        <f>IF(INDIRECT("'Закуп'!L" &amp; B1220)="Sale","Sale","")</f>
        <v/>
      </c>
      <c r="H1220" s="158">
        <f>IF(INDIRECT("'Закуп'!F" &amp; B1220)=0,"",INDIRECT("'Закуп'!F" &amp; B1220))</f>
        <v/>
      </c>
      <c r="I1220" s="120" t="n">
        <v>500</v>
      </c>
      <c r="J1220" s="121">
        <f>K1220/1.2</f>
        <v/>
      </c>
      <c r="K1220" s="242" t="n">
        <v>2.52</v>
      </c>
      <c r="L1220" s="122">
        <f>J1220-C1220-(J1220-C1220)*0.2</f>
        <v/>
      </c>
      <c r="M1220" s="123">
        <f>L1220*I1220</f>
        <v/>
      </c>
      <c r="N1220" s="124" t="inlineStr">
        <is>
          <t xml:space="preserve">500-990 шт - </t>
        </is>
      </c>
      <c r="O1220" s="47" t="inlineStr">
        <is>
          <t xml:space="preserve"> руб / шт с НДС</t>
        </is>
      </c>
      <c r="P1220" s="125">
        <f>ROUND(K1220,2)</f>
        <v/>
      </c>
      <c r="Q1220" s="207">
        <f>CONCATENATE(N1220,P1220,O1220,)</f>
        <v/>
      </c>
      <c r="R1220" s="240" t="n"/>
      <c r="T1220" s="241" t="n"/>
      <c r="U1220" s="240" t="n"/>
      <c r="V1220" s="241" t="n"/>
      <c r="Z1220" s="240" t="n"/>
      <c r="AB1220" s="241" t="n"/>
      <c r="AC1220" s="240" t="n"/>
      <c r="AD1220" s="241" t="n"/>
      <c r="AE1220" t="n">
        <v>1.9</v>
      </c>
    </row>
    <row r="1221">
      <c r="B1221" s="42" t="n">
        <v>245</v>
      </c>
      <c r="C1221" s="118">
        <f>INDIRECT("'Закуп'!A" &amp; B1221)</f>
        <v/>
      </c>
      <c r="D1221" s="119">
        <f>C1221*1.2</f>
        <v/>
      </c>
      <c r="G1221" s="172">
        <f>IF(INDIRECT("'Закуп'!L" &amp; B1221)="Sale","Sale","")</f>
        <v/>
      </c>
      <c r="H1221" s="158">
        <f>IF(INDIRECT("'Закуп'!F" &amp; B1221)=0,"",INDIRECT("'Закуп'!F" &amp; B1221))</f>
        <v/>
      </c>
      <c r="I1221" s="120" t="n">
        <v>1000</v>
      </c>
      <c r="J1221" s="121">
        <f>K1221/1.2</f>
        <v/>
      </c>
      <c r="K1221" s="242" t="n">
        <v>2.43</v>
      </c>
      <c r="L1221" s="122">
        <f>J1221-C1221-(J1221-C1221)*0.2</f>
        <v/>
      </c>
      <c r="M1221" s="123">
        <f>L1221*I1221</f>
        <v/>
      </c>
      <c r="N1221" s="124" t="inlineStr">
        <is>
          <t xml:space="preserve">1000 + шт - </t>
        </is>
      </c>
      <c r="O1221" s="47" t="inlineStr">
        <is>
          <t xml:space="preserve"> руб / шт с НДС</t>
        </is>
      </c>
      <c r="P1221" s="125">
        <f>ROUND(K1221,2)</f>
        <v/>
      </c>
      <c r="Q1221" s="207">
        <f>CONCATENATE(N1221,P1221,O1221,)</f>
        <v/>
      </c>
      <c r="R1221" s="240" t="n"/>
      <c r="T1221" s="241" t="n"/>
      <c r="U1221" s="240" t="n"/>
      <c r="V1221" s="241" t="n"/>
      <c r="Z1221" s="240" t="n"/>
      <c r="AB1221" s="241" t="n"/>
      <c r="AC1221" s="240" t="n"/>
      <c r="AD1221" s="241" t="n"/>
      <c r="AE1221" t="n">
        <v>1.82</v>
      </c>
    </row>
    <row r="1222">
      <c r="A1222" s="232" t="n">
        <v>246</v>
      </c>
      <c r="B1222" s="42" t="n">
        <v>246</v>
      </c>
      <c r="C1222" s="118">
        <f>INDIRECT("'Закуп'!A" &amp; B1222)</f>
        <v/>
      </c>
      <c r="D1222" s="119">
        <f>C1222*1.2</f>
        <v/>
      </c>
      <c r="E1222" s="224">
        <f>INDIRECT("'Закуп'!D" &amp; A1222)</f>
        <v/>
      </c>
      <c r="F1222" s="231">
        <f>INDIRECT("'Закуп'!E" &amp; B1222)</f>
        <v/>
      </c>
      <c r="G1222" s="172">
        <f>IF(INDIRECT("'Закуп'!L" &amp; B1222)="Sale","Sale","")</f>
        <v/>
      </c>
      <c r="H1222" s="158">
        <f>IF(INDIRECT("'Закуп'!F" &amp; B1222)=0,"",INDIRECT("'Закуп'!F" &amp; B1222))</f>
        <v/>
      </c>
      <c r="I1222" s="120" t="n">
        <v>50</v>
      </c>
      <c r="J1222" s="121">
        <f>K1222/1.2</f>
        <v/>
      </c>
      <c r="K1222" s="70" t="n">
        <v>2.26</v>
      </c>
      <c r="L1222" s="122">
        <f>J1222-C1222-(J1222-C1222)*0.2</f>
        <v/>
      </c>
      <c r="M1222" s="123">
        <f>L1222*I1222</f>
        <v/>
      </c>
      <c r="N1222" s="124" t="inlineStr">
        <is>
          <t xml:space="preserve">50-90 шт - </t>
        </is>
      </c>
      <c r="O1222" s="47" t="inlineStr">
        <is>
          <t xml:space="preserve"> руб / шт с НДС</t>
        </is>
      </c>
      <c r="P1222" s="125">
        <f>ROUND(K1222,2)</f>
        <v/>
      </c>
      <c r="Q1222" s="207">
        <f>CONCATENATE(N1222,P1222,O1222,)</f>
        <v/>
      </c>
      <c r="R1222" s="235">
        <f>INDIRECT("'Закуп'!k" &amp; A1222)</f>
        <v/>
      </c>
      <c r="S1222" s="239">
        <f>INDIRECT("'Закуп'!o" &amp; A1222)</f>
        <v/>
      </c>
      <c r="T1222" s="226">
        <f>INDIRECT("'Закуп'!p" &amp; A1222)</f>
        <v/>
      </c>
      <c r="U1222" s="235">
        <f>INDIRECT("'Закуп'!v" &amp; A1222)</f>
        <v/>
      </c>
      <c r="V1222" s="222">
        <f>INDIRECT("'Закуп'!w" &amp; A1222)</f>
        <v/>
      </c>
      <c r="W1222" s="229">
        <f>INDIRECT("'Закуп'!H" &amp; A1222)</f>
        <v/>
      </c>
      <c r="X1222" s="237">
        <f>INDIRECT("'Закуп'!g" &amp; A1222)</f>
        <v/>
      </c>
      <c r="Y1222" s="229">
        <f>INDIRECT("'Закуп'!i" &amp; A1222)</f>
        <v/>
      </c>
      <c r="Z1222" s="236">
        <f>INDIRECT("'Закуп'!x" &amp; A1222)</f>
        <v/>
      </c>
      <c r="AA1222" s="237">
        <f>INDIRECT("'Закуп'!y" &amp; A1222)</f>
        <v/>
      </c>
      <c r="AB1222" s="238">
        <f>INDIRECT("'Закуп'!z" &amp; A1222)</f>
        <v/>
      </c>
      <c r="AC1222" s="223">
        <f>SUBSTITUTE(INDEX(F:F, ROUNDUP((ROW(A1221))/5,0)*5 - 3), "х", "x")</f>
        <v/>
      </c>
      <c r="AD1222" s="222">
        <f>SUBSTITUTE(INDEX(F:F, ROUNDUP((ROW(A1221))/5,0)*5 - 3), "х", "x") &amp; " - " &amp; SUBSTITUTE(SUBSTITUTE(INDEX(F:F, ROUNDUP((ROW(A1221))/5,0)*5 - 3), "х", "*"), "x", "*") &amp; " мм"</f>
        <v/>
      </c>
    </row>
    <row r="1223">
      <c r="B1223" s="42" t="n">
        <v>246</v>
      </c>
      <c r="C1223" s="118">
        <f>INDIRECT("'Закуп'!A" &amp; B1223)</f>
        <v/>
      </c>
      <c r="D1223" s="119">
        <f>C1223*1.2</f>
        <v/>
      </c>
      <c r="G1223" s="172">
        <f>IF(INDIRECT("'Закуп'!L" &amp; B1223)="Sale","Sale","")</f>
        <v/>
      </c>
      <c r="H1223" s="158">
        <f>IF(INDIRECT("'Закуп'!F" &amp; B1223)=0,"",INDIRECT("'Закуп'!F" &amp; B1223))</f>
        <v/>
      </c>
      <c r="I1223" s="120" t="n">
        <v>100</v>
      </c>
      <c r="J1223" s="121">
        <f>K1223/1.2</f>
        <v/>
      </c>
      <c r="K1223" s="70" t="n">
        <v>2.05</v>
      </c>
      <c r="L1223" s="122">
        <f>J1223-C1223-(J1223-C1223)*0.2</f>
        <v/>
      </c>
      <c r="M1223" s="123">
        <f>L1223*I1223</f>
        <v/>
      </c>
      <c r="N1223" s="124" t="inlineStr">
        <is>
          <t xml:space="preserve">100-290 шт - </t>
        </is>
      </c>
      <c r="O1223" s="47" t="inlineStr">
        <is>
          <t xml:space="preserve"> руб / шт с НДС</t>
        </is>
      </c>
      <c r="P1223" s="125">
        <f>ROUND(K1223,2)</f>
        <v/>
      </c>
      <c r="Q1223" s="207">
        <f>CONCATENATE(N1223,P1223,O1223,)</f>
        <v/>
      </c>
      <c r="R1223" s="240" t="n"/>
      <c r="T1223" s="241" t="n"/>
      <c r="U1223" s="240" t="n"/>
      <c r="V1223" s="241" t="n"/>
      <c r="Z1223" s="240" t="n"/>
      <c r="AB1223" s="241" t="n"/>
      <c r="AC1223" s="240" t="n"/>
      <c r="AD1223" s="241" t="n"/>
    </row>
    <row r="1224">
      <c r="B1224" s="42" t="n">
        <v>246</v>
      </c>
      <c r="C1224" s="118">
        <f>INDIRECT("'Закуп'!A" &amp; B1224)</f>
        <v/>
      </c>
      <c r="D1224" s="119">
        <f>C1224*1.2</f>
        <v/>
      </c>
      <c r="G1224" s="172">
        <f>IF(INDIRECT("'Закуп'!L" &amp; B1224)="Sale","Sale","")</f>
        <v/>
      </c>
      <c r="H1224" s="158">
        <f>IF(INDIRECT("'Закуп'!F" &amp; B1224)=0,"",INDIRECT("'Закуп'!F" &amp; B1224))</f>
        <v/>
      </c>
      <c r="I1224" s="120" t="n">
        <v>300</v>
      </c>
      <c r="J1224" s="121">
        <f>K1224/1.2</f>
        <v/>
      </c>
      <c r="K1224" s="70" t="n">
        <v>1.61</v>
      </c>
      <c r="L1224" s="122">
        <f>J1224-C1224-(J1224-C1224)*0.2</f>
        <v/>
      </c>
      <c r="M1224" s="123">
        <f>L1224*I1224</f>
        <v/>
      </c>
      <c r="N1224" s="124" t="inlineStr">
        <is>
          <t xml:space="preserve">300-490 шт - </t>
        </is>
      </c>
      <c r="O1224" s="47" t="inlineStr">
        <is>
          <t xml:space="preserve"> руб / шт с НДС</t>
        </is>
      </c>
      <c r="P1224" s="125">
        <f>ROUND(K1224,2)</f>
        <v/>
      </c>
      <c r="Q1224" s="207">
        <f>CONCATENATE(N1224,P1224,O1224,)</f>
        <v/>
      </c>
      <c r="R1224" s="240" t="n"/>
      <c r="T1224" s="241" t="n"/>
      <c r="U1224" s="240" t="n"/>
      <c r="V1224" s="241" t="n"/>
      <c r="Z1224" s="240" t="n"/>
      <c r="AB1224" s="241" t="n"/>
      <c r="AC1224" s="240" t="n"/>
      <c r="AD1224" s="241" t="n"/>
    </row>
    <row r="1225">
      <c r="B1225" s="42" t="n">
        <v>246</v>
      </c>
      <c r="C1225" s="118">
        <f>INDIRECT("'Закуп'!A" &amp; B1225)</f>
        <v/>
      </c>
      <c r="D1225" s="119">
        <f>C1225*1.2</f>
        <v/>
      </c>
      <c r="G1225" s="172">
        <f>IF(INDIRECT("'Закуп'!L" &amp; B1225)="Sale","Sale","")</f>
        <v/>
      </c>
      <c r="H1225" s="158">
        <f>IF(INDIRECT("'Закуп'!F" &amp; B1225)=0,"",INDIRECT("'Закуп'!F" &amp; B1225))</f>
        <v/>
      </c>
      <c r="I1225" s="120" t="n">
        <v>500</v>
      </c>
      <c r="J1225" s="121">
        <f>K1225/1.2</f>
        <v/>
      </c>
      <c r="K1225" s="70" t="n">
        <v>1.39</v>
      </c>
      <c r="L1225" s="122">
        <f>J1225-C1225-(J1225-C1225)*0.2</f>
        <v/>
      </c>
      <c r="M1225" s="123">
        <f>L1225*I1225</f>
        <v/>
      </c>
      <c r="N1225" s="124" t="inlineStr">
        <is>
          <t xml:space="preserve">500-990 шт - </t>
        </is>
      </c>
      <c r="O1225" s="47" t="inlineStr">
        <is>
          <t xml:space="preserve"> руб / шт с НДС</t>
        </is>
      </c>
      <c r="P1225" s="125">
        <f>ROUND(K1225,2)</f>
        <v/>
      </c>
      <c r="Q1225" s="207">
        <f>CONCATENATE(N1225,P1225,O1225,)</f>
        <v/>
      </c>
      <c r="R1225" s="240" t="n"/>
      <c r="T1225" s="241" t="n"/>
      <c r="U1225" s="240" t="n"/>
      <c r="V1225" s="241" t="n"/>
      <c r="Z1225" s="240" t="n"/>
      <c r="AB1225" s="241" t="n"/>
      <c r="AC1225" s="240" t="n"/>
      <c r="AD1225" s="241" t="n"/>
    </row>
    <row r="1226">
      <c r="B1226" s="42" t="n">
        <v>246</v>
      </c>
      <c r="C1226" s="118">
        <f>INDIRECT("'Закуп'!A" &amp; B1226)</f>
        <v/>
      </c>
      <c r="D1226" s="119">
        <f>C1226*1.2</f>
        <v/>
      </c>
      <c r="G1226" s="172">
        <f>IF(INDIRECT("'Закуп'!L" &amp; B1226)="Sale","Sale","")</f>
        <v/>
      </c>
      <c r="H1226" s="158">
        <f>IF(INDIRECT("'Закуп'!F" &amp; B1226)=0,"",INDIRECT("'Закуп'!F" &amp; B1226))</f>
        <v/>
      </c>
      <c r="I1226" s="120" t="n">
        <v>1000</v>
      </c>
      <c r="J1226" s="121">
        <f>K1226/1.2</f>
        <v/>
      </c>
      <c r="K1226" s="70" t="n">
        <v>1.29</v>
      </c>
      <c r="L1226" s="122">
        <f>J1226-C1226-(J1226-C1226)*0.2</f>
        <v/>
      </c>
      <c r="M1226" s="123">
        <f>L1226*I1226</f>
        <v/>
      </c>
      <c r="N1226" s="124" t="inlineStr">
        <is>
          <t xml:space="preserve">1000 + шт - </t>
        </is>
      </c>
      <c r="O1226" s="47" t="inlineStr">
        <is>
          <t xml:space="preserve"> руб / шт с НДС</t>
        </is>
      </c>
      <c r="P1226" s="125">
        <f>ROUND(K1226,2)</f>
        <v/>
      </c>
      <c r="Q1226" s="207">
        <f>CONCATENATE(N1226,P1226,O1226,)</f>
        <v/>
      </c>
      <c r="R1226" s="240" t="n"/>
      <c r="T1226" s="241" t="n"/>
      <c r="U1226" s="240" t="n"/>
      <c r="V1226" s="241" t="n"/>
      <c r="Z1226" s="240" t="n"/>
      <c r="AB1226" s="241" t="n"/>
      <c r="AC1226" s="240" t="n"/>
      <c r="AD1226" s="241" t="n"/>
    </row>
    <row r="1227">
      <c r="A1227" s="232" t="n">
        <v>247</v>
      </c>
      <c r="B1227" s="42" t="n">
        <v>247</v>
      </c>
      <c r="C1227" s="118">
        <f>INDIRECT("'Закуп'!A" &amp; B1227)</f>
        <v/>
      </c>
      <c r="D1227" s="119">
        <f>C1227*1.2</f>
        <v/>
      </c>
      <c r="E1227" s="224">
        <f>INDIRECT("'Закуп'!D" &amp; A1227)</f>
        <v/>
      </c>
      <c r="F1227" s="231">
        <f>INDIRECT("'Закуп'!E" &amp; B1227)</f>
        <v/>
      </c>
      <c r="G1227" s="172">
        <f>IF(INDIRECT("'Закуп'!L" &amp; B1227)="Sale","Sale","")</f>
        <v/>
      </c>
      <c r="H1227" s="158">
        <f>IF(INDIRECT("'Закуп'!F" &amp; B1227)=0,"",INDIRECT("'Закуп'!F" &amp; B1227))</f>
        <v/>
      </c>
      <c r="I1227" s="120" t="n">
        <v>50</v>
      </c>
      <c r="J1227" s="121">
        <f>K1227/1.2</f>
        <v/>
      </c>
      <c r="K1227" s="70" t="n">
        <v>2.97</v>
      </c>
      <c r="L1227" s="122">
        <f>J1227-C1227-(J1227-C1227)*0.2</f>
        <v/>
      </c>
      <c r="M1227" s="123">
        <f>L1227*I1227</f>
        <v/>
      </c>
      <c r="N1227" s="124" t="inlineStr">
        <is>
          <t xml:space="preserve">50-90 шт - </t>
        </is>
      </c>
      <c r="O1227" s="47" t="inlineStr">
        <is>
          <t xml:space="preserve"> руб / шт с НДС</t>
        </is>
      </c>
      <c r="P1227" s="125">
        <f>ROUND(K1227,2)</f>
        <v/>
      </c>
      <c r="Q1227" s="207">
        <f>CONCATENATE(N1227,P1227,O1227,)</f>
        <v/>
      </c>
      <c r="R1227" s="235">
        <f>INDIRECT("'Закуп'!k" &amp; A1227)</f>
        <v/>
      </c>
      <c r="S1227" s="239">
        <f>INDIRECT("'Закуп'!o" &amp; A1227)</f>
        <v/>
      </c>
      <c r="T1227" s="226">
        <f>INDIRECT("'Закуп'!p" &amp; A1227)</f>
        <v/>
      </c>
      <c r="U1227" s="235">
        <f>INDIRECT("'Закуп'!v" &amp; A1227)</f>
        <v/>
      </c>
      <c r="V1227" s="222">
        <f>INDIRECT("'Закуп'!w" &amp; A1227)</f>
        <v/>
      </c>
      <c r="W1227" s="229">
        <f>INDIRECT("'Закуп'!H" &amp; A1227)</f>
        <v/>
      </c>
      <c r="X1227" s="237">
        <f>INDIRECT("'Закуп'!g" &amp; A1227)</f>
        <v/>
      </c>
      <c r="Y1227" s="229">
        <f>INDIRECT("'Закуп'!i" &amp; A1227)</f>
        <v/>
      </c>
      <c r="Z1227" s="236">
        <f>INDIRECT("'Закуп'!x" &amp; A1227)</f>
        <v/>
      </c>
      <c r="AA1227" s="237">
        <f>INDIRECT("'Закуп'!y" &amp; A1227)</f>
        <v/>
      </c>
      <c r="AB1227" s="238">
        <f>INDIRECT("'Закуп'!z" &amp; A1227)</f>
        <v/>
      </c>
      <c r="AC1227" s="223">
        <f>SUBSTITUTE(INDEX(F:F, ROUNDUP((ROW(A1226))/5,0)*5 - 3), "х", "x")</f>
        <v/>
      </c>
      <c r="AD1227" s="222">
        <f>SUBSTITUTE(INDEX(F:F, ROUNDUP((ROW(A1226))/5,0)*5 - 3), "х", "x") &amp; " - " &amp; SUBSTITUTE(SUBSTITUTE(INDEX(F:F, ROUNDUP((ROW(A1226))/5,0)*5 - 3), "х", "*"), "x", "*") &amp; " мм"</f>
        <v/>
      </c>
    </row>
    <row r="1228">
      <c r="B1228" s="42" t="n">
        <v>247</v>
      </c>
      <c r="C1228" s="118">
        <f>INDIRECT("'Закуп'!A" &amp; B1228)</f>
        <v/>
      </c>
      <c r="D1228" s="119">
        <f>C1228*1.2</f>
        <v/>
      </c>
      <c r="G1228" s="172">
        <f>IF(INDIRECT("'Закуп'!L" &amp; B1228)="Sale","Sale","")</f>
        <v/>
      </c>
      <c r="H1228" s="158">
        <f>IF(INDIRECT("'Закуп'!F" &amp; B1228)=0,"",INDIRECT("'Закуп'!F" &amp; B1228))</f>
        <v/>
      </c>
      <c r="I1228" s="120" t="n">
        <v>100</v>
      </c>
      <c r="J1228" s="121">
        <f>K1228/1.2</f>
        <v/>
      </c>
      <c r="K1228" s="70" t="n">
        <v>2.39</v>
      </c>
      <c r="L1228" s="122">
        <f>J1228-C1228-(J1228-C1228)*0.2</f>
        <v/>
      </c>
      <c r="M1228" s="123">
        <f>L1228*I1228</f>
        <v/>
      </c>
      <c r="N1228" s="124" t="inlineStr">
        <is>
          <t xml:space="preserve">100-290 шт - </t>
        </is>
      </c>
      <c r="O1228" s="47" t="inlineStr">
        <is>
          <t xml:space="preserve"> руб / шт с НДС</t>
        </is>
      </c>
      <c r="P1228" s="125">
        <f>ROUND(K1228,2)</f>
        <v/>
      </c>
      <c r="Q1228" s="207">
        <f>CONCATENATE(N1228,P1228,O1228,)</f>
        <v/>
      </c>
      <c r="R1228" s="240" t="n"/>
      <c r="T1228" s="241" t="n"/>
      <c r="U1228" s="240" t="n"/>
      <c r="V1228" s="241" t="n"/>
      <c r="Z1228" s="240" t="n"/>
      <c r="AB1228" s="241" t="n"/>
      <c r="AC1228" s="240" t="n"/>
      <c r="AD1228" s="241" t="n"/>
    </row>
    <row r="1229">
      <c r="B1229" s="42" t="n">
        <v>247</v>
      </c>
      <c r="C1229" s="118">
        <f>INDIRECT("'Закуп'!A" &amp; B1229)</f>
        <v/>
      </c>
      <c r="D1229" s="119">
        <f>C1229*1.2</f>
        <v/>
      </c>
      <c r="G1229" s="172">
        <f>IF(INDIRECT("'Закуп'!L" &amp; B1229)="Sale","Sale","")</f>
        <v/>
      </c>
      <c r="H1229" s="158">
        <f>IF(INDIRECT("'Закуп'!F" &amp; B1229)=0,"",INDIRECT("'Закуп'!F" &amp; B1229))</f>
        <v/>
      </c>
      <c r="I1229" s="120" t="n">
        <v>300</v>
      </c>
      <c r="J1229" s="121">
        <f>K1229/1.2</f>
        <v/>
      </c>
      <c r="K1229" s="70" t="n">
        <v>2.17</v>
      </c>
      <c r="L1229" s="122">
        <f>J1229-C1229-(J1229-C1229)*0.2</f>
        <v/>
      </c>
      <c r="M1229" s="123">
        <f>L1229*I1229</f>
        <v/>
      </c>
      <c r="N1229" s="124" t="inlineStr">
        <is>
          <t xml:space="preserve">300-490 шт - </t>
        </is>
      </c>
      <c r="O1229" s="47" t="inlineStr">
        <is>
          <t xml:space="preserve"> руб / шт с НДС</t>
        </is>
      </c>
      <c r="P1229" s="125">
        <f>ROUND(K1229,2)</f>
        <v/>
      </c>
      <c r="Q1229" s="207">
        <f>CONCATENATE(N1229,P1229,O1229,)</f>
        <v/>
      </c>
      <c r="R1229" s="240" t="n"/>
      <c r="T1229" s="241" t="n"/>
      <c r="U1229" s="240" t="n"/>
      <c r="V1229" s="241" t="n"/>
      <c r="Z1229" s="240" t="n"/>
      <c r="AB1229" s="241" t="n"/>
      <c r="AC1229" s="240" t="n"/>
      <c r="AD1229" s="241" t="n"/>
    </row>
    <row r="1230">
      <c r="B1230" s="42" t="n">
        <v>247</v>
      </c>
      <c r="C1230" s="118">
        <f>INDIRECT("'Закуп'!A" &amp; B1230)</f>
        <v/>
      </c>
      <c r="D1230" s="119">
        <f>C1230*1.2</f>
        <v/>
      </c>
      <c r="G1230" s="172">
        <f>IF(INDIRECT("'Закуп'!L" &amp; B1230)="Sale","Sale","")</f>
        <v/>
      </c>
      <c r="H1230" s="158">
        <f>IF(INDIRECT("'Закуп'!F" &amp; B1230)=0,"",INDIRECT("'Закуп'!F" &amp; B1230))</f>
        <v/>
      </c>
      <c r="I1230" s="120" t="n">
        <v>500</v>
      </c>
      <c r="J1230" s="121">
        <f>K1230/1.2</f>
        <v/>
      </c>
      <c r="K1230" s="70" t="n">
        <v>1.94</v>
      </c>
      <c r="L1230" s="122">
        <f>J1230-C1230-(J1230-C1230)*0.2</f>
        <v/>
      </c>
      <c r="M1230" s="123">
        <f>L1230*I1230</f>
        <v/>
      </c>
      <c r="N1230" s="124" t="inlineStr">
        <is>
          <t xml:space="preserve">500-990 шт - </t>
        </is>
      </c>
      <c r="O1230" s="47" t="inlineStr">
        <is>
          <t xml:space="preserve"> руб / шт с НДС</t>
        </is>
      </c>
      <c r="P1230" s="125">
        <f>ROUND(K1230,2)</f>
        <v/>
      </c>
      <c r="Q1230" s="207">
        <f>CONCATENATE(N1230,P1230,O1230,)</f>
        <v/>
      </c>
      <c r="R1230" s="240" t="n"/>
      <c r="T1230" s="241" t="n"/>
      <c r="U1230" s="240" t="n"/>
      <c r="V1230" s="241" t="n"/>
      <c r="Z1230" s="240" t="n"/>
      <c r="AB1230" s="241" t="n"/>
      <c r="AC1230" s="240" t="n"/>
      <c r="AD1230" s="241" t="n"/>
    </row>
    <row r="1231">
      <c r="B1231" s="42" t="n">
        <v>247</v>
      </c>
      <c r="C1231" s="118">
        <f>INDIRECT("'Закуп'!A" &amp; B1231)</f>
        <v/>
      </c>
      <c r="D1231" s="119">
        <f>C1231*1.2</f>
        <v/>
      </c>
      <c r="G1231" s="172">
        <f>IF(INDIRECT("'Закуп'!L" &amp; B1231)="Sale","Sale","")</f>
        <v/>
      </c>
      <c r="H1231" s="158">
        <f>IF(INDIRECT("'Закуп'!F" &amp; B1231)=0,"",INDIRECT("'Закуп'!F" &amp; B1231))</f>
        <v/>
      </c>
      <c r="I1231" s="120" t="n">
        <v>1000</v>
      </c>
      <c r="J1231" s="121">
        <f>K1231/1.2</f>
        <v/>
      </c>
      <c r="K1231" s="70" t="n">
        <v>1.85</v>
      </c>
      <c r="L1231" s="122">
        <f>J1231-C1231-(J1231-C1231)*0.2</f>
        <v/>
      </c>
      <c r="M1231" s="123">
        <f>L1231*I1231</f>
        <v/>
      </c>
      <c r="N1231" s="124" t="inlineStr">
        <is>
          <t xml:space="preserve">1000 + шт - </t>
        </is>
      </c>
      <c r="O1231" s="47" t="inlineStr">
        <is>
          <t xml:space="preserve"> руб / шт с НДС</t>
        </is>
      </c>
      <c r="P1231" s="125">
        <f>ROUND(K1231,2)</f>
        <v/>
      </c>
      <c r="Q1231" s="207">
        <f>CONCATENATE(N1231,P1231,O1231,)</f>
        <v/>
      </c>
      <c r="R1231" s="240" t="n"/>
      <c r="T1231" s="241" t="n"/>
      <c r="U1231" s="240" t="n"/>
      <c r="V1231" s="241" t="n"/>
      <c r="Z1231" s="240" t="n"/>
      <c r="AB1231" s="241" t="n"/>
      <c r="AC1231" s="240" t="n"/>
      <c r="AD1231" s="241" t="n"/>
    </row>
    <row r="1232">
      <c r="A1232" s="232" t="n">
        <v>248</v>
      </c>
      <c r="B1232" s="42" t="n">
        <v>248</v>
      </c>
      <c r="C1232" s="118">
        <f>INDIRECT("'Закуп'!A" &amp; B1232)</f>
        <v/>
      </c>
      <c r="D1232" s="119">
        <f>C1232*1.2</f>
        <v/>
      </c>
      <c r="E1232" s="224">
        <f>INDIRECT("'Закуп'!D" &amp; A1232)</f>
        <v/>
      </c>
      <c r="F1232" s="231">
        <f>INDIRECT("'Закуп'!E" &amp; B1232)</f>
        <v/>
      </c>
      <c r="G1232" s="172">
        <f>IF(INDIRECT("'Закуп'!L" &amp; B1232)="Sale","Sale","")</f>
        <v/>
      </c>
      <c r="H1232" s="158">
        <f>IF(INDIRECT("'Закуп'!F" &amp; B1232)=0,"",INDIRECT("'Закуп'!F" &amp; B1232))</f>
        <v/>
      </c>
      <c r="I1232" s="120" t="n">
        <v>50</v>
      </c>
      <c r="J1232" s="121">
        <f>K1232/1.2</f>
        <v/>
      </c>
      <c r="K1232" s="70" t="n">
        <v>2.35</v>
      </c>
      <c r="L1232" s="122">
        <f>J1232-C1232-(J1232-C1232)*0.2</f>
        <v/>
      </c>
      <c r="M1232" s="123">
        <f>L1232*I1232</f>
        <v/>
      </c>
      <c r="N1232" s="124" t="inlineStr">
        <is>
          <t xml:space="preserve">50-90 шт - </t>
        </is>
      </c>
      <c r="O1232" s="47" t="inlineStr">
        <is>
          <t xml:space="preserve"> руб / шт с НДС</t>
        </is>
      </c>
      <c r="P1232" s="125">
        <f>ROUND(K1232,2)</f>
        <v/>
      </c>
      <c r="Q1232" s="207">
        <f>CONCATENATE(N1232,P1232,O1232,)</f>
        <v/>
      </c>
      <c r="R1232" s="235">
        <f>INDIRECT("'Закуп'!k" &amp; A1232)</f>
        <v/>
      </c>
      <c r="S1232" s="239">
        <f>INDIRECT("'Закуп'!o" &amp; A1232)</f>
        <v/>
      </c>
      <c r="T1232" s="226">
        <f>INDIRECT("'Закуп'!p" &amp; A1232)</f>
        <v/>
      </c>
      <c r="U1232" s="235">
        <f>INDIRECT("'Закуп'!v" &amp; A1232)</f>
        <v/>
      </c>
      <c r="V1232" s="222">
        <f>INDIRECT("'Закуп'!w" &amp; A1232)</f>
        <v/>
      </c>
      <c r="W1232" s="229">
        <f>INDIRECT("'Закуп'!H" &amp; A1232)</f>
        <v/>
      </c>
      <c r="X1232" s="237">
        <f>INDIRECT("'Закуп'!g" &amp; A1232)</f>
        <v/>
      </c>
      <c r="Y1232" s="229">
        <f>INDIRECT("'Закуп'!i" &amp; A1232)</f>
        <v/>
      </c>
      <c r="Z1232" s="236">
        <f>INDIRECT("'Закуп'!x" &amp; A1232)</f>
        <v/>
      </c>
      <c r="AA1232" s="237">
        <f>INDIRECT("'Закуп'!y" &amp; A1232)</f>
        <v/>
      </c>
      <c r="AB1232" s="238">
        <f>INDIRECT("'Закуп'!z" &amp; A1232)</f>
        <v/>
      </c>
      <c r="AC1232" s="223">
        <f>SUBSTITUTE(INDEX(F:F, ROUNDUP((ROW(A1231))/5,0)*5 - 3), "х", "x")</f>
        <v/>
      </c>
      <c r="AD1232" s="222">
        <f>SUBSTITUTE(INDEX(F:F, ROUNDUP((ROW(A1231))/5,0)*5 - 3), "х", "x") &amp; " - " &amp; SUBSTITUTE(SUBSTITUTE(INDEX(F:F, ROUNDUP((ROW(A1231))/5,0)*5 - 3), "х", "*"), "x", "*") &amp; " мм"</f>
        <v/>
      </c>
    </row>
    <row r="1233">
      <c r="B1233" s="42" t="n">
        <v>248</v>
      </c>
      <c r="C1233" s="118">
        <f>INDIRECT("'Закуп'!A" &amp; B1233)</f>
        <v/>
      </c>
      <c r="D1233" s="119">
        <f>C1233*1.2</f>
        <v/>
      </c>
      <c r="G1233" s="172">
        <f>IF(INDIRECT("'Закуп'!L" &amp; B1233)="Sale","Sale","")</f>
        <v/>
      </c>
      <c r="H1233" s="158">
        <f>IF(INDIRECT("'Закуп'!F" &amp; B1233)=0,"",INDIRECT("'Закуп'!F" &amp; B1233))</f>
        <v/>
      </c>
      <c r="I1233" s="120" t="n">
        <v>100</v>
      </c>
      <c r="J1233" s="121">
        <f>K1233/1.2</f>
        <v/>
      </c>
      <c r="K1233" s="70" t="n">
        <v>2.03</v>
      </c>
      <c r="L1233" s="122">
        <f>J1233-C1233-(J1233-C1233)*0.2</f>
        <v/>
      </c>
      <c r="M1233" s="123">
        <f>L1233*I1233</f>
        <v/>
      </c>
      <c r="N1233" s="124" t="inlineStr">
        <is>
          <t xml:space="preserve">100-290 шт - </t>
        </is>
      </c>
      <c r="O1233" s="47" t="inlineStr">
        <is>
          <t xml:space="preserve"> руб / шт с НДС</t>
        </is>
      </c>
      <c r="P1233" s="125">
        <f>ROUND(K1233,2)</f>
        <v/>
      </c>
      <c r="Q1233" s="207">
        <f>CONCATENATE(N1233,P1233,O1233,)</f>
        <v/>
      </c>
      <c r="R1233" s="240" t="n"/>
      <c r="T1233" s="241" t="n"/>
      <c r="U1233" s="240" t="n"/>
      <c r="V1233" s="241" t="n"/>
      <c r="Z1233" s="240" t="n"/>
      <c r="AB1233" s="241" t="n"/>
      <c r="AC1233" s="240" t="n"/>
      <c r="AD1233" s="241" t="n"/>
    </row>
    <row r="1234">
      <c r="B1234" s="42" t="n">
        <v>248</v>
      </c>
      <c r="C1234" s="118">
        <f>INDIRECT("'Закуп'!A" &amp; B1234)</f>
        <v/>
      </c>
      <c r="D1234" s="119">
        <f>C1234*1.2</f>
        <v/>
      </c>
      <c r="G1234" s="172">
        <f>IF(INDIRECT("'Закуп'!L" &amp; B1234)="Sale","Sale","")</f>
        <v/>
      </c>
      <c r="H1234" s="158">
        <f>IF(INDIRECT("'Закуп'!F" &amp; B1234)=0,"",INDIRECT("'Закуп'!F" &amp; B1234))</f>
        <v/>
      </c>
      <c r="I1234" s="120" t="n">
        <v>300</v>
      </c>
      <c r="J1234" s="121">
        <f>K1234/1.2</f>
        <v/>
      </c>
      <c r="K1234" s="70" t="n">
        <v>1.82</v>
      </c>
      <c r="L1234" s="122">
        <f>J1234-C1234-(J1234-C1234)*0.2</f>
        <v/>
      </c>
      <c r="M1234" s="123">
        <f>L1234*I1234</f>
        <v/>
      </c>
      <c r="N1234" s="124" t="inlineStr">
        <is>
          <t xml:space="preserve">300-490 шт - </t>
        </is>
      </c>
      <c r="O1234" s="47" t="inlineStr">
        <is>
          <t xml:space="preserve"> руб / шт с НДС</t>
        </is>
      </c>
      <c r="P1234" s="125">
        <f>ROUND(K1234,2)</f>
        <v/>
      </c>
      <c r="Q1234" s="207">
        <f>CONCATENATE(N1234,P1234,O1234,)</f>
        <v/>
      </c>
      <c r="R1234" s="240" t="n"/>
      <c r="T1234" s="241" t="n"/>
      <c r="U1234" s="240" t="n"/>
      <c r="V1234" s="241" t="n"/>
      <c r="Z1234" s="240" t="n"/>
      <c r="AB1234" s="241" t="n"/>
      <c r="AC1234" s="240" t="n"/>
      <c r="AD1234" s="241" t="n"/>
    </row>
    <row r="1235">
      <c r="B1235" s="42" t="n">
        <v>248</v>
      </c>
      <c r="C1235" s="118">
        <f>INDIRECT("'Закуп'!A" &amp; B1235)</f>
        <v/>
      </c>
      <c r="D1235" s="119">
        <f>C1235*1.2</f>
        <v/>
      </c>
      <c r="G1235" s="172">
        <f>IF(INDIRECT("'Закуп'!L" &amp; B1235)="Sale","Sale","")</f>
        <v/>
      </c>
      <c r="H1235" s="158">
        <f>IF(INDIRECT("'Закуп'!F" &amp; B1235)=0,"",INDIRECT("'Закуп'!F" &amp; B1235))</f>
        <v/>
      </c>
      <c r="I1235" s="120" t="n">
        <v>500</v>
      </c>
      <c r="J1235" s="121">
        <f>K1235/1.2</f>
        <v/>
      </c>
      <c r="K1235" s="70" t="n">
        <v>1.71</v>
      </c>
      <c r="L1235" s="122">
        <f>J1235-C1235-(J1235-C1235)*0.2</f>
        <v/>
      </c>
      <c r="M1235" s="123">
        <f>L1235*I1235</f>
        <v/>
      </c>
      <c r="N1235" s="124" t="inlineStr">
        <is>
          <t xml:space="preserve">500-990 шт - </t>
        </is>
      </c>
      <c r="O1235" s="47" t="inlineStr">
        <is>
          <t xml:space="preserve"> руб / шт с НДС</t>
        </is>
      </c>
      <c r="P1235" s="125">
        <f>ROUND(K1235,2)</f>
        <v/>
      </c>
      <c r="Q1235" s="207">
        <f>CONCATENATE(N1235,P1235,O1235,)</f>
        <v/>
      </c>
      <c r="R1235" s="240" t="n"/>
      <c r="T1235" s="241" t="n"/>
      <c r="U1235" s="240" t="n"/>
      <c r="V1235" s="241" t="n"/>
      <c r="Z1235" s="240" t="n"/>
      <c r="AB1235" s="241" t="n"/>
      <c r="AC1235" s="240" t="n"/>
      <c r="AD1235" s="241" t="n"/>
    </row>
    <row r="1236">
      <c r="B1236" s="42" t="n">
        <v>248</v>
      </c>
      <c r="C1236" s="118">
        <f>INDIRECT("'Закуп'!A" &amp; B1236)</f>
        <v/>
      </c>
      <c r="D1236" s="119">
        <f>C1236*1.2</f>
        <v/>
      </c>
      <c r="G1236" s="172">
        <f>IF(INDIRECT("'Закуп'!L" &amp; B1236)="Sale","Sale","")</f>
        <v/>
      </c>
      <c r="H1236" s="158">
        <f>IF(INDIRECT("'Закуп'!F" &amp; B1236)=0,"",INDIRECT("'Закуп'!F" &amp; B1236))</f>
        <v/>
      </c>
      <c r="I1236" s="120" t="n">
        <v>1000</v>
      </c>
      <c r="J1236" s="121">
        <f>K1236/1.2</f>
        <v/>
      </c>
      <c r="K1236" s="70" t="n">
        <v>1.61</v>
      </c>
      <c r="L1236" s="122">
        <f>J1236-C1236-(J1236-C1236)*0.2</f>
        <v/>
      </c>
      <c r="M1236" s="123">
        <f>L1236*I1236</f>
        <v/>
      </c>
      <c r="N1236" s="124" t="inlineStr">
        <is>
          <t xml:space="preserve">1000 + шт - </t>
        </is>
      </c>
      <c r="O1236" s="47" t="inlineStr">
        <is>
          <t xml:space="preserve"> руб / шт с НДС</t>
        </is>
      </c>
      <c r="P1236" s="125">
        <f>ROUND(K1236,2)</f>
        <v/>
      </c>
      <c r="Q1236" s="207">
        <f>CONCATENATE(N1236,P1236,O1236,)</f>
        <v/>
      </c>
      <c r="R1236" s="240" t="n"/>
      <c r="T1236" s="241" t="n"/>
      <c r="U1236" s="240" t="n"/>
      <c r="V1236" s="241" t="n"/>
      <c r="Z1236" s="240" t="n"/>
      <c r="AB1236" s="241" t="n"/>
      <c r="AC1236" s="240" t="n"/>
      <c r="AD1236" s="241" t="n"/>
    </row>
    <row r="1237">
      <c r="A1237" s="232" t="n">
        <v>249</v>
      </c>
      <c r="B1237" s="42" t="n">
        <v>249</v>
      </c>
      <c r="C1237" s="118">
        <f>INDIRECT("'Закуп'!A" &amp; B1237)</f>
        <v/>
      </c>
      <c r="D1237" s="119">
        <f>C1237*1.2</f>
        <v/>
      </c>
      <c r="E1237" s="225">
        <f>INDIRECT("'Закуп'!D" &amp; A1237)</f>
        <v/>
      </c>
      <c r="F1237" s="231">
        <f>INDIRECT("'Закуп'!E" &amp; B1237)</f>
        <v/>
      </c>
      <c r="G1237" s="172">
        <f>IF(INDIRECT("'Закуп'!L" &amp; B1237)="Sale","Sale","")</f>
        <v/>
      </c>
      <c r="H1237" s="158">
        <f>IF(INDIRECT("'Закуп'!F" &amp; B1237)=0,"",INDIRECT("'Закуп'!F" &amp; B1237))</f>
        <v/>
      </c>
      <c r="I1237" s="120" t="n">
        <v>50</v>
      </c>
      <c r="J1237" s="121">
        <f>K1237/1.2</f>
        <v/>
      </c>
      <c r="K1237" s="242" t="n">
        <v>2.39</v>
      </c>
      <c r="L1237" s="122">
        <f>J1237-C1237-(J1237-C1237)*0.2</f>
        <v/>
      </c>
      <c r="M1237" s="123">
        <f>L1237*I1237</f>
        <v/>
      </c>
      <c r="N1237" s="124" t="inlineStr">
        <is>
          <t xml:space="preserve">50-90 шт - </t>
        </is>
      </c>
      <c r="O1237" s="47" t="inlineStr">
        <is>
          <t xml:space="preserve"> руб / шт с НДС</t>
        </is>
      </c>
      <c r="P1237" s="125">
        <f>ROUND(K1237,2)</f>
        <v/>
      </c>
      <c r="Q1237" s="207">
        <f>CONCATENATE(N1237,P1237,O1237,)</f>
        <v/>
      </c>
      <c r="R1237" s="235">
        <f>INDIRECT("'Закуп'!k" &amp; A1237)</f>
        <v/>
      </c>
      <c r="S1237" s="239">
        <f>INDIRECT("'Закуп'!o" &amp; A1237)</f>
        <v/>
      </c>
      <c r="T1237" s="226">
        <f>INDIRECT("'Закуп'!p" &amp; A1237)</f>
        <v/>
      </c>
      <c r="U1237" s="235">
        <f>INDIRECT("'Закуп'!v" &amp; A1237)</f>
        <v/>
      </c>
      <c r="V1237" s="222">
        <f>INDIRECT("'Закуп'!w" &amp; A1237)</f>
        <v/>
      </c>
      <c r="W1237" s="229">
        <f>INDIRECT("'Закуп'!H" &amp; A1237)</f>
        <v/>
      </c>
      <c r="X1237" s="237">
        <f>INDIRECT("'Закуп'!g" &amp; A1237)</f>
        <v/>
      </c>
      <c r="Y1237" s="229">
        <f>INDIRECT("'Закуп'!i" &amp; A1237)</f>
        <v/>
      </c>
      <c r="Z1237" s="236">
        <f>INDIRECT("'Закуп'!x" &amp; A1237)</f>
        <v/>
      </c>
      <c r="AA1237" s="237">
        <f>INDIRECT("'Закуп'!y" &amp; A1237)</f>
        <v/>
      </c>
      <c r="AB1237" s="238">
        <f>INDIRECT("'Закуп'!z" &amp; A1237)</f>
        <v/>
      </c>
      <c r="AC1237" s="223">
        <f>SUBSTITUTE(INDEX(F:F, ROUNDUP((ROW(A1236))/5,0)*5 - 3), "х", "x")</f>
        <v/>
      </c>
      <c r="AD1237" s="222">
        <f>SUBSTITUTE(INDEX(F:F, ROUNDUP((ROW(A1236))/5,0)*5 - 3), "х", "x") &amp; " - " &amp; SUBSTITUTE(SUBSTITUTE(INDEX(F:F, ROUNDUP((ROW(A1236))/5,0)*5 - 3), "х", "*"), "x", "*") &amp; " мм"</f>
        <v/>
      </c>
      <c r="AE1237" t="n">
        <v>2.7</v>
      </c>
    </row>
    <row r="1238">
      <c r="B1238" s="42" t="n">
        <v>249</v>
      </c>
      <c r="C1238" s="118">
        <f>INDIRECT("'Закуп'!A" &amp; B1238)</f>
        <v/>
      </c>
      <c r="D1238" s="119">
        <f>C1238*1.2</f>
        <v/>
      </c>
      <c r="G1238" s="172">
        <f>IF(INDIRECT("'Закуп'!L" &amp; B1238)="Sale","Sale","")</f>
        <v/>
      </c>
      <c r="H1238" s="158">
        <f>IF(INDIRECT("'Закуп'!F" &amp; B1238)=0,"",INDIRECT("'Закуп'!F" &amp; B1238))</f>
        <v/>
      </c>
      <c r="I1238" s="120" t="n">
        <v>100</v>
      </c>
      <c r="J1238" s="121">
        <f>K1238/1.2</f>
        <v/>
      </c>
      <c r="K1238" s="242" t="n">
        <v>2.05</v>
      </c>
      <c r="L1238" s="122">
        <f>J1238-C1238-(J1238-C1238)*0.2</f>
        <v/>
      </c>
      <c r="M1238" s="123">
        <f>L1238*I1238</f>
        <v/>
      </c>
      <c r="N1238" s="124" t="inlineStr">
        <is>
          <t xml:space="preserve">100-290 шт - </t>
        </is>
      </c>
      <c r="O1238" s="47" t="inlineStr">
        <is>
          <t xml:space="preserve"> руб / шт с НДС</t>
        </is>
      </c>
      <c r="P1238" s="125">
        <f>ROUND(K1238,2)</f>
        <v/>
      </c>
      <c r="Q1238" s="207">
        <f>CONCATENATE(N1238,P1238,O1238,)</f>
        <v/>
      </c>
      <c r="R1238" s="240" t="n"/>
      <c r="T1238" s="241" t="n"/>
      <c r="U1238" s="240" t="n"/>
      <c r="V1238" s="241" t="n"/>
      <c r="Z1238" s="240" t="n"/>
      <c r="AB1238" s="241" t="n"/>
      <c r="AC1238" s="240" t="n"/>
      <c r="AD1238" s="241" t="n"/>
      <c r="AE1238" t="n">
        <v>2.57</v>
      </c>
    </row>
    <row r="1239">
      <c r="B1239" s="42" t="n">
        <v>249</v>
      </c>
      <c r="C1239" s="118">
        <f>INDIRECT("'Закуп'!A" &amp; B1239)</f>
        <v/>
      </c>
      <c r="D1239" s="119">
        <f>C1239*1.2</f>
        <v/>
      </c>
      <c r="G1239" s="172">
        <f>IF(INDIRECT("'Закуп'!L" &amp; B1239)="Sale","Sale","")</f>
        <v/>
      </c>
      <c r="H1239" s="158">
        <f>IF(INDIRECT("'Закуп'!F" &amp; B1239)=0,"",INDIRECT("'Закуп'!F" &amp; B1239))</f>
        <v/>
      </c>
      <c r="I1239" s="120" t="n">
        <v>300</v>
      </c>
      <c r="J1239" s="121">
        <f>K1239/1.2</f>
        <v/>
      </c>
      <c r="K1239" s="242" t="n">
        <v>1.93</v>
      </c>
      <c r="L1239" s="122">
        <f>J1239-C1239-(J1239-C1239)*0.2</f>
        <v/>
      </c>
      <c r="M1239" s="123">
        <f>L1239*I1239</f>
        <v/>
      </c>
      <c r="N1239" s="124" t="inlineStr">
        <is>
          <t xml:space="preserve">300-490 шт - </t>
        </is>
      </c>
      <c r="O1239" s="47" t="inlineStr">
        <is>
          <t xml:space="preserve"> руб / шт с НДС</t>
        </is>
      </c>
      <c r="P1239" s="125">
        <f>ROUND(K1239,2)</f>
        <v/>
      </c>
      <c r="Q1239" s="207">
        <f>CONCATENATE(N1239,P1239,O1239,)</f>
        <v/>
      </c>
      <c r="R1239" s="240" t="n"/>
      <c r="T1239" s="241" t="n"/>
      <c r="U1239" s="240" t="n"/>
      <c r="V1239" s="241" t="n"/>
      <c r="Z1239" s="240" t="n"/>
      <c r="AB1239" s="241" t="n"/>
      <c r="AC1239" s="240" t="n"/>
      <c r="AD1239" s="241" t="n"/>
      <c r="AE1239" t="n">
        <v>2.35</v>
      </c>
    </row>
    <row r="1240">
      <c r="B1240" s="42" t="n">
        <v>249</v>
      </c>
      <c r="C1240" s="118">
        <f>INDIRECT("'Закуп'!A" &amp; B1240)</f>
        <v/>
      </c>
      <c r="D1240" s="119">
        <f>C1240*1.2</f>
        <v/>
      </c>
      <c r="G1240" s="172">
        <f>IF(INDIRECT("'Закуп'!L" &amp; B1240)="Sale","Sale","")</f>
        <v/>
      </c>
      <c r="H1240" s="158">
        <f>IF(INDIRECT("'Закуп'!F" &amp; B1240)=0,"",INDIRECT("'Закуп'!F" &amp; B1240))</f>
        <v/>
      </c>
      <c r="I1240" s="120" t="n">
        <v>500</v>
      </c>
      <c r="J1240" s="121">
        <f>K1240/1.2</f>
        <v/>
      </c>
      <c r="K1240" s="242" t="n">
        <v>1.75</v>
      </c>
      <c r="L1240" s="122">
        <f>J1240-C1240-(J1240-C1240)*0.2</f>
        <v/>
      </c>
      <c r="M1240" s="123">
        <f>L1240*I1240</f>
        <v/>
      </c>
      <c r="N1240" s="124" t="inlineStr">
        <is>
          <t xml:space="preserve">500-990 шт - </t>
        </is>
      </c>
      <c r="O1240" s="47" t="inlineStr">
        <is>
          <t xml:space="preserve"> руб / шт с НДС</t>
        </is>
      </c>
      <c r="P1240" s="125">
        <f>ROUND(K1240,2)</f>
        <v/>
      </c>
      <c r="Q1240" s="207">
        <f>CONCATENATE(N1240,P1240,O1240,)</f>
        <v/>
      </c>
      <c r="R1240" s="240" t="n"/>
      <c r="T1240" s="241" t="n"/>
      <c r="U1240" s="240" t="n"/>
      <c r="V1240" s="241" t="n"/>
      <c r="Z1240" s="240" t="n"/>
      <c r="AB1240" s="241" t="n"/>
      <c r="AC1240" s="240" t="n"/>
      <c r="AD1240" s="241" t="n"/>
      <c r="AE1240" t="n">
        <v>2.25</v>
      </c>
    </row>
    <row r="1241">
      <c r="B1241" s="42" t="n">
        <v>249</v>
      </c>
      <c r="C1241" s="118">
        <f>INDIRECT("'Закуп'!A" &amp; B1241)</f>
        <v/>
      </c>
      <c r="D1241" s="119">
        <f>C1241*1.2</f>
        <v/>
      </c>
      <c r="G1241" s="172">
        <f>IF(INDIRECT("'Закуп'!L" &amp; B1241)="Sale","Sale","")</f>
        <v/>
      </c>
      <c r="H1241" s="158">
        <f>IF(INDIRECT("'Закуп'!F" &amp; B1241)=0,"",INDIRECT("'Закуп'!F" &amp; B1241))</f>
        <v/>
      </c>
      <c r="I1241" s="120" t="n">
        <v>1000</v>
      </c>
      <c r="J1241" s="121">
        <f>K1241/1.2</f>
        <v/>
      </c>
      <c r="K1241" s="242" t="n">
        <v>1.69</v>
      </c>
      <c r="L1241" s="122">
        <f>J1241-C1241-(J1241-C1241)*0.2</f>
        <v/>
      </c>
      <c r="M1241" s="123">
        <f>L1241*I1241</f>
        <v/>
      </c>
      <c r="N1241" s="124" t="inlineStr">
        <is>
          <t xml:space="preserve">1000 + шт - </t>
        </is>
      </c>
      <c r="O1241" s="47" t="inlineStr">
        <is>
          <t xml:space="preserve"> руб / шт с НДС</t>
        </is>
      </c>
      <c r="P1241" s="125">
        <f>ROUND(K1241,2)</f>
        <v/>
      </c>
      <c r="Q1241" s="207">
        <f>CONCATENATE(N1241,P1241,O1241,)</f>
        <v/>
      </c>
      <c r="R1241" s="240" t="n"/>
      <c r="T1241" s="241" t="n"/>
      <c r="U1241" s="240" t="n"/>
      <c r="V1241" s="241" t="n"/>
      <c r="Z1241" s="240" t="n"/>
      <c r="AB1241" s="241" t="n"/>
      <c r="AC1241" s="240" t="n"/>
      <c r="AD1241" s="241" t="n"/>
      <c r="AE1241" t="n">
        <v>2.14</v>
      </c>
    </row>
    <row r="1242">
      <c r="A1242" s="232" t="n">
        <v>250</v>
      </c>
      <c r="B1242" s="42" t="n">
        <v>250</v>
      </c>
      <c r="C1242" s="118">
        <f>INDIRECT("'Закуп'!A" &amp; B1242)</f>
        <v/>
      </c>
      <c r="D1242" s="119">
        <f>C1242*1.2</f>
        <v/>
      </c>
      <c r="E1242" s="225">
        <f>INDIRECT("'Закуп'!D" &amp; A1242)</f>
        <v/>
      </c>
      <c r="F1242" s="231">
        <f>INDIRECT("'Закуп'!E" &amp; B1242)</f>
        <v/>
      </c>
      <c r="G1242" s="172">
        <f>IF(INDIRECT("'Закуп'!L" &amp; B1242)="Sale","Sale","")</f>
        <v/>
      </c>
      <c r="H1242" s="158">
        <f>IF(INDIRECT("'Закуп'!F" &amp; B1242)=0,"",INDIRECT("'Закуп'!F" &amp; B1242))</f>
        <v/>
      </c>
      <c r="I1242" s="120" t="n">
        <v>50</v>
      </c>
      <c r="J1242" s="121">
        <f>K1242/1.2</f>
        <v/>
      </c>
      <c r="K1242" s="70" t="n">
        <v>0.5</v>
      </c>
      <c r="L1242" s="122">
        <f>J1242-C1242-(J1242-C1242)*0.2</f>
        <v/>
      </c>
      <c r="M1242" s="123">
        <f>L1242*I1242</f>
        <v/>
      </c>
      <c r="N1242" s="124" t="inlineStr">
        <is>
          <t xml:space="preserve">50-90 шт - </t>
        </is>
      </c>
      <c r="O1242" s="47" t="inlineStr">
        <is>
          <t xml:space="preserve"> руб / шт с НДС</t>
        </is>
      </c>
      <c r="P1242" s="125">
        <f>ROUND(K1242,2)</f>
        <v/>
      </c>
      <c r="Q1242" s="207">
        <f>CONCATENATE(N1242,P1242,O1242,)</f>
        <v/>
      </c>
      <c r="R1242" s="235">
        <f>INDIRECT("'Закуп'!k" &amp; A1242)</f>
        <v/>
      </c>
      <c r="S1242" s="239">
        <f>INDIRECT("'Закуп'!o" &amp; A1242)</f>
        <v/>
      </c>
      <c r="T1242" s="226">
        <f>INDIRECT("'Закуп'!p" &amp; A1242)</f>
        <v/>
      </c>
      <c r="U1242" s="235">
        <f>INDIRECT("'Закуп'!v" &amp; A1242)</f>
        <v/>
      </c>
      <c r="V1242" s="222">
        <f>INDIRECT("'Закуп'!w" &amp; A1242)</f>
        <v/>
      </c>
      <c r="W1242" s="229">
        <f>INDIRECT("'Закуп'!H" &amp; A1242)</f>
        <v/>
      </c>
      <c r="X1242" s="237">
        <f>INDIRECT("'Закуп'!g" &amp; A1242)</f>
        <v/>
      </c>
      <c r="Y1242" s="229">
        <f>INDIRECT("'Закуп'!i" &amp; A1242)</f>
        <v/>
      </c>
      <c r="Z1242" s="236">
        <f>INDIRECT("'Закуп'!x" &amp; A1242)</f>
        <v/>
      </c>
      <c r="AA1242" s="237">
        <f>INDIRECT("'Закуп'!y" &amp; A1242)</f>
        <v/>
      </c>
      <c r="AB1242" s="238">
        <f>INDIRECT("'Закуп'!z" &amp; A1242)</f>
        <v/>
      </c>
      <c r="AC1242" s="223">
        <f>SUBSTITUTE(INDEX(F:F, ROUNDUP((ROW(A1241))/5,0)*5 - 3), "х", "x")</f>
        <v/>
      </c>
      <c r="AD1242" s="222">
        <f>SUBSTITUTE(INDEX(F:F, ROUNDUP((ROW(A1241))/5,0)*5 - 3), "х", "x") &amp; " - " &amp; SUBSTITUTE(SUBSTITUTE(INDEX(F:F, ROUNDUP((ROW(A1241))/5,0)*5 - 3), "х", "*"), "x", "*") &amp; " мм"</f>
        <v/>
      </c>
    </row>
    <row r="1243">
      <c r="B1243" s="42" t="n">
        <v>250</v>
      </c>
      <c r="C1243" s="118">
        <f>INDIRECT("'Закуп'!A" &amp; B1243)</f>
        <v/>
      </c>
      <c r="D1243" s="119">
        <f>C1243*1.2</f>
        <v/>
      </c>
      <c r="G1243" s="172">
        <f>IF(INDIRECT("'Закуп'!L" &amp; B1243)="Sale","Sale","")</f>
        <v/>
      </c>
      <c r="H1243" s="158">
        <f>IF(INDIRECT("'Закуп'!F" &amp; B1243)=0,"",INDIRECT("'Закуп'!F" &amp; B1243))</f>
        <v/>
      </c>
      <c r="I1243" s="120" t="n">
        <v>100</v>
      </c>
      <c r="J1243" s="121">
        <f>K1243/1.2</f>
        <v/>
      </c>
      <c r="K1243" s="70" t="n">
        <v>0.5</v>
      </c>
      <c r="L1243" s="122">
        <f>J1243-C1243-(J1243-C1243)*0.2</f>
        <v/>
      </c>
      <c r="M1243" s="123">
        <f>L1243*I1243</f>
        <v/>
      </c>
      <c r="N1243" s="124" t="inlineStr">
        <is>
          <t xml:space="preserve">100-290 шт - </t>
        </is>
      </c>
      <c r="O1243" s="47" t="inlineStr">
        <is>
          <t xml:space="preserve"> руб / шт с НДС</t>
        </is>
      </c>
      <c r="P1243" s="125">
        <f>ROUND(K1243,2)</f>
        <v/>
      </c>
      <c r="Q1243" s="207">
        <f>CONCATENATE(N1243,P1243,O1243,)</f>
        <v/>
      </c>
      <c r="R1243" s="240" t="n"/>
      <c r="T1243" s="241" t="n"/>
      <c r="U1243" s="240" t="n"/>
      <c r="V1243" s="241" t="n"/>
      <c r="Z1243" s="240" t="n"/>
      <c r="AB1243" s="241" t="n"/>
      <c r="AC1243" s="240" t="n"/>
      <c r="AD1243" s="241" t="n"/>
    </row>
    <row r="1244">
      <c r="B1244" s="42" t="n">
        <v>250</v>
      </c>
      <c r="C1244" s="118">
        <f>INDIRECT("'Закуп'!A" &amp; B1244)</f>
        <v/>
      </c>
      <c r="D1244" s="119">
        <f>C1244*1.2</f>
        <v/>
      </c>
      <c r="G1244" s="172">
        <f>IF(INDIRECT("'Закуп'!L" &amp; B1244)="Sale","Sale","")</f>
        <v/>
      </c>
      <c r="H1244" s="158">
        <f>IF(INDIRECT("'Закуп'!F" &amp; B1244)=0,"",INDIRECT("'Закуп'!F" &amp; B1244))</f>
        <v/>
      </c>
      <c r="I1244" s="120" t="n">
        <v>300</v>
      </c>
      <c r="J1244" s="121">
        <f>K1244/1.2</f>
        <v/>
      </c>
      <c r="K1244" s="70" t="n">
        <v>0.5</v>
      </c>
      <c r="L1244" s="122">
        <f>J1244-C1244-(J1244-C1244)*0.2</f>
        <v/>
      </c>
      <c r="M1244" s="123">
        <f>L1244*I1244</f>
        <v/>
      </c>
      <c r="N1244" s="124" t="inlineStr">
        <is>
          <t xml:space="preserve">300-490 шт - </t>
        </is>
      </c>
      <c r="O1244" s="47" t="inlineStr">
        <is>
          <t xml:space="preserve"> руб / шт с НДС</t>
        </is>
      </c>
      <c r="P1244" s="125">
        <f>ROUND(K1244,2)</f>
        <v/>
      </c>
      <c r="Q1244" s="207">
        <f>CONCATENATE(N1244,P1244,O1244,)</f>
        <v/>
      </c>
      <c r="R1244" s="240" t="n"/>
      <c r="T1244" s="241" t="n"/>
      <c r="U1244" s="240" t="n"/>
      <c r="V1244" s="241" t="n"/>
      <c r="Z1244" s="240" t="n"/>
      <c r="AB1244" s="241" t="n"/>
      <c r="AC1244" s="240" t="n"/>
      <c r="AD1244" s="241" t="n"/>
    </row>
    <row r="1245">
      <c r="B1245" s="42" t="n">
        <v>250</v>
      </c>
      <c r="C1245" s="118">
        <f>INDIRECT("'Закуп'!A" &amp; B1245)</f>
        <v/>
      </c>
      <c r="D1245" s="119">
        <f>C1245*1.2</f>
        <v/>
      </c>
      <c r="G1245" s="172">
        <f>IF(INDIRECT("'Закуп'!L" &amp; B1245)="Sale","Sale","")</f>
        <v/>
      </c>
      <c r="H1245" s="158">
        <f>IF(INDIRECT("'Закуп'!F" &amp; B1245)=0,"",INDIRECT("'Закуп'!F" &amp; B1245))</f>
        <v/>
      </c>
      <c r="I1245" s="120" t="n">
        <v>500</v>
      </c>
      <c r="J1245" s="121">
        <f>K1245/1.2</f>
        <v/>
      </c>
      <c r="K1245" s="70" t="n">
        <v>0.5</v>
      </c>
      <c r="L1245" s="122">
        <f>J1245-C1245-(J1245-C1245)*0.2</f>
        <v/>
      </c>
      <c r="M1245" s="123">
        <f>L1245*I1245</f>
        <v/>
      </c>
      <c r="N1245" s="124" t="inlineStr">
        <is>
          <t xml:space="preserve">500-990 шт - </t>
        </is>
      </c>
      <c r="O1245" s="47" t="inlineStr">
        <is>
          <t xml:space="preserve"> руб / шт с НДС</t>
        </is>
      </c>
      <c r="P1245" s="125">
        <f>ROUND(K1245,2)</f>
        <v/>
      </c>
      <c r="Q1245" s="207">
        <f>CONCATENATE(N1245,P1245,O1245,)</f>
        <v/>
      </c>
      <c r="R1245" s="240" t="n"/>
      <c r="T1245" s="241" t="n"/>
      <c r="U1245" s="240" t="n"/>
      <c r="V1245" s="241" t="n"/>
      <c r="Z1245" s="240" t="n"/>
      <c r="AB1245" s="241" t="n"/>
      <c r="AC1245" s="240" t="n"/>
      <c r="AD1245" s="241" t="n"/>
    </row>
    <row r="1246">
      <c r="B1246" s="42" t="n">
        <v>250</v>
      </c>
      <c r="C1246" s="118">
        <f>INDIRECT("'Закуп'!A" &amp; B1246)</f>
        <v/>
      </c>
      <c r="D1246" s="119">
        <f>C1246*1.2</f>
        <v/>
      </c>
      <c r="G1246" s="172">
        <f>IF(INDIRECT("'Закуп'!L" &amp; B1246)="Sale","Sale","")</f>
        <v/>
      </c>
      <c r="H1246" s="158">
        <f>IF(INDIRECT("'Закуп'!F" &amp; B1246)=0,"",INDIRECT("'Закуп'!F" &amp; B1246))</f>
        <v/>
      </c>
      <c r="I1246" s="120" t="n">
        <v>1000</v>
      </c>
      <c r="J1246" s="121">
        <f>K1246/1.2</f>
        <v/>
      </c>
      <c r="K1246" s="70" t="n">
        <v>0.5</v>
      </c>
      <c r="L1246" s="122">
        <f>J1246-C1246-(J1246-C1246)*0.2</f>
        <v/>
      </c>
      <c r="M1246" s="123">
        <f>L1246*I1246</f>
        <v/>
      </c>
      <c r="N1246" s="124" t="inlineStr">
        <is>
          <t xml:space="preserve">1000 + шт - </t>
        </is>
      </c>
      <c r="O1246" s="47" t="inlineStr">
        <is>
          <t xml:space="preserve"> руб / шт с НДС</t>
        </is>
      </c>
      <c r="P1246" s="125">
        <f>ROUND(K1246,2)</f>
        <v/>
      </c>
      <c r="Q1246" s="207">
        <f>CONCATENATE(N1246,P1246,O1246,)</f>
        <v/>
      </c>
      <c r="R1246" s="240" t="n"/>
      <c r="T1246" s="241" t="n"/>
      <c r="U1246" s="240" t="n"/>
      <c r="V1246" s="241" t="n"/>
      <c r="Z1246" s="240" t="n"/>
      <c r="AB1246" s="241" t="n"/>
      <c r="AC1246" s="240" t="n"/>
      <c r="AD1246" s="241" t="n"/>
    </row>
    <row r="1247">
      <c r="A1247" s="232" t="n">
        <v>251</v>
      </c>
      <c r="B1247" s="42" t="n">
        <v>251</v>
      </c>
      <c r="C1247" s="118">
        <f>INDIRECT("'Закуп'!A" &amp; B1247)</f>
        <v/>
      </c>
      <c r="D1247" s="119">
        <f>C1247*1.2</f>
        <v/>
      </c>
      <c r="E1247" s="224">
        <f>INDIRECT("'Закуп'!D" &amp; A1247)</f>
        <v/>
      </c>
      <c r="F1247" s="231">
        <f>INDIRECT("'Закуп'!E" &amp; B1247)</f>
        <v/>
      </c>
      <c r="G1247" s="172">
        <f>IF(INDIRECT("'Закуп'!L" &amp; B1247)="Sale","Sale","")</f>
        <v/>
      </c>
      <c r="H1247" s="158">
        <f>IF(INDIRECT("'Закуп'!F" &amp; B1247)=0,"",INDIRECT("'Закуп'!F" &amp; B1247))</f>
        <v/>
      </c>
      <c r="I1247" s="120" t="n">
        <v>50</v>
      </c>
      <c r="J1247" s="121">
        <f>K1247/1.2</f>
        <v/>
      </c>
      <c r="K1247" s="70" t="n">
        <v>1.58</v>
      </c>
      <c r="L1247" s="122">
        <f>J1247-C1247-(J1247-C1247)*0.2</f>
        <v/>
      </c>
      <c r="M1247" s="123">
        <f>L1247*I1247</f>
        <v/>
      </c>
      <c r="N1247" s="124" t="inlineStr">
        <is>
          <t xml:space="preserve">50-90 шт - </t>
        </is>
      </c>
      <c r="O1247" s="47" t="inlineStr">
        <is>
          <t xml:space="preserve"> руб / шт с НДС</t>
        </is>
      </c>
      <c r="P1247" s="125">
        <f>ROUND(K1247,2)</f>
        <v/>
      </c>
      <c r="Q1247" s="207">
        <f>CONCATENATE(N1247,P1247,O1247,)</f>
        <v/>
      </c>
      <c r="R1247" s="235">
        <f>INDIRECT("'Закуп'!k" &amp; A1247)</f>
        <v/>
      </c>
      <c r="S1247" s="239">
        <f>INDIRECT("'Закуп'!o" &amp; A1247)</f>
        <v/>
      </c>
      <c r="T1247" s="226">
        <f>INDIRECT("'Закуп'!p" &amp; A1247)</f>
        <v/>
      </c>
      <c r="U1247" s="235">
        <f>INDIRECT("'Закуп'!v" &amp; A1247)</f>
        <v/>
      </c>
      <c r="V1247" s="222">
        <f>INDIRECT("'Закуп'!w" &amp; A1247)</f>
        <v/>
      </c>
      <c r="W1247" s="229">
        <f>INDIRECT("'Закуп'!H" &amp; A1247)</f>
        <v/>
      </c>
      <c r="X1247" s="237">
        <f>INDIRECT("'Закуп'!g" &amp; A1247)</f>
        <v/>
      </c>
      <c r="Y1247" s="229">
        <f>INDIRECT("'Закуп'!i" &amp; A1247)</f>
        <v/>
      </c>
      <c r="Z1247" s="236">
        <f>INDIRECT("'Закуп'!x" &amp; A1247)</f>
        <v/>
      </c>
      <c r="AA1247" s="237">
        <f>INDIRECT("'Закуп'!y" &amp; A1247)</f>
        <v/>
      </c>
      <c r="AB1247" s="238">
        <f>INDIRECT("'Закуп'!z" &amp; A1247)</f>
        <v/>
      </c>
      <c r="AC1247" s="223">
        <f>SUBSTITUTE(INDEX(F:F, ROUNDUP((ROW(A1246))/5,0)*5 - 3), "х", "x")</f>
        <v/>
      </c>
      <c r="AD1247" s="222">
        <f>SUBSTITUTE(INDEX(F:F, ROUNDUP((ROW(A1246))/5,0)*5 - 3), "х", "x") &amp; " - " &amp; SUBSTITUTE(SUBSTITUTE(INDEX(F:F, ROUNDUP((ROW(A1246))/5,0)*5 - 3), "х", "*"), "x", "*") &amp; " мм"</f>
        <v/>
      </c>
    </row>
    <row r="1248">
      <c r="B1248" s="42" t="n">
        <v>251</v>
      </c>
      <c r="C1248" s="118">
        <f>INDIRECT("'Закуп'!A" &amp; B1248)</f>
        <v/>
      </c>
      <c r="D1248" s="119">
        <f>C1248*1.2</f>
        <v/>
      </c>
      <c r="G1248" s="172">
        <f>IF(INDIRECT("'Закуп'!L" &amp; B1248)="Sale","Sale","")</f>
        <v/>
      </c>
      <c r="H1248" s="158">
        <f>IF(INDIRECT("'Закуп'!F" &amp; B1248)=0,"",INDIRECT("'Закуп'!F" &amp; B1248))</f>
        <v/>
      </c>
      <c r="I1248" s="120" t="n">
        <v>100</v>
      </c>
      <c r="J1248" s="121">
        <f>K1248/1.2</f>
        <v/>
      </c>
      <c r="K1248" s="70" t="n">
        <v>1.43</v>
      </c>
      <c r="L1248" s="122">
        <f>J1248-C1248-(J1248-C1248)*0.2</f>
        <v/>
      </c>
      <c r="M1248" s="123">
        <f>L1248*I1248</f>
        <v/>
      </c>
      <c r="N1248" s="124" t="inlineStr">
        <is>
          <t xml:space="preserve">100-290 шт - </t>
        </is>
      </c>
      <c r="O1248" s="47" t="inlineStr">
        <is>
          <t xml:space="preserve"> руб / шт с НДС</t>
        </is>
      </c>
      <c r="P1248" s="125">
        <f>ROUND(K1248,2)</f>
        <v/>
      </c>
      <c r="Q1248" s="207">
        <f>CONCATENATE(N1248,P1248,O1248,)</f>
        <v/>
      </c>
      <c r="R1248" s="240" t="n"/>
      <c r="T1248" s="241" t="n"/>
      <c r="U1248" s="240" t="n"/>
      <c r="V1248" s="241" t="n"/>
      <c r="Z1248" s="240" t="n"/>
      <c r="AB1248" s="241" t="n"/>
      <c r="AC1248" s="240" t="n"/>
      <c r="AD1248" s="241" t="n"/>
    </row>
    <row r="1249">
      <c r="B1249" s="42" t="n">
        <v>251</v>
      </c>
      <c r="C1249" s="118">
        <f>INDIRECT("'Закуп'!A" &amp; B1249)</f>
        <v/>
      </c>
      <c r="D1249" s="119">
        <f>C1249*1.2</f>
        <v/>
      </c>
      <c r="G1249" s="172">
        <f>IF(INDIRECT("'Закуп'!L" &amp; B1249)="Sale","Sale","")</f>
        <v/>
      </c>
      <c r="H1249" s="158">
        <f>IF(INDIRECT("'Закуп'!F" &amp; B1249)=0,"",INDIRECT("'Закуп'!F" &amp; B1249))</f>
        <v/>
      </c>
      <c r="I1249" s="120" t="n">
        <v>300</v>
      </c>
      <c r="J1249" s="121">
        <f>K1249/1.2</f>
        <v/>
      </c>
      <c r="K1249" s="70" t="n">
        <v>1.13</v>
      </c>
      <c r="L1249" s="122">
        <f>J1249-C1249-(J1249-C1249)*0.2</f>
        <v/>
      </c>
      <c r="M1249" s="123">
        <f>L1249*I1249</f>
        <v/>
      </c>
      <c r="N1249" s="124" t="inlineStr">
        <is>
          <t xml:space="preserve">300-490 шт - </t>
        </is>
      </c>
      <c r="O1249" s="47" t="inlineStr">
        <is>
          <t xml:space="preserve"> руб / шт с НДС</t>
        </is>
      </c>
      <c r="P1249" s="125">
        <f>ROUND(K1249,2)</f>
        <v/>
      </c>
      <c r="Q1249" s="207">
        <f>CONCATENATE(N1249,P1249,O1249,)</f>
        <v/>
      </c>
      <c r="R1249" s="240" t="n"/>
      <c r="T1249" s="241" t="n"/>
      <c r="U1249" s="240" t="n"/>
      <c r="V1249" s="241" t="n"/>
      <c r="Z1249" s="240" t="n"/>
      <c r="AB1249" s="241" t="n"/>
      <c r="AC1249" s="240" t="n"/>
      <c r="AD1249" s="241" t="n"/>
    </row>
    <row r="1250">
      <c r="B1250" s="42" t="n">
        <v>251</v>
      </c>
      <c r="C1250" s="118">
        <f>INDIRECT("'Закуп'!A" &amp; B1250)</f>
        <v/>
      </c>
      <c r="D1250" s="119">
        <f>C1250*1.2</f>
        <v/>
      </c>
      <c r="G1250" s="172">
        <f>IF(INDIRECT("'Закуп'!L" &amp; B1250)="Sale","Sale","")</f>
        <v/>
      </c>
      <c r="H1250" s="158">
        <f>IF(INDIRECT("'Закуп'!F" &amp; B1250)=0,"",INDIRECT("'Закуп'!F" &amp; B1250))</f>
        <v/>
      </c>
      <c r="I1250" s="120" t="n">
        <v>500</v>
      </c>
      <c r="J1250" s="121">
        <f>K1250/1.2</f>
        <v/>
      </c>
      <c r="K1250" s="70" t="n">
        <v>1.06</v>
      </c>
      <c r="L1250" s="122">
        <f>J1250-C1250-(J1250-C1250)*0.2</f>
        <v/>
      </c>
      <c r="M1250" s="123">
        <f>L1250*I1250</f>
        <v/>
      </c>
      <c r="N1250" s="124" t="inlineStr">
        <is>
          <t xml:space="preserve">500-990 шт - </t>
        </is>
      </c>
      <c r="O1250" s="47" t="inlineStr">
        <is>
          <t xml:space="preserve"> руб / шт с НДС</t>
        </is>
      </c>
      <c r="P1250" s="125">
        <f>ROUND(K1250,2)</f>
        <v/>
      </c>
      <c r="Q1250" s="207">
        <f>CONCATENATE(N1250,P1250,O1250,)</f>
        <v/>
      </c>
      <c r="R1250" s="240" t="n"/>
      <c r="T1250" s="241" t="n"/>
      <c r="U1250" s="240" t="n"/>
      <c r="V1250" s="241" t="n"/>
      <c r="Z1250" s="240" t="n"/>
      <c r="AB1250" s="241" t="n"/>
      <c r="AC1250" s="240" t="n"/>
      <c r="AD1250" s="241" t="n"/>
    </row>
    <row r="1251">
      <c r="B1251" s="42" t="n">
        <v>251</v>
      </c>
      <c r="C1251" s="118">
        <f>INDIRECT("'Закуп'!A" &amp; B1251)</f>
        <v/>
      </c>
      <c r="D1251" s="119">
        <f>C1251*1.2</f>
        <v/>
      </c>
      <c r="G1251" s="172">
        <f>IF(INDIRECT("'Закуп'!L" &amp; B1251)="Sale","Sale","")</f>
        <v/>
      </c>
      <c r="H1251" s="158">
        <f>IF(INDIRECT("'Закуп'!F" &amp; B1251)=0,"",INDIRECT("'Закуп'!F" &amp; B1251))</f>
        <v/>
      </c>
      <c r="I1251" s="120" t="n">
        <v>1000</v>
      </c>
      <c r="J1251" s="121">
        <f>K1251/1.2</f>
        <v/>
      </c>
      <c r="K1251" s="70" t="n">
        <v>1.01</v>
      </c>
      <c r="L1251" s="122">
        <f>J1251-C1251-(J1251-C1251)*0.2</f>
        <v/>
      </c>
      <c r="M1251" s="123">
        <f>L1251*I1251</f>
        <v/>
      </c>
      <c r="N1251" s="124" t="inlineStr">
        <is>
          <t xml:space="preserve">1000 + шт - </t>
        </is>
      </c>
      <c r="O1251" s="47" t="inlineStr">
        <is>
          <t xml:space="preserve"> руб / шт с НДС</t>
        </is>
      </c>
      <c r="P1251" s="125">
        <f>ROUND(K1251,2)</f>
        <v/>
      </c>
      <c r="Q1251" s="207">
        <f>CONCATENATE(N1251,P1251,O1251,)</f>
        <v/>
      </c>
      <c r="R1251" s="240" t="n"/>
      <c r="T1251" s="241" t="n"/>
      <c r="U1251" s="240" t="n"/>
      <c r="V1251" s="241" t="n"/>
      <c r="Z1251" s="240" t="n"/>
      <c r="AB1251" s="241" t="n"/>
      <c r="AC1251" s="240" t="n"/>
      <c r="AD1251" s="241" t="n"/>
    </row>
    <row r="1252">
      <c r="A1252" s="232" t="n">
        <v>252</v>
      </c>
      <c r="B1252" s="42" t="n">
        <v>252</v>
      </c>
      <c r="C1252" s="118">
        <f>INDIRECT("'Закуп'!A" &amp; B1252)</f>
        <v/>
      </c>
      <c r="D1252" s="119">
        <f>C1252*1.2</f>
        <v/>
      </c>
      <c r="E1252" s="224">
        <f>INDIRECT("'Закуп'!D" &amp; A1252)</f>
        <v/>
      </c>
      <c r="F1252" s="231">
        <f>INDIRECT("'Закуп'!E" &amp; B1252)</f>
        <v/>
      </c>
      <c r="G1252" s="172">
        <f>IF(INDIRECT("'Закуп'!L" &amp; B1252)="Sale","Sale","")</f>
        <v/>
      </c>
      <c r="H1252" s="158">
        <f>IF(INDIRECT("'Закуп'!F" &amp; B1252)=0,"",INDIRECT("'Закуп'!F" &amp; B1252))</f>
        <v/>
      </c>
      <c r="I1252" s="120" t="n">
        <v>50</v>
      </c>
      <c r="J1252" s="121">
        <f>K1252/1.2</f>
        <v/>
      </c>
      <c r="K1252" s="70" t="n">
        <v>1.5</v>
      </c>
      <c r="L1252" s="122">
        <f>J1252-C1252-(J1252-C1252)*0.2</f>
        <v/>
      </c>
      <c r="M1252" s="123">
        <f>L1252*I1252</f>
        <v/>
      </c>
      <c r="N1252" s="124" t="inlineStr">
        <is>
          <t xml:space="preserve">50-90 шт - </t>
        </is>
      </c>
      <c r="O1252" s="47" t="inlineStr">
        <is>
          <t xml:space="preserve"> руб / шт с НДС</t>
        </is>
      </c>
      <c r="P1252" s="125">
        <f>ROUND(K1252,2)</f>
        <v/>
      </c>
      <c r="Q1252" s="207">
        <f>CONCATENATE(N1252,P1252,O1252,)</f>
        <v/>
      </c>
      <c r="R1252" s="235">
        <f>INDIRECT("'Закуп'!k" &amp; A1252)</f>
        <v/>
      </c>
      <c r="S1252" s="239">
        <f>INDIRECT("'Закуп'!o" &amp; A1252)</f>
        <v/>
      </c>
      <c r="T1252" s="226">
        <f>INDIRECT("'Закуп'!p" &amp; A1252)</f>
        <v/>
      </c>
      <c r="U1252" s="235">
        <f>INDIRECT("'Закуп'!v" &amp; A1252)</f>
        <v/>
      </c>
      <c r="V1252" s="222">
        <f>INDIRECT("'Закуп'!w" &amp; A1252)</f>
        <v/>
      </c>
      <c r="W1252" s="229">
        <f>INDIRECT("'Закуп'!H" &amp; A1252)</f>
        <v/>
      </c>
      <c r="X1252" s="237">
        <f>INDIRECT("'Закуп'!g" &amp; A1252)</f>
        <v/>
      </c>
      <c r="Y1252" s="229">
        <f>INDIRECT("'Закуп'!i" &amp; A1252)</f>
        <v/>
      </c>
      <c r="Z1252" s="236">
        <f>INDIRECT("'Закуп'!x" &amp; A1252)</f>
        <v/>
      </c>
      <c r="AA1252" s="237">
        <f>INDIRECT("'Закуп'!y" &amp; A1252)</f>
        <v/>
      </c>
      <c r="AB1252" s="238">
        <f>INDIRECT("'Закуп'!z" &amp; A1252)</f>
        <v/>
      </c>
      <c r="AC1252" s="223">
        <f>SUBSTITUTE(INDEX(F:F, ROUNDUP((ROW(A1251))/5,0)*5 - 3), "х", "x")</f>
        <v/>
      </c>
      <c r="AD1252" s="222">
        <f>SUBSTITUTE(INDEX(F:F, ROUNDUP((ROW(A1251))/5,0)*5 - 3), "х", "x") &amp; " - " &amp; SUBSTITUTE(SUBSTITUTE(INDEX(F:F, ROUNDUP((ROW(A1251))/5,0)*5 - 3), "х", "*"), "x", "*") &amp; " мм"</f>
        <v/>
      </c>
    </row>
    <row r="1253">
      <c r="B1253" s="42" t="n">
        <v>252</v>
      </c>
      <c r="C1253" s="118">
        <f>INDIRECT("'Закуп'!A" &amp; B1253)</f>
        <v/>
      </c>
      <c r="D1253" s="119">
        <f>C1253*1.2</f>
        <v/>
      </c>
      <c r="G1253" s="172">
        <f>IF(INDIRECT("'Закуп'!L" &amp; B1253)="Sale","Sale","")</f>
        <v/>
      </c>
      <c r="H1253" s="158">
        <f>IF(INDIRECT("'Закуп'!F" &amp; B1253)=0,"",INDIRECT("'Закуп'!F" &amp; B1253))</f>
        <v/>
      </c>
      <c r="I1253" s="120" t="n">
        <v>100</v>
      </c>
      <c r="J1253" s="121">
        <f>K1253/1.2</f>
        <v/>
      </c>
      <c r="K1253" s="70" t="n">
        <v>1.36</v>
      </c>
      <c r="L1253" s="122">
        <f>J1253-C1253-(J1253-C1253)*0.2</f>
        <v/>
      </c>
      <c r="M1253" s="123">
        <f>L1253*I1253</f>
        <v/>
      </c>
      <c r="N1253" s="124" t="inlineStr">
        <is>
          <t xml:space="preserve">100-290 шт - </t>
        </is>
      </c>
      <c r="O1253" s="47" t="inlineStr">
        <is>
          <t xml:space="preserve"> руб / шт с НДС</t>
        </is>
      </c>
      <c r="P1253" s="125">
        <f>ROUND(K1253,2)</f>
        <v/>
      </c>
      <c r="Q1253" s="207">
        <f>CONCATENATE(N1253,P1253,O1253,)</f>
        <v/>
      </c>
      <c r="R1253" s="240" t="n"/>
      <c r="T1253" s="241" t="n"/>
      <c r="U1253" s="240" t="n"/>
      <c r="V1253" s="241" t="n"/>
      <c r="Z1253" s="240" t="n"/>
      <c r="AB1253" s="241" t="n"/>
      <c r="AC1253" s="240" t="n"/>
      <c r="AD1253" s="241" t="n"/>
    </row>
    <row r="1254">
      <c r="B1254" s="42" t="n">
        <v>252</v>
      </c>
      <c r="C1254" s="118">
        <f>INDIRECT("'Закуп'!A" &amp; B1254)</f>
        <v/>
      </c>
      <c r="D1254" s="119">
        <f>C1254*1.2</f>
        <v/>
      </c>
      <c r="G1254" s="172">
        <f>IF(INDIRECT("'Закуп'!L" &amp; B1254)="Sale","Sale","")</f>
        <v/>
      </c>
      <c r="H1254" s="158">
        <f>IF(INDIRECT("'Закуп'!F" &amp; B1254)=0,"",INDIRECT("'Закуп'!F" &amp; B1254))</f>
        <v/>
      </c>
      <c r="I1254" s="120" t="n">
        <v>300</v>
      </c>
      <c r="J1254" s="121">
        <f>K1254/1.2</f>
        <v/>
      </c>
      <c r="K1254" s="70" t="n">
        <v>1.07</v>
      </c>
      <c r="L1254" s="122">
        <f>J1254-C1254-(J1254-C1254)*0.2</f>
        <v/>
      </c>
      <c r="M1254" s="123">
        <f>L1254*I1254</f>
        <v/>
      </c>
      <c r="N1254" s="124" t="inlineStr">
        <is>
          <t xml:space="preserve">300-490 шт - </t>
        </is>
      </c>
      <c r="O1254" s="47" t="inlineStr">
        <is>
          <t xml:space="preserve"> руб / шт с НДС</t>
        </is>
      </c>
      <c r="P1254" s="125">
        <f>ROUND(K1254,2)</f>
        <v/>
      </c>
      <c r="Q1254" s="207">
        <f>CONCATENATE(N1254,P1254,O1254,)</f>
        <v/>
      </c>
      <c r="R1254" s="240" t="n"/>
      <c r="T1254" s="241" t="n"/>
      <c r="U1254" s="240" t="n"/>
      <c r="V1254" s="241" t="n"/>
      <c r="Z1254" s="240" t="n"/>
      <c r="AB1254" s="241" t="n"/>
      <c r="AC1254" s="240" t="n"/>
      <c r="AD1254" s="241" t="n"/>
    </row>
    <row r="1255">
      <c r="B1255" s="42" t="n">
        <v>252</v>
      </c>
      <c r="C1255" s="118">
        <f>INDIRECT("'Закуп'!A" &amp; B1255)</f>
        <v/>
      </c>
      <c r="D1255" s="119">
        <f>C1255*1.2</f>
        <v/>
      </c>
      <c r="G1255" s="172">
        <f>IF(INDIRECT("'Закуп'!L" &amp; B1255)="Sale","Sale","")</f>
        <v/>
      </c>
      <c r="H1255" s="158">
        <f>IF(INDIRECT("'Закуп'!F" &amp; B1255)=0,"",INDIRECT("'Закуп'!F" &amp; B1255))</f>
        <v/>
      </c>
      <c r="I1255" s="120" t="n">
        <v>500</v>
      </c>
      <c r="J1255" s="121">
        <f>K1255/1.2</f>
        <v/>
      </c>
      <c r="K1255" s="70" t="n">
        <v>1.01</v>
      </c>
      <c r="L1255" s="122">
        <f>J1255-C1255-(J1255-C1255)*0.2</f>
        <v/>
      </c>
      <c r="M1255" s="123">
        <f>L1255*I1255</f>
        <v/>
      </c>
      <c r="N1255" s="124" t="inlineStr">
        <is>
          <t xml:space="preserve">500-990 шт - </t>
        </is>
      </c>
      <c r="O1255" s="47" t="inlineStr">
        <is>
          <t xml:space="preserve"> руб / шт с НДС</t>
        </is>
      </c>
      <c r="P1255" s="125">
        <f>ROUND(K1255,2)</f>
        <v/>
      </c>
      <c r="Q1255" s="207">
        <f>CONCATENATE(N1255,P1255,O1255,)</f>
        <v/>
      </c>
      <c r="R1255" s="240" t="n"/>
      <c r="T1255" s="241" t="n"/>
      <c r="U1255" s="240" t="n"/>
      <c r="V1255" s="241" t="n"/>
      <c r="Z1255" s="240" t="n"/>
      <c r="AB1255" s="241" t="n"/>
      <c r="AC1255" s="240" t="n"/>
      <c r="AD1255" s="241" t="n"/>
    </row>
    <row r="1256">
      <c r="B1256" s="42" t="n">
        <v>252</v>
      </c>
      <c r="C1256" s="118">
        <f>INDIRECT("'Закуп'!A" &amp; B1256)</f>
        <v/>
      </c>
      <c r="D1256" s="119">
        <f>C1256*1.2</f>
        <v/>
      </c>
      <c r="G1256" s="172">
        <f>IF(INDIRECT("'Закуп'!L" &amp; B1256)="Sale","Sale","")</f>
        <v/>
      </c>
      <c r="H1256" s="158">
        <f>IF(INDIRECT("'Закуп'!F" &amp; B1256)=0,"",INDIRECT("'Закуп'!F" &amp; B1256))</f>
        <v/>
      </c>
      <c r="I1256" s="120" t="n">
        <v>1000</v>
      </c>
      <c r="J1256" s="121">
        <f>K1256/1.2</f>
        <v/>
      </c>
      <c r="K1256" s="70" t="n">
        <v>0.95</v>
      </c>
      <c r="L1256" s="122">
        <f>J1256-C1256-(J1256-C1256)*0.2</f>
        <v/>
      </c>
      <c r="M1256" s="123">
        <f>L1256*I1256</f>
        <v/>
      </c>
      <c r="N1256" s="124" t="inlineStr">
        <is>
          <t xml:space="preserve">1000 + шт - </t>
        </is>
      </c>
      <c r="O1256" s="47" t="inlineStr">
        <is>
          <t xml:space="preserve"> руб / шт с НДС</t>
        </is>
      </c>
      <c r="P1256" s="125">
        <f>ROUND(K1256,2)</f>
        <v/>
      </c>
      <c r="Q1256" s="207">
        <f>CONCATENATE(N1256,P1256,O1256,)</f>
        <v/>
      </c>
      <c r="R1256" s="240" t="n"/>
      <c r="T1256" s="241" t="n"/>
      <c r="U1256" s="240" t="n"/>
      <c r="V1256" s="241" t="n"/>
      <c r="Z1256" s="240" t="n"/>
      <c r="AB1256" s="241" t="n"/>
      <c r="AC1256" s="240" t="n"/>
      <c r="AD1256" s="241" t="n"/>
    </row>
    <row r="1257">
      <c r="A1257" s="232" t="n">
        <v>253</v>
      </c>
      <c r="B1257" s="42" t="n">
        <v>253</v>
      </c>
      <c r="C1257" s="118">
        <f>INDIRECT("'Закуп'!A" &amp; B1257)</f>
        <v/>
      </c>
      <c r="D1257" s="119">
        <f>C1257*1.2</f>
        <v/>
      </c>
      <c r="E1257" s="224">
        <f>INDIRECT("'Закуп'!D" &amp; A1257)</f>
        <v/>
      </c>
      <c r="F1257" s="231">
        <f>INDIRECT("'Закуп'!E" &amp; B1257)</f>
        <v/>
      </c>
      <c r="G1257" s="172">
        <f>IF(INDIRECT("'Закуп'!L" &amp; B1257)="Sale","Sale","")</f>
        <v/>
      </c>
      <c r="H1257" s="158">
        <f>IF(INDIRECT("'Закуп'!F" &amp; B1257)=0,"",INDIRECT("'Закуп'!F" &amp; B1257))</f>
        <v/>
      </c>
      <c r="I1257" s="120" t="n">
        <v>50</v>
      </c>
      <c r="J1257" s="121">
        <f>K1257/1.2</f>
        <v/>
      </c>
      <c r="K1257" s="70" t="n">
        <v>1.18</v>
      </c>
      <c r="L1257" s="122">
        <f>J1257-C1257-(J1257-C1257)*0.2</f>
        <v/>
      </c>
      <c r="M1257" s="123">
        <f>L1257*I1257</f>
        <v/>
      </c>
      <c r="N1257" s="124" t="inlineStr">
        <is>
          <t xml:space="preserve">50-90 шт - </t>
        </is>
      </c>
      <c r="O1257" s="47" t="inlineStr">
        <is>
          <t xml:space="preserve"> руб / шт с НДС</t>
        </is>
      </c>
      <c r="P1257" s="125">
        <f>ROUND(K1257,2)</f>
        <v/>
      </c>
      <c r="Q1257" s="207">
        <f>CONCATENATE(N1257,P1257,O1257,)</f>
        <v/>
      </c>
      <c r="R1257" s="235">
        <f>INDIRECT("'Закуп'!k" &amp; A1257)</f>
        <v/>
      </c>
      <c r="S1257" s="239">
        <f>INDIRECT("'Закуп'!o" &amp; A1257)</f>
        <v/>
      </c>
      <c r="T1257" s="226">
        <f>INDIRECT("'Закуп'!p" &amp; A1257)</f>
        <v/>
      </c>
      <c r="U1257" s="235">
        <f>INDIRECT("'Закуп'!v" &amp; A1257)</f>
        <v/>
      </c>
      <c r="V1257" s="222">
        <f>INDIRECT("'Закуп'!w" &amp; A1257)</f>
        <v/>
      </c>
      <c r="W1257" s="229">
        <f>INDIRECT("'Закуп'!H" &amp; A1257)</f>
        <v/>
      </c>
      <c r="X1257" s="237">
        <f>INDIRECT("'Закуп'!g" &amp; A1257)</f>
        <v/>
      </c>
      <c r="Y1257" s="229">
        <f>INDIRECT("'Закуп'!i" &amp; A1257)</f>
        <v/>
      </c>
      <c r="Z1257" s="236">
        <f>INDIRECT("'Закуп'!x" &amp; A1257)</f>
        <v/>
      </c>
      <c r="AA1257" s="237">
        <f>INDIRECT("'Закуп'!y" &amp; A1257)</f>
        <v/>
      </c>
      <c r="AB1257" s="238">
        <f>INDIRECT("'Закуп'!z" &amp; A1257)</f>
        <v/>
      </c>
      <c r="AC1257" s="223">
        <f>SUBSTITUTE(INDEX(F:F, ROUNDUP((ROW(A1256))/5,0)*5 - 3), "х", "x")</f>
        <v/>
      </c>
      <c r="AD1257" s="222">
        <f>SUBSTITUTE(INDEX(F:F, ROUNDUP((ROW(A1256))/5,0)*5 - 3), "х", "x") &amp; " - " &amp; SUBSTITUTE(SUBSTITUTE(INDEX(F:F, ROUNDUP((ROW(A1256))/5,0)*5 - 3), "х", "*"), "x", "*") &amp; " мм"</f>
        <v/>
      </c>
    </row>
    <row r="1258">
      <c r="B1258" s="42" t="n">
        <v>253</v>
      </c>
      <c r="C1258" s="118">
        <f>INDIRECT("'Закуп'!A" &amp; B1258)</f>
        <v/>
      </c>
      <c r="D1258" s="119">
        <f>C1258*1.2</f>
        <v/>
      </c>
      <c r="G1258" s="172">
        <f>IF(INDIRECT("'Закуп'!L" &amp; B1258)="Sale","Sale","")</f>
        <v/>
      </c>
      <c r="H1258" s="158">
        <f>IF(INDIRECT("'Закуп'!F" &amp; B1258)=0,"",INDIRECT("'Закуп'!F" &amp; B1258))</f>
        <v/>
      </c>
      <c r="I1258" s="120" t="n">
        <v>100</v>
      </c>
      <c r="J1258" s="121">
        <f>K1258/1.2</f>
        <v/>
      </c>
      <c r="K1258" s="70" t="n">
        <v>0.96</v>
      </c>
      <c r="L1258" s="122">
        <f>J1258-C1258-(J1258-C1258)*0.2</f>
        <v/>
      </c>
      <c r="M1258" s="123">
        <f>L1258*I1258</f>
        <v/>
      </c>
      <c r="N1258" s="124" t="inlineStr">
        <is>
          <t xml:space="preserve">100-290 шт - </t>
        </is>
      </c>
      <c r="O1258" s="47" t="inlineStr">
        <is>
          <t xml:space="preserve"> руб / шт с НДС</t>
        </is>
      </c>
      <c r="P1258" s="125">
        <f>ROUND(K1258,2)</f>
        <v/>
      </c>
      <c r="Q1258" s="207">
        <f>CONCATENATE(N1258,P1258,O1258,)</f>
        <v/>
      </c>
      <c r="R1258" s="240" t="n"/>
      <c r="T1258" s="241" t="n"/>
      <c r="U1258" s="240" t="n"/>
      <c r="V1258" s="241" t="n"/>
      <c r="Z1258" s="240" t="n"/>
      <c r="AB1258" s="241" t="n"/>
      <c r="AC1258" s="240" t="n"/>
      <c r="AD1258" s="241" t="n"/>
    </row>
    <row r="1259">
      <c r="B1259" s="42" t="n">
        <v>253</v>
      </c>
      <c r="C1259" s="118">
        <f>INDIRECT("'Закуп'!A" &amp; B1259)</f>
        <v/>
      </c>
      <c r="D1259" s="119">
        <f>C1259*1.2</f>
        <v/>
      </c>
      <c r="G1259" s="172">
        <f>IF(INDIRECT("'Закуп'!L" &amp; B1259)="Sale","Sale","")</f>
        <v/>
      </c>
      <c r="H1259" s="158">
        <f>IF(INDIRECT("'Закуп'!F" &amp; B1259)=0,"",INDIRECT("'Закуп'!F" &amp; B1259))</f>
        <v/>
      </c>
      <c r="I1259" s="120" t="n">
        <v>300</v>
      </c>
      <c r="J1259" s="121">
        <f>K1259/1.2</f>
        <v/>
      </c>
      <c r="K1259" s="70" t="n">
        <v>0.8</v>
      </c>
      <c r="L1259" s="122">
        <f>J1259-C1259-(J1259-C1259)*0.2</f>
        <v/>
      </c>
      <c r="M1259" s="123">
        <f>L1259*I1259</f>
        <v/>
      </c>
      <c r="N1259" s="124" t="inlineStr">
        <is>
          <t xml:space="preserve">300-490 шт - </t>
        </is>
      </c>
      <c r="O1259" s="47" t="inlineStr">
        <is>
          <t xml:space="preserve"> руб / шт с НДС</t>
        </is>
      </c>
      <c r="P1259" s="125">
        <f>ROUND(K1259,2)</f>
        <v/>
      </c>
      <c r="Q1259" s="207">
        <f>CONCATENATE(N1259,P1259,O1259,)</f>
        <v/>
      </c>
      <c r="R1259" s="240" t="n"/>
      <c r="T1259" s="241" t="n"/>
      <c r="U1259" s="240" t="n"/>
      <c r="V1259" s="241" t="n"/>
      <c r="Z1259" s="240" t="n"/>
      <c r="AB1259" s="241" t="n"/>
      <c r="AC1259" s="240" t="n"/>
      <c r="AD1259" s="241" t="n"/>
    </row>
    <row r="1260">
      <c r="B1260" s="42" t="n">
        <v>253</v>
      </c>
      <c r="C1260" s="118">
        <f>INDIRECT("'Закуп'!A" &amp; B1260)</f>
        <v/>
      </c>
      <c r="D1260" s="119">
        <f>C1260*1.2</f>
        <v/>
      </c>
      <c r="G1260" s="172">
        <f>IF(INDIRECT("'Закуп'!L" &amp; B1260)="Sale","Sale","")</f>
        <v/>
      </c>
      <c r="H1260" s="158">
        <f>IF(INDIRECT("'Закуп'!F" &amp; B1260)=0,"",INDIRECT("'Закуп'!F" &amp; B1260))</f>
        <v/>
      </c>
      <c r="I1260" s="120" t="n">
        <v>500</v>
      </c>
      <c r="J1260" s="121">
        <f>K1260/1.2</f>
        <v/>
      </c>
      <c r="K1260" s="70" t="n">
        <v>0.7</v>
      </c>
      <c r="L1260" s="122">
        <f>J1260-C1260-(J1260-C1260)*0.2</f>
        <v/>
      </c>
      <c r="M1260" s="123">
        <f>L1260*I1260</f>
        <v/>
      </c>
      <c r="N1260" s="124" t="inlineStr">
        <is>
          <t xml:space="preserve">500-990 шт - </t>
        </is>
      </c>
      <c r="O1260" s="47" t="inlineStr">
        <is>
          <t xml:space="preserve"> руб / шт с НДС</t>
        </is>
      </c>
      <c r="P1260" s="125">
        <f>ROUND(K1260,2)</f>
        <v/>
      </c>
      <c r="Q1260" s="207">
        <f>CONCATENATE(N1260,P1260,O1260,)</f>
        <v/>
      </c>
      <c r="R1260" s="240" t="n"/>
      <c r="T1260" s="241" t="n"/>
      <c r="U1260" s="240" t="n"/>
      <c r="V1260" s="241" t="n"/>
      <c r="Z1260" s="240" t="n"/>
      <c r="AB1260" s="241" t="n"/>
      <c r="AC1260" s="240" t="n"/>
      <c r="AD1260" s="241" t="n"/>
    </row>
    <row r="1261">
      <c r="B1261" s="42" t="n">
        <v>253</v>
      </c>
      <c r="C1261" s="118">
        <f>INDIRECT("'Закуп'!A" &amp; B1261)</f>
        <v/>
      </c>
      <c r="D1261" s="119">
        <f>C1261*1.2</f>
        <v/>
      </c>
      <c r="G1261" s="172">
        <f>IF(INDIRECT("'Закуп'!L" &amp; B1261)="Sale","Sale","")</f>
        <v/>
      </c>
      <c r="H1261" s="158">
        <f>IF(INDIRECT("'Закуп'!F" &amp; B1261)=0,"",INDIRECT("'Закуп'!F" &amp; B1261))</f>
        <v/>
      </c>
      <c r="I1261" s="120" t="n">
        <v>1000</v>
      </c>
      <c r="J1261" s="121">
        <f>K1261/1.2</f>
        <v/>
      </c>
      <c r="K1261" s="70" t="n">
        <v>0.59</v>
      </c>
      <c r="L1261" s="122">
        <f>J1261-C1261-(J1261-C1261)*0.2</f>
        <v/>
      </c>
      <c r="M1261" s="123">
        <f>L1261*I1261</f>
        <v/>
      </c>
      <c r="N1261" s="124" t="inlineStr">
        <is>
          <t xml:space="preserve">1000 + шт - </t>
        </is>
      </c>
      <c r="O1261" s="47" t="inlineStr">
        <is>
          <t xml:space="preserve"> руб / шт с НДС</t>
        </is>
      </c>
      <c r="P1261" s="125">
        <f>ROUND(K1261,2)</f>
        <v/>
      </c>
      <c r="Q1261" s="207">
        <f>CONCATENATE(N1261,P1261,O1261,)</f>
        <v/>
      </c>
      <c r="R1261" s="240" t="n"/>
      <c r="T1261" s="241" t="n"/>
      <c r="U1261" s="240" t="n"/>
      <c r="V1261" s="241" t="n"/>
      <c r="Z1261" s="240" t="n"/>
      <c r="AB1261" s="241" t="n"/>
      <c r="AC1261" s="240" t="n"/>
      <c r="AD1261" s="241" t="n"/>
    </row>
    <row r="1262">
      <c r="A1262" s="232" t="n">
        <v>254</v>
      </c>
      <c r="B1262" s="42" t="n">
        <v>254</v>
      </c>
      <c r="C1262" s="118">
        <f>INDIRECT("'Закуп'!A" &amp; B1262)</f>
        <v/>
      </c>
      <c r="D1262" s="119">
        <f>C1262*1.2</f>
        <v/>
      </c>
      <c r="E1262" s="224">
        <f>INDIRECT("'Закуп'!D" &amp; A1262)</f>
        <v/>
      </c>
      <c r="F1262" s="231">
        <f>INDIRECT("'Закуп'!E" &amp; B1262)</f>
        <v/>
      </c>
      <c r="G1262" s="172">
        <f>IF(INDIRECT("'Закуп'!L" &amp; B1262)="Sale","Sale","")</f>
        <v/>
      </c>
      <c r="H1262" s="158">
        <f>IF(INDIRECT("'Закуп'!F" &amp; B1262)=0,"",INDIRECT("'Закуп'!F" &amp; B1262))</f>
        <v/>
      </c>
      <c r="I1262" s="120" t="n">
        <v>50</v>
      </c>
      <c r="J1262" s="121">
        <f>K1262/1.2</f>
        <v/>
      </c>
      <c r="K1262" s="70" t="n">
        <v>1.18</v>
      </c>
      <c r="L1262" s="122">
        <f>J1262-C1262-(J1262-C1262)*0.2</f>
        <v/>
      </c>
      <c r="M1262" s="123">
        <f>L1262*I1262</f>
        <v/>
      </c>
      <c r="N1262" s="124" t="inlineStr">
        <is>
          <t xml:space="preserve">50-90 шт - </t>
        </is>
      </c>
      <c r="O1262" s="47" t="inlineStr">
        <is>
          <t xml:space="preserve"> руб / шт с НДС</t>
        </is>
      </c>
      <c r="P1262" s="125">
        <f>ROUND(K1262,2)</f>
        <v/>
      </c>
      <c r="Q1262" s="207">
        <f>CONCATENATE(N1262,P1262,O1262,)</f>
        <v/>
      </c>
      <c r="R1262" s="235">
        <f>INDIRECT("'Закуп'!k" &amp; A1262)</f>
        <v/>
      </c>
      <c r="S1262" s="239">
        <f>INDIRECT("'Закуп'!o" &amp; A1262)</f>
        <v/>
      </c>
      <c r="T1262" s="226">
        <f>INDIRECT("'Закуп'!p" &amp; A1262)</f>
        <v/>
      </c>
      <c r="U1262" s="235">
        <f>INDIRECT("'Закуп'!v" &amp; A1262)</f>
        <v/>
      </c>
      <c r="V1262" s="222">
        <f>INDIRECT("'Закуп'!w" &amp; A1262)</f>
        <v/>
      </c>
      <c r="W1262" s="229">
        <f>INDIRECT("'Закуп'!H" &amp; A1262)</f>
        <v/>
      </c>
      <c r="X1262" s="237">
        <f>INDIRECT("'Закуп'!g" &amp; A1262)</f>
        <v/>
      </c>
      <c r="Y1262" s="229">
        <f>INDIRECT("'Закуп'!i" &amp; A1262)</f>
        <v/>
      </c>
      <c r="Z1262" s="236">
        <f>INDIRECT("'Закуп'!x" &amp; A1262)</f>
        <v/>
      </c>
      <c r="AA1262" s="237">
        <f>INDIRECT("'Закуп'!y" &amp; A1262)</f>
        <v/>
      </c>
      <c r="AB1262" s="238">
        <f>INDIRECT("'Закуп'!z" &amp; A1262)</f>
        <v/>
      </c>
      <c r="AC1262" s="223">
        <f>SUBSTITUTE(INDEX(F:F, ROUNDUP((ROW(A1261))/5,0)*5 - 3), "х", "x")</f>
        <v/>
      </c>
      <c r="AD1262" s="222">
        <f>SUBSTITUTE(INDEX(F:F, ROUNDUP((ROW(A1261))/5,0)*5 - 3), "х", "x") &amp; " - " &amp; SUBSTITUTE(SUBSTITUTE(INDEX(F:F, ROUNDUP((ROW(A1261))/5,0)*5 - 3), "х", "*"), "x", "*") &amp; " мм"</f>
        <v/>
      </c>
    </row>
    <row r="1263">
      <c r="B1263" s="42" t="n">
        <v>254</v>
      </c>
      <c r="C1263" s="118">
        <f>INDIRECT("'Закуп'!A" &amp; B1263)</f>
        <v/>
      </c>
      <c r="D1263" s="119">
        <f>C1263*1.2</f>
        <v/>
      </c>
      <c r="G1263" s="172">
        <f>IF(INDIRECT("'Закуп'!L" &amp; B1263)="Sale","Sale","")</f>
        <v/>
      </c>
      <c r="H1263" s="158">
        <f>IF(INDIRECT("'Закуп'!F" &amp; B1263)=0,"",INDIRECT("'Закуп'!F" &amp; B1263))</f>
        <v/>
      </c>
      <c r="I1263" s="120" t="n">
        <v>100</v>
      </c>
      <c r="J1263" s="121">
        <f>K1263/1.2</f>
        <v/>
      </c>
      <c r="K1263" s="70" t="n">
        <v>0.96</v>
      </c>
      <c r="L1263" s="122">
        <f>J1263-C1263-(J1263-C1263)*0.2</f>
        <v/>
      </c>
      <c r="M1263" s="123">
        <f>L1263*I1263</f>
        <v/>
      </c>
      <c r="N1263" s="124" t="inlineStr">
        <is>
          <t xml:space="preserve">100-290 шт - </t>
        </is>
      </c>
      <c r="O1263" s="47" t="inlineStr">
        <is>
          <t xml:space="preserve"> руб / шт с НДС</t>
        </is>
      </c>
      <c r="P1263" s="125">
        <f>ROUND(K1263,2)</f>
        <v/>
      </c>
      <c r="Q1263" s="207">
        <f>CONCATENATE(N1263,P1263,O1263,)</f>
        <v/>
      </c>
      <c r="R1263" s="240" t="n"/>
      <c r="T1263" s="241" t="n"/>
      <c r="U1263" s="240" t="n"/>
      <c r="V1263" s="241" t="n"/>
      <c r="Z1263" s="240" t="n"/>
      <c r="AB1263" s="241" t="n"/>
      <c r="AC1263" s="240" t="n"/>
      <c r="AD1263" s="241" t="n"/>
    </row>
    <row r="1264">
      <c r="B1264" s="42" t="n">
        <v>254</v>
      </c>
      <c r="C1264" s="118">
        <f>INDIRECT("'Закуп'!A" &amp; B1264)</f>
        <v/>
      </c>
      <c r="D1264" s="119">
        <f>C1264*1.2</f>
        <v/>
      </c>
      <c r="G1264" s="172">
        <f>IF(INDIRECT("'Закуп'!L" &amp; B1264)="Sale","Sale","")</f>
        <v/>
      </c>
      <c r="H1264" s="158">
        <f>IF(INDIRECT("'Закуп'!F" &amp; B1264)=0,"",INDIRECT("'Закуп'!F" &amp; B1264))</f>
        <v/>
      </c>
      <c r="I1264" s="120" t="n">
        <v>300</v>
      </c>
      <c r="J1264" s="121">
        <f>K1264/1.2</f>
        <v/>
      </c>
      <c r="K1264" s="70" t="n">
        <v>0.8</v>
      </c>
      <c r="L1264" s="122">
        <f>J1264-C1264-(J1264-C1264)*0.2</f>
        <v/>
      </c>
      <c r="M1264" s="123">
        <f>L1264*I1264</f>
        <v/>
      </c>
      <c r="N1264" s="124" t="inlineStr">
        <is>
          <t xml:space="preserve">300-490 шт - </t>
        </is>
      </c>
      <c r="O1264" s="47" t="inlineStr">
        <is>
          <t xml:space="preserve"> руб / шт с НДС</t>
        </is>
      </c>
      <c r="P1264" s="125">
        <f>ROUND(K1264,2)</f>
        <v/>
      </c>
      <c r="Q1264" s="207">
        <f>CONCATENATE(N1264,P1264,O1264,)</f>
        <v/>
      </c>
      <c r="R1264" s="240" t="n"/>
      <c r="T1264" s="241" t="n"/>
      <c r="U1264" s="240" t="n"/>
      <c r="V1264" s="241" t="n"/>
      <c r="Z1264" s="240" t="n"/>
      <c r="AB1264" s="241" t="n"/>
      <c r="AC1264" s="240" t="n"/>
      <c r="AD1264" s="241" t="n"/>
    </row>
    <row r="1265">
      <c r="B1265" s="42" t="n">
        <v>254</v>
      </c>
      <c r="C1265" s="118">
        <f>INDIRECT("'Закуп'!A" &amp; B1265)</f>
        <v/>
      </c>
      <c r="D1265" s="119">
        <f>C1265*1.2</f>
        <v/>
      </c>
      <c r="G1265" s="172">
        <f>IF(INDIRECT("'Закуп'!L" &amp; B1265)="Sale","Sale","")</f>
        <v/>
      </c>
      <c r="H1265" s="158">
        <f>IF(INDIRECT("'Закуп'!F" &amp; B1265)=0,"",INDIRECT("'Закуп'!F" &amp; B1265))</f>
        <v/>
      </c>
      <c r="I1265" s="120" t="n">
        <v>500</v>
      </c>
      <c r="J1265" s="121">
        <f>K1265/1.2</f>
        <v/>
      </c>
      <c r="K1265" s="70" t="n">
        <v>0.7</v>
      </c>
      <c r="L1265" s="122">
        <f>J1265-C1265-(J1265-C1265)*0.2</f>
        <v/>
      </c>
      <c r="M1265" s="123">
        <f>L1265*I1265</f>
        <v/>
      </c>
      <c r="N1265" s="124" t="inlineStr">
        <is>
          <t xml:space="preserve">500-990 шт - </t>
        </is>
      </c>
      <c r="O1265" s="47" t="inlineStr">
        <is>
          <t xml:space="preserve"> руб / шт с НДС</t>
        </is>
      </c>
      <c r="P1265" s="125">
        <f>ROUND(K1265,2)</f>
        <v/>
      </c>
      <c r="Q1265" s="207">
        <f>CONCATENATE(N1265,P1265,O1265,)</f>
        <v/>
      </c>
      <c r="R1265" s="240" t="n"/>
      <c r="T1265" s="241" t="n"/>
      <c r="U1265" s="240" t="n"/>
      <c r="V1265" s="241" t="n"/>
      <c r="Z1265" s="240" t="n"/>
      <c r="AB1265" s="241" t="n"/>
      <c r="AC1265" s="240" t="n"/>
      <c r="AD1265" s="241" t="n"/>
    </row>
    <row r="1266">
      <c r="B1266" s="42" t="n">
        <v>254</v>
      </c>
      <c r="C1266" s="118">
        <f>INDIRECT("'Закуп'!A" &amp; B1266)</f>
        <v/>
      </c>
      <c r="D1266" s="119">
        <f>C1266*1.2</f>
        <v/>
      </c>
      <c r="G1266" s="172">
        <f>IF(INDIRECT("'Закуп'!L" &amp; B1266)="Sale","Sale","")</f>
        <v/>
      </c>
      <c r="H1266" s="158">
        <f>IF(INDIRECT("'Закуп'!F" &amp; B1266)=0,"",INDIRECT("'Закуп'!F" &amp; B1266))</f>
        <v/>
      </c>
      <c r="I1266" s="120" t="n">
        <v>1000</v>
      </c>
      <c r="J1266" s="121">
        <f>K1266/1.2</f>
        <v/>
      </c>
      <c r="K1266" s="70" t="n">
        <v>0.59</v>
      </c>
      <c r="L1266" s="122">
        <f>J1266-C1266-(J1266-C1266)*0.2</f>
        <v/>
      </c>
      <c r="M1266" s="123">
        <f>L1266*I1266</f>
        <v/>
      </c>
      <c r="N1266" s="124" t="inlineStr">
        <is>
          <t xml:space="preserve">1000 + шт - </t>
        </is>
      </c>
      <c r="O1266" s="47" t="inlineStr">
        <is>
          <t xml:space="preserve"> руб / шт с НДС</t>
        </is>
      </c>
      <c r="P1266" s="125">
        <f>ROUND(K1266,2)</f>
        <v/>
      </c>
      <c r="Q1266" s="207">
        <f>CONCATENATE(N1266,P1266,O1266,)</f>
        <v/>
      </c>
      <c r="R1266" s="240" t="n"/>
      <c r="T1266" s="241" t="n"/>
      <c r="U1266" s="240" t="n"/>
      <c r="V1266" s="241" t="n"/>
      <c r="Z1266" s="240" t="n"/>
      <c r="AB1266" s="241" t="n"/>
      <c r="AC1266" s="240" t="n"/>
      <c r="AD1266" s="241" t="n"/>
    </row>
    <row r="1267">
      <c r="A1267" s="232" t="n">
        <v>255</v>
      </c>
      <c r="B1267" s="42" t="n">
        <v>255</v>
      </c>
      <c r="C1267" s="118">
        <f>INDIRECT("'Закуп'!A" &amp; B1267)</f>
        <v/>
      </c>
      <c r="D1267" s="119">
        <f>C1267*1.2</f>
        <v/>
      </c>
      <c r="E1267" s="224">
        <f>INDIRECT("'Закуп'!D" &amp; A1267)</f>
        <v/>
      </c>
      <c r="F1267" s="231">
        <f>INDIRECT("'Закуп'!E" &amp; B1267)</f>
        <v/>
      </c>
      <c r="G1267" s="172">
        <f>IF(INDIRECT("'Закуп'!L" &amp; B1267)="Sale","Sale","")</f>
        <v/>
      </c>
      <c r="H1267" s="158">
        <f>IF(INDIRECT("'Закуп'!F" &amp; B1267)=0,"",INDIRECT("'Закуп'!F" &amp; B1267))</f>
        <v/>
      </c>
      <c r="I1267" s="120" t="n">
        <v>50</v>
      </c>
      <c r="J1267" s="121">
        <f>K1267/1.2</f>
        <v/>
      </c>
      <c r="K1267" s="70" t="n">
        <v>1</v>
      </c>
      <c r="L1267" s="122">
        <f>J1267-C1267-(J1267-C1267)*0.2</f>
        <v/>
      </c>
      <c r="M1267" s="123">
        <f>L1267*I1267</f>
        <v/>
      </c>
      <c r="N1267" s="124" t="inlineStr">
        <is>
          <t xml:space="preserve">50-90 шт - </t>
        </is>
      </c>
      <c r="O1267" s="47" t="inlineStr">
        <is>
          <t xml:space="preserve"> руб / шт с НДС</t>
        </is>
      </c>
      <c r="P1267" s="125">
        <f>ROUND(K1267,2)</f>
        <v/>
      </c>
      <c r="Q1267" s="207">
        <f>CONCATENATE(N1267,P1267,O1267,)</f>
        <v/>
      </c>
      <c r="R1267" s="235">
        <f>INDIRECT("'Закуп'!k" &amp; A1267)</f>
        <v/>
      </c>
      <c r="S1267" s="239">
        <f>INDIRECT("'Закуп'!o" &amp; A1267)</f>
        <v/>
      </c>
      <c r="T1267" s="226">
        <f>INDIRECT("'Закуп'!p" &amp; A1267)</f>
        <v/>
      </c>
      <c r="U1267" s="235">
        <f>INDIRECT("'Закуп'!v" &amp; A1267)</f>
        <v/>
      </c>
      <c r="V1267" s="222">
        <f>INDIRECT("'Закуп'!w" &amp; A1267)</f>
        <v/>
      </c>
      <c r="W1267" s="229">
        <f>INDIRECT("'Закуп'!H" &amp; A1267)</f>
        <v/>
      </c>
      <c r="X1267" s="237">
        <f>INDIRECT("'Закуп'!g" &amp; A1267)</f>
        <v/>
      </c>
      <c r="Y1267" s="229">
        <f>INDIRECT("'Закуп'!i" &amp; A1267)</f>
        <v/>
      </c>
      <c r="Z1267" s="236">
        <f>INDIRECT("'Закуп'!x" &amp; A1267)</f>
        <v/>
      </c>
      <c r="AA1267" s="237">
        <f>INDIRECT("'Закуп'!y" &amp; A1267)</f>
        <v/>
      </c>
      <c r="AB1267" s="238">
        <f>INDIRECT("'Закуп'!z" &amp; A1267)</f>
        <v/>
      </c>
      <c r="AC1267" s="223">
        <f>SUBSTITUTE(INDEX(F:F, ROUNDUP((ROW(A1266))/5,0)*5 - 3), "х", "x")</f>
        <v/>
      </c>
      <c r="AD1267" s="222">
        <f>SUBSTITUTE(INDEX(F:F, ROUNDUP((ROW(A1266))/5,0)*5 - 3), "х", "x") &amp; " - " &amp; SUBSTITUTE(SUBSTITUTE(INDEX(F:F, ROUNDUP((ROW(A1266))/5,0)*5 - 3), "х", "*"), "x", "*") &amp; " мм"</f>
        <v/>
      </c>
    </row>
    <row r="1268">
      <c r="B1268" s="42" t="n">
        <v>255</v>
      </c>
      <c r="C1268" s="118">
        <f>INDIRECT("'Закуп'!A" &amp; B1268)</f>
        <v/>
      </c>
      <c r="D1268" s="119">
        <f>C1268*1.2</f>
        <v/>
      </c>
      <c r="G1268" s="172">
        <f>IF(INDIRECT("'Закуп'!L" &amp; B1268)="Sale","Sale","")</f>
        <v/>
      </c>
      <c r="H1268" s="158">
        <f>IF(INDIRECT("'Закуп'!F" &amp; B1268)=0,"",INDIRECT("'Закуп'!F" &amp; B1268))</f>
        <v/>
      </c>
      <c r="I1268" s="120" t="n">
        <v>100</v>
      </c>
      <c r="J1268" s="121">
        <f>K1268/1.2</f>
        <v/>
      </c>
      <c r="K1268" s="70" t="n">
        <v>0.9</v>
      </c>
      <c r="L1268" s="122">
        <f>J1268-C1268-(J1268-C1268)*0.2</f>
        <v/>
      </c>
      <c r="M1268" s="123">
        <f>L1268*I1268</f>
        <v/>
      </c>
      <c r="N1268" s="124" t="inlineStr">
        <is>
          <t xml:space="preserve">100-290 шт - </t>
        </is>
      </c>
      <c r="O1268" s="47" t="inlineStr">
        <is>
          <t xml:space="preserve"> руб / шт с НДС</t>
        </is>
      </c>
      <c r="P1268" s="125">
        <f>ROUND(K1268,2)</f>
        <v/>
      </c>
      <c r="Q1268" s="207">
        <f>CONCATENATE(N1268,P1268,O1268,)</f>
        <v/>
      </c>
      <c r="R1268" s="240" t="n"/>
      <c r="T1268" s="241" t="n"/>
      <c r="U1268" s="240" t="n"/>
      <c r="V1268" s="241" t="n"/>
      <c r="Z1268" s="240" t="n"/>
      <c r="AB1268" s="241" t="n"/>
      <c r="AC1268" s="240" t="n"/>
      <c r="AD1268" s="241" t="n"/>
    </row>
    <row r="1269">
      <c r="B1269" s="42" t="n">
        <v>255</v>
      </c>
      <c r="C1269" s="118">
        <f>INDIRECT("'Закуп'!A" &amp; B1269)</f>
        <v/>
      </c>
      <c r="D1269" s="119">
        <f>C1269*1.2</f>
        <v/>
      </c>
      <c r="G1269" s="172">
        <f>IF(INDIRECT("'Закуп'!L" &amp; B1269)="Sale","Sale","")</f>
        <v/>
      </c>
      <c r="H1269" s="158">
        <f>IF(INDIRECT("'Закуп'!F" &amp; B1269)=0,"",INDIRECT("'Закуп'!F" &amp; B1269))</f>
        <v/>
      </c>
      <c r="I1269" s="120" t="n">
        <v>300</v>
      </c>
      <c r="J1269" s="121">
        <f>K1269/1.2</f>
        <v/>
      </c>
      <c r="K1269" s="70" t="n">
        <v>0.8</v>
      </c>
      <c r="L1269" s="122">
        <f>J1269-C1269-(J1269-C1269)*0.2</f>
        <v/>
      </c>
      <c r="M1269" s="123">
        <f>L1269*I1269</f>
        <v/>
      </c>
      <c r="N1269" s="124" t="inlineStr">
        <is>
          <t xml:space="preserve">300-490 шт - </t>
        </is>
      </c>
      <c r="O1269" s="47" t="inlineStr">
        <is>
          <t xml:space="preserve"> руб / шт с НДС</t>
        </is>
      </c>
      <c r="P1269" s="125">
        <f>ROUND(K1269,2)</f>
        <v/>
      </c>
      <c r="Q1269" s="207">
        <f>CONCATENATE(N1269,P1269,O1269,)</f>
        <v/>
      </c>
      <c r="R1269" s="240" t="n"/>
      <c r="T1269" s="241" t="n"/>
      <c r="U1269" s="240" t="n"/>
      <c r="V1269" s="241" t="n"/>
      <c r="Z1269" s="240" t="n"/>
      <c r="AB1269" s="241" t="n"/>
      <c r="AC1269" s="240" t="n"/>
      <c r="AD1269" s="241" t="n"/>
    </row>
    <row r="1270">
      <c r="B1270" s="42" t="n">
        <v>255</v>
      </c>
      <c r="C1270" s="118">
        <f>INDIRECT("'Закуп'!A" &amp; B1270)</f>
        <v/>
      </c>
      <c r="D1270" s="119">
        <f>C1270*1.2</f>
        <v/>
      </c>
      <c r="G1270" s="172">
        <f>IF(INDIRECT("'Закуп'!L" &amp; B1270)="Sale","Sale","")</f>
        <v/>
      </c>
      <c r="H1270" s="158">
        <f>IF(INDIRECT("'Закуп'!F" &amp; B1270)=0,"",INDIRECT("'Закуп'!F" &amp; B1270))</f>
        <v/>
      </c>
      <c r="I1270" s="120" t="n">
        <v>500</v>
      </c>
      <c r="J1270" s="121">
        <f>K1270/1.2</f>
        <v/>
      </c>
      <c r="K1270" s="70" t="n">
        <v>0.7</v>
      </c>
      <c r="L1270" s="122">
        <f>J1270-C1270-(J1270-C1270)*0.2</f>
        <v/>
      </c>
      <c r="M1270" s="123">
        <f>L1270*I1270</f>
        <v/>
      </c>
      <c r="N1270" s="124" t="inlineStr">
        <is>
          <t xml:space="preserve">500-990 шт - </t>
        </is>
      </c>
      <c r="O1270" s="47" t="inlineStr">
        <is>
          <t xml:space="preserve"> руб / шт с НДС</t>
        </is>
      </c>
      <c r="P1270" s="125">
        <f>ROUND(K1270,2)</f>
        <v/>
      </c>
      <c r="Q1270" s="207">
        <f>CONCATENATE(N1270,P1270,O1270,)</f>
        <v/>
      </c>
      <c r="R1270" s="240" t="n"/>
      <c r="T1270" s="241" t="n"/>
      <c r="U1270" s="240" t="n"/>
      <c r="V1270" s="241" t="n"/>
      <c r="Z1270" s="240" t="n"/>
      <c r="AB1270" s="241" t="n"/>
      <c r="AC1270" s="240" t="n"/>
      <c r="AD1270" s="241" t="n"/>
    </row>
    <row r="1271">
      <c r="B1271" s="42" t="n">
        <v>255</v>
      </c>
      <c r="C1271" s="118">
        <f>INDIRECT("'Закуп'!A" &amp; B1271)</f>
        <v/>
      </c>
      <c r="D1271" s="119">
        <f>C1271*1.2</f>
        <v/>
      </c>
      <c r="G1271" s="172">
        <f>IF(INDIRECT("'Закуп'!L" &amp; B1271)="Sale","Sale","")</f>
        <v/>
      </c>
      <c r="H1271" s="158">
        <f>IF(INDIRECT("'Закуп'!F" &amp; B1271)=0,"",INDIRECT("'Закуп'!F" &amp; B1271))</f>
        <v/>
      </c>
      <c r="I1271" s="120" t="n">
        <v>1000</v>
      </c>
      <c r="J1271" s="121">
        <f>K1271/1.2</f>
        <v/>
      </c>
      <c r="K1271" s="70" t="n">
        <v>0.6</v>
      </c>
      <c r="L1271" s="122">
        <f>J1271-C1271-(J1271-C1271)*0.2</f>
        <v/>
      </c>
      <c r="M1271" s="123">
        <f>L1271*I1271</f>
        <v/>
      </c>
      <c r="N1271" s="124" t="inlineStr">
        <is>
          <t xml:space="preserve">1000 + шт - </t>
        </is>
      </c>
      <c r="O1271" s="47" t="inlineStr">
        <is>
          <t xml:space="preserve"> руб / шт с НДС</t>
        </is>
      </c>
      <c r="P1271" s="125">
        <f>ROUND(K1271,2)</f>
        <v/>
      </c>
      <c r="Q1271" s="207">
        <f>CONCATENATE(N1271,P1271,O1271,)</f>
        <v/>
      </c>
      <c r="R1271" s="240" t="n"/>
      <c r="T1271" s="241" t="n"/>
      <c r="U1271" s="240" t="n"/>
      <c r="V1271" s="241" t="n"/>
      <c r="Z1271" s="240" t="n"/>
      <c r="AB1271" s="241" t="n"/>
      <c r="AC1271" s="240" t="n"/>
      <c r="AD1271" s="241" t="n"/>
    </row>
    <row r="1272" ht="32.15" customHeight="1" s="55">
      <c r="A1272" s="232" t="n">
        <v>256</v>
      </c>
      <c r="B1272" s="42" t="n">
        <v>256</v>
      </c>
      <c r="C1272" s="118">
        <f>INDIRECT("'Закуп'!A" &amp; B1272)</f>
        <v/>
      </c>
      <c r="D1272" s="119">
        <f>C1272*1.2</f>
        <v/>
      </c>
      <c r="E1272" s="225">
        <f>INDIRECT("'Закуп'!D" &amp; A1272)</f>
        <v/>
      </c>
      <c r="F1272" s="231">
        <f>INDIRECT("'Закуп'!E" &amp; B1272)</f>
        <v/>
      </c>
      <c r="G1272" s="172">
        <f>IF(INDIRECT("'Закуп'!L" &amp; B1272)="Sale","Sale","")</f>
        <v/>
      </c>
      <c r="H1272" s="158">
        <f>IF(INDIRECT("'Закуп'!F" &amp; B1272)=0,"",INDIRECT("'Закуп'!F" &amp; B1272))</f>
        <v/>
      </c>
      <c r="I1272" s="120" t="n">
        <v>50</v>
      </c>
      <c r="J1272" s="121">
        <f>K1272/1.2</f>
        <v/>
      </c>
      <c r="K1272" s="70" t="n">
        <v>1.86</v>
      </c>
      <c r="L1272" s="122">
        <f>J1272-C1272-(J1272-C1272)*0.2</f>
        <v/>
      </c>
      <c r="M1272" s="123">
        <f>L1272*I1272</f>
        <v/>
      </c>
      <c r="N1272" s="124" t="inlineStr">
        <is>
          <t xml:space="preserve">50-90 шт - </t>
        </is>
      </c>
      <c r="O1272" s="47" t="inlineStr">
        <is>
          <t xml:space="preserve"> руб / шт с НДС</t>
        </is>
      </c>
      <c r="P1272" s="125">
        <f>ROUND(K1272,2)</f>
        <v/>
      </c>
      <c r="Q1272" s="207">
        <f>CONCATENATE(N1272,P1272,O1272,)</f>
        <v/>
      </c>
      <c r="R1272" s="235">
        <f>INDIRECT("'Закуп'!k" &amp; A1272)</f>
        <v/>
      </c>
      <c r="S1272" s="239">
        <f>INDIRECT("'Закуп'!o" &amp; A1272)</f>
        <v/>
      </c>
      <c r="T1272" s="226">
        <f>INDIRECT("'Закуп'!p" &amp; A1272)</f>
        <v/>
      </c>
      <c r="U1272" s="235">
        <f>INDIRECT("'Закуп'!v" &amp; A1272)</f>
        <v/>
      </c>
      <c r="V1272" s="222">
        <f>INDIRECT("'Закуп'!w" &amp; A1272)</f>
        <v/>
      </c>
      <c r="W1272" s="229">
        <f>INDIRECT("'Закуп'!H" &amp; A1272)</f>
        <v/>
      </c>
      <c r="X1272" s="237">
        <f>INDIRECT("'Закуп'!g" &amp; A1272)</f>
        <v/>
      </c>
      <c r="Y1272" s="229">
        <f>INDIRECT("'Закуп'!i" &amp; A1272)</f>
        <v/>
      </c>
      <c r="Z1272" s="236">
        <f>INDIRECT("'Закуп'!x" &amp; A1272)</f>
        <v/>
      </c>
      <c r="AA1272" s="237">
        <f>INDIRECT("'Закуп'!y" &amp; A1272)</f>
        <v/>
      </c>
      <c r="AB1272" s="238">
        <f>INDIRECT("'Закуп'!z" &amp; A1272)</f>
        <v/>
      </c>
      <c r="AC1272" s="223">
        <f>SUBSTITUTE(INDEX(F:F, ROUNDUP((ROW(A1271))/5,0)*5 - 3), "х", "x")</f>
        <v/>
      </c>
      <c r="AD1272" s="222">
        <f>SUBSTITUTE(INDEX(F:F, ROUNDUP((ROW(A1271))/5,0)*5 - 3), "х", "x") &amp; " - " &amp; SUBSTITUTE(SUBSTITUTE(INDEX(F:F, ROUNDUP((ROW(A1271))/5,0)*5 - 3), "х", "*"), "x", "*") &amp; " мм"</f>
        <v/>
      </c>
    </row>
    <row r="1273" ht="32.15" customHeight="1" s="55">
      <c r="B1273" s="42" t="n">
        <v>256</v>
      </c>
      <c r="C1273" s="118">
        <f>INDIRECT("'Закуп'!A" &amp; B1273)</f>
        <v/>
      </c>
      <c r="D1273" s="119">
        <f>C1273*1.2</f>
        <v/>
      </c>
      <c r="G1273" s="172">
        <f>IF(INDIRECT("'Закуп'!L" &amp; B1273)="Sale","Sale","")</f>
        <v/>
      </c>
      <c r="H1273" s="158">
        <f>IF(INDIRECT("'Закуп'!F" &amp; B1273)=0,"",INDIRECT("'Закуп'!F" &amp; B1273))</f>
        <v/>
      </c>
      <c r="I1273" s="120" t="n">
        <v>100</v>
      </c>
      <c r="J1273" s="121">
        <f>K1273/1.2</f>
        <v/>
      </c>
      <c r="K1273" s="70" t="n">
        <v>1.69</v>
      </c>
      <c r="L1273" s="122">
        <f>J1273-C1273-(J1273-C1273)*0.2</f>
        <v/>
      </c>
      <c r="M1273" s="123">
        <f>L1273*I1273</f>
        <v/>
      </c>
      <c r="N1273" s="124" t="inlineStr">
        <is>
          <t xml:space="preserve">100-290 шт - </t>
        </is>
      </c>
      <c r="O1273" s="47" t="inlineStr">
        <is>
          <t xml:space="preserve"> руб / шт с НДС</t>
        </is>
      </c>
      <c r="P1273" s="125">
        <f>ROUND(K1273,2)</f>
        <v/>
      </c>
      <c r="Q1273" s="207">
        <f>CONCATENATE(N1273,P1273,O1273,)</f>
        <v/>
      </c>
      <c r="R1273" s="240" t="n"/>
      <c r="T1273" s="241" t="n"/>
      <c r="U1273" s="240" t="n"/>
      <c r="V1273" s="241" t="n"/>
      <c r="Z1273" s="240" t="n"/>
      <c r="AB1273" s="241" t="n"/>
      <c r="AC1273" s="240" t="n"/>
      <c r="AD1273" s="241" t="n"/>
    </row>
    <row r="1274" ht="32.15" customHeight="1" s="55">
      <c r="B1274" s="42" t="n">
        <v>256</v>
      </c>
      <c r="C1274" s="118">
        <f>INDIRECT("'Закуп'!A" &amp; B1274)</f>
        <v/>
      </c>
      <c r="D1274" s="119">
        <f>C1274*1.2</f>
        <v/>
      </c>
      <c r="G1274" s="172">
        <f>IF(INDIRECT("'Закуп'!L" &amp; B1274)="Sale","Sale","")</f>
        <v/>
      </c>
      <c r="H1274" s="158">
        <f>IF(INDIRECT("'Закуп'!F" &amp; B1274)=0,"",INDIRECT("'Закуп'!F" &amp; B1274))</f>
        <v/>
      </c>
      <c r="I1274" s="120" t="n">
        <v>300</v>
      </c>
      <c r="J1274" s="121">
        <f>K1274/1.2</f>
        <v/>
      </c>
      <c r="K1274" s="70" t="n">
        <v>1.54</v>
      </c>
      <c r="L1274" s="122">
        <f>J1274-C1274-(J1274-C1274)*0.2</f>
        <v/>
      </c>
      <c r="M1274" s="123">
        <f>L1274*I1274</f>
        <v/>
      </c>
      <c r="N1274" s="124" t="inlineStr">
        <is>
          <t xml:space="preserve">300-490 шт - </t>
        </is>
      </c>
      <c r="O1274" s="47" t="inlineStr">
        <is>
          <t xml:space="preserve"> руб / шт с НДС</t>
        </is>
      </c>
      <c r="P1274" s="125">
        <f>ROUND(K1274,2)</f>
        <v/>
      </c>
      <c r="Q1274" s="207">
        <f>CONCATENATE(N1274,P1274,O1274,)</f>
        <v/>
      </c>
      <c r="R1274" s="240" t="n"/>
      <c r="T1274" s="241" t="n"/>
      <c r="U1274" s="240" t="n"/>
      <c r="V1274" s="241" t="n"/>
      <c r="Z1274" s="240" t="n"/>
      <c r="AB1274" s="241" t="n"/>
      <c r="AC1274" s="240" t="n"/>
      <c r="AD1274" s="241" t="n"/>
    </row>
    <row r="1275" ht="32.15" customHeight="1" s="55">
      <c r="B1275" s="42" t="n">
        <v>256</v>
      </c>
      <c r="C1275" s="118">
        <f>INDIRECT("'Закуп'!A" &amp; B1275)</f>
        <v/>
      </c>
      <c r="D1275" s="119">
        <f>C1275*1.2</f>
        <v/>
      </c>
      <c r="G1275" s="172">
        <f>IF(INDIRECT("'Закуп'!L" &amp; B1275)="Sale","Sale","")</f>
        <v/>
      </c>
      <c r="H1275" s="158">
        <f>IF(INDIRECT("'Закуп'!F" &amp; B1275)=0,"",INDIRECT("'Закуп'!F" &amp; B1275))</f>
        <v/>
      </c>
      <c r="I1275" s="120" t="n">
        <v>500</v>
      </c>
      <c r="J1275" s="121">
        <f>K1275/1.2</f>
        <v/>
      </c>
      <c r="K1275" s="70" t="n">
        <v>1.42</v>
      </c>
      <c r="L1275" s="122">
        <f>J1275-C1275-(J1275-C1275)*0.2</f>
        <v/>
      </c>
      <c r="M1275" s="123">
        <f>L1275*I1275</f>
        <v/>
      </c>
      <c r="N1275" s="124" t="inlineStr">
        <is>
          <t xml:space="preserve">500-990 шт - </t>
        </is>
      </c>
      <c r="O1275" s="47" t="inlineStr">
        <is>
          <t xml:space="preserve"> руб / шт с НДС</t>
        </is>
      </c>
      <c r="P1275" s="125">
        <f>ROUND(K1275,2)</f>
        <v/>
      </c>
      <c r="Q1275" s="207">
        <f>CONCATENATE(N1275,P1275,O1275,)</f>
        <v/>
      </c>
      <c r="R1275" s="240" t="n"/>
      <c r="T1275" s="241" t="n"/>
      <c r="U1275" s="240" t="n"/>
      <c r="V1275" s="241" t="n"/>
      <c r="Z1275" s="240" t="n"/>
      <c r="AB1275" s="241" t="n"/>
      <c r="AC1275" s="240" t="n"/>
      <c r="AD1275" s="241" t="n"/>
    </row>
    <row r="1276" ht="32.15" customHeight="1" s="55">
      <c r="B1276" s="42" t="n">
        <v>256</v>
      </c>
      <c r="C1276" s="118">
        <f>INDIRECT("'Закуп'!A" &amp; B1276)</f>
        <v/>
      </c>
      <c r="D1276" s="119">
        <f>C1276*1.2</f>
        <v/>
      </c>
      <c r="G1276" s="172">
        <f>IF(INDIRECT("'Закуп'!L" &amp; B1276)="Sale","Sale","")</f>
        <v/>
      </c>
      <c r="H1276" s="158">
        <f>IF(INDIRECT("'Закуп'!F" &amp; B1276)=0,"",INDIRECT("'Закуп'!F" &amp; B1276))</f>
        <v/>
      </c>
      <c r="I1276" s="120" t="n">
        <v>1000</v>
      </c>
      <c r="J1276" s="121">
        <f>K1276/1.2</f>
        <v/>
      </c>
      <c r="K1276" s="70" t="n">
        <v>1.26</v>
      </c>
      <c r="L1276" s="122">
        <f>J1276-C1276-(J1276-C1276)*0.2</f>
        <v/>
      </c>
      <c r="M1276" s="123">
        <f>L1276*I1276</f>
        <v/>
      </c>
      <c r="N1276" s="124" t="inlineStr">
        <is>
          <t xml:space="preserve">1000 + шт - </t>
        </is>
      </c>
      <c r="O1276" s="47" t="inlineStr">
        <is>
          <t xml:space="preserve"> руб / шт с НДС</t>
        </is>
      </c>
      <c r="P1276" s="125">
        <f>ROUND(K1276,2)</f>
        <v/>
      </c>
      <c r="Q1276" s="207">
        <f>CONCATENATE(N1276,P1276,O1276,)</f>
        <v/>
      </c>
      <c r="R1276" s="240" t="n"/>
      <c r="T1276" s="241" t="n"/>
      <c r="U1276" s="240" t="n"/>
      <c r="V1276" s="241" t="n"/>
      <c r="Z1276" s="240" t="n"/>
      <c r="AB1276" s="241" t="n"/>
      <c r="AC1276" s="240" t="n"/>
      <c r="AD1276" s="241" t="n"/>
    </row>
    <row r="1277" ht="32.15" customHeight="1" s="55">
      <c r="A1277" s="232" t="n">
        <v>257</v>
      </c>
      <c r="B1277" s="42" t="n">
        <v>257</v>
      </c>
      <c r="C1277" s="118">
        <f>INDIRECT("'Закуп'!A" &amp; B1277)</f>
        <v/>
      </c>
      <c r="D1277" s="119">
        <f>C1277*1.2</f>
        <v/>
      </c>
      <c r="E1277" s="225">
        <f>INDIRECT("'Закуп'!D" &amp; A1277)</f>
        <v/>
      </c>
      <c r="F1277" s="231">
        <f>INDIRECT("'Закуп'!E" &amp; B1277)</f>
        <v/>
      </c>
      <c r="G1277" s="172">
        <f>IF(INDIRECT("'Закуп'!L" &amp; B1277)="Sale","Sale","")</f>
        <v/>
      </c>
      <c r="H1277" s="158">
        <f>IF(INDIRECT("'Закуп'!F" &amp; B1277)=0,"",INDIRECT("'Закуп'!F" &amp; B1277))</f>
        <v/>
      </c>
      <c r="I1277" s="120" t="n">
        <v>50</v>
      </c>
      <c r="J1277" s="121">
        <f>K1277/1.2</f>
        <v/>
      </c>
      <c r="K1277" s="70" t="n">
        <v>1.79</v>
      </c>
      <c r="L1277" s="122">
        <f>J1277-C1277-(J1277-C1277)*0.2</f>
        <v/>
      </c>
      <c r="M1277" s="123">
        <f>L1277*I1277</f>
        <v/>
      </c>
      <c r="N1277" s="124" t="inlineStr">
        <is>
          <t xml:space="preserve">50-90 шт - </t>
        </is>
      </c>
      <c r="O1277" s="47" t="inlineStr">
        <is>
          <t xml:space="preserve"> руб / шт с НДС</t>
        </is>
      </c>
      <c r="P1277" s="125">
        <f>ROUND(K1277,2)</f>
        <v/>
      </c>
      <c r="Q1277" s="207">
        <f>CONCATENATE(N1277,P1277,O1277,)</f>
        <v/>
      </c>
      <c r="R1277" s="235">
        <f>INDIRECT("'Закуп'!k" &amp; A1277)</f>
        <v/>
      </c>
      <c r="S1277" s="239">
        <f>INDIRECT("'Закуп'!o" &amp; A1277)</f>
        <v/>
      </c>
      <c r="T1277" s="226">
        <f>INDIRECT("'Закуп'!p" &amp; A1277)</f>
        <v/>
      </c>
      <c r="U1277" s="235">
        <f>INDIRECT("'Закуп'!v" &amp; A1277)</f>
        <v/>
      </c>
      <c r="V1277" s="222">
        <f>INDIRECT("'Закуп'!w" &amp; A1277)</f>
        <v/>
      </c>
      <c r="W1277" s="229">
        <f>INDIRECT("'Закуп'!H" &amp; A1277)</f>
        <v/>
      </c>
      <c r="X1277" s="237">
        <f>INDIRECT("'Закуп'!g" &amp; A1277)</f>
        <v/>
      </c>
      <c r="Y1277" s="229">
        <f>INDIRECT("'Закуп'!i" &amp; A1277)</f>
        <v/>
      </c>
      <c r="Z1277" s="236">
        <f>INDIRECT("'Закуп'!x" &amp; A1277)</f>
        <v/>
      </c>
      <c r="AA1277" s="237">
        <f>INDIRECT("'Закуп'!y" &amp; A1277)</f>
        <v/>
      </c>
      <c r="AB1277" s="238">
        <f>INDIRECT("'Закуп'!z" &amp; A1277)</f>
        <v/>
      </c>
      <c r="AC1277" s="223">
        <f>SUBSTITUTE(INDEX(F:F, ROUNDUP((ROW(A1276))/5,0)*5 - 3), "х", "x")</f>
        <v/>
      </c>
      <c r="AD1277" s="222">
        <f>SUBSTITUTE(INDEX(F:F, ROUNDUP((ROW(A1276))/5,0)*5 - 3), "х", "x") &amp; " - " &amp; SUBSTITUTE(SUBSTITUTE(INDEX(F:F, ROUNDUP((ROW(A1276))/5,0)*5 - 3), "х", "*"), "x", "*") &amp; " мм"</f>
        <v/>
      </c>
    </row>
    <row r="1278" ht="32.15" customHeight="1" s="55">
      <c r="B1278" s="42" t="n">
        <v>257</v>
      </c>
      <c r="C1278" s="118">
        <f>INDIRECT("'Закуп'!A" &amp; B1278)</f>
        <v/>
      </c>
      <c r="D1278" s="119">
        <f>C1278*1.2</f>
        <v/>
      </c>
      <c r="G1278" s="172">
        <f>IF(INDIRECT("'Закуп'!L" &amp; B1278)="Sale","Sale","")</f>
        <v/>
      </c>
      <c r="H1278" s="158">
        <f>IF(INDIRECT("'Закуп'!F" &amp; B1278)=0,"",INDIRECT("'Закуп'!F" &amp; B1278))</f>
        <v/>
      </c>
      <c r="I1278" s="120" t="n">
        <v>100</v>
      </c>
      <c r="J1278" s="121">
        <f>K1278/1.2</f>
        <v/>
      </c>
      <c r="K1278" s="70" t="n">
        <v>1.63</v>
      </c>
      <c r="L1278" s="122">
        <f>J1278-C1278-(J1278-C1278)*0.2</f>
        <v/>
      </c>
      <c r="M1278" s="123">
        <f>L1278*I1278</f>
        <v/>
      </c>
      <c r="N1278" s="124" t="inlineStr">
        <is>
          <t xml:space="preserve">100-290 шт - </t>
        </is>
      </c>
      <c r="O1278" s="47" t="inlineStr">
        <is>
          <t xml:space="preserve"> руб / шт с НДС</t>
        </is>
      </c>
      <c r="P1278" s="125">
        <f>ROUND(K1278,2)</f>
        <v/>
      </c>
      <c r="Q1278" s="207">
        <f>CONCATENATE(N1278,P1278,O1278,)</f>
        <v/>
      </c>
      <c r="R1278" s="240" t="n"/>
      <c r="T1278" s="241" t="n"/>
      <c r="U1278" s="240" t="n"/>
      <c r="V1278" s="241" t="n"/>
      <c r="Z1278" s="240" t="n"/>
      <c r="AB1278" s="241" t="n"/>
      <c r="AC1278" s="240" t="n"/>
      <c r="AD1278" s="241" t="n"/>
    </row>
    <row r="1279" ht="32.15" customHeight="1" s="55">
      <c r="B1279" s="42" t="n">
        <v>257</v>
      </c>
      <c r="C1279" s="118">
        <f>INDIRECT("'Закуп'!A" &amp; B1279)</f>
        <v/>
      </c>
      <c r="D1279" s="119">
        <f>C1279*1.2</f>
        <v/>
      </c>
      <c r="G1279" s="172">
        <f>IF(INDIRECT("'Закуп'!L" &amp; B1279)="Sale","Sale","")</f>
        <v/>
      </c>
      <c r="H1279" s="158">
        <f>IF(INDIRECT("'Закуп'!F" &amp; B1279)=0,"",INDIRECT("'Закуп'!F" &amp; B1279))</f>
        <v/>
      </c>
      <c r="I1279" s="120" t="n">
        <v>300</v>
      </c>
      <c r="J1279" s="121">
        <f>K1279/1.2</f>
        <v/>
      </c>
      <c r="K1279" s="70" t="n">
        <v>1.49</v>
      </c>
      <c r="L1279" s="122">
        <f>J1279-C1279-(J1279-C1279)*0.2</f>
        <v/>
      </c>
      <c r="M1279" s="123">
        <f>L1279*I1279</f>
        <v/>
      </c>
      <c r="N1279" s="124" t="inlineStr">
        <is>
          <t xml:space="preserve">300-490 шт - </t>
        </is>
      </c>
      <c r="O1279" s="47" t="inlineStr">
        <is>
          <t xml:space="preserve"> руб / шт с НДС</t>
        </is>
      </c>
      <c r="P1279" s="125">
        <f>ROUND(K1279,2)</f>
        <v/>
      </c>
      <c r="Q1279" s="207">
        <f>CONCATENATE(N1279,P1279,O1279,)</f>
        <v/>
      </c>
      <c r="R1279" s="240" t="n"/>
      <c r="T1279" s="241" t="n"/>
      <c r="U1279" s="240" t="n"/>
      <c r="V1279" s="241" t="n"/>
      <c r="Z1279" s="240" t="n"/>
      <c r="AB1279" s="241" t="n"/>
      <c r="AC1279" s="240" t="n"/>
      <c r="AD1279" s="241" t="n"/>
    </row>
    <row r="1280" ht="32.15" customHeight="1" s="55">
      <c r="B1280" s="42" t="n">
        <v>257</v>
      </c>
      <c r="C1280" s="118">
        <f>INDIRECT("'Закуп'!A" &amp; B1280)</f>
        <v/>
      </c>
      <c r="D1280" s="119">
        <f>C1280*1.2</f>
        <v/>
      </c>
      <c r="G1280" s="172">
        <f>IF(INDIRECT("'Закуп'!L" &amp; B1280)="Sale","Sale","")</f>
        <v/>
      </c>
      <c r="H1280" s="158">
        <f>IF(INDIRECT("'Закуп'!F" &amp; B1280)=0,"",INDIRECT("'Закуп'!F" &amp; B1280))</f>
        <v/>
      </c>
      <c r="I1280" s="120" t="n">
        <v>500</v>
      </c>
      <c r="J1280" s="121">
        <f>K1280/1.2</f>
        <v/>
      </c>
      <c r="K1280" s="70" t="n">
        <v>1.37</v>
      </c>
      <c r="L1280" s="122">
        <f>J1280-C1280-(J1280-C1280)*0.2</f>
        <v/>
      </c>
      <c r="M1280" s="123">
        <f>L1280*I1280</f>
        <v/>
      </c>
      <c r="N1280" s="124" t="inlineStr">
        <is>
          <t xml:space="preserve">500-990 шт - </t>
        </is>
      </c>
      <c r="O1280" s="47" t="inlineStr">
        <is>
          <t xml:space="preserve"> руб / шт с НДС</t>
        </is>
      </c>
      <c r="P1280" s="125">
        <f>ROUND(K1280,2)</f>
        <v/>
      </c>
      <c r="Q1280" s="207">
        <f>CONCATENATE(N1280,P1280,O1280,)</f>
        <v/>
      </c>
      <c r="R1280" s="240" t="n"/>
      <c r="T1280" s="241" t="n"/>
      <c r="U1280" s="240" t="n"/>
      <c r="V1280" s="241" t="n"/>
      <c r="Z1280" s="240" t="n"/>
      <c r="AB1280" s="241" t="n"/>
      <c r="AC1280" s="240" t="n"/>
      <c r="AD1280" s="241" t="n"/>
    </row>
    <row r="1281" ht="32.15" customHeight="1" s="55">
      <c r="B1281" s="42" t="n">
        <v>257</v>
      </c>
      <c r="C1281" s="118">
        <f>INDIRECT("'Закуп'!A" &amp; B1281)</f>
        <v/>
      </c>
      <c r="D1281" s="119">
        <f>C1281*1.2</f>
        <v/>
      </c>
      <c r="G1281" s="172">
        <f>IF(INDIRECT("'Закуп'!L" &amp; B1281)="Sale","Sale","")</f>
        <v/>
      </c>
      <c r="H1281" s="158">
        <f>IF(INDIRECT("'Закуп'!F" &amp; B1281)=0,"",INDIRECT("'Закуп'!F" &amp; B1281))</f>
        <v/>
      </c>
      <c r="I1281" s="120" t="n">
        <v>1000</v>
      </c>
      <c r="J1281" s="121">
        <f>K1281/1.2</f>
        <v/>
      </c>
      <c r="K1281" s="70" t="n">
        <v>1.22</v>
      </c>
      <c r="L1281" s="122">
        <f>J1281-C1281-(J1281-C1281)*0.2</f>
        <v/>
      </c>
      <c r="M1281" s="123">
        <f>L1281*I1281</f>
        <v/>
      </c>
      <c r="N1281" s="124" t="inlineStr">
        <is>
          <t xml:space="preserve">1000 + шт - </t>
        </is>
      </c>
      <c r="O1281" s="47" t="inlineStr">
        <is>
          <t xml:space="preserve"> руб / шт с НДС</t>
        </is>
      </c>
      <c r="P1281" s="125">
        <f>ROUND(K1281,2)</f>
        <v/>
      </c>
      <c r="Q1281" s="207">
        <f>CONCATENATE(N1281,P1281,O1281,)</f>
        <v/>
      </c>
      <c r="R1281" s="240" t="n"/>
      <c r="T1281" s="241" t="n"/>
      <c r="U1281" s="240" t="n"/>
      <c r="V1281" s="241" t="n"/>
      <c r="Z1281" s="240" t="n"/>
      <c r="AB1281" s="241" t="n"/>
      <c r="AC1281" s="240" t="n"/>
      <c r="AD1281" s="241" t="n"/>
    </row>
    <row r="1282">
      <c r="A1282" s="232" t="n">
        <v>258</v>
      </c>
      <c r="B1282" s="42" t="n">
        <v>258</v>
      </c>
      <c r="C1282" s="118">
        <f>INDIRECT("'Закуп'!A" &amp; B1282)</f>
        <v/>
      </c>
      <c r="D1282" s="119">
        <f>C1282*1.2</f>
        <v/>
      </c>
      <c r="E1282" s="225">
        <f>INDIRECT("'Закуп'!D" &amp; A1282)</f>
        <v/>
      </c>
      <c r="F1282" s="231">
        <f>INDIRECT("'Закуп'!E" &amp; B1282)</f>
        <v/>
      </c>
      <c r="G1282" s="172">
        <f>IF(INDIRECT("'Закуп'!L" &amp; B1282)="Sale","Sale","")</f>
        <v/>
      </c>
      <c r="H1282" s="158">
        <f>IF(INDIRECT("'Закуп'!F" &amp; B1282)=0,"",INDIRECT("'Закуп'!F" &amp; B1282))</f>
        <v/>
      </c>
      <c r="I1282" s="120" t="n">
        <v>50</v>
      </c>
      <c r="J1282" s="121">
        <f>K1282/1.2</f>
        <v/>
      </c>
      <c r="K1282" s="242" t="n">
        <v>6.8</v>
      </c>
      <c r="L1282" s="122">
        <f>J1282-C1282-(J1282-C1282)*0.2</f>
        <v/>
      </c>
      <c r="M1282" s="123">
        <f>L1282*I1282</f>
        <v/>
      </c>
      <c r="N1282" s="124" t="inlineStr">
        <is>
          <t xml:space="preserve">50-90 шт - </t>
        </is>
      </c>
      <c r="O1282" s="47" t="inlineStr">
        <is>
          <t xml:space="preserve"> руб / шт с НДС</t>
        </is>
      </c>
      <c r="P1282" s="125">
        <f>ROUND(K1282,2)</f>
        <v/>
      </c>
      <c r="Q1282" s="207">
        <f>CONCATENATE(N1282,P1282,O1282,)</f>
        <v/>
      </c>
      <c r="R1282" s="235">
        <f>INDIRECT("'Закуп'!k" &amp; A1282)</f>
        <v/>
      </c>
      <c r="S1282" s="239">
        <f>INDIRECT("'Закуп'!o" &amp; A1282)</f>
        <v/>
      </c>
      <c r="T1282" s="226">
        <f>INDIRECT("'Закуп'!p" &amp; A1282)</f>
        <v/>
      </c>
      <c r="U1282" s="235">
        <f>INDIRECT("'Закуп'!v" &amp; A1282)</f>
        <v/>
      </c>
      <c r="V1282" s="222">
        <f>INDIRECT("'Закуп'!w" &amp; A1282)</f>
        <v/>
      </c>
      <c r="W1282" s="229">
        <f>INDIRECT("'Закуп'!H" &amp; A1282)</f>
        <v/>
      </c>
      <c r="X1282" s="237">
        <f>INDIRECT("'Закуп'!g" &amp; A1282)</f>
        <v/>
      </c>
      <c r="Y1282" s="229">
        <f>INDIRECT("'Закуп'!i" &amp; A1282)</f>
        <v/>
      </c>
      <c r="Z1282" s="236">
        <f>INDIRECT("'Закуп'!x" &amp; A1282)</f>
        <v/>
      </c>
      <c r="AA1282" s="237">
        <f>INDIRECT("'Закуп'!y" &amp; A1282)</f>
        <v/>
      </c>
      <c r="AB1282" s="238">
        <f>INDIRECT("'Закуп'!z" &amp; A1282)</f>
        <v/>
      </c>
      <c r="AC1282" s="223">
        <f>SUBSTITUTE(INDEX(F:F, ROUNDUP((ROW(A1281))/5,0)*5 - 3), "х", "x")</f>
        <v/>
      </c>
      <c r="AD1282" s="222">
        <f>SUBSTITUTE(INDEX(F:F, ROUNDUP((ROW(A1281))/5,0)*5 - 3), "х", "x") &amp; " - " &amp; SUBSTITUTE(SUBSTITUTE(INDEX(F:F, ROUNDUP((ROW(A1281))/5,0)*5 - 3), "х", "*"), "x", "*") &amp; " мм"</f>
        <v/>
      </c>
      <c r="AE1282" t="n">
        <v>10.3</v>
      </c>
    </row>
    <row r="1283">
      <c r="B1283" s="42" t="n">
        <v>258</v>
      </c>
      <c r="C1283" s="118">
        <f>INDIRECT("'Закуп'!A" &amp; B1283)</f>
        <v/>
      </c>
      <c r="D1283" s="119">
        <f>C1283*1.2</f>
        <v/>
      </c>
      <c r="G1283" s="172">
        <f>IF(INDIRECT("'Закуп'!L" &amp; B1283)="Sale","Sale","")</f>
        <v/>
      </c>
      <c r="H1283" s="158">
        <f>IF(INDIRECT("'Закуп'!F" &amp; B1283)=0,"",INDIRECT("'Закуп'!F" &amp; B1283))</f>
        <v/>
      </c>
      <c r="I1283" s="120" t="n">
        <v>100</v>
      </c>
      <c r="J1283" s="121">
        <f>K1283/1.2</f>
        <v/>
      </c>
      <c r="K1283" s="242" t="n">
        <v>5.78</v>
      </c>
      <c r="L1283" s="122">
        <f>J1283-C1283-(J1283-C1283)*0.2</f>
        <v/>
      </c>
      <c r="M1283" s="123">
        <f>L1283*I1283</f>
        <v/>
      </c>
      <c r="N1283" s="124" t="inlineStr">
        <is>
          <t xml:space="preserve">100-290 шт - </t>
        </is>
      </c>
      <c r="O1283" s="47" t="inlineStr">
        <is>
          <t xml:space="preserve"> руб / шт с НДС</t>
        </is>
      </c>
      <c r="P1283" s="125">
        <f>ROUND(K1283,2)</f>
        <v/>
      </c>
      <c r="Q1283" s="207">
        <f>CONCATENATE(N1283,P1283,O1283,)</f>
        <v/>
      </c>
      <c r="R1283" s="240" t="n"/>
      <c r="T1283" s="241" t="n"/>
      <c r="U1283" s="240" t="n"/>
      <c r="V1283" s="241" t="n"/>
      <c r="Z1283" s="240" t="n"/>
      <c r="AB1283" s="241" t="n"/>
      <c r="AC1283" s="240" t="n"/>
      <c r="AD1283" s="241" t="n"/>
      <c r="AE1283" t="n">
        <v>9.050000000000001</v>
      </c>
    </row>
    <row r="1284">
      <c r="B1284" s="42" t="n">
        <v>258</v>
      </c>
      <c r="C1284" s="118">
        <f>INDIRECT("'Закуп'!A" &amp; B1284)</f>
        <v/>
      </c>
      <c r="D1284" s="119">
        <f>C1284*1.2</f>
        <v/>
      </c>
      <c r="G1284" s="172">
        <f>IF(INDIRECT("'Закуп'!L" &amp; B1284)="Sale","Sale","")</f>
        <v/>
      </c>
      <c r="H1284" s="158">
        <f>IF(INDIRECT("'Закуп'!F" &amp; B1284)=0,"",INDIRECT("'Закуп'!F" &amp; B1284))</f>
        <v/>
      </c>
      <c r="I1284" s="120" t="n">
        <v>300</v>
      </c>
      <c r="J1284" s="121">
        <f>K1284/1.2</f>
        <v/>
      </c>
      <c r="K1284" s="242" t="n">
        <v>5.44</v>
      </c>
      <c r="L1284" s="122">
        <f>J1284-C1284-(J1284-C1284)*0.2</f>
        <v/>
      </c>
      <c r="M1284" s="123">
        <f>L1284*I1284</f>
        <v/>
      </c>
      <c r="N1284" s="124" t="inlineStr">
        <is>
          <t xml:space="preserve">300-490 шт - </t>
        </is>
      </c>
      <c r="O1284" s="47" t="inlineStr">
        <is>
          <t xml:space="preserve"> руб / шт с НДС</t>
        </is>
      </c>
      <c r="P1284" s="125">
        <f>ROUND(K1284,2)</f>
        <v/>
      </c>
      <c r="Q1284" s="207">
        <f>CONCATENATE(N1284,P1284,O1284,)</f>
        <v/>
      </c>
      <c r="R1284" s="240" t="n"/>
      <c r="T1284" s="241" t="n"/>
      <c r="U1284" s="240" t="n"/>
      <c r="V1284" s="241" t="n"/>
      <c r="Z1284" s="240" t="n"/>
      <c r="AB1284" s="241" t="n"/>
      <c r="AC1284" s="240" t="n"/>
      <c r="AD1284" s="241" t="n"/>
      <c r="AE1284" t="n">
        <v>8.49</v>
      </c>
    </row>
    <row r="1285">
      <c r="B1285" s="42" t="n">
        <v>258</v>
      </c>
      <c r="C1285" s="118">
        <f>INDIRECT("'Закуп'!A" &amp; B1285)</f>
        <v/>
      </c>
      <c r="D1285" s="119">
        <f>C1285*1.2</f>
        <v/>
      </c>
      <c r="G1285" s="172">
        <f>IF(INDIRECT("'Закуп'!L" &amp; B1285)="Sale","Sale","")</f>
        <v/>
      </c>
      <c r="H1285" s="158">
        <f>IF(INDIRECT("'Закуп'!F" &amp; B1285)=0,"",INDIRECT("'Закуп'!F" &amp; B1285))</f>
        <v/>
      </c>
      <c r="I1285" s="120" t="n">
        <v>500</v>
      </c>
      <c r="J1285" s="121">
        <f>K1285/1.2</f>
        <v/>
      </c>
      <c r="K1285" s="242" t="n">
        <v>5.16</v>
      </c>
      <c r="L1285" s="122">
        <f>J1285-C1285-(J1285-C1285)*0.2</f>
        <v/>
      </c>
      <c r="M1285" s="123">
        <f>L1285*I1285</f>
        <v/>
      </c>
      <c r="N1285" s="124" t="inlineStr">
        <is>
          <t xml:space="preserve">500-990 шт - </t>
        </is>
      </c>
      <c r="O1285" s="47" t="inlineStr">
        <is>
          <t xml:space="preserve"> руб / шт с НДС</t>
        </is>
      </c>
      <c r="P1285" s="125">
        <f>ROUND(K1285,2)</f>
        <v/>
      </c>
      <c r="Q1285" s="207">
        <f>CONCATENATE(N1285,P1285,O1285,)</f>
        <v/>
      </c>
      <c r="R1285" s="240" t="n"/>
      <c r="T1285" s="241" t="n"/>
      <c r="U1285" s="240" t="n"/>
      <c r="V1285" s="241" t="n"/>
      <c r="Z1285" s="240" t="n"/>
      <c r="AB1285" s="241" t="n"/>
      <c r="AC1285" s="240" t="n"/>
      <c r="AD1285" s="241" t="n"/>
      <c r="AE1285" t="n">
        <v>8.35</v>
      </c>
    </row>
    <row r="1286">
      <c r="B1286" s="42" t="n">
        <v>258</v>
      </c>
      <c r="C1286" s="118">
        <f>INDIRECT("'Закуп'!A" &amp; B1286)</f>
        <v/>
      </c>
      <c r="D1286" s="119">
        <f>C1286*1.2</f>
        <v/>
      </c>
      <c r="G1286" s="172">
        <f>IF(INDIRECT("'Закуп'!L" &amp; B1286)="Sale","Sale","")</f>
        <v/>
      </c>
      <c r="H1286" s="158">
        <f>IF(INDIRECT("'Закуп'!F" &amp; B1286)=0,"",INDIRECT("'Закуп'!F" &amp; B1286))</f>
        <v/>
      </c>
      <c r="I1286" s="120" t="n">
        <v>1000</v>
      </c>
      <c r="J1286" s="121">
        <f>K1286/1.2</f>
        <v/>
      </c>
      <c r="K1286" s="242" t="n">
        <v>4.99</v>
      </c>
      <c r="L1286" s="122">
        <f>J1286-C1286-(J1286-C1286)*0.2</f>
        <v/>
      </c>
      <c r="M1286" s="123">
        <f>L1286*I1286</f>
        <v/>
      </c>
      <c r="N1286" s="124" t="inlineStr">
        <is>
          <t xml:space="preserve">1000 + шт - </t>
        </is>
      </c>
      <c r="O1286" s="47" t="inlineStr">
        <is>
          <t xml:space="preserve"> руб / шт с НДС</t>
        </is>
      </c>
      <c r="P1286" s="125">
        <f>ROUND(K1286,2)</f>
        <v/>
      </c>
      <c r="Q1286" s="207">
        <f>CONCATENATE(N1286,P1286,O1286,)</f>
        <v/>
      </c>
      <c r="R1286" s="240" t="n"/>
      <c r="T1286" s="241" t="n"/>
      <c r="U1286" s="240" t="n"/>
      <c r="V1286" s="241" t="n"/>
      <c r="Z1286" s="240" t="n"/>
      <c r="AB1286" s="241" t="n"/>
      <c r="AC1286" s="240" t="n"/>
      <c r="AD1286" s="241" t="n"/>
      <c r="AE1286" t="n">
        <v>8.210000000000001</v>
      </c>
    </row>
    <row r="1287">
      <c r="A1287" s="232" t="n">
        <v>259</v>
      </c>
      <c r="B1287" s="42" t="n">
        <v>259</v>
      </c>
      <c r="C1287" s="118">
        <f>INDIRECT("'Закуп'!A" &amp; B1287)</f>
        <v/>
      </c>
      <c r="D1287" s="119">
        <f>C1287*1.2</f>
        <v/>
      </c>
      <c r="E1287" s="225">
        <f>INDIRECT("'Закуп'!D" &amp; A1287)</f>
        <v/>
      </c>
      <c r="F1287" s="231">
        <f>INDIRECT("'Закуп'!E" &amp; B1287)</f>
        <v/>
      </c>
      <c r="G1287" s="172">
        <f>IF(INDIRECT("'Закуп'!L" &amp; B1287)="Sale","Sale","")</f>
        <v/>
      </c>
      <c r="H1287" s="158">
        <f>IF(INDIRECT("'Закуп'!F" &amp; B1287)=0,"",INDIRECT("'Закуп'!F" &amp; B1287))</f>
        <v/>
      </c>
      <c r="I1287" s="120" t="n">
        <v>50</v>
      </c>
      <c r="J1287" s="121">
        <f>K1287/1.2</f>
        <v/>
      </c>
      <c r="K1287" s="242" t="n">
        <v>2.74</v>
      </c>
      <c r="L1287" s="122">
        <f>J1287-C1287-(J1287-C1287)*0.2</f>
        <v/>
      </c>
      <c r="M1287" s="123">
        <f>L1287*I1287</f>
        <v/>
      </c>
      <c r="N1287" s="124" t="inlineStr">
        <is>
          <t xml:space="preserve">50-90 шт - </t>
        </is>
      </c>
      <c r="O1287" s="47" t="inlineStr">
        <is>
          <t xml:space="preserve"> руб / шт с НДС</t>
        </is>
      </c>
      <c r="P1287" s="125">
        <f>ROUND(K1287,2)</f>
        <v/>
      </c>
      <c r="Q1287" s="207">
        <f>CONCATENATE(N1287,P1287,O1287,)</f>
        <v/>
      </c>
      <c r="R1287" s="235">
        <f>INDIRECT("'Закуп'!k" &amp; A1287)</f>
        <v/>
      </c>
      <c r="S1287" s="239">
        <f>INDIRECT("'Закуп'!o" &amp; A1287)</f>
        <v/>
      </c>
      <c r="T1287" s="226">
        <f>INDIRECT("'Закуп'!p" &amp; A1287)</f>
        <v/>
      </c>
      <c r="U1287" s="235">
        <f>INDIRECT("'Закуп'!v" &amp; A1287)</f>
        <v/>
      </c>
      <c r="V1287" s="222">
        <f>INDIRECT("'Закуп'!w" &amp; A1287)</f>
        <v/>
      </c>
      <c r="W1287" s="229">
        <f>INDIRECT("'Закуп'!H" &amp; A1287)</f>
        <v/>
      </c>
      <c r="X1287" s="237">
        <f>INDIRECT("'Закуп'!g" &amp; A1287)</f>
        <v/>
      </c>
      <c r="Y1287" s="229">
        <f>INDIRECT("'Закуп'!i" &amp; A1287)</f>
        <v/>
      </c>
      <c r="Z1287" s="236">
        <f>INDIRECT("'Закуп'!x" &amp; A1287)</f>
        <v/>
      </c>
      <c r="AA1287" s="237">
        <f>INDIRECT("'Закуп'!y" &amp; A1287)</f>
        <v/>
      </c>
      <c r="AB1287" s="238">
        <f>INDIRECT("'Закуп'!z" &amp; A1287)</f>
        <v/>
      </c>
      <c r="AC1287" s="223">
        <f>SUBSTITUTE(INDEX(F:F, ROUNDUP((ROW(A1286))/5,0)*5 - 3), "х", "x")</f>
        <v/>
      </c>
      <c r="AD1287" s="222">
        <f>SUBSTITUTE(INDEX(F:F, ROUNDUP((ROW(A1286))/5,0)*5 - 3), "х", "x") &amp; " - " &amp; SUBSTITUTE(SUBSTITUTE(INDEX(F:F, ROUNDUP((ROW(A1286))/5,0)*5 - 3), "х", "*"), "x", "*") &amp; " мм"</f>
        <v/>
      </c>
      <c r="AE1287" t="n">
        <v>3.6</v>
      </c>
    </row>
    <row r="1288">
      <c r="B1288" s="42" t="n">
        <v>259</v>
      </c>
      <c r="C1288" s="118">
        <f>INDIRECT("'Закуп'!A" &amp; B1288)</f>
        <v/>
      </c>
      <c r="D1288" s="119">
        <f>C1288*1.2</f>
        <v/>
      </c>
      <c r="G1288" s="172">
        <f>IF(INDIRECT("'Закуп'!L" &amp; B1288)="Sale","Sale","")</f>
        <v/>
      </c>
      <c r="H1288" s="158">
        <f>IF(INDIRECT("'Закуп'!F" &amp; B1288)=0,"",INDIRECT("'Закуп'!F" &amp; B1288))</f>
        <v/>
      </c>
      <c r="I1288" s="120" t="n">
        <v>100</v>
      </c>
      <c r="J1288" s="121">
        <f>K1288/1.2</f>
        <v/>
      </c>
      <c r="K1288" s="242" t="n">
        <v>2.33</v>
      </c>
      <c r="L1288" s="122">
        <f>J1288-C1288-(J1288-C1288)*0.2</f>
        <v/>
      </c>
      <c r="M1288" s="123">
        <f>L1288*I1288</f>
        <v/>
      </c>
      <c r="N1288" s="124" t="inlineStr">
        <is>
          <t xml:space="preserve">100-290 шт - </t>
        </is>
      </c>
      <c r="O1288" s="47" t="inlineStr">
        <is>
          <t xml:space="preserve"> руб / шт с НДС</t>
        </is>
      </c>
      <c r="P1288" s="125">
        <f>ROUND(K1288,2)</f>
        <v/>
      </c>
      <c r="Q1288" s="207">
        <f>CONCATENATE(N1288,P1288,O1288,)</f>
        <v/>
      </c>
      <c r="R1288" s="240" t="n"/>
      <c r="T1288" s="241" t="n"/>
      <c r="U1288" s="240" t="n"/>
      <c r="V1288" s="241" t="n"/>
      <c r="Z1288" s="240" t="n"/>
      <c r="AB1288" s="241" t="n"/>
      <c r="AC1288" s="240" t="n"/>
      <c r="AD1288" s="241" t="n"/>
      <c r="AE1288" t="n">
        <v>2.88</v>
      </c>
    </row>
    <row r="1289">
      <c r="B1289" s="42" t="n">
        <v>259</v>
      </c>
      <c r="C1289" s="118">
        <f>INDIRECT("'Закуп'!A" &amp; B1289)</f>
        <v/>
      </c>
      <c r="D1289" s="119">
        <f>C1289*1.2</f>
        <v/>
      </c>
      <c r="G1289" s="172">
        <f>IF(INDIRECT("'Закуп'!L" &amp; B1289)="Sale","Sale","")</f>
        <v/>
      </c>
      <c r="H1289" s="158">
        <f>IF(INDIRECT("'Закуп'!F" &amp; B1289)=0,"",INDIRECT("'Закуп'!F" &amp; B1289))</f>
        <v/>
      </c>
      <c r="I1289" s="120" t="n">
        <v>300</v>
      </c>
      <c r="J1289" s="121">
        <f>K1289/1.2</f>
        <v/>
      </c>
      <c r="K1289" s="242" t="n">
        <v>2.19</v>
      </c>
      <c r="L1289" s="122">
        <f>J1289-C1289-(J1289-C1289)*0.2</f>
        <v/>
      </c>
      <c r="M1289" s="123">
        <f>L1289*I1289</f>
        <v/>
      </c>
      <c r="N1289" s="124" t="inlineStr">
        <is>
          <t xml:space="preserve">300-490 шт - </t>
        </is>
      </c>
      <c r="O1289" s="47" t="inlineStr">
        <is>
          <t xml:space="preserve"> руб / шт с НДС</t>
        </is>
      </c>
      <c r="P1289" s="125">
        <f>ROUND(K1289,2)</f>
        <v/>
      </c>
      <c r="Q1289" s="207">
        <f>CONCATENATE(N1289,P1289,O1289,)</f>
        <v/>
      </c>
      <c r="R1289" s="240" t="n"/>
      <c r="T1289" s="241" t="n"/>
      <c r="U1289" s="240" t="n"/>
      <c r="V1289" s="241" t="n"/>
      <c r="Z1289" s="240" t="n"/>
      <c r="AB1289" s="241" t="n"/>
      <c r="AC1289" s="240" t="n"/>
      <c r="AD1289" s="241" t="n"/>
      <c r="AE1289" t="n">
        <v>2.43</v>
      </c>
    </row>
    <row r="1290">
      <c r="B1290" s="42" t="n">
        <v>259</v>
      </c>
      <c r="C1290" s="118">
        <f>INDIRECT("'Закуп'!A" &amp; B1290)</f>
        <v/>
      </c>
      <c r="D1290" s="119">
        <f>C1290*1.2</f>
        <v/>
      </c>
      <c r="G1290" s="172">
        <f>IF(INDIRECT("'Закуп'!L" &amp; B1290)="Sale","Sale","")</f>
        <v/>
      </c>
      <c r="H1290" s="158">
        <f>IF(INDIRECT("'Закуп'!F" &amp; B1290)=0,"",INDIRECT("'Закуп'!F" &amp; B1290))</f>
        <v/>
      </c>
      <c r="I1290" s="120" t="n">
        <v>500</v>
      </c>
      <c r="J1290" s="121">
        <f>K1290/1.2</f>
        <v/>
      </c>
      <c r="K1290" s="242" t="n">
        <v>2.07</v>
      </c>
      <c r="L1290" s="122">
        <f>J1290-C1290-(J1290-C1290)*0.2</f>
        <v/>
      </c>
      <c r="M1290" s="123">
        <f>L1290*I1290</f>
        <v/>
      </c>
      <c r="N1290" s="124" t="inlineStr">
        <is>
          <t xml:space="preserve">500-990 шт - </t>
        </is>
      </c>
      <c r="O1290" s="47" t="inlineStr">
        <is>
          <t xml:space="preserve"> руб / шт с НДС</t>
        </is>
      </c>
      <c r="P1290" s="125">
        <f>ROUND(K1290,2)</f>
        <v/>
      </c>
      <c r="Q1290" s="207">
        <f>CONCATENATE(N1290,P1290,O1290,)</f>
        <v/>
      </c>
      <c r="R1290" s="240" t="n"/>
      <c r="T1290" s="241" t="n"/>
      <c r="U1290" s="240" t="n"/>
      <c r="V1290" s="241" t="n"/>
      <c r="Z1290" s="240" t="n"/>
      <c r="AB1290" s="241" t="n"/>
      <c r="AC1290" s="240" t="n"/>
      <c r="AD1290" s="241" t="n"/>
      <c r="AE1290" t="n">
        <v>2.3</v>
      </c>
    </row>
    <row r="1291">
      <c r="B1291" s="42" t="n">
        <v>259</v>
      </c>
      <c r="C1291" s="118">
        <f>INDIRECT("'Закуп'!A" &amp; B1291)</f>
        <v/>
      </c>
      <c r="D1291" s="119">
        <f>C1291*1.2</f>
        <v/>
      </c>
      <c r="G1291" s="172">
        <f>IF(INDIRECT("'Закуп'!L" &amp; B1291)="Sale","Sale","")</f>
        <v/>
      </c>
      <c r="H1291" s="158">
        <f>IF(INDIRECT("'Закуп'!F" &amp; B1291)=0,"",INDIRECT("'Закуп'!F" &amp; B1291))</f>
        <v/>
      </c>
      <c r="I1291" s="120" t="n">
        <v>1000</v>
      </c>
      <c r="J1291" s="121">
        <f>K1291/1.2</f>
        <v/>
      </c>
      <c r="K1291" s="242" t="n">
        <v>2.01</v>
      </c>
      <c r="L1291" s="122">
        <f>J1291-C1291-(J1291-C1291)*0.2</f>
        <v/>
      </c>
      <c r="M1291" s="123">
        <f>L1291*I1291</f>
        <v/>
      </c>
      <c r="N1291" s="124" t="inlineStr">
        <is>
          <t xml:space="preserve">1000 + шт - </t>
        </is>
      </c>
      <c r="O1291" s="47" t="inlineStr">
        <is>
          <t xml:space="preserve"> руб / шт с НДС</t>
        </is>
      </c>
      <c r="P1291" s="125">
        <f>ROUND(K1291,2)</f>
        <v/>
      </c>
      <c r="Q1291" s="207">
        <f>CONCATENATE(N1291,P1291,O1291,)</f>
        <v/>
      </c>
      <c r="R1291" s="240" t="n"/>
      <c r="T1291" s="241" t="n"/>
      <c r="U1291" s="240" t="n"/>
      <c r="V1291" s="241" t="n"/>
      <c r="Z1291" s="240" t="n"/>
      <c r="AB1291" s="241" t="n"/>
      <c r="AC1291" s="240" t="n"/>
      <c r="AD1291" s="241" t="n"/>
      <c r="AE1291" t="n">
        <v>2.19</v>
      </c>
    </row>
    <row r="1292">
      <c r="A1292" s="232" t="n">
        <v>260</v>
      </c>
      <c r="B1292" s="42" t="n">
        <v>260</v>
      </c>
      <c r="C1292" s="118">
        <f>INDIRECT("'Закуп'!A" &amp; B1292)</f>
        <v/>
      </c>
      <c r="D1292" s="119">
        <f>C1292*1.2</f>
        <v/>
      </c>
      <c r="E1292" s="225">
        <f>INDIRECT("'Закуп'!D" &amp; A1292)</f>
        <v/>
      </c>
      <c r="F1292" s="231">
        <f>INDIRECT("'Закуп'!E" &amp; B1292)</f>
        <v/>
      </c>
      <c r="G1292" s="172">
        <f>IF(INDIRECT("'Закуп'!L" &amp; B1292)="Sale","Sale","")</f>
        <v/>
      </c>
      <c r="H1292" s="158">
        <f>IF(INDIRECT("'Закуп'!F" &amp; B1292)=0,"",INDIRECT("'Закуп'!F" &amp; B1292))</f>
        <v/>
      </c>
      <c r="I1292" s="120" t="n">
        <v>50</v>
      </c>
      <c r="J1292" s="121">
        <f>K1292/1.2</f>
        <v/>
      </c>
      <c r="K1292" s="242" t="n">
        <v>1.58</v>
      </c>
      <c r="L1292" s="122">
        <f>J1292-C1292-(J1292-C1292)*0.2</f>
        <v/>
      </c>
      <c r="M1292" s="123">
        <f>L1292*I1292</f>
        <v/>
      </c>
      <c r="N1292" s="124" t="inlineStr">
        <is>
          <t xml:space="preserve">50-90 шт - </t>
        </is>
      </c>
      <c r="O1292" s="47" t="inlineStr">
        <is>
          <t xml:space="preserve"> руб / шт с НДС</t>
        </is>
      </c>
      <c r="P1292" s="125">
        <f>ROUND(K1292,2)</f>
        <v/>
      </c>
      <c r="Q1292" s="207">
        <f>CONCATENATE(N1292,P1292,O1292,)</f>
        <v/>
      </c>
      <c r="R1292" s="235">
        <f>INDIRECT("'Закуп'!k" &amp; A1292)</f>
        <v/>
      </c>
      <c r="S1292" s="239">
        <f>INDIRECT("'Закуп'!o" &amp; A1292)</f>
        <v/>
      </c>
      <c r="T1292" s="226">
        <f>INDIRECT("'Закуп'!p" &amp; A1292)</f>
        <v/>
      </c>
      <c r="U1292" s="235">
        <f>INDIRECT("'Закуп'!v" &amp; A1292)</f>
        <v/>
      </c>
      <c r="V1292" s="222">
        <f>INDIRECT("'Закуп'!w" &amp; A1292)</f>
        <v/>
      </c>
      <c r="W1292" s="229">
        <f>INDIRECT("'Закуп'!H" &amp; A1292)</f>
        <v/>
      </c>
      <c r="X1292" s="237">
        <f>INDIRECT("'Закуп'!g" &amp; A1292)</f>
        <v/>
      </c>
      <c r="Y1292" s="229">
        <f>INDIRECT("'Закуп'!i" &amp; A1292)</f>
        <v/>
      </c>
      <c r="Z1292" s="236">
        <f>INDIRECT("'Закуп'!x" &amp; A1292)</f>
        <v/>
      </c>
      <c r="AA1292" s="237">
        <f>INDIRECT("'Закуп'!y" &amp; A1292)</f>
        <v/>
      </c>
      <c r="AB1292" s="238">
        <f>INDIRECT("'Закуп'!z" &amp; A1292)</f>
        <v/>
      </c>
      <c r="AC1292" s="223">
        <f>SUBSTITUTE(INDEX(F:F, ROUNDUP((ROW(A1291))/5,0)*5 - 3), "х", "x")</f>
        <v/>
      </c>
      <c r="AD1292" s="222">
        <f>SUBSTITUTE(INDEX(F:F, ROUNDUP((ROW(A1291))/5,0)*5 - 3), "х", "x") &amp; " - " &amp; SUBSTITUTE(SUBSTITUTE(INDEX(F:F, ROUNDUP((ROW(A1291))/5,0)*5 - 3), "х", "*"), "x", "*") &amp; " мм"</f>
        <v/>
      </c>
      <c r="AE1292" t="n">
        <v>2.33</v>
      </c>
    </row>
    <row r="1293">
      <c r="B1293" s="42" t="n">
        <v>260</v>
      </c>
      <c r="C1293" s="118">
        <f>INDIRECT("'Закуп'!A" &amp; B1293)</f>
        <v/>
      </c>
      <c r="D1293" s="119">
        <f>C1293*1.2</f>
        <v/>
      </c>
      <c r="G1293" s="172">
        <f>IF(INDIRECT("'Закуп'!L" &amp; B1293)="Sale","Sale","")</f>
        <v/>
      </c>
      <c r="H1293" s="158">
        <f>IF(INDIRECT("'Закуп'!F" &amp; B1293)=0,"",INDIRECT("'Закуп'!F" &amp; B1293))</f>
        <v/>
      </c>
      <c r="I1293" s="120" t="n">
        <v>100</v>
      </c>
      <c r="J1293" s="121">
        <f>K1293/1.2</f>
        <v/>
      </c>
      <c r="K1293" s="242" t="n">
        <v>1.35</v>
      </c>
      <c r="L1293" s="122">
        <f>J1293-C1293-(J1293-C1293)*0.2</f>
        <v/>
      </c>
      <c r="M1293" s="123">
        <f>L1293*I1293</f>
        <v/>
      </c>
      <c r="N1293" s="124" t="inlineStr">
        <is>
          <t xml:space="preserve">100-290 шт - </t>
        </is>
      </c>
      <c r="O1293" s="47" t="inlineStr">
        <is>
          <t xml:space="preserve"> руб / шт с НДС</t>
        </is>
      </c>
      <c r="P1293" s="125">
        <f>ROUND(K1293,2)</f>
        <v/>
      </c>
      <c r="Q1293" s="207">
        <f>CONCATENATE(N1293,P1293,O1293,)</f>
        <v/>
      </c>
      <c r="R1293" s="240" t="n"/>
      <c r="T1293" s="241" t="n"/>
      <c r="U1293" s="240" t="n"/>
      <c r="V1293" s="241" t="n"/>
      <c r="Z1293" s="240" t="n"/>
      <c r="AB1293" s="241" t="n"/>
      <c r="AC1293" s="240" t="n"/>
      <c r="AD1293" s="241" t="n"/>
      <c r="AE1293" t="n">
        <v>1.99</v>
      </c>
    </row>
    <row r="1294">
      <c r="B1294" s="42" t="n">
        <v>260</v>
      </c>
      <c r="C1294" s="118">
        <f>INDIRECT("'Закуп'!A" &amp; B1294)</f>
        <v/>
      </c>
      <c r="D1294" s="119">
        <f>C1294*1.2</f>
        <v/>
      </c>
      <c r="G1294" s="172">
        <f>IF(INDIRECT("'Закуп'!L" &amp; B1294)="Sale","Sale","")</f>
        <v/>
      </c>
      <c r="H1294" s="158">
        <f>IF(INDIRECT("'Закуп'!F" &amp; B1294)=0,"",INDIRECT("'Закуп'!F" &amp; B1294))</f>
        <v/>
      </c>
      <c r="I1294" s="120" t="n">
        <v>300</v>
      </c>
      <c r="J1294" s="121">
        <f>K1294/1.2</f>
        <v/>
      </c>
      <c r="K1294" s="242" t="n">
        <v>1.27</v>
      </c>
      <c r="L1294" s="122">
        <f>J1294-C1294-(J1294-C1294)*0.2</f>
        <v/>
      </c>
      <c r="M1294" s="123">
        <f>L1294*I1294</f>
        <v/>
      </c>
      <c r="N1294" s="124" t="inlineStr">
        <is>
          <t xml:space="preserve">300-490 шт - </t>
        </is>
      </c>
      <c r="O1294" s="47" t="inlineStr">
        <is>
          <t xml:space="preserve"> руб / шт с НДС</t>
        </is>
      </c>
      <c r="P1294" s="125">
        <f>ROUND(K1294,2)</f>
        <v/>
      </c>
      <c r="Q1294" s="207">
        <f>CONCATENATE(N1294,P1294,O1294,)</f>
        <v/>
      </c>
      <c r="R1294" s="240" t="n"/>
      <c r="T1294" s="241" t="n"/>
      <c r="U1294" s="240" t="n"/>
      <c r="V1294" s="241" t="n"/>
      <c r="Z1294" s="240" t="n"/>
      <c r="AB1294" s="241" t="n"/>
      <c r="AC1294" s="240" t="n"/>
      <c r="AD1294" s="241" t="n"/>
      <c r="AE1294" t="n">
        <v>1.73</v>
      </c>
    </row>
    <row r="1295">
      <c r="B1295" s="42" t="n">
        <v>260</v>
      </c>
      <c r="C1295" s="118">
        <f>INDIRECT("'Закуп'!A" &amp; B1295)</f>
        <v/>
      </c>
      <c r="D1295" s="119">
        <f>C1295*1.2</f>
        <v/>
      </c>
      <c r="G1295" s="172">
        <f>IF(INDIRECT("'Закуп'!L" &amp; B1295)="Sale","Sale","")</f>
        <v/>
      </c>
      <c r="H1295" s="158">
        <f>IF(INDIRECT("'Закуп'!F" &amp; B1295)=0,"",INDIRECT("'Закуп'!F" &amp; B1295))</f>
        <v/>
      </c>
      <c r="I1295" s="120" t="n">
        <v>500</v>
      </c>
      <c r="J1295" s="121">
        <f>K1295/1.2</f>
        <v/>
      </c>
      <c r="K1295" s="242" t="n">
        <v>1.2</v>
      </c>
      <c r="L1295" s="122">
        <f>J1295-C1295-(J1295-C1295)*0.2</f>
        <v/>
      </c>
      <c r="M1295" s="123">
        <f>L1295*I1295</f>
        <v/>
      </c>
      <c r="N1295" s="124" t="inlineStr">
        <is>
          <t xml:space="preserve">500-990 шт - </t>
        </is>
      </c>
      <c r="O1295" s="47" t="inlineStr">
        <is>
          <t xml:space="preserve"> руб / шт с НДС</t>
        </is>
      </c>
      <c r="P1295" s="125">
        <f>ROUND(K1295,2)</f>
        <v/>
      </c>
      <c r="Q1295" s="207">
        <f>CONCATENATE(N1295,P1295,O1295,)</f>
        <v/>
      </c>
      <c r="R1295" s="240" t="n"/>
      <c r="T1295" s="241" t="n"/>
      <c r="U1295" s="240" t="n"/>
      <c r="V1295" s="241" t="n"/>
      <c r="Z1295" s="240" t="n"/>
      <c r="AB1295" s="241" t="n"/>
      <c r="AC1295" s="240" t="n"/>
      <c r="AD1295" s="241" t="n"/>
      <c r="AE1295" t="n">
        <v>1.55</v>
      </c>
    </row>
    <row r="1296">
      <c r="B1296" s="42" t="n">
        <v>260</v>
      </c>
      <c r="C1296" s="118">
        <f>INDIRECT("'Закуп'!A" &amp; B1296)</f>
        <v/>
      </c>
      <c r="D1296" s="119">
        <f>C1296*1.2</f>
        <v/>
      </c>
      <c r="G1296" s="172">
        <f>IF(INDIRECT("'Закуп'!L" &amp; B1296)="Sale","Sale","")</f>
        <v/>
      </c>
      <c r="H1296" s="158">
        <f>IF(INDIRECT("'Закуп'!F" &amp; B1296)=0,"",INDIRECT("'Закуп'!F" &amp; B1296))</f>
        <v/>
      </c>
      <c r="I1296" s="120" t="n">
        <v>1000</v>
      </c>
      <c r="J1296" s="121">
        <f>K1296/1.2</f>
        <v/>
      </c>
      <c r="K1296" s="242" t="n">
        <v>1.16</v>
      </c>
      <c r="L1296" s="122">
        <f>J1296-C1296-(J1296-C1296)*0.2</f>
        <v/>
      </c>
      <c r="M1296" s="123">
        <f>L1296*I1296</f>
        <v/>
      </c>
      <c r="N1296" s="124" t="inlineStr">
        <is>
          <t xml:space="preserve">1000 + шт - </t>
        </is>
      </c>
      <c r="O1296" s="47" t="inlineStr">
        <is>
          <t xml:space="preserve"> руб / шт с НДС</t>
        </is>
      </c>
      <c r="P1296" s="125">
        <f>ROUND(K1296,2)</f>
        <v/>
      </c>
      <c r="Q1296" s="207">
        <f>CONCATENATE(N1296,P1296,O1296,)</f>
        <v/>
      </c>
      <c r="R1296" s="240" t="n"/>
      <c r="T1296" s="241" t="n"/>
      <c r="U1296" s="240" t="n"/>
      <c r="V1296" s="241" t="n"/>
      <c r="Z1296" s="240" t="n"/>
      <c r="AB1296" s="241" t="n"/>
      <c r="AC1296" s="240" t="n"/>
      <c r="AD1296" s="241" t="n"/>
      <c r="AE1296" t="n">
        <v>1.48</v>
      </c>
    </row>
    <row r="1297">
      <c r="A1297" s="232" t="n">
        <v>261</v>
      </c>
      <c r="B1297" s="42" t="n">
        <v>261</v>
      </c>
      <c r="C1297" s="118">
        <f>INDIRECT("'Закуп'!A" &amp; B1297)</f>
        <v/>
      </c>
      <c r="D1297" s="119">
        <f>C1297*1.2</f>
        <v/>
      </c>
      <c r="E1297" s="225">
        <f>INDIRECT("'Закуп'!D" &amp; A1297)</f>
        <v/>
      </c>
      <c r="F1297" s="231">
        <f>INDIRECT("'Закуп'!E" &amp; B1297)</f>
        <v/>
      </c>
      <c r="G1297" s="172">
        <f>IF(INDIRECT("'Закуп'!L" &amp; B1297)="Sale","Sale","")</f>
        <v/>
      </c>
      <c r="H1297" s="158">
        <f>IF(INDIRECT("'Закуп'!F" &amp; B1297)=0,"",INDIRECT("'Закуп'!F" &amp; B1297))</f>
        <v/>
      </c>
      <c r="I1297" s="120" t="n">
        <v>50</v>
      </c>
      <c r="J1297" s="121">
        <f>K1297/1.2</f>
        <v/>
      </c>
      <c r="K1297" s="242" t="n">
        <v>1.16</v>
      </c>
      <c r="L1297" s="122">
        <f>J1297-C1297-(J1297-C1297)*0.2</f>
        <v/>
      </c>
      <c r="M1297" s="123">
        <f>L1297*I1297</f>
        <v/>
      </c>
      <c r="N1297" s="124" t="inlineStr">
        <is>
          <t xml:space="preserve">50-90 шт - </t>
        </is>
      </c>
      <c r="O1297" s="47" t="inlineStr">
        <is>
          <t xml:space="preserve"> руб / шт с НДС</t>
        </is>
      </c>
      <c r="P1297" s="125">
        <f>ROUND(K1297,2)</f>
        <v/>
      </c>
      <c r="Q1297" s="207">
        <f>CONCATENATE(N1297,P1297,O1297,)</f>
        <v/>
      </c>
      <c r="R1297" s="235">
        <f>INDIRECT("'Закуп'!k" &amp; A1297)</f>
        <v/>
      </c>
      <c r="S1297" s="239">
        <f>INDIRECT("'Закуп'!o" &amp; A1297)</f>
        <v/>
      </c>
      <c r="T1297" s="226">
        <f>INDIRECT("'Закуп'!p" &amp; A1297)</f>
        <v/>
      </c>
      <c r="U1297" s="235">
        <f>INDIRECT("'Закуп'!v" &amp; A1297)</f>
        <v/>
      </c>
      <c r="V1297" s="222">
        <f>INDIRECT("'Закуп'!w" &amp; A1297)</f>
        <v/>
      </c>
      <c r="W1297" s="229">
        <f>INDIRECT("'Закуп'!H" &amp; A1297)</f>
        <v/>
      </c>
      <c r="X1297" s="237">
        <f>INDIRECT("'Закуп'!g" &amp; A1297)</f>
        <v/>
      </c>
      <c r="Y1297" s="229">
        <f>INDIRECT("'Закуп'!i" &amp; A1297)</f>
        <v/>
      </c>
      <c r="Z1297" s="236">
        <f>INDIRECT("'Закуп'!x" &amp; A1297)</f>
        <v/>
      </c>
      <c r="AA1297" s="237">
        <f>INDIRECT("'Закуп'!y" &amp; A1297)</f>
        <v/>
      </c>
      <c r="AB1297" s="238">
        <f>INDIRECT("'Закуп'!z" &amp; A1297)</f>
        <v/>
      </c>
      <c r="AC1297" s="223">
        <f>SUBSTITUTE(INDEX(F:F, ROUNDUP((ROW(A1296))/5,0)*5 - 3), "х", "x")</f>
        <v/>
      </c>
      <c r="AD1297" s="222">
        <f>SUBSTITUTE(INDEX(F:F, ROUNDUP((ROW(A1296))/5,0)*5 - 3), "х", "x") &amp; " - " &amp; SUBSTITUTE(SUBSTITUTE(INDEX(F:F, ROUNDUP((ROW(A1296))/5,0)*5 - 3), "х", "*"), "x", "*") &amp; " мм"</f>
        <v/>
      </c>
      <c r="AE1297" t="n">
        <v>2.03</v>
      </c>
    </row>
    <row r="1298">
      <c r="B1298" s="42" t="n">
        <v>261</v>
      </c>
      <c r="C1298" s="118">
        <f>INDIRECT("'Закуп'!A" &amp; B1298)</f>
        <v/>
      </c>
      <c r="D1298" s="119">
        <f>C1298*1.2</f>
        <v/>
      </c>
      <c r="G1298" s="172">
        <f>IF(INDIRECT("'Закуп'!L" &amp; B1298)="Sale","Sale","")</f>
        <v/>
      </c>
      <c r="H1298" s="158">
        <f>IF(INDIRECT("'Закуп'!F" &amp; B1298)=0,"",INDIRECT("'Закуп'!F" &amp; B1298))</f>
        <v/>
      </c>
      <c r="I1298" s="120" t="n">
        <v>100</v>
      </c>
      <c r="J1298" s="121">
        <f>K1298/1.2</f>
        <v/>
      </c>
      <c r="K1298" s="242" t="n">
        <v>0.98</v>
      </c>
      <c r="L1298" s="122">
        <f>J1298-C1298-(J1298-C1298)*0.2</f>
        <v/>
      </c>
      <c r="M1298" s="123">
        <f>L1298*I1298</f>
        <v/>
      </c>
      <c r="N1298" s="124" t="inlineStr">
        <is>
          <t xml:space="preserve">100-290 шт - </t>
        </is>
      </c>
      <c r="O1298" s="47" t="inlineStr">
        <is>
          <t xml:space="preserve"> руб / шт с НДС</t>
        </is>
      </c>
      <c r="P1298" s="125">
        <f>ROUND(K1298,2)</f>
        <v/>
      </c>
      <c r="Q1298" s="207">
        <f>CONCATENATE(N1298,P1298,O1298,)</f>
        <v/>
      </c>
      <c r="R1298" s="240" t="n"/>
      <c r="T1298" s="241" t="n"/>
      <c r="U1298" s="240" t="n"/>
      <c r="V1298" s="241" t="n"/>
      <c r="Z1298" s="240" t="n"/>
      <c r="AB1298" s="241" t="n"/>
      <c r="AC1298" s="240" t="n"/>
      <c r="AD1298" s="241" t="n"/>
      <c r="AE1298" t="n">
        <v>1.82</v>
      </c>
    </row>
    <row r="1299">
      <c r="B1299" s="42" t="n">
        <v>261</v>
      </c>
      <c r="C1299" s="118">
        <f>INDIRECT("'Закуп'!A" &amp; B1299)</f>
        <v/>
      </c>
      <c r="D1299" s="119">
        <f>C1299*1.2</f>
        <v/>
      </c>
      <c r="G1299" s="172">
        <f>IF(INDIRECT("'Закуп'!L" &amp; B1299)="Sale","Sale","")</f>
        <v/>
      </c>
      <c r="H1299" s="158">
        <f>IF(INDIRECT("'Закуп'!F" &amp; B1299)=0,"",INDIRECT("'Закуп'!F" &amp; B1299))</f>
        <v/>
      </c>
      <c r="I1299" s="120" t="n">
        <v>300</v>
      </c>
      <c r="J1299" s="121">
        <f>K1299/1.2</f>
        <v/>
      </c>
      <c r="K1299" s="242" t="n">
        <v>0.93</v>
      </c>
      <c r="L1299" s="122">
        <f>J1299-C1299-(J1299-C1299)*0.2</f>
        <v/>
      </c>
      <c r="M1299" s="123">
        <f>L1299*I1299</f>
        <v/>
      </c>
      <c r="N1299" s="124" t="inlineStr">
        <is>
          <t xml:space="preserve">300-490 шт - </t>
        </is>
      </c>
      <c r="O1299" s="47" t="inlineStr">
        <is>
          <t xml:space="preserve"> руб / шт с НДС</t>
        </is>
      </c>
      <c r="P1299" s="125">
        <f>ROUND(K1299,2)</f>
        <v/>
      </c>
      <c r="Q1299" s="207">
        <f>CONCATENATE(N1299,P1299,O1299,)</f>
        <v/>
      </c>
      <c r="R1299" s="240" t="n"/>
      <c r="T1299" s="241" t="n"/>
      <c r="U1299" s="240" t="n"/>
      <c r="V1299" s="241" t="n"/>
      <c r="Z1299" s="240" t="n"/>
      <c r="AB1299" s="241" t="n"/>
      <c r="AC1299" s="240" t="n"/>
      <c r="AD1299" s="241" t="n"/>
      <c r="AE1299" t="n">
        <v>1.61</v>
      </c>
    </row>
    <row r="1300">
      <c r="B1300" s="42" t="n">
        <v>261</v>
      </c>
      <c r="C1300" s="118">
        <f>INDIRECT("'Закуп'!A" &amp; B1300)</f>
        <v/>
      </c>
      <c r="D1300" s="119">
        <f>C1300*1.2</f>
        <v/>
      </c>
      <c r="G1300" s="172">
        <f>IF(INDIRECT("'Закуп'!L" &amp; B1300)="Sale","Sale","")</f>
        <v/>
      </c>
      <c r="H1300" s="158">
        <f>IF(INDIRECT("'Закуп'!F" &amp; B1300)=0,"",INDIRECT("'Закуп'!F" &amp; B1300))</f>
        <v/>
      </c>
      <c r="I1300" s="120" t="n">
        <v>500</v>
      </c>
      <c r="J1300" s="121">
        <f>K1300/1.2</f>
        <v/>
      </c>
      <c r="K1300" s="242" t="n">
        <v>0.88</v>
      </c>
      <c r="L1300" s="122">
        <f>J1300-C1300-(J1300-C1300)*0.2</f>
        <v/>
      </c>
      <c r="M1300" s="123">
        <f>L1300*I1300</f>
        <v/>
      </c>
      <c r="N1300" s="124" t="inlineStr">
        <is>
          <t xml:space="preserve">500-990 шт - </t>
        </is>
      </c>
      <c r="O1300" s="47" t="inlineStr">
        <is>
          <t xml:space="preserve"> руб / шт с НДС</t>
        </is>
      </c>
      <c r="P1300" s="125">
        <f>ROUND(K1300,2)</f>
        <v/>
      </c>
      <c r="Q1300" s="207">
        <f>CONCATENATE(N1300,P1300,O1300,)</f>
        <v/>
      </c>
      <c r="R1300" s="240" t="n"/>
      <c r="T1300" s="241" t="n"/>
      <c r="U1300" s="240" t="n"/>
      <c r="V1300" s="241" t="n"/>
      <c r="Z1300" s="240" t="n"/>
      <c r="AB1300" s="241" t="n"/>
      <c r="AC1300" s="240" t="n"/>
      <c r="AD1300" s="241" t="n"/>
      <c r="AE1300" t="n">
        <v>1.5</v>
      </c>
    </row>
    <row r="1301">
      <c r="B1301" s="42" t="n">
        <v>261</v>
      </c>
      <c r="C1301" s="118">
        <f>INDIRECT("'Закуп'!A" &amp; B1301)</f>
        <v/>
      </c>
      <c r="D1301" s="119">
        <f>C1301*1.2</f>
        <v/>
      </c>
      <c r="G1301" s="172">
        <f>IF(INDIRECT("'Закуп'!L" &amp; B1301)="Sale","Sale","")</f>
        <v/>
      </c>
      <c r="H1301" s="158">
        <f>IF(INDIRECT("'Закуп'!F" &amp; B1301)=0,"",INDIRECT("'Закуп'!F" &amp; B1301))</f>
        <v/>
      </c>
      <c r="I1301" s="120" t="n">
        <v>1000</v>
      </c>
      <c r="J1301" s="121">
        <f>K1301/1.2</f>
        <v/>
      </c>
      <c r="K1301" s="242" t="n">
        <v>0.85</v>
      </c>
      <c r="L1301" s="122">
        <f>J1301-C1301-(J1301-C1301)*0.2</f>
        <v/>
      </c>
      <c r="M1301" s="123">
        <f>L1301*I1301</f>
        <v/>
      </c>
      <c r="N1301" s="124" t="inlineStr">
        <is>
          <t xml:space="preserve">1000 + шт - </t>
        </is>
      </c>
      <c r="O1301" s="47" t="inlineStr">
        <is>
          <t xml:space="preserve"> руб / шт с НДС</t>
        </is>
      </c>
      <c r="P1301" s="125">
        <f>ROUND(K1301,2)</f>
        <v/>
      </c>
      <c r="Q1301" s="207">
        <f>CONCATENATE(N1301,P1301,O1301,)</f>
        <v/>
      </c>
      <c r="R1301" s="240" t="n"/>
      <c r="T1301" s="241" t="n"/>
      <c r="U1301" s="240" t="n"/>
      <c r="V1301" s="241" t="n"/>
      <c r="Z1301" s="240" t="n"/>
      <c r="AB1301" s="241" t="n"/>
      <c r="AC1301" s="240" t="n"/>
      <c r="AD1301" s="241" t="n"/>
      <c r="AE1301" t="n">
        <v>1.39</v>
      </c>
    </row>
    <row r="1302">
      <c r="A1302" s="232" t="n">
        <v>262</v>
      </c>
      <c r="B1302" s="42" t="n">
        <v>262</v>
      </c>
      <c r="C1302" s="118">
        <f>INDIRECT("'Закуп'!A" &amp; B1302)</f>
        <v/>
      </c>
      <c r="D1302" s="119">
        <f>C1302*1.2</f>
        <v/>
      </c>
      <c r="E1302" s="225">
        <f>INDIRECT("'Закуп'!D" &amp; A1302)</f>
        <v/>
      </c>
      <c r="F1302" s="231">
        <f>INDIRECT("'Закуп'!E" &amp; B1302)</f>
        <v/>
      </c>
      <c r="G1302" s="172">
        <f>IF(INDIRECT("'Закуп'!L" &amp; B1302)="Sale","Sale","")</f>
        <v/>
      </c>
      <c r="H1302" s="158">
        <f>IF(INDIRECT("'Закуп'!F" &amp; B1302)=0,"",INDIRECT("'Закуп'!F" &amp; B1302))</f>
        <v/>
      </c>
      <c r="I1302" s="120" t="n">
        <v>50</v>
      </c>
      <c r="J1302" s="121">
        <f>K1302/1.2</f>
        <v/>
      </c>
      <c r="K1302" s="70" t="n">
        <v>3.42</v>
      </c>
      <c r="L1302" s="122">
        <f>J1302-C1302-(J1302-C1302)*0.2</f>
        <v/>
      </c>
      <c r="M1302" s="123">
        <f>L1302*I1302</f>
        <v/>
      </c>
      <c r="N1302" s="124" t="inlineStr">
        <is>
          <t xml:space="preserve">50-90 шт - </t>
        </is>
      </c>
      <c r="O1302" s="47" t="inlineStr">
        <is>
          <t xml:space="preserve"> руб / шт с НДС</t>
        </is>
      </c>
      <c r="P1302" s="125">
        <f>ROUND(K1302,2)</f>
        <v/>
      </c>
      <c r="Q1302" s="207">
        <f>CONCATENATE(N1302,P1302,O1302,)</f>
        <v/>
      </c>
      <c r="R1302" s="235">
        <f>INDIRECT("'Закуп'!k" &amp; A1302)</f>
        <v/>
      </c>
      <c r="S1302" s="239">
        <f>INDIRECT("'Закуп'!o" &amp; A1302)</f>
        <v/>
      </c>
      <c r="T1302" s="226">
        <f>INDIRECT("'Закуп'!p" &amp; A1302)</f>
        <v/>
      </c>
      <c r="U1302" s="235">
        <f>INDIRECT("'Закуп'!v" &amp; A1302)</f>
        <v/>
      </c>
      <c r="V1302" s="222">
        <f>INDIRECT("'Закуп'!w" &amp; A1302)</f>
        <v/>
      </c>
      <c r="W1302" s="229">
        <f>INDIRECT("'Закуп'!H" &amp; A1302)</f>
        <v/>
      </c>
      <c r="X1302" s="237">
        <f>INDIRECT("'Закуп'!g" &amp; A1302)</f>
        <v/>
      </c>
      <c r="Y1302" s="229">
        <f>INDIRECT("'Закуп'!i" &amp; A1302)</f>
        <v/>
      </c>
      <c r="Z1302" s="236">
        <f>INDIRECT("'Закуп'!x" &amp; A1302)</f>
        <v/>
      </c>
      <c r="AA1302" s="237">
        <f>INDIRECT("'Закуп'!y" &amp; A1302)</f>
        <v/>
      </c>
      <c r="AB1302" s="238">
        <f>INDIRECT("'Закуп'!z" &amp; A1302)</f>
        <v/>
      </c>
      <c r="AC1302" s="223">
        <f>SUBSTITUTE(INDEX(F:F, ROUNDUP((ROW(A1301))/5,0)*5 - 3), "х", "x")</f>
        <v/>
      </c>
      <c r="AD1302" s="222">
        <f>SUBSTITUTE(INDEX(F:F, ROUNDUP((ROW(A1301))/5,0)*5 - 3), "х", "x") &amp; " - " &amp; SUBSTITUTE(SUBSTITUTE(INDEX(F:F, ROUNDUP((ROW(A1301))/5,0)*5 - 3), "х", "*"), "x", "*") &amp; " мм"</f>
        <v/>
      </c>
    </row>
    <row r="1303">
      <c r="B1303" s="42" t="n">
        <v>262</v>
      </c>
      <c r="C1303" s="118">
        <f>INDIRECT("'Закуп'!A" &amp; B1303)</f>
        <v/>
      </c>
      <c r="D1303" s="119">
        <f>C1303*1.2</f>
        <v/>
      </c>
      <c r="G1303" s="172">
        <f>IF(INDIRECT("'Закуп'!L" &amp; B1303)="Sale","Sale","")</f>
        <v/>
      </c>
      <c r="H1303" s="158">
        <f>IF(INDIRECT("'Закуп'!F" &amp; B1303)=0,"",INDIRECT("'Закуп'!F" &amp; B1303))</f>
        <v/>
      </c>
      <c r="I1303" s="120" t="n">
        <v>100</v>
      </c>
      <c r="J1303" s="121">
        <f>K1303/1.2</f>
        <v/>
      </c>
      <c r="K1303" s="70" t="n">
        <v>3.08</v>
      </c>
      <c r="L1303" s="122">
        <f>J1303-C1303-(J1303-C1303)*0.2</f>
        <v/>
      </c>
      <c r="M1303" s="123">
        <f>L1303*I1303</f>
        <v/>
      </c>
      <c r="N1303" s="124" t="inlineStr">
        <is>
          <t xml:space="preserve">100-290 шт - </t>
        </is>
      </c>
      <c r="O1303" s="47" t="inlineStr">
        <is>
          <t xml:space="preserve"> руб / шт с НДС</t>
        </is>
      </c>
      <c r="P1303" s="125">
        <f>ROUND(K1303,2)</f>
        <v/>
      </c>
      <c r="Q1303" s="207">
        <f>CONCATENATE(N1303,P1303,O1303,)</f>
        <v/>
      </c>
      <c r="R1303" s="240" t="n"/>
      <c r="T1303" s="241" t="n"/>
      <c r="U1303" s="240" t="n"/>
      <c r="V1303" s="241" t="n"/>
      <c r="Z1303" s="240" t="n"/>
      <c r="AB1303" s="241" t="n"/>
      <c r="AC1303" s="240" t="n"/>
      <c r="AD1303" s="241" t="n"/>
    </row>
    <row r="1304">
      <c r="B1304" s="42" t="n">
        <v>262</v>
      </c>
      <c r="C1304" s="118">
        <f>INDIRECT("'Закуп'!A" &amp; B1304)</f>
        <v/>
      </c>
      <c r="D1304" s="119">
        <f>C1304*1.2</f>
        <v/>
      </c>
      <c r="G1304" s="172">
        <f>IF(INDIRECT("'Закуп'!L" &amp; B1304)="Sale","Sale","")</f>
        <v/>
      </c>
      <c r="H1304" s="158">
        <f>IF(INDIRECT("'Закуп'!F" &amp; B1304)=0,"",INDIRECT("'Закуп'!F" &amp; B1304))</f>
        <v/>
      </c>
      <c r="I1304" s="120" t="n">
        <v>300</v>
      </c>
      <c r="J1304" s="121">
        <f>K1304/1.2</f>
        <v/>
      </c>
      <c r="K1304" s="70" t="n">
        <v>2.89</v>
      </c>
      <c r="L1304" s="122">
        <f>J1304-C1304-(J1304-C1304)*0.2</f>
        <v/>
      </c>
      <c r="M1304" s="123">
        <f>L1304*I1304</f>
        <v/>
      </c>
      <c r="N1304" s="124" t="inlineStr">
        <is>
          <t xml:space="preserve">300-490 шт - </t>
        </is>
      </c>
      <c r="O1304" s="47" t="inlineStr">
        <is>
          <t xml:space="preserve"> руб / шт с НДС</t>
        </is>
      </c>
      <c r="P1304" s="125">
        <f>ROUND(K1304,2)</f>
        <v/>
      </c>
      <c r="Q1304" s="207">
        <f>CONCATENATE(N1304,P1304,O1304,)</f>
        <v/>
      </c>
      <c r="R1304" s="240" t="n"/>
      <c r="T1304" s="241" t="n"/>
      <c r="U1304" s="240" t="n"/>
      <c r="V1304" s="241" t="n"/>
      <c r="Z1304" s="240" t="n"/>
      <c r="AB1304" s="241" t="n"/>
      <c r="AC1304" s="240" t="n"/>
      <c r="AD1304" s="241" t="n"/>
    </row>
    <row r="1305">
      <c r="B1305" s="42" t="n">
        <v>262</v>
      </c>
      <c r="C1305" s="118">
        <f>INDIRECT("'Закуп'!A" &amp; B1305)</f>
        <v/>
      </c>
      <c r="D1305" s="119">
        <f>C1305*1.2</f>
        <v/>
      </c>
      <c r="G1305" s="172">
        <f>IF(INDIRECT("'Закуп'!L" &amp; B1305)="Sale","Sale","")</f>
        <v/>
      </c>
      <c r="H1305" s="158">
        <f>IF(INDIRECT("'Закуп'!F" &amp; B1305)=0,"",INDIRECT("'Закуп'!F" &amp; B1305))</f>
        <v/>
      </c>
      <c r="I1305" s="120" t="n">
        <v>500</v>
      </c>
      <c r="J1305" s="121">
        <f>K1305/1.2</f>
        <v/>
      </c>
      <c r="K1305" s="70" t="n">
        <v>2.78</v>
      </c>
      <c r="L1305" s="122">
        <f>J1305-C1305-(J1305-C1305)*0.2</f>
        <v/>
      </c>
      <c r="M1305" s="123">
        <f>L1305*I1305</f>
        <v/>
      </c>
      <c r="N1305" s="124" t="inlineStr">
        <is>
          <t xml:space="preserve">500-990 шт - </t>
        </is>
      </c>
      <c r="O1305" s="47" t="inlineStr">
        <is>
          <t xml:space="preserve"> руб / шт с НДС</t>
        </is>
      </c>
      <c r="P1305" s="125">
        <f>ROUND(K1305,2)</f>
        <v/>
      </c>
      <c r="Q1305" s="207">
        <f>CONCATENATE(N1305,P1305,O1305,)</f>
        <v/>
      </c>
      <c r="R1305" s="240" t="n"/>
      <c r="T1305" s="241" t="n"/>
      <c r="U1305" s="240" t="n"/>
      <c r="V1305" s="241" t="n"/>
      <c r="Z1305" s="240" t="n"/>
      <c r="AB1305" s="241" t="n"/>
      <c r="AC1305" s="240" t="n"/>
      <c r="AD1305" s="241" t="n"/>
    </row>
    <row r="1306">
      <c r="B1306" s="42" t="n">
        <v>262</v>
      </c>
      <c r="C1306" s="118">
        <f>INDIRECT("'Закуп'!A" &amp; B1306)</f>
        <v/>
      </c>
      <c r="D1306" s="119">
        <f>C1306*1.2</f>
        <v/>
      </c>
      <c r="G1306" s="172">
        <f>IF(INDIRECT("'Закуп'!L" &amp; B1306)="Sale","Sale","")</f>
        <v/>
      </c>
      <c r="H1306" s="158">
        <f>IF(INDIRECT("'Закуп'!F" &amp; B1306)=0,"",INDIRECT("'Закуп'!F" &amp; B1306))</f>
        <v/>
      </c>
      <c r="I1306" s="120" t="n">
        <v>1000</v>
      </c>
      <c r="J1306" s="121">
        <f>K1306/1.2</f>
        <v/>
      </c>
      <c r="K1306" s="70" t="n">
        <v>2.68</v>
      </c>
      <c r="L1306" s="122">
        <f>J1306-C1306-(J1306-C1306)*0.2</f>
        <v/>
      </c>
      <c r="M1306" s="123">
        <f>L1306*I1306</f>
        <v/>
      </c>
      <c r="N1306" s="124" t="inlineStr">
        <is>
          <t xml:space="preserve">1000 + шт - </t>
        </is>
      </c>
      <c r="O1306" s="47" t="inlineStr">
        <is>
          <t xml:space="preserve"> руб / шт с НДС</t>
        </is>
      </c>
      <c r="P1306" s="125">
        <f>ROUND(K1306,2)</f>
        <v/>
      </c>
      <c r="Q1306" s="207">
        <f>CONCATENATE(N1306,P1306,O1306,)</f>
        <v/>
      </c>
      <c r="R1306" s="240" t="n"/>
      <c r="T1306" s="241" t="n"/>
      <c r="U1306" s="240" t="n"/>
      <c r="V1306" s="241" t="n"/>
      <c r="Z1306" s="240" t="n"/>
      <c r="AB1306" s="241" t="n"/>
      <c r="AC1306" s="240" t="n"/>
      <c r="AD1306" s="241" t="n"/>
    </row>
    <row r="1307">
      <c r="A1307" s="232" t="n">
        <v>263</v>
      </c>
      <c r="B1307" s="42" t="n">
        <v>263</v>
      </c>
      <c r="C1307" s="118">
        <f>INDIRECT("'Закуп'!A" &amp; B1307)</f>
        <v/>
      </c>
      <c r="D1307" s="119">
        <f>C1307*1.2</f>
        <v/>
      </c>
      <c r="E1307" s="225">
        <f>INDIRECT("'Закуп'!D" &amp; A1307)</f>
        <v/>
      </c>
      <c r="F1307" s="231">
        <f>INDIRECT("'Закуп'!E" &amp; B1307)</f>
        <v/>
      </c>
      <c r="G1307" s="172">
        <f>IF(INDIRECT("'Закуп'!L" &amp; B1307)="Sale","Sale","")</f>
        <v/>
      </c>
      <c r="H1307" s="158">
        <f>IF(INDIRECT("'Закуп'!F" &amp; B1307)=0,"",INDIRECT("'Закуп'!F" &amp; B1307))</f>
        <v/>
      </c>
      <c r="I1307" s="120" t="n">
        <v>50</v>
      </c>
      <c r="J1307" s="121">
        <f>K1307/1.2</f>
        <v/>
      </c>
      <c r="K1307" s="70" t="n">
        <v>5.14</v>
      </c>
      <c r="L1307" s="122">
        <f>J1307-C1307-(J1307-C1307)*0.2</f>
        <v/>
      </c>
      <c r="M1307" s="123">
        <f>L1307*I1307</f>
        <v/>
      </c>
      <c r="N1307" s="124" t="inlineStr">
        <is>
          <t xml:space="preserve">50-90 шт - </t>
        </is>
      </c>
      <c r="O1307" s="47" t="inlineStr">
        <is>
          <t xml:space="preserve"> руб / шт с НДС</t>
        </is>
      </c>
      <c r="P1307" s="125">
        <f>ROUND(K1307,2)</f>
        <v/>
      </c>
      <c r="Q1307" s="207">
        <f>CONCATENATE(N1307,P1307,O1307,)</f>
        <v/>
      </c>
      <c r="R1307" s="235">
        <f>INDIRECT("'Закуп'!k" &amp; A1307)</f>
        <v/>
      </c>
      <c r="S1307" s="239">
        <f>INDIRECT("'Закуп'!o" &amp; A1307)</f>
        <v/>
      </c>
      <c r="T1307" s="226">
        <f>INDIRECT("'Закуп'!p" &amp; A1307)</f>
        <v/>
      </c>
      <c r="U1307" s="235">
        <f>INDIRECT("'Закуп'!v" &amp; A1307)</f>
        <v/>
      </c>
      <c r="V1307" s="222">
        <f>INDIRECT("'Закуп'!w" &amp; A1307)</f>
        <v/>
      </c>
      <c r="W1307" s="229">
        <f>INDIRECT("'Закуп'!H" &amp; A1307)</f>
        <v/>
      </c>
      <c r="X1307" s="237">
        <f>INDIRECT("'Закуп'!g" &amp; A1307)</f>
        <v/>
      </c>
      <c r="Y1307" s="229">
        <f>INDIRECT("'Закуп'!i" &amp; A1307)</f>
        <v/>
      </c>
      <c r="Z1307" s="236">
        <f>INDIRECT("'Закуп'!x" &amp; A1307)</f>
        <v/>
      </c>
      <c r="AA1307" s="237">
        <f>INDIRECT("'Закуп'!y" &amp; A1307)</f>
        <v/>
      </c>
      <c r="AB1307" s="238">
        <f>INDIRECT("'Закуп'!z" &amp; A1307)</f>
        <v/>
      </c>
      <c r="AC1307" s="223">
        <f>SUBSTITUTE(INDEX(F:F, ROUNDUP((ROW(A1306))/5,0)*5 - 3), "х", "x")</f>
        <v/>
      </c>
      <c r="AD1307" s="222">
        <f>SUBSTITUTE(INDEX(F:F, ROUNDUP((ROW(A1306))/5,0)*5 - 3), "х", "x") &amp; " - " &amp; SUBSTITUTE(SUBSTITUTE(INDEX(F:F, ROUNDUP((ROW(A1306))/5,0)*5 - 3), "х", "*"), "x", "*") &amp; " мм"</f>
        <v/>
      </c>
    </row>
    <row r="1308">
      <c r="B1308" s="42" t="n">
        <v>263</v>
      </c>
      <c r="C1308" s="118">
        <f>INDIRECT("'Закуп'!A" &amp; B1308)</f>
        <v/>
      </c>
      <c r="D1308" s="119">
        <f>C1308*1.2</f>
        <v/>
      </c>
      <c r="G1308" s="172">
        <f>IF(INDIRECT("'Закуп'!L" &amp; B1308)="Sale","Sale","")</f>
        <v/>
      </c>
      <c r="H1308" s="158">
        <f>IF(INDIRECT("'Закуп'!F" &amp; B1308)=0,"",INDIRECT("'Закуп'!F" &amp; B1308))</f>
        <v/>
      </c>
      <c r="I1308" s="120" t="n">
        <v>100</v>
      </c>
      <c r="J1308" s="121">
        <f>K1308/1.2</f>
        <v/>
      </c>
      <c r="K1308" s="70" t="n">
        <v>4.82</v>
      </c>
      <c r="L1308" s="122">
        <f>J1308-C1308-(J1308-C1308)*0.2</f>
        <v/>
      </c>
      <c r="M1308" s="123">
        <f>L1308*I1308</f>
        <v/>
      </c>
      <c r="N1308" s="124" t="inlineStr">
        <is>
          <t xml:space="preserve">100-290 шт - </t>
        </is>
      </c>
      <c r="O1308" s="47" t="inlineStr">
        <is>
          <t xml:space="preserve"> руб / шт с НДС</t>
        </is>
      </c>
      <c r="P1308" s="125">
        <f>ROUND(K1308,2)</f>
        <v/>
      </c>
      <c r="Q1308" s="207">
        <f>CONCATENATE(N1308,P1308,O1308,)</f>
        <v/>
      </c>
      <c r="R1308" s="240" t="n"/>
      <c r="T1308" s="241" t="n"/>
      <c r="U1308" s="240" t="n"/>
      <c r="V1308" s="241" t="n"/>
      <c r="Z1308" s="240" t="n"/>
      <c r="AB1308" s="241" t="n"/>
      <c r="AC1308" s="240" t="n"/>
      <c r="AD1308" s="241" t="n"/>
    </row>
    <row r="1309">
      <c r="B1309" s="42" t="n">
        <v>263</v>
      </c>
      <c r="C1309" s="118">
        <f>INDIRECT("'Закуп'!A" &amp; B1309)</f>
        <v/>
      </c>
      <c r="D1309" s="119">
        <f>C1309*1.2</f>
        <v/>
      </c>
      <c r="G1309" s="172">
        <f>IF(INDIRECT("'Закуп'!L" &amp; B1309)="Sale","Sale","")</f>
        <v/>
      </c>
      <c r="H1309" s="158">
        <f>IF(INDIRECT("'Закуп'!F" &amp; B1309)=0,"",INDIRECT("'Закуп'!F" &amp; B1309))</f>
        <v/>
      </c>
      <c r="I1309" s="120" t="n">
        <v>300</v>
      </c>
      <c r="J1309" s="121">
        <f>K1309/1.2</f>
        <v/>
      </c>
      <c r="K1309" s="70" t="n">
        <v>4.6</v>
      </c>
      <c r="L1309" s="122">
        <f>J1309-C1309-(J1309-C1309)*0.2</f>
        <v/>
      </c>
      <c r="M1309" s="123">
        <f>L1309*I1309</f>
        <v/>
      </c>
      <c r="N1309" s="124" t="inlineStr">
        <is>
          <t xml:space="preserve">300-490 шт - </t>
        </is>
      </c>
      <c r="O1309" s="47" t="inlineStr">
        <is>
          <t xml:space="preserve"> руб / шт с НДС</t>
        </is>
      </c>
      <c r="P1309" s="125">
        <f>ROUND(K1309,2)</f>
        <v/>
      </c>
      <c r="Q1309" s="207">
        <f>CONCATENATE(N1309,P1309,O1309,)</f>
        <v/>
      </c>
      <c r="R1309" s="240" t="n"/>
      <c r="T1309" s="241" t="n"/>
      <c r="U1309" s="240" t="n"/>
      <c r="V1309" s="241" t="n"/>
      <c r="Z1309" s="240" t="n"/>
      <c r="AB1309" s="241" t="n"/>
      <c r="AC1309" s="240" t="n"/>
      <c r="AD1309" s="241" t="n"/>
    </row>
    <row r="1310">
      <c r="B1310" s="42" t="n">
        <v>263</v>
      </c>
      <c r="C1310" s="118">
        <f>INDIRECT("'Закуп'!A" &amp; B1310)</f>
        <v/>
      </c>
      <c r="D1310" s="119">
        <f>C1310*1.2</f>
        <v/>
      </c>
      <c r="G1310" s="172">
        <f>IF(INDIRECT("'Закуп'!L" &amp; B1310)="Sale","Sale","")</f>
        <v/>
      </c>
      <c r="H1310" s="158">
        <f>IF(INDIRECT("'Закуп'!F" &amp; B1310)=0,"",INDIRECT("'Закуп'!F" &amp; B1310))</f>
        <v/>
      </c>
      <c r="I1310" s="120" t="n">
        <v>500</v>
      </c>
      <c r="J1310" s="121">
        <f>K1310/1.2</f>
        <v/>
      </c>
      <c r="K1310" s="70" t="n">
        <v>4.28</v>
      </c>
      <c r="L1310" s="122">
        <f>J1310-C1310-(J1310-C1310)*0.2</f>
        <v/>
      </c>
      <c r="M1310" s="123">
        <f>L1310*I1310</f>
        <v/>
      </c>
      <c r="N1310" s="124" t="inlineStr">
        <is>
          <t xml:space="preserve">500-990 шт - </t>
        </is>
      </c>
      <c r="O1310" s="47" t="inlineStr">
        <is>
          <t xml:space="preserve"> руб / шт с НДС</t>
        </is>
      </c>
      <c r="P1310" s="125">
        <f>ROUND(K1310,2)</f>
        <v/>
      </c>
      <c r="Q1310" s="207">
        <f>CONCATENATE(N1310,P1310,O1310,)</f>
        <v/>
      </c>
      <c r="R1310" s="240" t="n"/>
      <c r="T1310" s="241" t="n"/>
      <c r="U1310" s="240" t="n"/>
      <c r="V1310" s="241" t="n"/>
      <c r="Z1310" s="240" t="n"/>
      <c r="AB1310" s="241" t="n"/>
      <c r="AC1310" s="240" t="n"/>
      <c r="AD1310" s="241" t="n"/>
    </row>
    <row r="1311">
      <c r="B1311" s="42" t="n">
        <v>263</v>
      </c>
      <c r="C1311" s="118">
        <f>INDIRECT("'Закуп'!A" &amp; B1311)</f>
        <v/>
      </c>
      <c r="D1311" s="119">
        <f>C1311*1.2</f>
        <v/>
      </c>
      <c r="G1311" s="172">
        <f>IF(INDIRECT("'Закуп'!L" &amp; B1311)="Sale","Sale","")</f>
        <v/>
      </c>
      <c r="H1311" s="158">
        <f>IF(INDIRECT("'Закуп'!F" &amp; B1311)=0,"",INDIRECT("'Закуп'!F" &amp; B1311))</f>
        <v/>
      </c>
      <c r="I1311" s="120" t="n">
        <v>1000</v>
      </c>
      <c r="J1311" s="121">
        <f>K1311/1.2</f>
        <v/>
      </c>
      <c r="K1311" s="70" t="n">
        <v>3.96</v>
      </c>
      <c r="L1311" s="122">
        <f>J1311-C1311-(J1311-C1311)*0.2</f>
        <v/>
      </c>
      <c r="M1311" s="123">
        <f>L1311*I1311</f>
        <v/>
      </c>
      <c r="N1311" s="124" t="inlineStr">
        <is>
          <t xml:space="preserve">1000 + шт - </t>
        </is>
      </c>
      <c r="O1311" s="47" t="inlineStr">
        <is>
          <t xml:space="preserve"> руб / шт с НДС</t>
        </is>
      </c>
      <c r="P1311" s="125">
        <f>ROUND(K1311,2)</f>
        <v/>
      </c>
      <c r="Q1311" s="207">
        <f>CONCATENATE(N1311,P1311,O1311,)</f>
        <v/>
      </c>
      <c r="R1311" s="240" t="n"/>
      <c r="T1311" s="241" t="n"/>
      <c r="U1311" s="240" t="n"/>
      <c r="V1311" s="241" t="n"/>
      <c r="Z1311" s="240" t="n"/>
      <c r="AB1311" s="241" t="n"/>
      <c r="AC1311" s="240" t="n"/>
      <c r="AD1311" s="241" t="n"/>
    </row>
    <row r="1312">
      <c r="A1312" s="232" t="n">
        <v>264</v>
      </c>
      <c r="B1312" s="42" t="n">
        <v>264</v>
      </c>
      <c r="C1312" s="118">
        <f>INDIRECT("'Закуп'!A" &amp; B1312)</f>
        <v/>
      </c>
      <c r="D1312" s="119">
        <f>C1312*1.2</f>
        <v/>
      </c>
      <c r="E1312" s="225">
        <f>INDIRECT("'Закуп'!D" &amp; A1312)</f>
        <v/>
      </c>
      <c r="F1312" s="231">
        <f>INDIRECT("'Закуп'!E" &amp; B1312)</f>
        <v/>
      </c>
      <c r="G1312" s="172">
        <f>IF(INDIRECT("'Закуп'!L" &amp; B1312)="Sale","Sale","")</f>
        <v/>
      </c>
      <c r="H1312" s="158">
        <f>IF(INDIRECT("'Закуп'!F" &amp; B1312)=0,"",INDIRECT("'Закуп'!F" &amp; B1312))</f>
        <v/>
      </c>
      <c r="I1312" s="120" t="n">
        <v>50</v>
      </c>
      <c r="J1312" s="121">
        <f>K1312/1.2</f>
        <v/>
      </c>
      <c r="K1312" s="70" t="n">
        <v>5.52</v>
      </c>
      <c r="L1312" s="122">
        <f>J1312-C1312-(J1312-C1312)*0.2</f>
        <v/>
      </c>
      <c r="M1312" s="123">
        <f>L1312*I1312</f>
        <v/>
      </c>
      <c r="N1312" s="124" t="inlineStr">
        <is>
          <t xml:space="preserve">50-90 шт - </t>
        </is>
      </c>
      <c r="O1312" s="47" t="inlineStr">
        <is>
          <t xml:space="preserve"> руб / шт с НДС</t>
        </is>
      </c>
      <c r="P1312" s="125">
        <f>ROUND(K1312,2)</f>
        <v/>
      </c>
      <c r="Q1312" s="207">
        <f>CONCATENATE(N1312,P1312,O1312,)</f>
        <v/>
      </c>
      <c r="R1312" s="235">
        <f>INDIRECT("'Закуп'!k" &amp; A1312)</f>
        <v/>
      </c>
      <c r="S1312" s="239">
        <f>INDIRECT("'Закуп'!o" &amp; A1312)</f>
        <v/>
      </c>
      <c r="T1312" s="226">
        <f>INDIRECT("'Закуп'!p" &amp; A1312)</f>
        <v/>
      </c>
      <c r="U1312" s="235">
        <f>INDIRECT("'Закуп'!v" &amp; A1312)</f>
        <v/>
      </c>
      <c r="V1312" s="222">
        <f>INDIRECT("'Закуп'!w" &amp; A1312)</f>
        <v/>
      </c>
      <c r="W1312" s="229">
        <f>INDIRECT("'Закуп'!H" &amp; A1312)</f>
        <v/>
      </c>
      <c r="X1312" s="237">
        <f>INDIRECT("'Закуп'!g" &amp; A1312)</f>
        <v/>
      </c>
      <c r="Y1312" s="229">
        <f>INDIRECT("'Закуп'!i" &amp; A1312)</f>
        <v/>
      </c>
      <c r="Z1312" s="236">
        <f>INDIRECT("'Закуп'!x" &amp; A1312)</f>
        <v/>
      </c>
      <c r="AA1312" s="237">
        <f>INDIRECT("'Закуп'!y" &amp; A1312)</f>
        <v/>
      </c>
      <c r="AB1312" s="238">
        <f>INDIRECT("'Закуп'!z" &amp; A1312)</f>
        <v/>
      </c>
      <c r="AC1312" s="223">
        <f>SUBSTITUTE(INDEX(F:F, ROUNDUP((ROW(A1311))/5,0)*5 - 3), "х", "x")</f>
        <v/>
      </c>
      <c r="AD1312" s="222">
        <f>SUBSTITUTE(INDEX(F:F, ROUNDUP((ROW(A1311))/5,0)*5 - 3), "х", "x") &amp; " - " &amp; SUBSTITUTE(SUBSTITUTE(INDEX(F:F, ROUNDUP((ROW(A1311))/5,0)*5 - 3), "х", "*"), "x", "*") &amp; " мм"</f>
        <v/>
      </c>
    </row>
    <row r="1313">
      <c r="B1313" s="42" t="n">
        <v>264</v>
      </c>
      <c r="C1313" s="118">
        <f>INDIRECT("'Закуп'!A" &amp; B1313)</f>
        <v/>
      </c>
      <c r="D1313" s="119">
        <f>C1313*1.2</f>
        <v/>
      </c>
      <c r="G1313" s="172">
        <f>IF(INDIRECT("'Закуп'!L" &amp; B1313)="Sale","Sale","")</f>
        <v/>
      </c>
      <c r="H1313" s="158">
        <f>IF(INDIRECT("'Закуп'!F" &amp; B1313)=0,"",INDIRECT("'Закуп'!F" &amp; B1313))</f>
        <v/>
      </c>
      <c r="I1313" s="120" t="n">
        <v>100</v>
      </c>
      <c r="J1313" s="121">
        <f>K1313/1.2</f>
        <v/>
      </c>
      <c r="K1313" s="70" t="n">
        <v>5.03</v>
      </c>
      <c r="L1313" s="122">
        <f>J1313-C1313-(J1313-C1313)*0.2</f>
        <v/>
      </c>
      <c r="M1313" s="123">
        <f>L1313*I1313</f>
        <v/>
      </c>
      <c r="N1313" s="124" t="inlineStr">
        <is>
          <t xml:space="preserve">100-290 шт - </t>
        </is>
      </c>
      <c r="O1313" s="47" t="inlineStr">
        <is>
          <t xml:space="preserve"> руб / шт с НДС</t>
        </is>
      </c>
      <c r="P1313" s="125">
        <f>ROUND(K1313,2)</f>
        <v/>
      </c>
      <c r="Q1313" s="207">
        <f>CONCATENATE(N1313,P1313,O1313,)</f>
        <v/>
      </c>
      <c r="R1313" s="240" t="n"/>
      <c r="T1313" s="241" t="n"/>
      <c r="U1313" s="240" t="n"/>
      <c r="V1313" s="241" t="n"/>
      <c r="Z1313" s="240" t="n"/>
      <c r="AB1313" s="241" t="n"/>
      <c r="AC1313" s="240" t="n"/>
      <c r="AD1313" s="241" t="n"/>
    </row>
    <row r="1314">
      <c r="B1314" s="42" t="n">
        <v>264</v>
      </c>
      <c r="C1314" s="118">
        <f>INDIRECT("'Закуп'!A" &amp; B1314)</f>
        <v/>
      </c>
      <c r="D1314" s="119">
        <f>C1314*1.2</f>
        <v/>
      </c>
      <c r="G1314" s="172">
        <f>IF(INDIRECT("'Закуп'!L" &amp; B1314)="Sale","Sale","")</f>
        <v/>
      </c>
      <c r="H1314" s="158">
        <f>IF(INDIRECT("'Закуп'!F" &amp; B1314)=0,"",INDIRECT("'Закуп'!F" &amp; B1314))</f>
        <v/>
      </c>
      <c r="I1314" s="120" t="n">
        <v>300</v>
      </c>
      <c r="J1314" s="121">
        <f>K1314/1.2</f>
        <v/>
      </c>
      <c r="K1314" s="70" t="n">
        <v>4.82</v>
      </c>
      <c r="L1314" s="122">
        <f>J1314-C1314-(J1314-C1314)*0.2</f>
        <v/>
      </c>
      <c r="M1314" s="123">
        <f>L1314*I1314</f>
        <v/>
      </c>
      <c r="N1314" s="124" t="inlineStr">
        <is>
          <t xml:space="preserve">300-490 шт - </t>
        </is>
      </c>
      <c r="O1314" s="47" t="inlineStr">
        <is>
          <t xml:space="preserve"> руб / шт с НДС</t>
        </is>
      </c>
      <c r="P1314" s="125">
        <f>ROUND(K1314,2)</f>
        <v/>
      </c>
      <c r="Q1314" s="207">
        <f>CONCATENATE(N1314,P1314,O1314,)</f>
        <v/>
      </c>
      <c r="R1314" s="240" t="n"/>
      <c r="T1314" s="241" t="n"/>
      <c r="U1314" s="240" t="n"/>
      <c r="V1314" s="241" t="n"/>
      <c r="Z1314" s="240" t="n"/>
      <c r="AB1314" s="241" t="n"/>
      <c r="AC1314" s="240" t="n"/>
      <c r="AD1314" s="241" t="n"/>
    </row>
    <row r="1315">
      <c r="B1315" s="42" t="n">
        <v>264</v>
      </c>
      <c r="C1315" s="118">
        <f>INDIRECT("'Закуп'!A" &amp; B1315)</f>
        <v/>
      </c>
      <c r="D1315" s="119">
        <f>C1315*1.2</f>
        <v/>
      </c>
      <c r="G1315" s="172">
        <f>IF(INDIRECT("'Закуп'!L" &amp; B1315)="Sale","Sale","")</f>
        <v/>
      </c>
      <c r="H1315" s="158">
        <f>IF(INDIRECT("'Закуп'!F" &amp; B1315)=0,"",INDIRECT("'Закуп'!F" &amp; B1315))</f>
        <v/>
      </c>
      <c r="I1315" s="120" t="n">
        <v>500</v>
      </c>
      <c r="J1315" s="121">
        <f>K1315/1.2</f>
        <v/>
      </c>
      <c r="K1315" s="70" t="n">
        <v>4.49</v>
      </c>
      <c r="L1315" s="122">
        <f>J1315-C1315-(J1315-C1315)*0.2</f>
        <v/>
      </c>
      <c r="M1315" s="123">
        <f>L1315*I1315</f>
        <v/>
      </c>
      <c r="N1315" s="124" t="inlineStr">
        <is>
          <t xml:space="preserve">500-990 шт - </t>
        </is>
      </c>
      <c r="O1315" s="47" t="inlineStr">
        <is>
          <t xml:space="preserve"> руб / шт с НДС</t>
        </is>
      </c>
      <c r="P1315" s="125">
        <f>ROUND(K1315,2)</f>
        <v/>
      </c>
      <c r="Q1315" s="207">
        <f>CONCATENATE(N1315,P1315,O1315,)</f>
        <v/>
      </c>
      <c r="R1315" s="240" t="n"/>
      <c r="T1315" s="241" t="n"/>
      <c r="U1315" s="240" t="n"/>
      <c r="V1315" s="241" t="n"/>
      <c r="Z1315" s="240" t="n"/>
      <c r="AB1315" s="241" t="n"/>
      <c r="AC1315" s="240" t="n"/>
      <c r="AD1315" s="241" t="n"/>
    </row>
    <row r="1316">
      <c r="B1316" s="42" t="n">
        <v>264</v>
      </c>
      <c r="C1316" s="118">
        <f>INDIRECT("'Закуп'!A" &amp; B1316)</f>
        <v/>
      </c>
      <c r="D1316" s="119">
        <f>C1316*1.2</f>
        <v/>
      </c>
      <c r="G1316" s="172">
        <f>IF(INDIRECT("'Закуп'!L" &amp; B1316)="Sale","Sale","")</f>
        <v/>
      </c>
      <c r="H1316" s="158">
        <f>IF(INDIRECT("'Закуп'!F" &amp; B1316)=0,"",INDIRECT("'Закуп'!F" &amp; B1316))</f>
        <v/>
      </c>
      <c r="I1316" s="120" t="n">
        <v>1000</v>
      </c>
      <c r="J1316" s="121">
        <f>K1316/1.2</f>
        <v/>
      </c>
      <c r="K1316" s="70" t="n">
        <v>4.28</v>
      </c>
      <c r="L1316" s="122">
        <f>J1316-C1316-(J1316-C1316)*0.2</f>
        <v/>
      </c>
      <c r="M1316" s="123">
        <f>L1316*I1316</f>
        <v/>
      </c>
      <c r="N1316" s="124" t="inlineStr">
        <is>
          <t xml:space="preserve">1000 + шт - </t>
        </is>
      </c>
      <c r="O1316" s="47" t="inlineStr">
        <is>
          <t xml:space="preserve"> руб / шт с НДС</t>
        </is>
      </c>
      <c r="P1316" s="125">
        <f>ROUND(K1316,2)</f>
        <v/>
      </c>
      <c r="Q1316" s="207">
        <f>CONCATENATE(N1316,P1316,O1316,)</f>
        <v/>
      </c>
      <c r="R1316" s="240" t="n"/>
      <c r="T1316" s="241" t="n"/>
      <c r="U1316" s="240" t="n"/>
      <c r="V1316" s="241" t="n"/>
      <c r="Z1316" s="240" t="n"/>
      <c r="AB1316" s="241" t="n"/>
      <c r="AC1316" s="240" t="n"/>
      <c r="AD1316" s="241" t="n"/>
    </row>
    <row r="1317">
      <c r="A1317" s="232" t="n">
        <v>265</v>
      </c>
      <c r="B1317" s="42" t="n">
        <v>265</v>
      </c>
      <c r="C1317" s="118">
        <f>INDIRECT("'Закуп'!A" &amp; B1317)</f>
        <v/>
      </c>
      <c r="D1317" s="119">
        <f>C1317*1.2</f>
        <v/>
      </c>
      <c r="E1317" s="224">
        <f>INDIRECT("'Закуп'!D" &amp; A1317)</f>
        <v/>
      </c>
      <c r="F1317" s="231">
        <f>INDIRECT("'Закуп'!E" &amp; B1317)</f>
        <v/>
      </c>
      <c r="G1317" s="172">
        <f>IF(INDIRECT("'Закуп'!L" &amp; B1317)="Sale","Sale","")</f>
        <v/>
      </c>
      <c r="H1317" s="158">
        <f>IF(INDIRECT("'Закуп'!F" &amp; B1317)=0,"",INDIRECT("'Закуп'!F" &amp; B1317))</f>
        <v/>
      </c>
      <c r="I1317" s="120" t="n">
        <v>50</v>
      </c>
      <c r="J1317" s="121">
        <f>K1317/1.2</f>
        <v/>
      </c>
      <c r="K1317" s="70" t="n">
        <v>1.18</v>
      </c>
      <c r="L1317" s="122">
        <f>J1317-C1317-(J1317-C1317)*0.2</f>
        <v/>
      </c>
      <c r="M1317" s="123">
        <f>L1317*I1317</f>
        <v/>
      </c>
      <c r="N1317" s="124" t="inlineStr">
        <is>
          <t xml:space="preserve">50-90 шт - </t>
        </is>
      </c>
      <c r="O1317" s="47" t="inlineStr">
        <is>
          <t xml:space="preserve"> руб / шт с НДС</t>
        </is>
      </c>
      <c r="P1317" s="125">
        <f>ROUND(K1317,2)</f>
        <v/>
      </c>
      <c r="Q1317" s="207">
        <f>CONCATENATE(N1317,P1317,O1317,)</f>
        <v/>
      </c>
      <c r="R1317" s="235">
        <f>INDIRECT("'Закуп'!k" &amp; A1317)</f>
        <v/>
      </c>
      <c r="S1317" s="239">
        <f>INDIRECT("'Закуп'!o" &amp; A1317)</f>
        <v/>
      </c>
      <c r="T1317" s="226">
        <f>INDIRECT("'Закуп'!p" &amp; A1317)</f>
        <v/>
      </c>
      <c r="U1317" s="235">
        <f>INDIRECT("'Закуп'!v" &amp; A1317)</f>
        <v/>
      </c>
      <c r="V1317" s="222">
        <f>INDIRECT("'Закуп'!w" &amp; A1317)</f>
        <v/>
      </c>
      <c r="W1317" s="229">
        <f>INDIRECT("'Закуп'!H" &amp; A1317)</f>
        <v/>
      </c>
      <c r="X1317" s="237">
        <f>INDIRECT("'Закуп'!g" &amp; A1317)</f>
        <v/>
      </c>
      <c r="Y1317" s="229">
        <f>INDIRECT("'Закуп'!i" &amp; A1317)</f>
        <v/>
      </c>
      <c r="Z1317" s="236">
        <f>INDIRECT("'Закуп'!x" &amp; A1317)</f>
        <v/>
      </c>
      <c r="AA1317" s="237">
        <f>INDIRECT("'Закуп'!y" &amp; A1317)</f>
        <v/>
      </c>
      <c r="AB1317" s="238">
        <f>INDIRECT("'Закуп'!z" &amp; A1317)</f>
        <v/>
      </c>
      <c r="AC1317" s="223">
        <f>SUBSTITUTE(INDEX(F:F, ROUNDUP((ROW(A1316))/5,0)*5 - 3), "х", "x")</f>
        <v/>
      </c>
      <c r="AD1317" s="222">
        <f>SUBSTITUTE(INDEX(F:F, ROUNDUP((ROW(A1316))/5,0)*5 - 3), "х", "x") &amp; " - " &amp; SUBSTITUTE(SUBSTITUTE(INDEX(F:F, ROUNDUP((ROW(A1316))/5,0)*5 - 3), "х", "*"), "x", "*") &amp; " мм"</f>
        <v/>
      </c>
    </row>
    <row r="1318">
      <c r="B1318" s="42" t="n">
        <v>265</v>
      </c>
      <c r="C1318" s="118">
        <f>INDIRECT("'Закуп'!A" &amp; B1318)</f>
        <v/>
      </c>
      <c r="D1318" s="119">
        <f>C1318*1.2</f>
        <v/>
      </c>
      <c r="G1318" s="172">
        <f>IF(INDIRECT("'Закуп'!L" &amp; B1318)="Sale","Sale","")</f>
        <v/>
      </c>
      <c r="H1318" s="158">
        <f>IF(INDIRECT("'Закуп'!F" &amp; B1318)=0,"",INDIRECT("'Закуп'!F" &amp; B1318))</f>
        <v/>
      </c>
      <c r="I1318" s="120" t="n">
        <v>100</v>
      </c>
      <c r="J1318" s="121">
        <f>K1318/1.2</f>
        <v/>
      </c>
      <c r="K1318" s="70" t="n">
        <v>1.07</v>
      </c>
      <c r="L1318" s="122">
        <f>J1318-C1318-(J1318-C1318)*0.2</f>
        <v/>
      </c>
      <c r="M1318" s="123">
        <f>L1318*I1318</f>
        <v/>
      </c>
      <c r="N1318" s="124" t="inlineStr">
        <is>
          <t xml:space="preserve">100-290 шт - </t>
        </is>
      </c>
      <c r="O1318" s="47" t="inlineStr">
        <is>
          <t xml:space="preserve"> руб / шт с НДС</t>
        </is>
      </c>
      <c r="P1318" s="125">
        <f>ROUND(K1318,2)</f>
        <v/>
      </c>
      <c r="Q1318" s="207">
        <f>CONCATENATE(N1318,P1318,O1318,)</f>
        <v/>
      </c>
      <c r="R1318" s="240" t="n"/>
      <c r="T1318" s="241" t="n"/>
      <c r="U1318" s="240" t="n"/>
      <c r="V1318" s="241" t="n"/>
      <c r="Z1318" s="240" t="n"/>
      <c r="AB1318" s="241" t="n"/>
      <c r="AC1318" s="240" t="n"/>
      <c r="AD1318" s="241" t="n"/>
    </row>
    <row r="1319">
      <c r="B1319" s="42" t="n">
        <v>265</v>
      </c>
      <c r="C1319" s="118">
        <f>INDIRECT("'Закуп'!A" &amp; B1319)</f>
        <v/>
      </c>
      <c r="D1319" s="119">
        <f>C1319*1.2</f>
        <v/>
      </c>
      <c r="G1319" s="172">
        <f>IF(INDIRECT("'Закуп'!L" &amp; B1319)="Sale","Sale","")</f>
        <v/>
      </c>
      <c r="H1319" s="158">
        <f>IF(INDIRECT("'Закуп'!F" &amp; B1319)=0,"",INDIRECT("'Закуп'!F" &amp; B1319))</f>
        <v/>
      </c>
      <c r="I1319" s="120" t="n">
        <v>300</v>
      </c>
      <c r="J1319" s="121">
        <f>K1319/1.2</f>
        <v/>
      </c>
      <c r="K1319" s="70" t="n">
        <v>0.96</v>
      </c>
      <c r="L1319" s="122">
        <f>J1319-C1319-(J1319-C1319)*0.2</f>
        <v/>
      </c>
      <c r="M1319" s="123">
        <f>L1319*I1319</f>
        <v/>
      </c>
      <c r="N1319" s="124" t="inlineStr">
        <is>
          <t xml:space="preserve">300-490 шт - </t>
        </is>
      </c>
      <c r="O1319" s="47" t="inlineStr">
        <is>
          <t xml:space="preserve"> руб / шт с НДС</t>
        </is>
      </c>
      <c r="P1319" s="125">
        <f>ROUND(K1319,2)</f>
        <v/>
      </c>
      <c r="Q1319" s="207">
        <f>CONCATENATE(N1319,P1319,O1319,)</f>
        <v/>
      </c>
      <c r="R1319" s="240" t="n"/>
      <c r="T1319" s="241" t="n"/>
      <c r="U1319" s="240" t="n"/>
      <c r="V1319" s="241" t="n"/>
      <c r="Z1319" s="240" t="n"/>
      <c r="AB1319" s="241" t="n"/>
      <c r="AC1319" s="240" t="n"/>
      <c r="AD1319" s="241" t="n"/>
    </row>
    <row r="1320">
      <c r="B1320" s="42" t="n">
        <v>265</v>
      </c>
      <c r="C1320" s="118">
        <f>INDIRECT("'Закуп'!A" &amp; B1320)</f>
        <v/>
      </c>
      <c r="D1320" s="119">
        <f>C1320*1.2</f>
        <v/>
      </c>
      <c r="G1320" s="172">
        <f>IF(INDIRECT("'Закуп'!L" &amp; B1320)="Sale","Sale","")</f>
        <v/>
      </c>
      <c r="H1320" s="158">
        <f>IF(INDIRECT("'Закуп'!F" &amp; B1320)=0,"",INDIRECT("'Закуп'!F" &amp; B1320))</f>
        <v/>
      </c>
      <c r="I1320" s="120" t="n">
        <v>500</v>
      </c>
      <c r="J1320" s="121">
        <f>K1320/1.2</f>
        <v/>
      </c>
      <c r="K1320" s="70" t="n">
        <v>0.86</v>
      </c>
      <c r="L1320" s="122">
        <f>J1320-C1320-(J1320-C1320)*0.2</f>
        <v/>
      </c>
      <c r="M1320" s="123">
        <f>L1320*I1320</f>
        <v/>
      </c>
      <c r="N1320" s="124" t="inlineStr">
        <is>
          <t xml:space="preserve">500-990 шт - </t>
        </is>
      </c>
      <c r="O1320" s="47" t="inlineStr">
        <is>
          <t xml:space="preserve"> руб / шт с НДС</t>
        </is>
      </c>
      <c r="P1320" s="125">
        <f>ROUND(K1320,2)</f>
        <v/>
      </c>
      <c r="Q1320" s="207">
        <f>CONCATENATE(N1320,P1320,O1320,)</f>
        <v/>
      </c>
      <c r="R1320" s="240" t="n"/>
      <c r="T1320" s="241" t="n"/>
      <c r="U1320" s="240" t="n"/>
      <c r="V1320" s="241" t="n"/>
      <c r="Z1320" s="240" t="n"/>
      <c r="AB1320" s="241" t="n"/>
      <c r="AC1320" s="240" t="n"/>
      <c r="AD1320" s="241" t="n"/>
    </row>
    <row r="1321">
      <c r="B1321" s="42" t="n">
        <v>265</v>
      </c>
      <c r="C1321" s="118">
        <f>INDIRECT("'Закуп'!A" &amp; B1321)</f>
        <v/>
      </c>
      <c r="D1321" s="119">
        <f>C1321*1.2</f>
        <v/>
      </c>
      <c r="G1321" s="172">
        <f>IF(INDIRECT("'Закуп'!L" &amp; B1321)="Sale","Sale","")</f>
        <v/>
      </c>
      <c r="H1321" s="158">
        <f>IF(INDIRECT("'Закуп'!F" &amp; B1321)=0,"",INDIRECT("'Закуп'!F" &amp; B1321))</f>
        <v/>
      </c>
      <c r="I1321" s="120" t="n">
        <v>1000</v>
      </c>
      <c r="J1321" s="121">
        <f>K1321/1.2</f>
        <v/>
      </c>
      <c r="K1321" s="70" t="n">
        <v>0.75</v>
      </c>
      <c r="L1321" s="122">
        <f>J1321-C1321-(J1321-C1321)*0.2</f>
        <v/>
      </c>
      <c r="M1321" s="123">
        <f>L1321*I1321</f>
        <v/>
      </c>
      <c r="N1321" s="124" t="inlineStr">
        <is>
          <t xml:space="preserve">1000 + шт - </t>
        </is>
      </c>
      <c r="O1321" s="47" t="inlineStr">
        <is>
          <t xml:space="preserve"> руб / шт с НДС</t>
        </is>
      </c>
      <c r="P1321" s="125">
        <f>ROUND(K1321,2)</f>
        <v/>
      </c>
      <c r="Q1321" s="207">
        <f>CONCATENATE(N1321,P1321,O1321,)</f>
        <v/>
      </c>
      <c r="R1321" s="240" t="n"/>
      <c r="T1321" s="241" t="n"/>
      <c r="U1321" s="240" t="n"/>
      <c r="V1321" s="241" t="n"/>
      <c r="Z1321" s="240" t="n"/>
      <c r="AB1321" s="241" t="n"/>
      <c r="AC1321" s="240" t="n"/>
      <c r="AD1321" s="241" t="n"/>
    </row>
    <row r="1322">
      <c r="A1322" s="232" t="n">
        <v>266</v>
      </c>
      <c r="B1322" s="42" t="n">
        <v>266</v>
      </c>
      <c r="C1322" s="118">
        <f>INDIRECT("'Закуп'!A" &amp; B1322)</f>
        <v/>
      </c>
      <c r="D1322" s="119">
        <f>C1322*1.2</f>
        <v/>
      </c>
      <c r="E1322" s="224">
        <f>INDIRECT("'Закуп'!D" &amp; A1322)</f>
        <v/>
      </c>
      <c r="F1322" s="231">
        <f>INDIRECT("'Закуп'!E" &amp; B1322)</f>
        <v/>
      </c>
      <c r="G1322" s="172">
        <f>IF(INDIRECT("'Закуп'!L" &amp; B1322)="Sale","Sale","")</f>
        <v/>
      </c>
      <c r="H1322" s="158">
        <f>IF(INDIRECT("'Закуп'!F" &amp; B1322)=0,"",INDIRECT("'Закуп'!F" &amp; B1322))</f>
        <v/>
      </c>
      <c r="I1322" s="120" t="n">
        <v>50</v>
      </c>
      <c r="J1322" s="121">
        <f>K1322/1.2</f>
        <v/>
      </c>
      <c r="K1322" s="70" t="n">
        <v>1.07</v>
      </c>
      <c r="L1322" s="122">
        <f>J1322-C1322-(J1322-C1322)*0.2</f>
        <v/>
      </c>
      <c r="M1322" s="123">
        <f>L1322*I1322</f>
        <v/>
      </c>
      <c r="N1322" s="124" t="inlineStr">
        <is>
          <t xml:space="preserve">50-90 шт - </t>
        </is>
      </c>
      <c r="O1322" s="47" t="inlineStr">
        <is>
          <t xml:space="preserve"> руб / шт с НДС</t>
        </is>
      </c>
      <c r="P1322" s="125">
        <f>ROUND(K1322,2)</f>
        <v/>
      </c>
      <c r="Q1322" s="207">
        <f>CONCATENATE(N1322,P1322,O1322,)</f>
        <v/>
      </c>
      <c r="R1322" s="235">
        <f>INDIRECT("'Закуп'!k" &amp; A1322)</f>
        <v/>
      </c>
      <c r="S1322" s="239">
        <f>INDIRECT("'Закуп'!o" &amp; A1322)</f>
        <v/>
      </c>
      <c r="T1322" s="226">
        <f>INDIRECT("'Закуп'!p" &amp; A1322)</f>
        <v/>
      </c>
      <c r="U1322" s="235">
        <f>INDIRECT("'Закуп'!v" &amp; A1322)</f>
        <v/>
      </c>
      <c r="V1322" s="222">
        <f>INDIRECT("'Закуп'!w" &amp; A1322)</f>
        <v/>
      </c>
      <c r="W1322" s="229">
        <f>INDIRECT("'Закуп'!H" &amp; A1322)</f>
        <v/>
      </c>
      <c r="X1322" s="237">
        <f>INDIRECT("'Закуп'!g" &amp; A1322)</f>
        <v/>
      </c>
      <c r="Y1322" s="229">
        <f>INDIRECT("'Закуп'!i" &amp; A1322)</f>
        <v/>
      </c>
      <c r="Z1322" s="236">
        <f>INDIRECT("'Закуп'!x" &amp; A1322)</f>
        <v/>
      </c>
      <c r="AA1322" s="237">
        <f>INDIRECT("'Закуп'!y" &amp; A1322)</f>
        <v/>
      </c>
      <c r="AB1322" s="238">
        <f>INDIRECT("'Закуп'!z" &amp; A1322)</f>
        <v/>
      </c>
      <c r="AC1322" s="223">
        <f>SUBSTITUTE(INDEX(F:F, ROUNDUP((ROW(A1321))/5,0)*5 - 3), "х", "x")</f>
        <v/>
      </c>
      <c r="AD1322" s="222">
        <f>SUBSTITUTE(INDEX(F:F, ROUNDUP((ROW(A1321))/5,0)*5 - 3), "х", "x") &amp; " - " &amp; SUBSTITUTE(SUBSTITUTE(INDEX(F:F, ROUNDUP((ROW(A1321))/5,0)*5 - 3), "х", "*"), "x", "*") &amp; " мм"</f>
        <v/>
      </c>
    </row>
    <row r="1323">
      <c r="B1323" s="42" t="n">
        <v>266</v>
      </c>
      <c r="C1323" s="118">
        <f>INDIRECT("'Закуп'!A" &amp; B1323)</f>
        <v/>
      </c>
      <c r="D1323" s="119">
        <f>C1323*1.2</f>
        <v/>
      </c>
      <c r="G1323" s="172">
        <f>IF(INDIRECT("'Закуп'!L" &amp; B1323)="Sale","Sale","")</f>
        <v/>
      </c>
      <c r="H1323" s="158">
        <f>IF(INDIRECT("'Закуп'!F" &amp; B1323)=0,"",INDIRECT("'Закуп'!F" &amp; B1323))</f>
        <v/>
      </c>
      <c r="I1323" s="120" t="n">
        <v>100</v>
      </c>
      <c r="J1323" s="121">
        <f>K1323/1.2</f>
        <v/>
      </c>
      <c r="K1323" s="70" t="n">
        <v>0.91</v>
      </c>
      <c r="L1323" s="122">
        <f>J1323-C1323-(J1323-C1323)*0.2</f>
        <v/>
      </c>
      <c r="M1323" s="123">
        <f>L1323*I1323</f>
        <v/>
      </c>
      <c r="N1323" s="124" t="inlineStr">
        <is>
          <t xml:space="preserve">100-290 шт - </t>
        </is>
      </c>
      <c r="O1323" s="47" t="inlineStr">
        <is>
          <t xml:space="preserve"> руб / шт с НДС</t>
        </is>
      </c>
      <c r="P1323" s="125">
        <f>ROUND(K1323,2)</f>
        <v/>
      </c>
      <c r="Q1323" s="207">
        <f>CONCATENATE(N1323,P1323,O1323,)</f>
        <v/>
      </c>
      <c r="R1323" s="240" t="n"/>
      <c r="T1323" s="241" t="n"/>
      <c r="U1323" s="240" t="n"/>
      <c r="V1323" s="241" t="n"/>
      <c r="Z1323" s="240" t="n"/>
      <c r="AB1323" s="241" t="n"/>
      <c r="AC1323" s="240" t="n"/>
      <c r="AD1323" s="241" t="n"/>
    </row>
    <row r="1324">
      <c r="B1324" s="42" t="n">
        <v>266</v>
      </c>
      <c r="C1324" s="118">
        <f>INDIRECT("'Закуп'!A" &amp; B1324)</f>
        <v/>
      </c>
      <c r="D1324" s="119">
        <f>C1324*1.2</f>
        <v/>
      </c>
      <c r="G1324" s="172">
        <f>IF(INDIRECT("'Закуп'!L" &amp; B1324)="Sale","Sale","")</f>
        <v/>
      </c>
      <c r="H1324" s="158">
        <f>IF(INDIRECT("'Закуп'!F" &amp; B1324)=0,"",INDIRECT("'Закуп'!F" &amp; B1324))</f>
        <v/>
      </c>
      <c r="I1324" s="120" t="n">
        <v>300</v>
      </c>
      <c r="J1324" s="121">
        <f>K1324/1.2</f>
        <v/>
      </c>
      <c r="K1324" s="70" t="n">
        <v>0.75</v>
      </c>
      <c r="L1324" s="122">
        <f>J1324-C1324-(J1324-C1324)*0.2</f>
        <v/>
      </c>
      <c r="M1324" s="123">
        <f>L1324*I1324</f>
        <v/>
      </c>
      <c r="N1324" s="124" t="inlineStr">
        <is>
          <t xml:space="preserve">300-490 шт - </t>
        </is>
      </c>
      <c r="O1324" s="47" t="inlineStr">
        <is>
          <t xml:space="preserve"> руб / шт с НДС</t>
        </is>
      </c>
      <c r="P1324" s="125">
        <f>ROUND(K1324,2)</f>
        <v/>
      </c>
      <c r="Q1324" s="207">
        <f>CONCATENATE(N1324,P1324,O1324,)</f>
        <v/>
      </c>
      <c r="R1324" s="240" t="n"/>
      <c r="T1324" s="241" t="n"/>
      <c r="U1324" s="240" t="n"/>
      <c r="V1324" s="241" t="n"/>
      <c r="Z1324" s="240" t="n"/>
      <c r="AB1324" s="241" t="n"/>
      <c r="AC1324" s="240" t="n"/>
      <c r="AD1324" s="241" t="n"/>
    </row>
    <row r="1325">
      <c r="B1325" s="42" t="n">
        <v>266</v>
      </c>
      <c r="C1325" s="118">
        <f>INDIRECT("'Закуп'!A" &amp; B1325)</f>
        <v/>
      </c>
      <c r="D1325" s="119">
        <f>C1325*1.2</f>
        <v/>
      </c>
      <c r="G1325" s="172">
        <f>IF(INDIRECT("'Закуп'!L" &amp; B1325)="Sale","Sale","")</f>
        <v/>
      </c>
      <c r="H1325" s="158">
        <f>IF(INDIRECT("'Закуп'!F" &amp; B1325)=0,"",INDIRECT("'Закуп'!F" &amp; B1325))</f>
        <v/>
      </c>
      <c r="I1325" s="120" t="n">
        <v>500</v>
      </c>
      <c r="J1325" s="121">
        <f>K1325/1.2</f>
        <v/>
      </c>
      <c r="K1325" s="70" t="n">
        <v>0.64</v>
      </c>
      <c r="L1325" s="122">
        <f>J1325-C1325-(J1325-C1325)*0.2</f>
        <v/>
      </c>
      <c r="M1325" s="123">
        <f>L1325*I1325</f>
        <v/>
      </c>
      <c r="N1325" s="124" t="inlineStr">
        <is>
          <t xml:space="preserve">500-990 шт - </t>
        </is>
      </c>
      <c r="O1325" s="47" t="inlineStr">
        <is>
          <t xml:space="preserve"> руб / шт с НДС</t>
        </is>
      </c>
      <c r="P1325" s="125">
        <f>ROUND(K1325,2)</f>
        <v/>
      </c>
      <c r="Q1325" s="207">
        <f>CONCATENATE(N1325,P1325,O1325,)</f>
        <v/>
      </c>
      <c r="R1325" s="240" t="n"/>
      <c r="T1325" s="241" t="n"/>
      <c r="U1325" s="240" t="n"/>
      <c r="V1325" s="241" t="n"/>
      <c r="Z1325" s="240" t="n"/>
      <c r="AB1325" s="241" t="n"/>
      <c r="AC1325" s="240" t="n"/>
      <c r="AD1325" s="241" t="n"/>
    </row>
    <row r="1326">
      <c r="B1326" s="42" t="n">
        <v>266</v>
      </c>
      <c r="C1326" s="118">
        <f>INDIRECT("'Закуп'!A" &amp; B1326)</f>
        <v/>
      </c>
      <c r="D1326" s="119">
        <f>C1326*1.2</f>
        <v/>
      </c>
      <c r="G1326" s="172">
        <f>IF(INDIRECT("'Закуп'!L" &amp; B1326)="Sale","Sale","")</f>
        <v/>
      </c>
      <c r="H1326" s="158">
        <f>IF(INDIRECT("'Закуп'!F" &amp; B1326)=0,"",INDIRECT("'Закуп'!F" &amp; B1326))</f>
        <v/>
      </c>
      <c r="I1326" s="120" t="n">
        <v>1000</v>
      </c>
      <c r="J1326" s="121">
        <f>K1326/1.2</f>
        <v/>
      </c>
      <c r="K1326" s="70" t="n">
        <v>0.54</v>
      </c>
      <c r="L1326" s="122">
        <f>J1326-C1326-(J1326-C1326)*0.2</f>
        <v/>
      </c>
      <c r="M1326" s="123">
        <f>L1326*I1326</f>
        <v/>
      </c>
      <c r="N1326" s="124" t="inlineStr">
        <is>
          <t xml:space="preserve">1000 + шт - </t>
        </is>
      </c>
      <c r="O1326" s="47" t="inlineStr">
        <is>
          <t xml:space="preserve"> руб / шт с НДС</t>
        </is>
      </c>
      <c r="P1326" s="125">
        <f>ROUND(K1326,2)</f>
        <v/>
      </c>
      <c r="Q1326" s="207">
        <f>CONCATENATE(N1326,P1326,O1326,)</f>
        <v/>
      </c>
      <c r="R1326" s="240" t="n"/>
      <c r="T1326" s="241" t="n"/>
      <c r="U1326" s="240" t="n"/>
      <c r="V1326" s="241" t="n"/>
      <c r="Z1326" s="240" t="n"/>
      <c r="AB1326" s="241" t="n"/>
      <c r="AC1326" s="240" t="n"/>
      <c r="AD1326" s="241" t="n"/>
    </row>
    <row r="1327">
      <c r="A1327" s="232" t="n">
        <v>267</v>
      </c>
      <c r="B1327" s="42" t="n">
        <v>267</v>
      </c>
      <c r="C1327" s="118">
        <f>INDIRECT("'Закуп'!A" &amp; B1327)</f>
        <v/>
      </c>
      <c r="D1327" s="119">
        <f>C1327*1.2</f>
        <v/>
      </c>
      <c r="E1327" s="225">
        <f>INDIRECT("'Закуп'!D" &amp; A1327)</f>
        <v/>
      </c>
      <c r="F1327" s="231">
        <f>INDIRECT("'Закуп'!E" &amp; B1327)</f>
        <v/>
      </c>
      <c r="G1327" s="172">
        <f>IF(INDIRECT("'Закуп'!L" &amp; B1327)="Sale","Sale","")</f>
        <v/>
      </c>
      <c r="H1327" s="158">
        <f>IF(INDIRECT("'Закуп'!F" &amp; B1327)=0,"",INDIRECT("'Закуп'!F" &amp; B1327))</f>
        <v/>
      </c>
      <c r="I1327" s="120" t="n">
        <v>50</v>
      </c>
      <c r="J1327" s="121">
        <f>K1327/1.2</f>
        <v/>
      </c>
      <c r="K1327" s="242" t="n">
        <v>2.51</v>
      </c>
      <c r="L1327" s="122">
        <f>J1327-C1327-(J1327-C1327)*0.2</f>
        <v/>
      </c>
      <c r="M1327" s="123">
        <f>L1327*I1327</f>
        <v/>
      </c>
      <c r="N1327" s="124" t="inlineStr">
        <is>
          <t xml:space="preserve">50-90 шт - </t>
        </is>
      </c>
      <c r="O1327" s="47" t="inlineStr">
        <is>
          <t xml:space="preserve"> руб / шт с НДС</t>
        </is>
      </c>
      <c r="P1327" s="125">
        <f>ROUND(K1327,2)</f>
        <v/>
      </c>
      <c r="Q1327" s="207">
        <f>CONCATENATE(N1327,P1327,O1327,)</f>
        <v/>
      </c>
      <c r="R1327" s="235">
        <f>INDIRECT("'Закуп'!k" &amp; A1327)</f>
        <v/>
      </c>
      <c r="S1327" s="239">
        <f>INDIRECT("'Закуп'!o" &amp; A1327)</f>
        <v/>
      </c>
      <c r="T1327" s="226">
        <f>INDIRECT("'Закуп'!p" &amp; A1327)</f>
        <v/>
      </c>
      <c r="U1327" s="235">
        <f>INDIRECT("'Закуп'!v" &amp; A1327)</f>
        <v/>
      </c>
      <c r="V1327" s="222">
        <f>INDIRECT("'Закуп'!w" &amp; A1327)</f>
        <v/>
      </c>
      <c r="W1327" s="229">
        <f>INDIRECT("'Закуп'!H" &amp; A1327)</f>
        <v/>
      </c>
      <c r="X1327" s="237">
        <f>INDIRECT("'Закуп'!g" &amp; A1327)</f>
        <v/>
      </c>
      <c r="Y1327" s="229">
        <f>INDIRECT("'Закуп'!i" &amp; A1327)</f>
        <v/>
      </c>
      <c r="Z1327" s="236">
        <f>INDIRECT("'Закуп'!x" &amp; A1327)</f>
        <v/>
      </c>
      <c r="AA1327" s="237">
        <f>INDIRECT("'Закуп'!y" &amp; A1327)</f>
        <v/>
      </c>
      <c r="AB1327" s="238">
        <f>INDIRECT("'Закуп'!z" &amp; A1327)</f>
        <v/>
      </c>
      <c r="AC1327" s="223">
        <f>SUBSTITUTE(INDEX(F:F, ROUNDUP((ROW(A1326))/5,0)*5 - 3), "х", "x")</f>
        <v/>
      </c>
      <c r="AD1327" s="222">
        <f>SUBSTITUTE(INDEX(F:F, ROUNDUP((ROW(A1326))/5,0)*5 - 3), "х", "x") &amp; " - " &amp; SUBSTITUTE(SUBSTITUTE(INDEX(F:F, ROUNDUP((ROW(A1326))/5,0)*5 - 3), "х", "*"), "x", "*") &amp; " мм"</f>
        <v/>
      </c>
      <c r="AE1327" t="n">
        <v>2.46</v>
      </c>
    </row>
    <row r="1328">
      <c r="B1328" s="42" t="n">
        <v>267</v>
      </c>
      <c r="C1328" s="118">
        <f>INDIRECT("'Закуп'!A" &amp; B1328)</f>
        <v/>
      </c>
      <c r="D1328" s="119">
        <f>C1328*1.2</f>
        <v/>
      </c>
      <c r="G1328" s="172">
        <f>IF(INDIRECT("'Закуп'!L" &amp; B1328)="Sale","Sale","")</f>
        <v/>
      </c>
      <c r="H1328" s="158">
        <f>IF(INDIRECT("'Закуп'!F" &amp; B1328)=0,"",INDIRECT("'Закуп'!F" &amp; B1328))</f>
        <v/>
      </c>
      <c r="I1328" s="120" t="n">
        <v>100</v>
      </c>
      <c r="J1328" s="121">
        <f>K1328/1.2</f>
        <v/>
      </c>
      <c r="K1328" s="242" t="n">
        <v>2.13</v>
      </c>
      <c r="L1328" s="122">
        <f>J1328-C1328-(J1328-C1328)*0.2</f>
        <v/>
      </c>
      <c r="M1328" s="123">
        <f>L1328*I1328</f>
        <v/>
      </c>
      <c r="N1328" s="124" t="inlineStr">
        <is>
          <t xml:space="preserve">100-290 шт - </t>
        </is>
      </c>
      <c r="O1328" s="47" t="inlineStr">
        <is>
          <t xml:space="preserve"> руб / шт с НДС</t>
        </is>
      </c>
      <c r="P1328" s="125">
        <f>ROUND(K1328,2)</f>
        <v/>
      </c>
      <c r="Q1328" s="207">
        <f>CONCATENATE(N1328,P1328,O1328,)</f>
        <v/>
      </c>
      <c r="R1328" s="240" t="n"/>
      <c r="T1328" s="241" t="n"/>
      <c r="U1328" s="240" t="n"/>
      <c r="V1328" s="241" t="n"/>
      <c r="Z1328" s="240" t="n"/>
      <c r="AB1328" s="241" t="n"/>
      <c r="AC1328" s="240" t="n"/>
      <c r="AD1328" s="241" t="n"/>
      <c r="AE1328" t="n">
        <v>2.25</v>
      </c>
    </row>
    <row r="1329">
      <c r="B1329" s="42" t="n">
        <v>267</v>
      </c>
      <c r="C1329" s="118">
        <f>INDIRECT("'Закуп'!A" &amp; B1329)</f>
        <v/>
      </c>
      <c r="D1329" s="119">
        <f>C1329*1.2</f>
        <v/>
      </c>
      <c r="G1329" s="172">
        <f>IF(INDIRECT("'Закуп'!L" &amp; B1329)="Sale","Sale","")</f>
        <v/>
      </c>
      <c r="H1329" s="158">
        <f>IF(INDIRECT("'Закуп'!F" &amp; B1329)=0,"",INDIRECT("'Закуп'!F" &amp; B1329))</f>
        <v/>
      </c>
      <c r="I1329" s="120" t="n">
        <v>300</v>
      </c>
      <c r="J1329" s="121">
        <f>K1329/1.2</f>
        <v/>
      </c>
      <c r="K1329" s="242" t="n">
        <v>2.01</v>
      </c>
      <c r="L1329" s="122">
        <f>J1329-C1329-(J1329-C1329)*0.2</f>
        <v/>
      </c>
      <c r="M1329" s="123">
        <f>L1329*I1329</f>
        <v/>
      </c>
      <c r="N1329" s="124" t="inlineStr">
        <is>
          <t xml:space="preserve">300-490 шт - </t>
        </is>
      </c>
      <c r="O1329" s="47" t="inlineStr">
        <is>
          <t xml:space="preserve"> руб / шт с НДС</t>
        </is>
      </c>
      <c r="P1329" s="125">
        <f>ROUND(K1329,2)</f>
        <v/>
      </c>
      <c r="Q1329" s="207">
        <f>CONCATENATE(N1329,P1329,O1329,)</f>
        <v/>
      </c>
      <c r="R1329" s="240" t="n"/>
      <c r="T1329" s="241" t="n"/>
      <c r="U1329" s="240" t="n"/>
      <c r="V1329" s="241" t="n"/>
      <c r="Z1329" s="240" t="n"/>
      <c r="AB1329" s="241" t="n"/>
      <c r="AC1329" s="240" t="n"/>
      <c r="AD1329" s="241" t="n"/>
      <c r="AE1329" t="n">
        <v>2.09</v>
      </c>
    </row>
    <row r="1330">
      <c r="B1330" s="42" t="n">
        <v>267</v>
      </c>
      <c r="C1330" s="118">
        <f>INDIRECT("'Закуп'!A" &amp; B1330)</f>
        <v/>
      </c>
      <c r="D1330" s="119">
        <f>C1330*1.2</f>
        <v/>
      </c>
      <c r="G1330" s="172">
        <f>IF(INDIRECT("'Закуп'!L" &amp; B1330)="Sale","Sale","")</f>
        <v/>
      </c>
      <c r="H1330" s="158">
        <f>IF(INDIRECT("'Закуп'!F" &amp; B1330)=0,"",INDIRECT("'Закуп'!F" &amp; B1330))</f>
        <v/>
      </c>
      <c r="I1330" s="120" t="n">
        <v>500</v>
      </c>
      <c r="J1330" s="121">
        <f>K1330/1.2</f>
        <v/>
      </c>
      <c r="K1330" s="242" t="n">
        <v>1.9</v>
      </c>
      <c r="L1330" s="122">
        <f>J1330-C1330-(J1330-C1330)*0.2</f>
        <v/>
      </c>
      <c r="M1330" s="123">
        <f>L1330*I1330</f>
        <v/>
      </c>
      <c r="N1330" s="124" t="inlineStr">
        <is>
          <t xml:space="preserve">500-990 шт - </t>
        </is>
      </c>
      <c r="O1330" s="47" t="inlineStr">
        <is>
          <t xml:space="preserve"> руб / шт с НДС</t>
        </is>
      </c>
      <c r="P1330" s="125">
        <f>ROUND(K1330,2)</f>
        <v/>
      </c>
      <c r="Q1330" s="207">
        <f>CONCATENATE(N1330,P1330,O1330,)</f>
        <v/>
      </c>
      <c r="R1330" s="240" t="n"/>
      <c r="T1330" s="241" t="n"/>
      <c r="U1330" s="240" t="n"/>
      <c r="V1330" s="241" t="n"/>
      <c r="Z1330" s="240" t="n"/>
      <c r="AB1330" s="241" t="n"/>
      <c r="AC1330" s="240" t="n"/>
      <c r="AD1330" s="241" t="n"/>
      <c r="AE1330" t="n">
        <v>1.98</v>
      </c>
    </row>
    <row r="1331">
      <c r="B1331" s="42" t="n">
        <v>267</v>
      </c>
      <c r="C1331" s="118">
        <f>INDIRECT("'Закуп'!A" &amp; B1331)</f>
        <v/>
      </c>
      <c r="D1331" s="119">
        <f>C1331*1.2</f>
        <v/>
      </c>
      <c r="G1331" s="172">
        <f>IF(INDIRECT("'Закуп'!L" &amp; B1331)="Sale","Sale","")</f>
        <v/>
      </c>
      <c r="H1331" s="158">
        <f>IF(INDIRECT("'Закуп'!F" &amp; B1331)=0,"",INDIRECT("'Закуп'!F" &amp; B1331))</f>
        <v/>
      </c>
      <c r="I1331" s="120" t="n">
        <v>1000</v>
      </c>
      <c r="J1331" s="121">
        <f>K1331/1.2</f>
        <v/>
      </c>
      <c r="K1331" s="242" t="n">
        <v>1.84</v>
      </c>
      <c r="L1331" s="122">
        <f>J1331-C1331-(J1331-C1331)*0.2</f>
        <v/>
      </c>
      <c r="M1331" s="123">
        <f>L1331*I1331</f>
        <v/>
      </c>
      <c r="N1331" s="124" t="inlineStr">
        <is>
          <t xml:space="preserve">1000 + шт - </t>
        </is>
      </c>
      <c r="O1331" s="47" t="inlineStr">
        <is>
          <t xml:space="preserve"> руб / шт с НДС</t>
        </is>
      </c>
      <c r="P1331" s="125">
        <f>ROUND(K1331,2)</f>
        <v/>
      </c>
      <c r="Q1331" s="207">
        <f>CONCATENATE(N1331,P1331,O1331,)</f>
        <v/>
      </c>
      <c r="R1331" s="240" t="n"/>
      <c r="T1331" s="241" t="n"/>
      <c r="U1331" s="240" t="n"/>
      <c r="V1331" s="241" t="n"/>
      <c r="Z1331" s="240" t="n"/>
      <c r="AB1331" s="241" t="n"/>
      <c r="AC1331" s="240" t="n"/>
      <c r="AD1331" s="241" t="n"/>
      <c r="AE1331" t="n">
        <v>1.82</v>
      </c>
    </row>
    <row r="1332">
      <c r="A1332" s="232" t="n">
        <v>268</v>
      </c>
      <c r="B1332" s="42" t="n">
        <v>268</v>
      </c>
      <c r="C1332" s="118">
        <f>INDIRECT("'Закуп'!A" &amp; B1332)</f>
        <v/>
      </c>
      <c r="D1332" s="119">
        <f>C1332*1.2</f>
        <v/>
      </c>
      <c r="E1332" s="225">
        <f>INDIRECT("'Закуп'!D" &amp; A1332)</f>
        <v/>
      </c>
      <c r="F1332" s="231">
        <f>INDIRECT("'Закуп'!E" &amp; B1332)</f>
        <v/>
      </c>
      <c r="G1332" s="172">
        <f>IF(INDIRECT("'Закуп'!L" &amp; B1332)="Sale","Sale","")</f>
        <v/>
      </c>
      <c r="H1332" s="158">
        <f>IF(INDIRECT("'Закуп'!F" &amp; B1332)=0,"",INDIRECT("'Закуп'!F" &amp; B1332))</f>
        <v/>
      </c>
      <c r="I1332" s="120" t="n">
        <v>50</v>
      </c>
      <c r="J1332" s="121">
        <f>K1332/1.2</f>
        <v/>
      </c>
      <c r="K1332" s="242" t="n">
        <v>1.28</v>
      </c>
      <c r="L1332" s="122">
        <f>J1332-C1332-(J1332-C1332)*0.2</f>
        <v/>
      </c>
      <c r="M1332" s="123">
        <f>L1332*I1332</f>
        <v/>
      </c>
      <c r="N1332" s="124" t="inlineStr">
        <is>
          <t xml:space="preserve">50-90 шт - </t>
        </is>
      </c>
      <c r="O1332" s="47" t="inlineStr">
        <is>
          <t xml:space="preserve"> руб / шт с НДС</t>
        </is>
      </c>
      <c r="P1332" s="125">
        <f>ROUND(K1332,2)</f>
        <v/>
      </c>
      <c r="Q1332" s="207">
        <f>CONCATENATE(N1332,P1332,O1332,)</f>
        <v/>
      </c>
      <c r="R1332" s="235">
        <f>INDIRECT("'Закуп'!k" &amp; A1332)</f>
        <v/>
      </c>
      <c r="S1332" s="239">
        <f>INDIRECT("'Закуп'!o" &amp; A1332)</f>
        <v/>
      </c>
      <c r="T1332" s="226">
        <f>INDIRECT("'Закуп'!p" &amp; A1332)</f>
        <v/>
      </c>
      <c r="U1332" s="235">
        <f>INDIRECT("'Закуп'!v" &amp; A1332)</f>
        <v/>
      </c>
      <c r="V1332" s="222">
        <f>INDIRECT("'Закуп'!w" &amp; A1332)</f>
        <v/>
      </c>
      <c r="W1332" s="229">
        <f>INDIRECT("'Закуп'!H" &amp; A1332)</f>
        <v/>
      </c>
      <c r="X1332" s="237">
        <f>INDIRECT("'Закуп'!g" &amp; A1332)</f>
        <v/>
      </c>
      <c r="Y1332" s="229">
        <f>INDIRECT("'Закуп'!i" &amp; A1332)</f>
        <v/>
      </c>
      <c r="Z1332" s="236">
        <f>INDIRECT("'Закуп'!x" &amp; A1332)</f>
        <v/>
      </c>
      <c r="AA1332" s="237">
        <f>INDIRECT("'Закуп'!y" &amp; A1332)</f>
        <v/>
      </c>
      <c r="AB1332" s="238">
        <f>INDIRECT("'Закуп'!z" &amp; A1332)</f>
        <v/>
      </c>
      <c r="AC1332" s="223">
        <f>SUBSTITUTE(INDEX(F:F, ROUNDUP((ROW(A1331))/5,0)*5 - 3), "х", "x")</f>
        <v/>
      </c>
      <c r="AD1332" s="222">
        <f>SUBSTITUTE(INDEX(F:F, ROUNDUP((ROW(A1331))/5,0)*5 - 3), "х", "x") &amp; " - " &amp; SUBSTITUTE(SUBSTITUTE(INDEX(F:F, ROUNDUP((ROW(A1331))/5,0)*5 - 3), "х", "*"), "x", "*") &amp; " мм"</f>
        <v/>
      </c>
      <c r="AE1332" t="n">
        <v>1.61</v>
      </c>
    </row>
    <row r="1333">
      <c r="B1333" s="42" t="n">
        <v>268</v>
      </c>
      <c r="C1333" s="118">
        <f>INDIRECT("'Закуп'!A" &amp; B1333)</f>
        <v/>
      </c>
      <c r="D1333" s="119">
        <f>C1333*1.2</f>
        <v/>
      </c>
      <c r="G1333" s="172">
        <f>IF(INDIRECT("'Закуп'!L" &amp; B1333)="Sale","Sale","")</f>
        <v/>
      </c>
      <c r="H1333" s="158">
        <f>IF(INDIRECT("'Закуп'!F" &amp; B1333)=0,"",INDIRECT("'Закуп'!F" &amp; B1333))</f>
        <v/>
      </c>
      <c r="I1333" s="120" t="n">
        <v>100</v>
      </c>
      <c r="J1333" s="121">
        <f>K1333/1.2</f>
        <v/>
      </c>
      <c r="K1333" s="242" t="n">
        <v>1.13</v>
      </c>
      <c r="L1333" s="122">
        <f>J1333-C1333-(J1333-C1333)*0.2</f>
        <v/>
      </c>
      <c r="M1333" s="123">
        <f>L1333*I1333</f>
        <v/>
      </c>
      <c r="N1333" s="124" t="inlineStr">
        <is>
          <t xml:space="preserve">100-290 шт - </t>
        </is>
      </c>
      <c r="O1333" s="47" t="inlineStr">
        <is>
          <t xml:space="preserve"> руб / шт с НДС</t>
        </is>
      </c>
      <c r="P1333" s="125">
        <f>ROUND(K1333,2)</f>
        <v/>
      </c>
      <c r="Q1333" s="207">
        <f>CONCATENATE(N1333,P1333,O1333,)</f>
        <v/>
      </c>
      <c r="R1333" s="240" t="n"/>
      <c r="T1333" s="241" t="n"/>
      <c r="U1333" s="240" t="n"/>
      <c r="V1333" s="241" t="n"/>
      <c r="Z1333" s="240" t="n"/>
      <c r="AB1333" s="241" t="n"/>
      <c r="AC1333" s="240" t="n"/>
      <c r="AD1333" s="241" t="n"/>
      <c r="AE1333" t="n">
        <v>1.44</v>
      </c>
    </row>
    <row r="1334">
      <c r="B1334" s="42" t="n">
        <v>268</v>
      </c>
      <c r="C1334" s="118">
        <f>INDIRECT("'Закуп'!A" &amp; B1334)</f>
        <v/>
      </c>
      <c r="D1334" s="119">
        <f>C1334*1.2</f>
        <v/>
      </c>
      <c r="G1334" s="172">
        <f>IF(INDIRECT("'Закуп'!L" &amp; B1334)="Sale","Sale","")</f>
        <v/>
      </c>
      <c r="H1334" s="158">
        <f>IF(INDIRECT("'Закуп'!F" &amp; B1334)=0,"",INDIRECT("'Закуп'!F" &amp; B1334))</f>
        <v/>
      </c>
      <c r="I1334" s="120" t="n">
        <v>300</v>
      </c>
      <c r="J1334" s="121">
        <f>K1334/1.2</f>
        <v/>
      </c>
      <c r="K1334" s="242" t="n">
        <v>0.98</v>
      </c>
      <c r="L1334" s="122">
        <f>J1334-C1334-(J1334-C1334)*0.2</f>
        <v/>
      </c>
      <c r="M1334" s="123">
        <f>L1334*I1334</f>
        <v/>
      </c>
      <c r="N1334" s="124" t="inlineStr">
        <is>
          <t xml:space="preserve">300-490 шт - </t>
        </is>
      </c>
      <c r="O1334" s="47" t="inlineStr">
        <is>
          <t xml:space="preserve"> руб / шт с НДС</t>
        </is>
      </c>
      <c r="P1334" s="125">
        <f>ROUND(K1334,2)</f>
        <v/>
      </c>
      <c r="Q1334" s="207">
        <f>CONCATENATE(N1334,P1334,O1334,)</f>
        <v/>
      </c>
      <c r="R1334" s="240" t="n"/>
      <c r="T1334" s="241" t="n"/>
      <c r="U1334" s="240" t="n"/>
      <c r="V1334" s="241" t="n"/>
      <c r="Z1334" s="240" t="n"/>
      <c r="AB1334" s="241" t="n"/>
      <c r="AC1334" s="240" t="n"/>
      <c r="AD1334" s="241" t="n"/>
      <c r="AE1334" t="n">
        <v>1.28</v>
      </c>
    </row>
    <row r="1335">
      <c r="B1335" s="42" t="n">
        <v>268</v>
      </c>
      <c r="C1335" s="118">
        <f>INDIRECT("'Закуп'!A" &amp; B1335)</f>
        <v/>
      </c>
      <c r="D1335" s="119">
        <f>C1335*1.2</f>
        <v/>
      </c>
      <c r="G1335" s="172">
        <f>IF(INDIRECT("'Закуп'!L" &amp; B1335)="Sale","Sale","")</f>
        <v/>
      </c>
      <c r="H1335" s="158">
        <f>IF(INDIRECT("'Закуп'!F" &amp; B1335)=0,"",INDIRECT("'Закуп'!F" &amp; B1335))</f>
        <v/>
      </c>
      <c r="I1335" s="120" t="n">
        <v>500</v>
      </c>
      <c r="J1335" s="121">
        <f>K1335/1.2</f>
        <v/>
      </c>
      <c r="K1335" s="242" t="n">
        <v>0.9</v>
      </c>
      <c r="L1335" s="122">
        <f>J1335-C1335-(J1335-C1335)*0.2</f>
        <v/>
      </c>
      <c r="M1335" s="123">
        <f>L1335*I1335</f>
        <v/>
      </c>
      <c r="N1335" s="124" t="inlineStr">
        <is>
          <t xml:space="preserve">500-990 шт - </t>
        </is>
      </c>
      <c r="O1335" s="47" t="inlineStr">
        <is>
          <t xml:space="preserve"> руб / шт с НДС</t>
        </is>
      </c>
      <c r="P1335" s="125">
        <f>ROUND(K1335,2)</f>
        <v/>
      </c>
      <c r="Q1335" s="207">
        <f>CONCATENATE(N1335,P1335,O1335,)</f>
        <v/>
      </c>
      <c r="R1335" s="240" t="n"/>
      <c r="T1335" s="241" t="n"/>
      <c r="U1335" s="240" t="n"/>
      <c r="V1335" s="241" t="n"/>
      <c r="Z1335" s="240" t="n"/>
      <c r="AB1335" s="241" t="n"/>
      <c r="AC1335" s="240" t="n"/>
      <c r="AD1335" s="241" t="n"/>
      <c r="AE1335" t="n">
        <v>1.18</v>
      </c>
    </row>
    <row r="1336">
      <c r="B1336" s="42" t="n">
        <v>268</v>
      </c>
      <c r="C1336" s="118">
        <f>INDIRECT("'Закуп'!A" &amp; B1336)</f>
        <v/>
      </c>
      <c r="D1336" s="119">
        <f>C1336*1.2</f>
        <v/>
      </c>
      <c r="G1336" s="172">
        <f>IF(INDIRECT("'Закуп'!L" &amp; B1336)="Sale","Sale","")</f>
        <v/>
      </c>
      <c r="H1336" s="158">
        <f>IF(INDIRECT("'Закуп'!F" &amp; B1336)=0,"",INDIRECT("'Закуп'!F" &amp; B1336))</f>
        <v/>
      </c>
      <c r="I1336" s="120" t="n">
        <v>1000</v>
      </c>
      <c r="J1336" s="121">
        <f>K1336/1.2</f>
        <v/>
      </c>
      <c r="K1336" s="242" t="n">
        <v>0.75</v>
      </c>
      <c r="L1336" s="122">
        <f>J1336-C1336-(J1336-C1336)*0.2</f>
        <v/>
      </c>
      <c r="M1336" s="123">
        <f>L1336*I1336</f>
        <v/>
      </c>
      <c r="N1336" s="124" t="inlineStr">
        <is>
          <t xml:space="preserve">1000 + шт - </t>
        </is>
      </c>
      <c r="O1336" s="47" t="inlineStr">
        <is>
          <t xml:space="preserve"> руб / шт с НДС</t>
        </is>
      </c>
      <c r="P1336" s="125">
        <f>ROUND(K1336,2)</f>
        <v/>
      </c>
      <c r="Q1336" s="207">
        <f>CONCATENATE(N1336,P1336,O1336,)</f>
        <v/>
      </c>
      <c r="R1336" s="240" t="n"/>
      <c r="T1336" s="241" t="n"/>
      <c r="U1336" s="240" t="n"/>
      <c r="V1336" s="241" t="n"/>
      <c r="Z1336" s="240" t="n"/>
      <c r="AB1336" s="241" t="n"/>
      <c r="AC1336" s="240" t="n"/>
      <c r="AD1336" s="241" t="n"/>
      <c r="AE1336" t="n">
        <v>1.07</v>
      </c>
    </row>
    <row r="1337">
      <c r="A1337" s="232" t="n">
        <v>269</v>
      </c>
      <c r="B1337" s="42" t="n">
        <v>269</v>
      </c>
      <c r="C1337" s="118">
        <f>INDIRECT("'Закуп'!A" &amp; B1337)</f>
        <v/>
      </c>
      <c r="D1337" s="119">
        <f>C1337*1.2</f>
        <v/>
      </c>
      <c r="E1337" s="224">
        <f>INDIRECT("'Закуп'!D" &amp; A1337)</f>
        <v/>
      </c>
      <c r="F1337" s="231">
        <f>INDIRECT("'Закуп'!E" &amp; B1337)</f>
        <v/>
      </c>
      <c r="G1337" s="172">
        <f>IF(INDIRECT("'Закуп'!L" &amp; B1337)="Sale","Sale","")</f>
        <v/>
      </c>
      <c r="H1337" s="158">
        <f>IF(INDIRECT("'Закуп'!F" &amp; B1337)=0,"",INDIRECT("'Закуп'!F" &amp; B1337))</f>
        <v/>
      </c>
      <c r="I1337" s="120" t="n">
        <v>50</v>
      </c>
      <c r="J1337" s="121">
        <f>K1337/1.2</f>
        <v/>
      </c>
      <c r="K1337" s="70" t="n">
        <v>1.18</v>
      </c>
      <c r="L1337" s="122">
        <f>J1337-C1337-(J1337-C1337)*0.2</f>
        <v/>
      </c>
      <c r="M1337" s="123">
        <f>L1337*I1337</f>
        <v/>
      </c>
      <c r="N1337" s="124" t="inlineStr">
        <is>
          <t xml:space="preserve">50-90 шт - </t>
        </is>
      </c>
      <c r="O1337" s="47" t="inlineStr">
        <is>
          <t xml:space="preserve"> руб / шт с НДС</t>
        </is>
      </c>
      <c r="P1337" s="125">
        <f>ROUND(K1337,2)</f>
        <v/>
      </c>
      <c r="Q1337" s="207">
        <f>CONCATENATE(N1337,P1337,O1337,)</f>
        <v/>
      </c>
      <c r="R1337" s="235">
        <f>INDIRECT("'Закуп'!k" &amp; A1337)</f>
        <v/>
      </c>
      <c r="S1337" s="239">
        <f>INDIRECT("'Закуп'!o" &amp; A1337)</f>
        <v/>
      </c>
      <c r="T1337" s="226">
        <f>INDIRECT("'Закуп'!p" &amp; A1337)</f>
        <v/>
      </c>
      <c r="U1337" s="235">
        <f>INDIRECT("'Закуп'!v" &amp; A1337)</f>
        <v/>
      </c>
      <c r="V1337" s="222">
        <f>INDIRECT("'Закуп'!w" &amp; A1337)</f>
        <v/>
      </c>
      <c r="W1337" s="229">
        <f>INDIRECT("'Закуп'!H" &amp; A1337)</f>
        <v/>
      </c>
      <c r="X1337" s="237">
        <f>INDIRECT("'Закуп'!g" &amp; A1337)</f>
        <v/>
      </c>
      <c r="Y1337" s="229">
        <f>INDIRECT("'Закуп'!i" &amp; A1337)</f>
        <v/>
      </c>
      <c r="Z1337" s="236">
        <f>INDIRECT("'Закуп'!x" &amp; A1337)</f>
        <v/>
      </c>
      <c r="AA1337" s="237">
        <f>INDIRECT("'Закуп'!y" &amp; A1337)</f>
        <v/>
      </c>
      <c r="AB1337" s="238">
        <f>INDIRECT("'Закуп'!z" &amp; A1337)</f>
        <v/>
      </c>
      <c r="AC1337" s="223">
        <f>SUBSTITUTE(INDEX(F:F, ROUNDUP((ROW(A1336))/5,0)*5 - 3), "х", "x")</f>
        <v/>
      </c>
      <c r="AD1337" s="222">
        <f>SUBSTITUTE(INDEX(F:F, ROUNDUP((ROW(A1336))/5,0)*5 - 3), "х", "x") &amp; " - " &amp; SUBSTITUTE(SUBSTITUTE(INDEX(F:F, ROUNDUP((ROW(A1336))/5,0)*5 - 3), "х", "*"), "x", "*") &amp; " мм"</f>
        <v/>
      </c>
    </row>
    <row r="1338">
      <c r="B1338" s="42" t="n">
        <v>269</v>
      </c>
      <c r="C1338" s="118">
        <f>INDIRECT("'Закуп'!A" &amp; B1338)</f>
        <v/>
      </c>
      <c r="D1338" s="119">
        <f>C1338*1.2</f>
        <v/>
      </c>
      <c r="G1338" s="172">
        <f>IF(INDIRECT("'Закуп'!L" &amp; B1338)="Sale","Sale","")</f>
        <v/>
      </c>
      <c r="H1338" s="158">
        <f>IF(INDIRECT("'Закуп'!F" &amp; B1338)=0,"",INDIRECT("'Закуп'!F" &amp; B1338))</f>
        <v/>
      </c>
      <c r="I1338" s="120" t="n">
        <v>100</v>
      </c>
      <c r="J1338" s="121">
        <f>K1338/1.2</f>
        <v/>
      </c>
      <c r="K1338" s="70" t="n">
        <v>1.01</v>
      </c>
      <c r="L1338" s="122">
        <f>J1338-C1338-(J1338-C1338)*0.2</f>
        <v/>
      </c>
      <c r="M1338" s="123">
        <f>L1338*I1338</f>
        <v/>
      </c>
      <c r="N1338" s="124" t="inlineStr">
        <is>
          <t xml:space="preserve">100-290 шт - </t>
        </is>
      </c>
      <c r="O1338" s="47" t="inlineStr">
        <is>
          <t xml:space="preserve"> руб / шт с НДС</t>
        </is>
      </c>
      <c r="P1338" s="125">
        <f>ROUND(K1338,2)</f>
        <v/>
      </c>
      <c r="Q1338" s="207">
        <f>CONCATENATE(N1338,P1338,O1338,)</f>
        <v/>
      </c>
      <c r="R1338" s="240" t="n"/>
      <c r="T1338" s="241" t="n"/>
      <c r="U1338" s="240" t="n"/>
      <c r="V1338" s="241" t="n"/>
      <c r="Z1338" s="240" t="n"/>
      <c r="AB1338" s="241" t="n"/>
      <c r="AC1338" s="240" t="n"/>
      <c r="AD1338" s="241" t="n"/>
    </row>
    <row r="1339">
      <c r="B1339" s="42" t="n">
        <v>269</v>
      </c>
      <c r="C1339" s="118">
        <f>INDIRECT("'Закуп'!A" &amp; B1339)</f>
        <v/>
      </c>
      <c r="D1339" s="119">
        <f>C1339*1.2</f>
        <v/>
      </c>
      <c r="G1339" s="172">
        <f>IF(INDIRECT("'Закуп'!L" &amp; B1339)="Sale","Sale","")</f>
        <v/>
      </c>
      <c r="H1339" s="158">
        <f>IF(INDIRECT("'Закуп'!F" &amp; B1339)=0,"",INDIRECT("'Закуп'!F" &amp; B1339))</f>
        <v/>
      </c>
      <c r="I1339" s="120" t="n">
        <v>300</v>
      </c>
      <c r="J1339" s="121">
        <f>K1339/1.2</f>
        <v/>
      </c>
      <c r="K1339" s="70" t="n">
        <v>0.8</v>
      </c>
      <c r="L1339" s="122">
        <f>J1339-C1339-(J1339-C1339)*0.2</f>
        <v/>
      </c>
      <c r="M1339" s="123">
        <f>L1339*I1339</f>
        <v/>
      </c>
      <c r="N1339" s="124" t="inlineStr">
        <is>
          <t xml:space="preserve">300-490 шт - </t>
        </is>
      </c>
      <c r="O1339" s="47" t="inlineStr">
        <is>
          <t xml:space="preserve"> руб / шт с НДС</t>
        </is>
      </c>
      <c r="P1339" s="125">
        <f>ROUND(K1339,2)</f>
        <v/>
      </c>
      <c r="Q1339" s="207">
        <f>CONCATENATE(N1339,P1339,O1339,)</f>
        <v/>
      </c>
      <c r="R1339" s="240" t="n"/>
      <c r="T1339" s="241" t="n"/>
      <c r="U1339" s="240" t="n"/>
      <c r="V1339" s="241" t="n"/>
      <c r="Z1339" s="240" t="n"/>
      <c r="AB1339" s="241" t="n"/>
      <c r="AC1339" s="240" t="n"/>
      <c r="AD1339" s="241" t="n"/>
    </row>
    <row r="1340">
      <c r="B1340" s="42" t="n">
        <v>269</v>
      </c>
      <c r="C1340" s="118">
        <f>INDIRECT("'Закуп'!A" &amp; B1340)</f>
        <v/>
      </c>
      <c r="D1340" s="119">
        <f>C1340*1.2</f>
        <v/>
      </c>
      <c r="G1340" s="172">
        <f>IF(INDIRECT("'Закуп'!L" &amp; B1340)="Sale","Sale","")</f>
        <v/>
      </c>
      <c r="H1340" s="158">
        <f>IF(INDIRECT("'Закуп'!F" &amp; B1340)=0,"",INDIRECT("'Закуп'!F" &amp; B1340))</f>
        <v/>
      </c>
      <c r="I1340" s="120" t="n">
        <v>500</v>
      </c>
      <c r="J1340" s="121">
        <f>K1340/1.2</f>
        <v/>
      </c>
      <c r="K1340" s="70" t="n">
        <v>0.72</v>
      </c>
      <c r="L1340" s="122">
        <f>J1340-C1340-(J1340-C1340)*0.2</f>
        <v/>
      </c>
      <c r="M1340" s="123">
        <f>L1340*I1340</f>
        <v/>
      </c>
      <c r="N1340" s="124" t="inlineStr">
        <is>
          <t xml:space="preserve">500-990 шт - </t>
        </is>
      </c>
      <c r="O1340" s="47" t="inlineStr">
        <is>
          <t xml:space="preserve"> руб / шт с НДС</t>
        </is>
      </c>
      <c r="P1340" s="125">
        <f>ROUND(K1340,2)</f>
        <v/>
      </c>
      <c r="Q1340" s="207">
        <f>CONCATENATE(N1340,P1340,O1340,)</f>
        <v/>
      </c>
      <c r="R1340" s="240" t="n"/>
      <c r="T1340" s="241" t="n"/>
      <c r="U1340" s="240" t="n"/>
      <c r="V1340" s="241" t="n"/>
      <c r="Z1340" s="240" t="n"/>
      <c r="AB1340" s="241" t="n"/>
      <c r="AC1340" s="240" t="n"/>
      <c r="AD1340" s="241" t="n"/>
    </row>
    <row r="1341">
      <c r="B1341" s="42" t="n">
        <v>269</v>
      </c>
      <c r="C1341" s="118">
        <f>INDIRECT("'Закуп'!A" &amp; B1341)</f>
        <v/>
      </c>
      <c r="D1341" s="119">
        <f>C1341*1.2</f>
        <v/>
      </c>
      <c r="G1341" s="172">
        <f>IF(INDIRECT("'Закуп'!L" &amp; B1341)="Sale","Sale","")</f>
        <v/>
      </c>
      <c r="H1341" s="158">
        <f>IF(INDIRECT("'Закуп'!F" &amp; B1341)=0,"",INDIRECT("'Закуп'!F" &amp; B1341))</f>
        <v/>
      </c>
      <c r="I1341" s="120" t="n">
        <v>1000</v>
      </c>
      <c r="J1341" s="121">
        <f>K1341/1.2</f>
        <v/>
      </c>
      <c r="K1341" s="70" t="n">
        <v>0.64</v>
      </c>
      <c r="L1341" s="122">
        <f>J1341-C1341-(J1341-C1341)*0.2</f>
        <v/>
      </c>
      <c r="M1341" s="123">
        <f>L1341*I1341</f>
        <v/>
      </c>
      <c r="N1341" s="124" t="inlineStr">
        <is>
          <t xml:space="preserve">1000 + шт - </t>
        </is>
      </c>
      <c r="O1341" s="47" t="inlineStr">
        <is>
          <t xml:space="preserve"> руб / шт с НДС</t>
        </is>
      </c>
      <c r="P1341" s="125">
        <f>ROUND(K1341,2)</f>
        <v/>
      </c>
      <c r="Q1341" s="207">
        <f>CONCATENATE(N1341,P1341,O1341,)</f>
        <v/>
      </c>
      <c r="R1341" s="240" t="n"/>
      <c r="T1341" s="241" t="n"/>
      <c r="U1341" s="240" t="n"/>
      <c r="V1341" s="241" t="n"/>
      <c r="Z1341" s="240" t="n"/>
      <c r="AB1341" s="241" t="n"/>
      <c r="AC1341" s="240" t="n"/>
      <c r="AD1341" s="241" t="n"/>
    </row>
    <row r="1342" ht="85.75" customHeight="1" s="55">
      <c r="A1342" s="232" t="n">
        <v>270</v>
      </c>
      <c r="B1342" s="42" t="n">
        <v>270</v>
      </c>
      <c r="C1342" s="118">
        <f>INDIRECT("'Закуп'!A" &amp; B1342)</f>
        <v/>
      </c>
      <c r="D1342" s="119">
        <f>C1342*1.2</f>
        <v/>
      </c>
      <c r="E1342" s="224">
        <f>INDIRECT("'Закуп'!D" &amp; A1342)</f>
        <v/>
      </c>
      <c r="F1342" s="231">
        <f>INDIRECT("'Закуп'!E" &amp; B1342)</f>
        <v/>
      </c>
      <c r="G1342" s="172">
        <f>IF(INDIRECT("'Закуп'!L" &amp; B1342)="Sale","Sale","")</f>
        <v/>
      </c>
      <c r="H1342" s="158">
        <f>IF(INDIRECT("'Закуп'!F" &amp; B1342)=0,"",INDIRECT("'Закуп'!F" &amp; B1342))</f>
        <v/>
      </c>
      <c r="I1342" s="120" t="n">
        <v>50</v>
      </c>
      <c r="J1342" s="121">
        <f>K1342/1.2</f>
        <v/>
      </c>
      <c r="K1342" s="70" t="n">
        <v>1.18</v>
      </c>
      <c r="L1342" s="122">
        <f>J1342-C1342-(J1342-C1342)*0.2</f>
        <v/>
      </c>
      <c r="M1342" s="123">
        <f>L1342*I1342</f>
        <v/>
      </c>
      <c r="N1342" s="124" t="inlineStr">
        <is>
          <t xml:space="preserve">50-90 шт - </t>
        </is>
      </c>
      <c r="O1342" s="47" t="inlineStr">
        <is>
          <t xml:space="preserve"> руб / шт с НДС</t>
        </is>
      </c>
      <c r="P1342" s="125">
        <f>ROUND(K1342,2)</f>
        <v/>
      </c>
      <c r="Q1342" s="207">
        <f>CONCATENATE(N1342,P1342,O1342,)</f>
        <v/>
      </c>
      <c r="R1342" s="235">
        <f>INDIRECT("'Закуп'!k" &amp; A1342)</f>
        <v/>
      </c>
      <c r="S1342" s="239">
        <f>INDIRECT("'Закуп'!o" &amp; A1342)</f>
        <v/>
      </c>
      <c r="T1342" s="226">
        <f>INDIRECT("'Закуп'!p" &amp; A1342)</f>
        <v/>
      </c>
      <c r="U1342" s="235">
        <f>INDIRECT("'Закуп'!v" &amp; A1342)</f>
        <v/>
      </c>
      <c r="V1342" s="222">
        <f>INDIRECT("'Закуп'!w" &amp; A1342)</f>
        <v/>
      </c>
      <c r="W1342" s="229">
        <f>INDIRECT("'Закуп'!H" &amp; A1342)</f>
        <v/>
      </c>
      <c r="X1342" s="237">
        <f>INDIRECT("'Закуп'!g" &amp; A1342)</f>
        <v/>
      </c>
      <c r="Y1342" s="229">
        <f>INDIRECT("'Закуп'!i" &amp; A1342)</f>
        <v/>
      </c>
      <c r="Z1342" s="236">
        <f>INDIRECT("'Закуп'!x" &amp; A1342)</f>
        <v/>
      </c>
      <c r="AA1342" s="237">
        <f>INDIRECT("'Закуп'!y" &amp; A1342)</f>
        <v/>
      </c>
      <c r="AB1342" s="238">
        <f>INDIRECT("'Закуп'!z" &amp; A1342)</f>
        <v/>
      </c>
      <c r="AC1342" s="223">
        <f>SUBSTITUTE(INDEX(F:F, ROUNDUP((ROW(A1341))/5,0)*5 - 3), "х", "x")</f>
        <v/>
      </c>
      <c r="AD1342" s="222">
        <f>SUBSTITUTE(INDEX(F:F, ROUNDUP((ROW(A1341))/5,0)*5 - 3), "х", "x") &amp; " - " &amp; SUBSTITUTE(SUBSTITUTE(INDEX(F:F, ROUNDUP((ROW(A1341))/5,0)*5 - 3), "х", "*"), "x", "*") &amp; " мм"</f>
        <v/>
      </c>
    </row>
    <row r="1343" ht="85.75" customHeight="1" s="55">
      <c r="B1343" s="42" t="n">
        <v>270</v>
      </c>
      <c r="C1343" s="118">
        <f>INDIRECT("'Закуп'!A" &amp; B1343)</f>
        <v/>
      </c>
      <c r="D1343" s="119">
        <f>C1343*1.2</f>
        <v/>
      </c>
      <c r="G1343" s="172">
        <f>IF(INDIRECT("'Закуп'!L" &amp; B1343)="Sale","Sale","")</f>
        <v/>
      </c>
      <c r="H1343" s="158">
        <f>IF(INDIRECT("'Закуп'!F" &amp; B1343)=0,"",INDIRECT("'Закуп'!F" &amp; B1343))</f>
        <v/>
      </c>
      <c r="I1343" s="120" t="n">
        <v>100</v>
      </c>
      <c r="J1343" s="121">
        <f>K1343/1.2</f>
        <v/>
      </c>
      <c r="K1343" s="70" t="n">
        <v>1.02</v>
      </c>
      <c r="L1343" s="122">
        <f>J1343-C1343-(J1343-C1343)*0.2</f>
        <v/>
      </c>
      <c r="M1343" s="123">
        <f>L1343*I1343</f>
        <v/>
      </c>
      <c r="N1343" s="124" t="inlineStr">
        <is>
          <t xml:space="preserve">100-290 шт - </t>
        </is>
      </c>
      <c r="O1343" s="47" t="inlineStr">
        <is>
          <t xml:space="preserve"> руб / шт с НДС</t>
        </is>
      </c>
      <c r="P1343" s="125">
        <f>ROUND(K1343,2)</f>
        <v/>
      </c>
      <c r="Q1343" s="207">
        <f>CONCATENATE(N1343,P1343,O1343,)</f>
        <v/>
      </c>
      <c r="R1343" s="240" t="n"/>
      <c r="T1343" s="241" t="n"/>
      <c r="U1343" s="240" t="n"/>
      <c r="V1343" s="241" t="n"/>
      <c r="Z1343" s="240" t="n"/>
      <c r="AB1343" s="241" t="n"/>
      <c r="AC1343" s="240" t="n"/>
      <c r="AD1343" s="241" t="n"/>
    </row>
    <row r="1344" ht="85.75" customHeight="1" s="55">
      <c r="B1344" s="42" t="n">
        <v>270</v>
      </c>
      <c r="C1344" s="118">
        <f>INDIRECT("'Закуп'!A" &amp; B1344)</f>
        <v/>
      </c>
      <c r="D1344" s="119">
        <f>C1344*1.2</f>
        <v/>
      </c>
      <c r="G1344" s="172">
        <f>IF(INDIRECT("'Закуп'!L" &amp; B1344)="Sale","Sale","")</f>
        <v/>
      </c>
      <c r="H1344" s="158">
        <f>IF(INDIRECT("'Закуп'!F" &amp; B1344)=0,"",INDIRECT("'Закуп'!F" &amp; B1344))</f>
        <v/>
      </c>
      <c r="I1344" s="120" t="n">
        <v>300</v>
      </c>
      <c r="J1344" s="121">
        <f>K1344/1.2</f>
        <v/>
      </c>
      <c r="K1344" s="70" t="n">
        <v>0.86</v>
      </c>
      <c r="L1344" s="122">
        <f>J1344-C1344-(J1344-C1344)*0.2</f>
        <v/>
      </c>
      <c r="M1344" s="123">
        <f>L1344*I1344</f>
        <v/>
      </c>
      <c r="N1344" s="124" t="inlineStr">
        <is>
          <t xml:space="preserve">300-490 шт - </t>
        </is>
      </c>
      <c r="O1344" s="47" t="inlineStr">
        <is>
          <t xml:space="preserve"> руб / шт с НДС</t>
        </is>
      </c>
      <c r="P1344" s="125">
        <f>ROUND(K1344,2)</f>
        <v/>
      </c>
      <c r="Q1344" s="207">
        <f>CONCATENATE(N1344,P1344,O1344,)</f>
        <v/>
      </c>
      <c r="R1344" s="240" t="n"/>
      <c r="T1344" s="241" t="n"/>
      <c r="U1344" s="240" t="n"/>
      <c r="V1344" s="241" t="n"/>
      <c r="Z1344" s="240" t="n"/>
      <c r="AB1344" s="241" t="n"/>
      <c r="AC1344" s="240" t="n"/>
      <c r="AD1344" s="241" t="n"/>
    </row>
    <row r="1345" ht="85.75" customHeight="1" s="55">
      <c r="B1345" s="42" t="n">
        <v>270</v>
      </c>
      <c r="C1345" s="118">
        <f>INDIRECT("'Закуп'!A" &amp; B1345)</f>
        <v/>
      </c>
      <c r="D1345" s="119">
        <f>C1345*1.2</f>
        <v/>
      </c>
      <c r="G1345" s="172">
        <f>IF(INDIRECT("'Закуп'!L" &amp; B1345)="Sale","Sale","")</f>
        <v/>
      </c>
      <c r="H1345" s="158">
        <f>IF(INDIRECT("'Закуп'!F" &amp; B1345)=0,"",INDIRECT("'Закуп'!F" &amp; B1345))</f>
        <v/>
      </c>
      <c r="I1345" s="120" t="n">
        <v>500</v>
      </c>
      <c r="J1345" s="121">
        <f>K1345/1.2</f>
        <v/>
      </c>
      <c r="K1345" s="70" t="n">
        <v>0.75</v>
      </c>
      <c r="L1345" s="122">
        <f>J1345-C1345-(J1345-C1345)*0.2</f>
        <v/>
      </c>
      <c r="M1345" s="123">
        <f>L1345*I1345</f>
        <v/>
      </c>
      <c r="N1345" s="124" t="inlineStr">
        <is>
          <t xml:space="preserve">500-990 шт - </t>
        </is>
      </c>
      <c r="O1345" s="47" t="inlineStr">
        <is>
          <t xml:space="preserve"> руб / шт с НДС</t>
        </is>
      </c>
      <c r="P1345" s="125">
        <f>ROUND(K1345,2)</f>
        <v/>
      </c>
      <c r="Q1345" s="207">
        <f>CONCATENATE(N1345,P1345,O1345,)</f>
        <v/>
      </c>
      <c r="R1345" s="240" t="n"/>
      <c r="T1345" s="241" t="n"/>
      <c r="U1345" s="240" t="n"/>
      <c r="V1345" s="241" t="n"/>
      <c r="Z1345" s="240" t="n"/>
      <c r="AB1345" s="241" t="n"/>
      <c r="AC1345" s="240" t="n"/>
      <c r="AD1345" s="241" t="n"/>
    </row>
    <row r="1346" ht="85.75" customHeight="1" s="55">
      <c r="B1346" s="42" t="n">
        <v>270</v>
      </c>
      <c r="C1346" s="118">
        <f>INDIRECT("'Закуп'!A" &amp; B1346)</f>
        <v/>
      </c>
      <c r="D1346" s="119">
        <f>C1346*1.2</f>
        <v/>
      </c>
      <c r="G1346" s="172">
        <f>IF(INDIRECT("'Закуп'!L" &amp; B1346)="Sale","Sale","")</f>
        <v/>
      </c>
      <c r="H1346" s="158">
        <f>IF(INDIRECT("'Закуп'!F" &amp; B1346)=0,"",INDIRECT("'Закуп'!F" &amp; B1346))</f>
        <v/>
      </c>
      <c r="I1346" s="120" t="n">
        <v>1000</v>
      </c>
      <c r="J1346" s="121">
        <f>K1346/1.2</f>
        <v/>
      </c>
      <c r="K1346" s="70" t="n">
        <v>0.64</v>
      </c>
      <c r="L1346" s="122">
        <f>J1346-C1346-(J1346-C1346)*0.2</f>
        <v/>
      </c>
      <c r="M1346" s="123">
        <f>L1346*I1346</f>
        <v/>
      </c>
      <c r="N1346" s="124" t="inlineStr">
        <is>
          <t xml:space="preserve">1000 + шт - </t>
        </is>
      </c>
      <c r="O1346" s="47" t="inlineStr">
        <is>
          <t xml:space="preserve"> руб / шт с НДС</t>
        </is>
      </c>
      <c r="P1346" s="125">
        <f>ROUND(K1346,2)</f>
        <v/>
      </c>
      <c r="Q1346" s="207">
        <f>CONCATENATE(N1346,P1346,O1346,)</f>
        <v/>
      </c>
      <c r="R1346" s="240" t="n"/>
      <c r="T1346" s="241" t="n"/>
      <c r="U1346" s="240" t="n"/>
      <c r="V1346" s="241" t="n"/>
      <c r="Z1346" s="240" t="n"/>
      <c r="AB1346" s="241" t="n"/>
      <c r="AC1346" s="240" t="n"/>
      <c r="AD1346" s="241" t="n"/>
    </row>
    <row r="1347">
      <c r="A1347" s="232" t="n">
        <v>271</v>
      </c>
      <c r="B1347" s="42" t="n">
        <v>271</v>
      </c>
      <c r="C1347" s="118">
        <f>INDIRECT("'Закуп'!A" &amp; B1347)</f>
        <v/>
      </c>
      <c r="D1347" s="119">
        <f>C1347*1.2</f>
        <v/>
      </c>
      <c r="E1347" s="224">
        <f>INDIRECT("'Закуп'!D" &amp; A1347)</f>
        <v/>
      </c>
      <c r="F1347" s="231">
        <f>INDIRECT("'Закуп'!E" &amp; B1347)</f>
        <v/>
      </c>
      <c r="G1347" s="172">
        <f>IF(INDIRECT("'Закуп'!L" &amp; B1347)="Sale","Sale","")</f>
        <v/>
      </c>
      <c r="H1347" s="158">
        <f>IF(INDIRECT("'Закуп'!F" &amp; B1347)=0,"",INDIRECT("'Закуп'!F" &amp; B1347))</f>
        <v/>
      </c>
      <c r="I1347" s="120" t="n">
        <v>50</v>
      </c>
      <c r="J1347" s="121">
        <f>K1347/1.2</f>
        <v/>
      </c>
      <c r="K1347" s="70" t="n">
        <v>1</v>
      </c>
      <c r="L1347" s="122">
        <f>J1347-C1347-(J1347-C1347)*0.2</f>
        <v/>
      </c>
      <c r="M1347" s="123">
        <f>L1347*I1347</f>
        <v/>
      </c>
      <c r="N1347" s="124" t="inlineStr">
        <is>
          <t xml:space="preserve">50-90 шт - </t>
        </is>
      </c>
      <c r="O1347" s="47" t="inlineStr">
        <is>
          <t xml:space="preserve"> руб / шт с НДС</t>
        </is>
      </c>
      <c r="P1347" s="125">
        <f>ROUND(K1347,2)</f>
        <v/>
      </c>
      <c r="Q1347" s="207">
        <f>CONCATENATE(N1347,P1347,O1347,)</f>
        <v/>
      </c>
      <c r="R1347" s="235">
        <f>INDIRECT("'Закуп'!k" &amp; A1347)</f>
        <v/>
      </c>
      <c r="S1347" s="239">
        <f>INDIRECT("'Закуп'!o" &amp; A1347)</f>
        <v/>
      </c>
      <c r="T1347" s="226">
        <f>INDIRECT("'Закуп'!p" &amp; A1347)</f>
        <v/>
      </c>
      <c r="U1347" s="235">
        <f>INDIRECT("'Закуп'!v" &amp; A1347)</f>
        <v/>
      </c>
      <c r="V1347" s="222">
        <f>INDIRECT("'Закуп'!w" &amp; A1347)</f>
        <v/>
      </c>
      <c r="W1347" s="229">
        <f>INDIRECT("'Закуп'!H" &amp; A1347)</f>
        <v/>
      </c>
      <c r="X1347" s="237">
        <f>INDIRECT("'Закуп'!g" &amp; A1347)</f>
        <v/>
      </c>
      <c r="Y1347" s="229">
        <f>INDIRECT("'Закуп'!i" &amp; A1347)</f>
        <v/>
      </c>
      <c r="Z1347" s="236">
        <f>INDIRECT("'Закуп'!x" &amp; A1347)</f>
        <v/>
      </c>
      <c r="AA1347" s="237">
        <f>INDIRECT("'Закуп'!y" &amp; A1347)</f>
        <v/>
      </c>
      <c r="AB1347" s="238">
        <f>INDIRECT("'Закуп'!z" &amp; A1347)</f>
        <v/>
      </c>
      <c r="AC1347" s="223">
        <f>SUBSTITUTE(INDEX(F:F, ROUNDUP((ROW(A1346))/5,0)*5 - 3), "х", "x")</f>
        <v/>
      </c>
      <c r="AD1347" s="222">
        <f>SUBSTITUTE(INDEX(F:F, ROUNDUP((ROW(A1346))/5,0)*5 - 3), "х", "x") &amp; " - " &amp; SUBSTITUTE(SUBSTITUTE(INDEX(F:F, ROUNDUP((ROW(A1346))/5,0)*5 - 3), "х", "*"), "x", "*") &amp; " мм"</f>
        <v/>
      </c>
    </row>
    <row r="1348">
      <c r="B1348" s="42" t="n">
        <v>271</v>
      </c>
      <c r="C1348" s="118">
        <f>INDIRECT("'Закуп'!A" &amp; B1348)</f>
        <v/>
      </c>
      <c r="D1348" s="119">
        <f>C1348*1.2</f>
        <v/>
      </c>
      <c r="G1348" s="172">
        <f>IF(INDIRECT("'Закуп'!L" &amp; B1348)="Sale","Sale","")</f>
        <v/>
      </c>
      <c r="H1348" s="158">
        <f>IF(INDIRECT("'Закуп'!F" &amp; B1348)=0,"",INDIRECT("'Закуп'!F" &amp; B1348))</f>
        <v/>
      </c>
      <c r="I1348" s="120" t="n">
        <v>100</v>
      </c>
      <c r="J1348" s="121">
        <f>K1348/1.2</f>
        <v/>
      </c>
      <c r="K1348" s="70" t="n">
        <v>0.85</v>
      </c>
      <c r="L1348" s="122">
        <f>J1348-C1348-(J1348-C1348)*0.2</f>
        <v/>
      </c>
      <c r="M1348" s="123">
        <f>L1348*I1348</f>
        <v/>
      </c>
      <c r="N1348" s="124" t="inlineStr">
        <is>
          <t xml:space="preserve">100-290 шт - </t>
        </is>
      </c>
      <c r="O1348" s="47" t="inlineStr">
        <is>
          <t xml:space="preserve"> руб / шт с НДС</t>
        </is>
      </c>
      <c r="P1348" s="125">
        <f>ROUND(K1348,2)</f>
        <v/>
      </c>
      <c r="Q1348" s="207">
        <f>CONCATENATE(N1348,P1348,O1348,)</f>
        <v/>
      </c>
      <c r="R1348" s="240" t="n"/>
      <c r="T1348" s="241" t="n"/>
      <c r="U1348" s="240" t="n"/>
      <c r="V1348" s="241" t="n"/>
      <c r="Z1348" s="240" t="n"/>
      <c r="AB1348" s="241" t="n"/>
      <c r="AC1348" s="240" t="n"/>
      <c r="AD1348" s="241" t="n"/>
    </row>
    <row r="1349">
      <c r="B1349" s="42" t="n">
        <v>271</v>
      </c>
      <c r="C1349" s="118">
        <f>INDIRECT("'Закуп'!A" &amp; B1349)</f>
        <v/>
      </c>
      <c r="D1349" s="119">
        <f>C1349*1.2</f>
        <v/>
      </c>
      <c r="G1349" s="172">
        <f>IF(INDIRECT("'Закуп'!L" &amp; B1349)="Sale","Sale","")</f>
        <v/>
      </c>
      <c r="H1349" s="158">
        <f>IF(INDIRECT("'Закуп'!F" &amp; B1349)=0,"",INDIRECT("'Закуп'!F" &amp; B1349))</f>
        <v/>
      </c>
      <c r="I1349" s="120" t="n">
        <v>300</v>
      </c>
      <c r="J1349" s="121">
        <f>K1349/1.2</f>
        <v/>
      </c>
      <c r="K1349" s="70" t="n">
        <v>0.7</v>
      </c>
      <c r="L1349" s="122">
        <f>J1349-C1349-(J1349-C1349)*0.2</f>
        <v/>
      </c>
      <c r="M1349" s="123">
        <f>L1349*I1349</f>
        <v/>
      </c>
      <c r="N1349" s="124" t="inlineStr">
        <is>
          <t xml:space="preserve">300-490 шт - </t>
        </is>
      </c>
      <c r="O1349" s="47" t="inlineStr">
        <is>
          <t xml:space="preserve"> руб / шт с НДС</t>
        </is>
      </c>
      <c r="P1349" s="125">
        <f>ROUND(K1349,2)</f>
        <v/>
      </c>
      <c r="Q1349" s="207">
        <f>CONCATENATE(N1349,P1349,O1349,)</f>
        <v/>
      </c>
      <c r="R1349" s="240" t="n"/>
      <c r="T1349" s="241" t="n"/>
      <c r="U1349" s="240" t="n"/>
      <c r="V1349" s="241" t="n"/>
      <c r="Z1349" s="240" t="n"/>
      <c r="AB1349" s="241" t="n"/>
      <c r="AC1349" s="240" t="n"/>
      <c r="AD1349" s="241" t="n"/>
    </row>
    <row r="1350">
      <c r="B1350" s="42" t="n">
        <v>271</v>
      </c>
      <c r="C1350" s="118">
        <f>INDIRECT("'Закуп'!A" &amp; B1350)</f>
        <v/>
      </c>
      <c r="D1350" s="119">
        <f>C1350*1.2</f>
        <v/>
      </c>
      <c r="G1350" s="172">
        <f>IF(INDIRECT("'Закуп'!L" &amp; B1350)="Sale","Sale","")</f>
        <v/>
      </c>
      <c r="H1350" s="158">
        <f>IF(INDIRECT("'Закуп'!F" &amp; B1350)=0,"",INDIRECT("'Закуп'!F" &amp; B1350))</f>
        <v/>
      </c>
      <c r="I1350" s="120" t="n">
        <v>500</v>
      </c>
      <c r="J1350" s="121">
        <f>K1350/1.2</f>
        <v/>
      </c>
      <c r="K1350" s="70" t="n">
        <v>0.6</v>
      </c>
      <c r="L1350" s="122">
        <f>J1350-C1350-(J1350-C1350)*0.2</f>
        <v/>
      </c>
      <c r="M1350" s="123">
        <f>L1350*I1350</f>
        <v/>
      </c>
      <c r="N1350" s="124" t="inlineStr">
        <is>
          <t xml:space="preserve">500-990 шт - </t>
        </is>
      </c>
      <c r="O1350" s="47" t="inlineStr">
        <is>
          <t xml:space="preserve"> руб / шт с НДС</t>
        </is>
      </c>
      <c r="P1350" s="125">
        <f>ROUND(K1350,2)</f>
        <v/>
      </c>
      <c r="Q1350" s="207">
        <f>CONCATENATE(N1350,P1350,O1350,)</f>
        <v/>
      </c>
      <c r="R1350" s="240" t="n"/>
      <c r="T1350" s="241" t="n"/>
      <c r="U1350" s="240" t="n"/>
      <c r="V1350" s="241" t="n"/>
      <c r="Z1350" s="240" t="n"/>
      <c r="AB1350" s="241" t="n"/>
      <c r="AC1350" s="240" t="n"/>
      <c r="AD1350" s="241" t="n"/>
    </row>
    <row r="1351">
      <c r="B1351" s="42" t="n">
        <v>271</v>
      </c>
      <c r="C1351" s="118">
        <f>INDIRECT("'Закуп'!A" &amp; B1351)</f>
        <v/>
      </c>
      <c r="D1351" s="119">
        <f>C1351*1.2</f>
        <v/>
      </c>
      <c r="G1351" s="172">
        <f>IF(INDIRECT("'Закуп'!L" &amp; B1351)="Sale","Sale","")</f>
        <v/>
      </c>
      <c r="H1351" s="158">
        <f>IF(INDIRECT("'Закуп'!F" &amp; B1351)=0,"",INDIRECT("'Закуп'!F" &amp; B1351))</f>
        <v/>
      </c>
      <c r="I1351" s="120" t="n">
        <v>1000</v>
      </c>
      <c r="J1351" s="121">
        <f>K1351/1.2</f>
        <v/>
      </c>
      <c r="K1351" s="70" t="n">
        <v>0.5</v>
      </c>
      <c r="L1351" s="122">
        <f>J1351-C1351-(J1351-C1351)*0.2</f>
        <v/>
      </c>
      <c r="M1351" s="123">
        <f>L1351*I1351</f>
        <v/>
      </c>
      <c r="N1351" s="124" t="inlineStr">
        <is>
          <t xml:space="preserve">1000 + шт - </t>
        </is>
      </c>
      <c r="O1351" s="47" t="inlineStr">
        <is>
          <t xml:space="preserve"> руб / шт с НДС</t>
        </is>
      </c>
      <c r="P1351" s="125">
        <f>ROUND(K1351,2)</f>
        <v/>
      </c>
      <c r="Q1351" s="207">
        <f>CONCATENATE(N1351,P1351,O1351,)</f>
        <v/>
      </c>
      <c r="R1351" s="240" t="n"/>
      <c r="T1351" s="241" t="n"/>
      <c r="U1351" s="240" t="n"/>
      <c r="V1351" s="241" t="n"/>
      <c r="Z1351" s="240" t="n"/>
      <c r="AB1351" s="241" t="n"/>
      <c r="AC1351" s="240" t="n"/>
      <c r="AD1351" s="241" t="n"/>
    </row>
    <row r="1352">
      <c r="A1352" s="232" t="n">
        <v>272</v>
      </c>
      <c r="B1352" s="42" t="n">
        <v>272</v>
      </c>
      <c r="C1352" s="118">
        <f>INDIRECT("'Закуп'!A" &amp; B1352)</f>
        <v/>
      </c>
      <c r="D1352" s="119">
        <f>C1352*1.2</f>
        <v/>
      </c>
      <c r="E1352" s="224">
        <f>INDIRECT("'Закуп'!D" &amp; A1352)</f>
        <v/>
      </c>
      <c r="F1352" s="231">
        <f>INDIRECT("'Закуп'!E" &amp; B1352)</f>
        <v/>
      </c>
      <c r="G1352" s="172">
        <f>IF(INDIRECT("'Закуп'!L" &amp; B1352)="Sale","Sale","")</f>
        <v/>
      </c>
      <c r="H1352" s="158">
        <f>IF(INDIRECT("'Закуп'!F" &amp; B1352)=0,"",INDIRECT("'Закуп'!F" &amp; B1352))</f>
        <v/>
      </c>
      <c r="I1352" s="120" t="n">
        <v>50</v>
      </c>
      <c r="J1352" s="121">
        <f>K1352/1.2</f>
        <v/>
      </c>
      <c r="K1352" s="70" t="n">
        <v>1.12</v>
      </c>
      <c r="L1352" s="122">
        <f>J1352-C1352-(J1352-C1352)*0.2</f>
        <v/>
      </c>
      <c r="M1352" s="123">
        <f>L1352*I1352</f>
        <v/>
      </c>
      <c r="N1352" s="124" t="inlineStr">
        <is>
          <t xml:space="preserve">50-90 шт - </t>
        </is>
      </c>
      <c r="O1352" s="47" t="inlineStr">
        <is>
          <t xml:space="preserve"> руб / шт с НДС</t>
        </is>
      </c>
      <c r="P1352" s="125">
        <f>ROUND(K1352,2)</f>
        <v/>
      </c>
      <c r="Q1352" s="207">
        <f>CONCATENATE(N1352,P1352,O1352,)</f>
        <v/>
      </c>
      <c r="R1352" s="235">
        <f>INDIRECT("'Закуп'!k" &amp; A1352)</f>
        <v/>
      </c>
      <c r="S1352" s="239">
        <f>INDIRECT("'Закуп'!o" &amp; A1352)</f>
        <v/>
      </c>
      <c r="T1352" s="226">
        <f>INDIRECT("'Закуп'!p" &amp; A1352)</f>
        <v/>
      </c>
      <c r="U1352" s="235">
        <f>INDIRECT("'Закуп'!v" &amp; A1352)</f>
        <v/>
      </c>
      <c r="V1352" s="222">
        <f>INDIRECT("'Закуп'!w" &amp; A1352)</f>
        <v/>
      </c>
      <c r="W1352" s="229">
        <f>INDIRECT("'Закуп'!H" &amp; A1352)</f>
        <v/>
      </c>
      <c r="X1352" s="237">
        <f>INDIRECT("'Закуп'!g" &amp; A1352)</f>
        <v/>
      </c>
      <c r="Y1352" s="229">
        <f>INDIRECT("'Закуп'!i" &amp; A1352)</f>
        <v/>
      </c>
      <c r="Z1352" s="236">
        <f>INDIRECT("'Закуп'!x" &amp; A1352)</f>
        <v/>
      </c>
      <c r="AA1352" s="237">
        <f>INDIRECT("'Закуп'!y" &amp; A1352)</f>
        <v/>
      </c>
      <c r="AB1352" s="238">
        <f>INDIRECT("'Закуп'!z" &amp; A1352)</f>
        <v/>
      </c>
      <c r="AC1352" s="223">
        <f>SUBSTITUTE(INDEX(F:F, ROUNDUP((ROW(A1351))/5,0)*5 - 3), "х", "x")</f>
        <v/>
      </c>
      <c r="AD1352" s="222">
        <f>SUBSTITUTE(INDEX(F:F, ROUNDUP((ROW(A1351))/5,0)*5 - 3), "х", "x") &amp; " - " &amp; SUBSTITUTE(SUBSTITUTE(INDEX(F:F, ROUNDUP((ROW(A1351))/5,0)*5 - 3), "х", "*"), "x", "*") &amp; " мм"</f>
        <v/>
      </c>
    </row>
    <row r="1353">
      <c r="B1353" s="42" t="n">
        <v>272</v>
      </c>
      <c r="C1353" s="118">
        <f>INDIRECT("'Закуп'!A" &amp; B1353)</f>
        <v/>
      </c>
      <c r="D1353" s="119">
        <f>C1353*1.2</f>
        <v/>
      </c>
      <c r="G1353" s="172">
        <f>IF(INDIRECT("'Закуп'!L" &amp; B1353)="Sale","Sale","")</f>
        <v/>
      </c>
      <c r="H1353" s="158">
        <f>IF(INDIRECT("'Закуп'!F" &amp; B1353)=0,"",INDIRECT("'Закуп'!F" &amp; B1353))</f>
        <v/>
      </c>
      <c r="I1353" s="120" t="n">
        <v>100</v>
      </c>
      <c r="J1353" s="121">
        <f>K1353/1.2</f>
        <v/>
      </c>
      <c r="K1353" s="70" t="n">
        <v>0.96</v>
      </c>
      <c r="L1353" s="122">
        <f>J1353-C1353-(J1353-C1353)*0.2</f>
        <v/>
      </c>
      <c r="M1353" s="123">
        <f>L1353*I1353</f>
        <v/>
      </c>
      <c r="N1353" s="124" t="inlineStr">
        <is>
          <t xml:space="preserve">100-290 шт - </t>
        </is>
      </c>
      <c r="O1353" s="47" t="inlineStr">
        <is>
          <t xml:space="preserve"> руб / шт с НДС</t>
        </is>
      </c>
      <c r="P1353" s="125">
        <f>ROUND(K1353,2)</f>
        <v/>
      </c>
      <c r="Q1353" s="207">
        <f>CONCATENATE(N1353,P1353,O1353,)</f>
        <v/>
      </c>
      <c r="R1353" s="240" t="n"/>
      <c r="T1353" s="241" t="n"/>
      <c r="U1353" s="240" t="n"/>
      <c r="V1353" s="241" t="n"/>
      <c r="Z1353" s="240" t="n"/>
      <c r="AB1353" s="241" t="n"/>
      <c r="AC1353" s="240" t="n"/>
      <c r="AD1353" s="241" t="n"/>
    </row>
    <row r="1354">
      <c r="B1354" s="42" t="n">
        <v>272</v>
      </c>
      <c r="C1354" s="118">
        <f>INDIRECT("'Закуп'!A" &amp; B1354)</f>
        <v/>
      </c>
      <c r="D1354" s="119">
        <f>C1354*1.2</f>
        <v/>
      </c>
      <c r="G1354" s="172">
        <f>IF(INDIRECT("'Закуп'!L" &amp; B1354)="Sale","Sale","")</f>
        <v/>
      </c>
      <c r="H1354" s="158">
        <f>IF(INDIRECT("'Закуп'!F" &amp; B1354)=0,"",INDIRECT("'Закуп'!F" &amp; B1354))</f>
        <v/>
      </c>
      <c r="I1354" s="120" t="n">
        <v>300</v>
      </c>
      <c r="J1354" s="121">
        <f>K1354/1.2</f>
        <v/>
      </c>
      <c r="K1354" s="70" t="n">
        <v>0.8</v>
      </c>
      <c r="L1354" s="122">
        <f>J1354-C1354-(J1354-C1354)*0.2</f>
        <v/>
      </c>
      <c r="M1354" s="123">
        <f>L1354*I1354</f>
        <v/>
      </c>
      <c r="N1354" s="124" t="inlineStr">
        <is>
          <t xml:space="preserve">300-490 шт - </t>
        </is>
      </c>
      <c r="O1354" s="47" t="inlineStr">
        <is>
          <t xml:space="preserve"> руб / шт с НДС</t>
        </is>
      </c>
      <c r="P1354" s="125">
        <f>ROUND(K1354,2)</f>
        <v/>
      </c>
      <c r="Q1354" s="207">
        <f>CONCATENATE(N1354,P1354,O1354,)</f>
        <v/>
      </c>
      <c r="R1354" s="240" t="n"/>
      <c r="T1354" s="241" t="n"/>
      <c r="U1354" s="240" t="n"/>
      <c r="V1354" s="241" t="n"/>
      <c r="Z1354" s="240" t="n"/>
      <c r="AB1354" s="241" t="n"/>
      <c r="AC1354" s="240" t="n"/>
      <c r="AD1354" s="241" t="n"/>
    </row>
    <row r="1355">
      <c r="B1355" s="42" t="n">
        <v>272</v>
      </c>
      <c r="C1355" s="118">
        <f>INDIRECT("'Закуп'!A" &amp; B1355)</f>
        <v/>
      </c>
      <c r="D1355" s="119">
        <f>C1355*1.2</f>
        <v/>
      </c>
      <c r="G1355" s="172">
        <f>IF(INDIRECT("'Закуп'!L" &amp; B1355)="Sale","Sale","")</f>
        <v/>
      </c>
      <c r="H1355" s="158">
        <f>IF(INDIRECT("'Закуп'!F" &amp; B1355)=0,"",INDIRECT("'Закуп'!F" &amp; B1355))</f>
        <v/>
      </c>
      <c r="I1355" s="120" t="n">
        <v>500</v>
      </c>
      <c r="J1355" s="121">
        <f>K1355/1.2</f>
        <v/>
      </c>
      <c r="K1355" s="70" t="n">
        <v>0.7</v>
      </c>
      <c r="L1355" s="122">
        <f>J1355-C1355-(J1355-C1355)*0.2</f>
        <v/>
      </c>
      <c r="M1355" s="123">
        <f>L1355*I1355</f>
        <v/>
      </c>
      <c r="N1355" s="124" t="inlineStr">
        <is>
          <t xml:space="preserve">500-990 шт - </t>
        </is>
      </c>
      <c r="O1355" s="47" t="inlineStr">
        <is>
          <t xml:space="preserve"> руб / шт с НДС</t>
        </is>
      </c>
      <c r="P1355" s="125">
        <f>ROUND(K1355,2)</f>
        <v/>
      </c>
      <c r="Q1355" s="207">
        <f>CONCATENATE(N1355,P1355,O1355,)</f>
        <v/>
      </c>
      <c r="R1355" s="240" t="n"/>
      <c r="T1355" s="241" t="n"/>
      <c r="U1355" s="240" t="n"/>
      <c r="V1355" s="241" t="n"/>
      <c r="Z1355" s="240" t="n"/>
      <c r="AB1355" s="241" t="n"/>
      <c r="AC1355" s="240" t="n"/>
      <c r="AD1355" s="241" t="n"/>
    </row>
    <row r="1356">
      <c r="B1356" s="42" t="n">
        <v>272</v>
      </c>
      <c r="C1356" s="118">
        <f>INDIRECT("'Закуп'!A" &amp; B1356)</f>
        <v/>
      </c>
      <c r="D1356" s="119">
        <f>C1356*1.2</f>
        <v/>
      </c>
      <c r="G1356" s="172">
        <f>IF(INDIRECT("'Закуп'!L" &amp; B1356)="Sale","Sale","")</f>
        <v/>
      </c>
      <c r="H1356" s="158">
        <f>IF(INDIRECT("'Закуп'!F" &amp; B1356)=0,"",INDIRECT("'Закуп'!F" &amp; B1356))</f>
        <v/>
      </c>
      <c r="I1356" s="120" t="n">
        <v>1000</v>
      </c>
      <c r="J1356" s="121">
        <f>K1356/1.2</f>
        <v/>
      </c>
      <c r="K1356" s="70" t="n">
        <v>0.59</v>
      </c>
      <c r="L1356" s="122">
        <f>J1356-C1356-(J1356-C1356)*0.2</f>
        <v/>
      </c>
      <c r="M1356" s="123">
        <f>L1356*I1356</f>
        <v/>
      </c>
      <c r="N1356" s="124" t="inlineStr">
        <is>
          <t xml:space="preserve">1000 + шт - </t>
        </is>
      </c>
      <c r="O1356" s="47" t="inlineStr">
        <is>
          <t xml:space="preserve"> руб / шт с НДС</t>
        </is>
      </c>
      <c r="P1356" s="125">
        <f>ROUND(K1356,2)</f>
        <v/>
      </c>
      <c r="Q1356" s="207">
        <f>CONCATENATE(N1356,P1356,O1356,)</f>
        <v/>
      </c>
      <c r="R1356" s="240" t="n"/>
      <c r="T1356" s="241" t="n"/>
      <c r="U1356" s="240" t="n"/>
      <c r="V1356" s="241" t="n"/>
      <c r="Z1356" s="240" t="n"/>
      <c r="AB1356" s="241" t="n"/>
      <c r="AC1356" s="240" t="n"/>
      <c r="AD1356" s="241" t="n"/>
    </row>
    <row r="1357">
      <c r="A1357" s="232" t="n">
        <v>273</v>
      </c>
      <c r="B1357" s="42" t="n">
        <v>273</v>
      </c>
      <c r="C1357" s="118">
        <f>INDIRECT("'Закуп'!A" &amp; B1357)</f>
        <v/>
      </c>
      <c r="D1357" s="119">
        <f>C1357*1.2</f>
        <v/>
      </c>
      <c r="E1357" s="225">
        <f>INDIRECT("'Закуп'!D" &amp; A1357)</f>
        <v/>
      </c>
      <c r="F1357" s="231">
        <f>INDIRECT("'Закуп'!E" &amp; B1357)</f>
        <v/>
      </c>
      <c r="G1357" s="172">
        <f>IF(INDIRECT("'Закуп'!L" &amp; B1357)="Sale","Sale","")</f>
        <v/>
      </c>
      <c r="H1357" s="158">
        <f>IF(INDIRECT("'Закуп'!F" &amp; B1357)=0,"",INDIRECT("'Закуп'!F" &amp; B1357))</f>
        <v/>
      </c>
      <c r="I1357" s="120" t="n">
        <v>50</v>
      </c>
      <c r="J1357" s="121">
        <f>K1357/1.2</f>
        <v/>
      </c>
      <c r="K1357" s="70" t="n">
        <v>2.36</v>
      </c>
      <c r="L1357" s="122">
        <f>J1357-C1357-(J1357-C1357)*0.2</f>
        <v/>
      </c>
      <c r="M1357" s="123">
        <f>L1357*I1357</f>
        <v/>
      </c>
      <c r="N1357" s="124" t="inlineStr">
        <is>
          <t xml:space="preserve">50-90 шт - </t>
        </is>
      </c>
      <c r="O1357" s="47" t="inlineStr">
        <is>
          <t xml:space="preserve"> руб / шт с НДС</t>
        </is>
      </c>
      <c r="P1357" s="125">
        <f>ROUND(K1357,2)</f>
        <v/>
      </c>
      <c r="Q1357" s="207">
        <f>CONCATENATE(N1357,P1357,O1357,)</f>
        <v/>
      </c>
      <c r="R1357" s="235">
        <f>INDIRECT("'Закуп'!k" &amp; A1357)</f>
        <v/>
      </c>
      <c r="S1357" s="239">
        <f>INDIRECT("'Закуп'!o" &amp; A1357)</f>
        <v/>
      </c>
      <c r="T1357" s="226">
        <f>INDIRECT("'Закуп'!p" &amp; A1357)</f>
        <v/>
      </c>
      <c r="U1357" s="235">
        <f>INDIRECT("'Закуп'!v" &amp; A1357)</f>
        <v/>
      </c>
      <c r="V1357" s="222">
        <f>INDIRECT("'Закуп'!w" &amp; A1357)</f>
        <v/>
      </c>
      <c r="W1357" s="229">
        <f>INDIRECT("'Закуп'!H" &amp; A1357)</f>
        <v/>
      </c>
      <c r="X1357" s="237">
        <f>INDIRECT("'Закуп'!g" &amp; A1357)</f>
        <v/>
      </c>
      <c r="Y1357" s="229">
        <f>INDIRECT("'Закуп'!i" &amp; A1357)</f>
        <v/>
      </c>
      <c r="Z1357" s="236">
        <f>INDIRECT("'Закуп'!x" &amp; A1357)</f>
        <v/>
      </c>
      <c r="AA1357" s="237">
        <f>INDIRECT("'Закуп'!y" &amp; A1357)</f>
        <v/>
      </c>
      <c r="AB1357" s="238">
        <f>INDIRECT("'Закуп'!z" &amp; A1357)</f>
        <v/>
      </c>
      <c r="AC1357" s="223">
        <f>SUBSTITUTE(INDEX(F:F, ROUNDUP((ROW(A1356))/5,0)*5 - 3), "х", "x")</f>
        <v/>
      </c>
      <c r="AD1357" s="222">
        <f>SUBSTITUTE(INDEX(F:F, ROUNDUP((ROW(A1356))/5,0)*5 - 3), "х", "x") &amp; " - " &amp; SUBSTITUTE(SUBSTITUTE(INDEX(F:F, ROUNDUP((ROW(A1356))/5,0)*5 - 3), "х", "*"), "x", "*") &amp; " мм"</f>
        <v/>
      </c>
    </row>
    <row r="1358">
      <c r="B1358" s="42" t="n">
        <v>273</v>
      </c>
      <c r="C1358" s="118">
        <f>INDIRECT("'Закуп'!A" &amp; B1358)</f>
        <v/>
      </c>
      <c r="D1358" s="119">
        <f>C1358*1.2</f>
        <v/>
      </c>
      <c r="G1358" s="172">
        <f>IF(INDIRECT("'Закуп'!L" &amp; B1358)="Sale","Sale","")</f>
        <v/>
      </c>
      <c r="H1358" s="158">
        <f>IF(INDIRECT("'Закуп'!F" &amp; B1358)=0,"",INDIRECT("'Закуп'!F" &amp; B1358))</f>
        <v/>
      </c>
      <c r="I1358" s="120" t="n">
        <v>100</v>
      </c>
      <c r="J1358" s="121">
        <f>K1358/1.2</f>
        <v/>
      </c>
      <c r="K1358" s="70" t="n">
        <v>2.01</v>
      </c>
      <c r="L1358" s="122">
        <f>J1358-C1358-(J1358-C1358)*0.2</f>
        <v/>
      </c>
      <c r="M1358" s="123">
        <f>L1358*I1358</f>
        <v/>
      </c>
      <c r="N1358" s="124" t="inlineStr">
        <is>
          <t xml:space="preserve">100-290 шт - </t>
        </is>
      </c>
      <c r="O1358" s="47" t="inlineStr">
        <is>
          <t xml:space="preserve"> руб / шт с НДС</t>
        </is>
      </c>
      <c r="P1358" s="125">
        <f>ROUND(K1358,2)</f>
        <v/>
      </c>
      <c r="Q1358" s="207">
        <f>CONCATENATE(N1358,P1358,O1358,)</f>
        <v/>
      </c>
      <c r="R1358" s="240" t="n"/>
      <c r="T1358" s="241" t="n"/>
      <c r="U1358" s="240" t="n"/>
      <c r="V1358" s="241" t="n"/>
      <c r="Z1358" s="240" t="n"/>
      <c r="AB1358" s="241" t="n"/>
      <c r="AC1358" s="240" t="n"/>
      <c r="AD1358" s="241" t="n"/>
    </row>
    <row r="1359">
      <c r="B1359" s="42" t="n">
        <v>273</v>
      </c>
      <c r="C1359" s="118">
        <f>INDIRECT("'Закуп'!A" &amp; B1359)</f>
        <v/>
      </c>
      <c r="D1359" s="119">
        <f>C1359*1.2</f>
        <v/>
      </c>
      <c r="G1359" s="172">
        <f>IF(INDIRECT("'Закуп'!L" &amp; B1359)="Sale","Sale","")</f>
        <v/>
      </c>
      <c r="H1359" s="158">
        <f>IF(INDIRECT("'Закуп'!F" &amp; B1359)=0,"",INDIRECT("'Закуп'!F" &amp; B1359))</f>
        <v/>
      </c>
      <c r="I1359" s="120" t="n">
        <v>300</v>
      </c>
      <c r="J1359" s="121">
        <f>K1359/1.2</f>
        <v/>
      </c>
      <c r="K1359" s="70" t="n">
        <v>1.74</v>
      </c>
      <c r="L1359" s="122">
        <f>J1359-C1359-(J1359-C1359)*0.2</f>
        <v/>
      </c>
      <c r="M1359" s="123">
        <f>L1359*I1359</f>
        <v/>
      </c>
      <c r="N1359" s="124" t="inlineStr">
        <is>
          <t xml:space="preserve">300-490 шт - </t>
        </is>
      </c>
      <c r="O1359" s="47" t="inlineStr">
        <is>
          <t xml:space="preserve"> руб / шт с НДС</t>
        </is>
      </c>
      <c r="P1359" s="125">
        <f>ROUND(K1359,2)</f>
        <v/>
      </c>
      <c r="Q1359" s="207">
        <f>CONCATENATE(N1359,P1359,O1359,)</f>
        <v/>
      </c>
      <c r="R1359" s="240" t="n"/>
      <c r="T1359" s="241" t="n"/>
      <c r="U1359" s="240" t="n"/>
      <c r="V1359" s="241" t="n"/>
      <c r="Z1359" s="240" t="n"/>
      <c r="AB1359" s="241" t="n"/>
      <c r="AC1359" s="240" t="n"/>
      <c r="AD1359" s="241" t="n"/>
    </row>
    <row r="1360">
      <c r="B1360" s="42" t="n">
        <v>273</v>
      </c>
      <c r="C1360" s="118">
        <f>INDIRECT("'Закуп'!A" &amp; B1360)</f>
        <v/>
      </c>
      <c r="D1360" s="119">
        <f>C1360*1.2</f>
        <v/>
      </c>
      <c r="G1360" s="172">
        <f>IF(INDIRECT("'Закуп'!L" &amp; B1360)="Sale","Sale","")</f>
        <v/>
      </c>
      <c r="H1360" s="158">
        <f>IF(INDIRECT("'Закуп'!F" &amp; B1360)=0,"",INDIRECT("'Закуп'!F" &amp; B1360))</f>
        <v/>
      </c>
      <c r="I1360" s="120" t="n">
        <v>500</v>
      </c>
      <c r="J1360" s="121">
        <f>K1360/1.2</f>
        <v/>
      </c>
      <c r="K1360" s="70" t="n">
        <v>1.57</v>
      </c>
      <c r="L1360" s="122">
        <f>J1360-C1360-(J1360-C1360)*0.2</f>
        <v/>
      </c>
      <c r="M1360" s="123">
        <f>L1360*I1360</f>
        <v/>
      </c>
      <c r="N1360" s="124" t="inlineStr">
        <is>
          <t xml:space="preserve">500-990 шт - </t>
        </is>
      </c>
      <c r="O1360" s="47" t="inlineStr">
        <is>
          <t xml:space="preserve"> руб / шт с НДС</t>
        </is>
      </c>
      <c r="P1360" s="125">
        <f>ROUND(K1360,2)</f>
        <v/>
      </c>
      <c r="Q1360" s="207">
        <f>CONCATENATE(N1360,P1360,O1360,)</f>
        <v/>
      </c>
      <c r="R1360" s="240" t="n"/>
      <c r="T1360" s="241" t="n"/>
      <c r="U1360" s="240" t="n"/>
      <c r="V1360" s="241" t="n"/>
      <c r="Z1360" s="240" t="n"/>
      <c r="AB1360" s="241" t="n"/>
      <c r="AC1360" s="240" t="n"/>
      <c r="AD1360" s="241" t="n"/>
    </row>
    <row r="1361">
      <c r="B1361" s="42" t="n">
        <v>273</v>
      </c>
      <c r="C1361" s="118">
        <f>INDIRECT("'Закуп'!A" &amp; B1361)</f>
        <v/>
      </c>
      <c r="D1361" s="119">
        <f>C1361*1.2</f>
        <v/>
      </c>
      <c r="G1361" s="172">
        <f>IF(INDIRECT("'Закуп'!L" &amp; B1361)="Sale","Sale","")</f>
        <v/>
      </c>
      <c r="H1361" s="158">
        <f>IF(INDIRECT("'Закуп'!F" &amp; B1361)=0,"",INDIRECT("'Закуп'!F" &amp; B1361))</f>
        <v/>
      </c>
      <c r="I1361" s="120" t="n">
        <v>1000</v>
      </c>
      <c r="J1361" s="121">
        <f>K1361/1.2</f>
        <v/>
      </c>
      <c r="K1361" s="70" t="n">
        <v>1.49</v>
      </c>
      <c r="L1361" s="122">
        <f>J1361-C1361-(J1361-C1361)*0.2</f>
        <v/>
      </c>
      <c r="M1361" s="123">
        <f>L1361*I1361</f>
        <v/>
      </c>
      <c r="N1361" s="124" t="inlineStr">
        <is>
          <t xml:space="preserve">1000 + шт - </t>
        </is>
      </c>
      <c r="O1361" s="47" t="inlineStr">
        <is>
          <t xml:space="preserve"> руб / шт с НДС</t>
        </is>
      </c>
      <c r="P1361" s="125">
        <f>ROUND(K1361,2)</f>
        <v/>
      </c>
      <c r="Q1361" s="207">
        <f>CONCATENATE(N1361,P1361,O1361,)</f>
        <v/>
      </c>
      <c r="R1361" s="240" t="n"/>
      <c r="T1361" s="241" t="n"/>
      <c r="U1361" s="240" t="n"/>
      <c r="V1361" s="241" t="n"/>
      <c r="Z1361" s="240" t="n"/>
      <c r="AB1361" s="241" t="n"/>
      <c r="AC1361" s="240" t="n"/>
      <c r="AD1361" s="241" t="n"/>
    </row>
    <row r="1362">
      <c r="A1362" s="232" t="n">
        <v>274</v>
      </c>
      <c r="B1362" s="42" t="n">
        <v>274</v>
      </c>
      <c r="C1362" s="118">
        <f>INDIRECT("'Закуп'!A" &amp; B1362)</f>
        <v/>
      </c>
      <c r="D1362" s="119">
        <f>C1362*1.2</f>
        <v/>
      </c>
      <c r="E1362" s="225">
        <f>INDIRECT("'Закуп'!D" &amp; A1362)</f>
        <v/>
      </c>
      <c r="F1362" s="231">
        <f>INDIRECT("'Закуп'!E" &amp; B1362)</f>
        <v/>
      </c>
      <c r="G1362" s="172">
        <f>IF(INDIRECT("'Закуп'!L" &amp; B1362)="Sale","Sale","")</f>
        <v/>
      </c>
      <c r="H1362" s="158">
        <f>IF(INDIRECT("'Закуп'!F" &amp; B1362)=0,"",INDIRECT("'Закуп'!F" &amp; B1362))</f>
        <v/>
      </c>
      <c r="I1362" s="120" t="n">
        <v>50</v>
      </c>
      <c r="J1362" s="121">
        <f>K1362/1.2</f>
        <v/>
      </c>
      <c r="K1362" s="70" t="n">
        <v>1.42</v>
      </c>
      <c r="L1362" s="122">
        <f>J1362-C1362-(J1362-C1362)*0.2</f>
        <v/>
      </c>
      <c r="M1362" s="123">
        <f>L1362*I1362</f>
        <v/>
      </c>
      <c r="N1362" s="124" t="inlineStr">
        <is>
          <t xml:space="preserve">50-90 шт - </t>
        </is>
      </c>
      <c r="O1362" s="47" t="inlineStr">
        <is>
          <t xml:space="preserve"> руб / шт с НДС</t>
        </is>
      </c>
      <c r="P1362" s="125">
        <f>ROUND(K1362,2)</f>
        <v/>
      </c>
      <c r="Q1362" s="207">
        <f>CONCATENATE(N1362,P1362,O1362,)</f>
        <v/>
      </c>
      <c r="R1362" s="235">
        <f>INDIRECT("'Закуп'!k" &amp; A1362)</f>
        <v/>
      </c>
      <c r="S1362" s="239">
        <f>INDIRECT("'Закуп'!o" &amp; A1362)</f>
        <v/>
      </c>
      <c r="T1362" s="226">
        <f>INDIRECT("'Закуп'!p" &amp; A1362)</f>
        <v/>
      </c>
      <c r="U1362" s="235">
        <f>INDIRECT("'Закуп'!v" &amp; A1362)</f>
        <v/>
      </c>
      <c r="V1362" s="222">
        <f>INDIRECT("'Закуп'!w" &amp; A1362)</f>
        <v/>
      </c>
      <c r="W1362" s="229">
        <f>INDIRECT("'Закуп'!H" &amp; A1362)</f>
        <v/>
      </c>
      <c r="X1362" s="237">
        <f>INDIRECT("'Закуп'!g" &amp; A1362)</f>
        <v/>
      </c>
      <c r="Y1362" s="229">
        <f>INDIRECT("'Закуп'!i" &amp; A1362)</f>
        <v/>
      </c>
      <c r="Z1362" s="236">
        <f>INDIRECT("'Закуп'!x" &amp; A1362)</f>
        <v/>
      </c>
      <c r="AA1362" s="237">
        <f>INDIRECT("'Закуп'!y" &amp; A1362)</f>
        <v/>
      </c>
      <c r="AB1362" s="238">
        <f>INDIRECT("'Закуп'!z" &amp; A1362)</f>
        <v/>
      </c>
      <c r="AC1362" s="223">
        <f>SUBSTITUTE(INDEX(F:F, ROUNDUP((ROW(A1361))/5,0)*5 - 3), "х", "x")</f>
        <v/>
      </c>
      <c r="AD1362" s="222">
        <f>SUBSTITUTE(INDEX(F:F, ROUNDUP((ROW(A1361))/5,0)*5 - 3), "х", "x") &amp; " - " &amp; SUBSTITUTE(SUBSTITUTE(INDEX(F:F, ROUNDUP((ROW(A1361))/5,0)*5 - 3), "х", "*"), "x", "*") &amp; " мм"</f>
        <v/>
      </c>
    </row>
    <row r="1363">
      <c r="B1363" s="42" t="n">
        <v>274</v>
      </c>
      <c r="C1363" s="118">
        <f>INDIRECT("'Закуп'!A" &amp; B1363)</f>
        <v/>
      </c>
      <c r="D1363" s="119">
        <f>C1363*1.2</f>
        <v/>
      </c>
      <c r="G1363" s="172">
        <f>IF(INDIRECT("'Закуп'!L" &amp; B1363)="Sale","Sale","")</f>
        <v/>
      </c>
      <c r="H1363" s="158">
        <f>IF(INDIRECT("'Закуп'!F" &amp; B1363)=0,"",INDIRECT("'Закуп'!F" &amp; B1363))</f>
        <v/>
      </c>
      <c r="I1363" s="120" t="n">
        <v>100</v>
      </c>
      <c r="J1363" s="121">
        <f>K1363/1.2</f>
        <v/>
      </c>
      <c r="K1363" s="70" t="n">
        <v>1.42</v>
      </c>
      <c r="L1363" s="122">
        <f>J1363-C1363-(J1363-C1363)*0.2</f>
        <v/>
      </c>
      <c r="M1363" s="123">
        <f>L1363*I1363</f>
        <v/>
      </c>
      <c r="N1363" s="124" t="inlineStr">
        <is>
          <t xml:space="preserve">100-290 шт - </t>
        </is>
      </c>
      <c r="O1363" s="47" t="inlineStr">
        <is>
          <t xml:space="preserve"> руб / шт с НДС</t>
        </is>
      </c>
      <c r="P1363" s="125">
        <f>ROUND(K1363,2)</f>
        <v/>
      </c>
      <c r="Q1363" s="207">
        <f>CONCATENATE(N1363,P1363,O1363,)</f>
        <v/>
      </c>
      <c r="R1363" s="240" t="n"/>
      <c r="T1363" s="241" t="n"/>
      <c r="U1363" s="240" t="n"/>
      <c r="V1363" s="241" t="n"/>
      <c r="Z1363" s="240" t="n"/>
      <c r="AB1363" s="241" t="n"/>
      <c r="AC1363" s="240" t="n"/>
      <c r="AD1363" s="241" t="n"/>
    </row>
    <row r="1364">
      <c r="B1364" s="42" t="n">
        <v>274</v>
      </c>
      <c r="C1364" s="118">
        <f>INDIRECT("'Закуп'!A" &amp; B1364)</f>
        <v/>
      </c>
      <c r="D1364" s="119">
        <f>C1364*1.2</f>
        <v/>
      </c>
      <c r="G1364" s="172">
        <f>IF(INDIRECT("'Закуп'!L" &amp; B1364)="Sale","Sale","")</f>
        <v/>
      </c>
      <c r="H1364" s="158">
        <f>IF(INDIRECT("'Закуп'!F" &amp; B1364)=0,"",INDIRECT("'Закуп'!F" &amp; B1364))</f>
        <v/>
      </c>
      <c r="I1364" s="120" t="n">
        <v>300</v>
      </c>
      <c r="J1364" s="121">
        <f>K1364/1.2</f>
        <v/>
      </c>
      <c r="K1364" s="70" t="n">
        <v>1.42</v>
      </c>
      <c r="L1364" s="122">
        <f>J1364-C1364-(J1364-C1364)*0.2</f>
        <v/>
      </c>
      <c r="M1364" s="123">
        <f>L1364*I1364</f>
        <v/>
      </c>
      <c r="N1364" s="124" t="inlineStr">
        <is>
          <t xml:space="preserve">300-490 шт - </t>
        </is>
      </c>
      <c r="O1364" s="47" t="inlineStr">
        <is>
          <t xml:space="preserve"> руб / шт с НДС</t>
        </is>
      </c>
      <c r="P1364" s="125">
        <f>ROUND(K1364,2)</f>
        <v/>
      </c>
      <c r="Q1364" s="207">
        <f>CONCATENATE(N1364,P1364,O1364,)</f>
        <v/>
      </c>
      <c r="R1364" s="240" t="n"/>
      <c r="T1364" s="241" t="n"/>
      <c r="U1364" s="240" t="n"/>
      <c r="V1364" s="241" t="n"/>
      <c r="Z1364" s="240" t="n"/>
      <c r="AB1364" s="241" t="n"/>
      <c r="AC1364" s="240" t="n"/>
      <c r="AD1364" s="241" t="n"/>
    </row>
    <row r="1365">
      <c r="B1365" s="42" t="n">
        <v>274</v>
      </c>
      <c r="C1365" s="118">
        <f>INDIRECT("'Закуп'!A" &amp; B1365)</f>
        <v/>
      </c>
      <c r="D1365" s="119">
        <f>C1365*1.2</f>
        <v/>
      </c>
      <c r="G1365" s="172">
        <f>IF(INDIRECT("'Закуп'!L" &amp; B1365)="Sale","Sale","")</f>
        <v/>
      </c>
      <c r="H1365" s="158">
        <f>IF(INDIRECT("'Закуп'!F" &amp; B1365)=0,"",INDIRECT("'Закуп'!F" &amp; B1365))</f>
        <v/>
      </c>
      <c r="I1365" s="120" t="n">
        <v>500</v>
      </c>
      <c r="J1365" s="121">
        <f>K1365/1.2</f>
        <v/>
      </c>
      <c r="K1365" s="70" t="n">
        <v>1.42</v>
      </c>
      <c r="L1365" s="122">
        <f>J1365-C1365-(J1365-C1365)*0.2</f>
        <v/>
      </c>
      <c r="M1365" s="123">
        <f>L1365*I1365</f>
        <v/>
      </c>
      <c r="N1365" s="124" t="inlineStr">
        <is>
          <t xml:space="preserve">500-990 шт - </t>
        </is>
      </c>
      <c r="O1365" s="47" t="inlineStr">
        <is>
          <t xml:space="preserve"> руб / шт с НДС</t>
        </is>
      </c>
      <c r="P1365" s="125">
        <f>ROUND(K1365,2)</f>
        <v/>
      </c>
      <c r="Q1365" s="207">
        <f>CONCATENATE(N1365,P1365,O1365,)</f>
        <v/>
      </c>
      <c r="R1365" s="240" t="n"/>
      <c r="T1365" s="241" t="n"/>
      <c r="U1365" s="240" t="n"/>
      <c r="V1365" s="241" t="n"/>
      <c r="Z1365" s="240" t="n"/>
      <c r="AB1365" s="241" t="n"/>
      <c r="AC1365" s="240" t="n"/>
      <c r="AD1365" s="241" t="n"/>
    </row>
    <row r="1366">
      <c r="B1366" s="42" t="n">
        <v>274</v>
      </c>
      <c r="C1366" s="118">
        <f>INDIRECT("'Закуп'!A" &amp; B1366)</f>
        <v/>
      </c>
      <c r="D1366" s="119">
        <f>C1366*1.2</f>
        <v/>
      </c>
      <c r="G1366" s="172">
        <f>IF(INDIRECT("'Закуп'!L" &amp; B1366)="Sale","Sale","")</f>
        <v/>
      </c>
      <c r="H1366" s="158">
        <f>IF(INDIRECT("'Закуп'!F" &amp; B1366)=0,"",INDIRECT("'Закуп'!F" &amp; B1366))</f>
        <v/>
      </c>
      <c r="I1366" s="120" t="n">
        <v>1000</v>
      </c>
      <c r="J1366" s="121">
        <f>K1366/1.2</f>
        <v/>
      </c>
      <c r="K1366" s="70" t="n">
        <v>1.42</v>
      </c>
      <c r="L1366" s="122">
        <f>J1366-C1366-(J1366-C1366)*0.2</f>
        <v/>
      </c>
      <c r="M1366" s="123">
        <f>L1366*I1366</f>
        <v/>
      </c>
      <c r="N1366" s="124" t="inlineStr">
        <is>
          <t xml:space="preserve">1000 + шт - </t>
        </is>
      </c>
      <c r="O1366" s="47" t="inlineStr">
        <is>
          <t xml:space="preserve"> руб / шт с НДС</t>
        </is>
      </c>
      <c r="P1366" s="125">
        <f>ROUND(K1366,2)</f>
        <v/>
      </c>
      <c r="Q1366" s="207">
        <f>CONCATENATE(N1366,P1366,O1366,)</f>
        <v/>
      </c>
      <c r="R1366" s="240" t="n"/>
      <c r="T1366" s="241" t="n"/>
      <c r="U1366" s="240" t="n"/>
      <c r="V1366" s="241" t="n"/>
      <c r="Z1366" s="240" t="n"/>
      <c r="AB1366" s="241" t="n"/>
      <c r="AC1366" s="240" t="n"/>
      <c r="AD1366" s="241" t="n"/>
    </row>
    <row r="1367">
      <c r="A1367" s="232" t="n">
        <v>275</v>
      </c>
      <c r="B1367" s="42" t="n">
        <v>275</v>
      </c>
      <c r="C1367" s="118">
        <f>INDIRECT("'Закуп'!A" &amp; B1367)</f>
        <v/>
      </c>
      <c r="D1367" s="119">
        <f>C1367*1.2</f>
        <v/>
      </c>
      <c r="E1367" s="225">
        <f>INDIRECT("'Закуп'!D" &amp; A1367)</f>
        <v/>
      </c>
      <c r="F1367" s="231">
        <f>INDIRECT("'Закуп'!E" &amp; B1367)</f>
        <v/>
      </c>
      <c r="G1367" s="172">
        <f>IF(INDIRECT("'Закуп'!L" &amp; B1367)="Sale","Sale","")</f>
        <v/>
      </c>
      <c r="H1367" s="158">
        <f>IF(INDIRECT("'Закуп'!F" &amp; B1367)=0,"",INDIRECT("'Закуп'!F" &amp; B1367))</f>
        <v/>
      </c>
      <c r="I1367" s="120" t="n">
        <v>50</v>
      </c>
      <c r="J1367" s="121">
        <f>K1367/1.2</f>
        <v/>
      </c>
      <c r="K1367" s="70" t="n">
        <v>2.44</v>
      </c>
      <c r="L1367" s="122">
        <f>J1367-C1367-(J1367-C1367)*0.2</f>
        <v/>
      </c>
      <c r="M1367" s="123">
        <f>L1367*I1367</f>
        <v/>
      </c>
      <c r="N1367" s="124" t="inlineStr">
        <is>
          <t xml:space="preserve">50-90 шт - </t>
        </is>
      </c>
      <c r="O1367" s="47" t="inlineStr">
        <is>
          <t xml:space="preserve"> руб / шт с НДС</t>
        </is>
      </c>
      <c r="P1367" s="125">
        <f>ROUND(K1367,2)</f>
        <v/>
      </c>
      <c r="Q1367" s="207">
        <f>CONCATENATE(N1367,P1367,O1367,)</f>
        <v/>
      </c>
      <c r="R1367" s="235">
        <f>INDIRECT("'Закуп'!k" &amp; A1367)</f>
        <v/>
      </c>
      <c r="S1367" s="239">
        <f>INDIRECT("'Закуп'!o" &amp; A1367)</f>
        <v/>
      </c>
      <c r="T1367" s="226">
        <f>INDIRECT("'Закуп'!p" &amp; A1367)</f>
        <v/>
      </c>
      <c r="U1367" s="235">
        <f>INDIRECT("'Закуп'!v" &amp; A1367)</f>
        <v/>
      </c>
      <c r="V1367" s="222">
        <f>INDIRECT("'Закуп'!w" &amp; A1367)</f>
        <v/>
      </c>
      <c r="W1367" s="229">
        <f>INDIRECT("'Закуп'!H" &amp; A1367)</f>
        <v/>
      </c>
      <c r="X1367" s="237">
        <f>INDIRECT("'Закуп'!g" &amp; A1367)</f>
        <v/>
      </c>
      <c r="Y1367" s="229">
        <f>INDIRECT("'Закуп'!i" &amp; A1367)</f>
        <v/>
      </c>
      <c r="Z1367" s="236">
        <f>INDIRECT("'Закуп'!x" &amp; A1367)</f>
        <v/>
      </c>
      <c r="AA1367" s="237">
        <f>INDIRECT("'Закуп'!y" &amp; A1367)</f>
        <v/>
      </c>
      <c r="AB1367" s="238">
        <f>INDIRECT("'Закуп'!z" &amp; A1367)</f>
        <v/>
      </c>
      <c r="AC1367" s="223">
        <f>SUBSTITUTE(INDEX(F:F, ROUNDUP((ROW(A1366))/5,0)*5 - 3), "х", "x")</f>
        <v/>
      </c>
      <c r="AD1367" s="222">
        <f>SUBSTITUTE(INDEX(F:F, ROUNDUP((ROW(A1366))/5,0)*5 - 3), "х", "x") &amp; " - " &amp; SUBSTITUTE(SUBSTITUTE(INDEX(F:F, ROUNDUP((ROW(A1366))/5,0)*5 - 3), "х", "*"), "x", "*") &amp; " мм"</f>
        <v/>
      </c>
    </row>
    <row r="1368">
      <c r="B1368" s="42" t="n">
        <v>275</v>
      </c>
      <c r="C1368" s="118">
        <f>INDIRECT("'Закуп'!A" &amp; B1368)</f>
        <v/>
      </c>
      <c r="D1368" s="119">
        <f>C1368*1.2</f>
        <v/>
      </c>
      <c r="G1368" s="172">
        <f>IF(INDIRECT("'Закуп'!L" &amp; B1368)="Sale","Sale","")</f>
        <v/>
      </c>
      <c r="H1368" s="158">
        <f>IF(INDIRECT("'Закуп'!F" &amp; B1368)=0,"",INDIRECT("'Закуп'!F" &amp; B1368))</f>
        <v/>
      </c>
      <c r="I1368" s="120" t="n">
        <v>100</v>
      </c>
      <c r="J1368" s="121">
        <f>K1368/1.2</f>
        <v/>
      </c>
      <c r="K1368" s="70" t="n">
        <v>2.08</v>
      </c>
      <c r="L1368" s="122">
        <f>J1368-C1368-(J1368-C1368)*0.2</f>
        <v/>
      </c>
      <c r="M1368" s="123">
        <f>L1368*I1368</f>
        <v/>
      </c>
      <c r="N1368" s="124" t="inlineStr">
        <is>
          <t xml:space="preserve">100-290 шт - </t>
        </is>
      </c>
      <c r="O1368" s="47" t="inlineStr">
        <is>
          <t xml:space="preserve"> руб / шт с НДС</t>
        </is>
      </c>
      <c r="P1368" s="125">
        <f>ROUND(K1368,2)</f>
        <v/>
      </c>
      <c r="Q1368" s="207">
        <f>CONCATENATE(N1368,P1368,O1368,)</f>
        <v/>
      </c>
      <c r="R1368" s="240" t="n"/>
      <c r="T1368" s="241" t="n"/>
      <c r="U1368" s="240" t="n"/>
      <c r="V1368" s="241" t="n"/>
      <c r="Z1368" s="240" t="n"/>
      <c r="AB1368" s="241" t="n"/>
      <c r="AC1368" s="240" t="n"/>
      <c r="AD1368" s="241" t="n"/>
    </row>
    <row r="1369">
      <c r="B1369" s="42" t="n">
        <v>275</v>
      </c>
      <c r="C1369" s="118">
        <f>INDIRECT("'Закуп'!A" &amp; B1369)</f>
        <v/>
      </c>
      <c r="D1369" s="119">
        <f>C1369*1.2</f>
        <v/>
      </c>
      <c r="G1369" s="172">
        <f>IF(INDIRECT("'Закуп'!L" &amp; B1369)="Sale","Sale","")</f>
        <v/>
      </c>
      <c r="H1369" s="158">
        <f>IF(INDIRECT("'Закуп'!F" &amp; B1369)=0,"",INDIRECT("'Закуп'!F" &amp; B1369))</f>
        <v/>
      </c>
      <c r="I1369" s="120" t="n">
        <v>300</v>
      </c>
      <c r="J1369" s="121">
        <f>K1369/1.2</f>
        <v/>
      </c>
      <c r="K1369" s="70" t="n">
        <v>1.81</v>
      </c>
      <c r="L1369" s="122">
        <f>J1369-C1369-(J1369-C1369)*0.2</f>
        <v/>
      </c>
      <c r="M1369" s="123">
        <f>L1369*I1369</f>
        <v/>
      </c>
      <c r="N1369" s="124" t="inlineStr">
        <is>
          <t xml:space="preserve">300-490 шт - </t>
        </is>
      </c>
      <c r="O1369" s="47" t="inlineStr">
        <is>
          <t xml:space="preserve"> руб / шт с НДС</t>
        </is>
      </c>
      <c r="P1369" s="125">
        <f>ROUND(K1369,2)</f>
        <v/>
      </c>
      <c r="Q1369" s="207">
        <f>CONCATENATE(N1369,P1369,O1369,)</f>
        <v/>
      </c>
      <c r="R1369" s="240" t="n"/>
      <c r="T1369" s="241" t="n"/>
      <c r="U1369" s="240" t="n"/>
      <c r="V1369" s="241" t="n"/>
      <c r="Z1369" s="240" t="n"/>
      <c r="AB1369" s="241" t="n"/>
      <c r="AC1369" s="240" t="n"/>
      <c r="AD1369" s="241" t="n"/>
    </row>
    <row r="1370">
      <c r="B1370" s="42" t="n">
        <v>275</v>
      </c>
      <c r="C1370" s="118">
        <f>INDIRECT("'Закуп'!A" &amp; B1370)</f>
        <v/>
      </c>
      <c r="D1370" s="119">
        <f>C1370*1.2</f>
        <v/>
      </c>
      <c r="G1370" s="172">
        <f>IF(INDIRECT("'Закуп'!L" &amp; B1370)="Sale","Sale","")</f>
        <v/>
      </c>
      <c r="H1370" s="158">
        <f>IF(INDIRECT("'Закуп'!F" &amp; B1370)=0,"",INDIRECT("'Закуп'!F" &amp; B1370))</f>
        <v/>
      </c>
      <c r="I1370" s="120" t="n">
        <v>500</v>
      </c>
      <c r="J1370" s="121">
        <f>K1370/1.2</f>
        <v/>
      </c>
      <c r="K1370" s="70" t="n">
        <v>1.63</v>
      </c>
      <c r="L1370" s="122">
        <f>J1370-C1370-(J1370-C1370)*0.2</f>
        <v/>
      </c>
      <c r="M1370" s="123">
        <f>L1370*I1370</f>
        <v/>
      </c>
      <c r="N1370" s="124" t="inlineStr">
        <is>
          <t xml:space="preserve">500-990 шт - </t>
        </is>
      </c>
      <c r="O1370" s="47" t="inlineStr">
        <is>
          <t xml:space="preserve"> руб / шт с НДС</t>
        </is>
      </c>
      <c r="P1370" s="125">
        <f>ROUND(K1370,2)</f>
        <v/>
      </c>
      <c r="Q1370" s="207">
        <f>CONCATENATE(N1370,P1370,O1370,)</f>
        <v/>
      </c>
      <c r="R1370" s="240" t="n"/>
      <c r="T1370" s="241" t="n"/>
      <c r="U1370" s="240" t="n"/>
      <c r="V1370" s="241" t="n"/>
      <c r="Z1370" s="240" t="n"/>
      <c r="AB1370" s="241" t="n"/>
      <c r="AC1370" s="240" t="n"/>
      <c r="AD1370" s="241" t="n"/>
    </row>
    <row r="1371">
      <c r="B1371" s="42" t="n">
        <v>275</v>
      </c>
      <c r="C1371" s="118">
        <f>INDIRECT("'Закуп'!A" &amp; B1371)</f>
        <v/>
      </c>
      <c r="D1371" s="119">
        <f>C1371*1.2</f>
        <v/>
      </c>
      <c r="G1371" s="172">
        <f>IF(INDIRECT("'Закуп'!L" &amp; B1371)="Sale","Sale","")</f>
        <v/>
      </c>
      <c r="H1371" s="158">
        <f>IF(INDIRECT("'Закуп'!F" &amp; B1371)=0,"",INDIRECT("'Закуп'!F" &amp; B1371))</f>
        <v/>
      </c>
      <c r="I1371" s="120" t="n">
        <v>1000</v>
      </c>
      <c r="J1371" s="121">
        <f>K1371/1.2</f>
        <v/>
      </c>
      <c r="K1371" s="70" t="n">
        <v>1.54</v>
      </c>
      <c r="L1371" s="122">
        <f>J1371-C1371-(J1371-C1371)*0.2</f>
        <v/>
      </c>
      <c r="M1371" s="123">
        <f>L1371*I1371</f>
        <v/>
      </c>
      <c r="N1371" s="124" t="inlineStr">
        <is>
          <t xml:space="preserve">1000 + шт - </t>
        </is>
      </c>
      <c r="O1371" s="47" t="inlineStr">
        <is>
          <t xml:space="preserve"> руб / шт с НДС</t>
        </is>
      </c>
      <c r="P1371" s="125">
        <f>ROUND(K1371,2)</f>
        <v/>
      </c>
      <c r="Q1371" s="207">
        <f>CONCATENATE(N1371,P1371,O1371,)</f>
        <v/>
      </c>
      <c r="R1371" s="240" t="n"/>
      <c r="T1371" s="241" t="n"/>
      <c r="U1371" s="240" t="n"/>
      <c r="V1371" s="241" t="n"/>
      <c r="Z1371" s="240" t="n"/>
      <c r="AB1371" s="241" t="n"/>
      <c r="AC1371" s="240" t="n"/>
      <c r="AD1371" s="241" t="n"/>
    </row>
    <row r="1372">
      <c r="A1372" s="232" t="n">
        <v>276</v>
      </c>
      <c r="B1372" s="42" t="n">
        <v>276</v>
      </c>
      <c r="C1372" s="118">
        <f>INDIRECT("'Закуп'!A" &amp; B1372)</f>
        <v/>
      </c>
      <c r="D1372" s="119">
        <f>C1372*1.2</f>
        <v/>
      </c>
      <c r="E1372" s="225">
        <f>INDIRECT("'Закуп'!D" &amp; A1372)</f>
        <v/>
      </c>
      <c r="F1372" s="231">
        <f>INDIRECT("'Закуп'!E" &amp; B1372)</f>
        <v/>
      </c>
      <c r="G1372" s="172">
        <f>IF(INDIRECT("'Закуп'!L" &amp; B1372)="Sale","Sale","")</f>
        <v/>
      </c>
      <c r="H1372" s="158">
        <f>IF(INDIRECT("'Закуп'!F" &amp; B1372)=0,"",INDIRECT("'Закуп'!F" &amp; B1372))</f>
        <v/>
      </c>
      <c r="I1372" s="120" t="n">
        <v>50</v>
      </c>
      <c r="J1372" s="121">
        <f>K1372/1.2</f>
        <v/>
      </c>
      <c r="K1372" s="242" t="n">
        <v>1.13</v>
      </c>
      <c r="L1372" s="122">
        <f>J1372-C1372-(J1372-C1372)*0.2</f>
        <v/>
      </c>
      <c r="M1372" s="123">
        <f>L1372*I1372</f>
        <v/>
      </c>
      <c r="N1372" s="124" t="inlineStr">
        <is>
          <t xml:space="preserve">50-90 шт - </t>
        </is>
      </c>
      <c r="O1372" s="47" t="inlineStr">
        <is>
          <t xml:space="preserve"> руб / шт с НДС</t>
        </is>
      </c>
      <c r="P1372" s="125">
        <f>ROUND(K1372,2)</f>
        <v/>
      </c>
      <c r="Q1372" s="207">
        <f>CONCATENATE(N1372,P1372,O1372,)</f>
        <v/>
      </c>
      <c r="R1372" s="235">
        <f>INDIRECT("'Закуп'!k" &amp; A1372)</f>
        <v/>
      </c>
      <c r="S1372" s="239">
        <f>INDIRECT("'Закуп'!o" &amp; A1372)</f>
        <v/>
      </c>
      <c r="T1372" s="226">
        <f>INDIRECT("'Закуп'!p" &amp; A1372)</f>
        <v/>
      </c>
      <c r="U1372" s="235">
        <f>INDIRECT("'Закуп'!v" &amp; A1372)</f>
        <v/>
      </c>
      <c r="V1372" s="222">
        <f>INDIRECT("'Закуп'!w" &amp; A1372)</f>
        <v/>
      </c>
      <c r="W1372" s="229">
        <f>INDIRECT("'Закуп'!H" &amp; A1372)</f>
        <v/>
      </c>
      <c r="X1372" s="237">
        <f>INDIRECT("'Закуп'!g" &amp; A1372)</f>
        <v/>
      </c>
      <c r="Y1372" s="229">
        <f>INDIRECT("'Закуп'!i" &amp; A1372)</f>
        <v/>
      </c>
      <c r="Z1372" s="236">
        <f>INDIRECT("'Закуп'!x" &amp; A1372)</f>
        <v/>
      </c>
      <c r="AA1372" s="237">
        <f>INDIRECT("'Закуп'!y" &amp; A1372)</f>
        <v/>
      </c>
      <c r="AB1372" s="238">
        <f>INDIRECT("'Закуп'!z" &amp; A1372)</f>
        <v/>
      </c>
      <c r="AC1372" s="223">
        <f>SUBSTITUTE(INDEX(F:F, ROUNDUP((ROW(A1371))/5,0)*5 - 3), "х", "x")</f>
        <v/>
      </c>
      <c r="AD1372" s="222">
        <f>SUBSTITUTE(INDEX(F:F, ROUNDUP((ROW(A1371))/5,0)*5 - 3), "х", "x") &amp; " - " &amp; SUBSTITUTE(SUBSTITUTE(INDEX(F:F, ROUNDUP((ROW(A1371))/5,0)*5 - 3), "х", "*"), "x", "*") &amp; " мм"</f>
        <v/>
      </c>
      <c r="AE1372" t="n">
        <v>1.53</v>
      </c>
    </row>
    <row r="1373">
      <c r="B1373" s="42" t="n">
        <v>276</v>
      </c>
      <c r="C1373" s="118">
        <f>INDIRECT("'Закуп'!A" &amp; B1373)</f>
        <v/>
      </c>
      <c r="D1373" s="119">
        <f>C1373*1.2</f>
        <v/>
      </c>
      <c r="G1373" s="172">
        <f>IF(INDIRECT("'Закуп'!L" &amp; B1373)="Sale","Sale","")</f>
        <v/>
      </c>
      <c r="H1373" s="158">
        <f>IF(INDIRECT("'Закуп'!F" &amp; B1373)=0,"",INDIRECT("'Закуп'!F" &amp; B1373))</f>
        <v/>
      </c>
      <c r="I1373" s="120" t="n">
        <v>100</v>
      </c>
      <c r="J1373" s="121">
        <f>K1373/1.2</f>
        <v/>
      </c>
      <c r="K1373" s="242" t="n">
        <v>1</v>
      </c>
      <c r="L1373" s="122">
        <f>J1373-C1373-(J1373-C1373)*0.2</f>
        <v/>
      </c>
      <c r="M1373" s="123">
        <f>L1373*I1373</f>
        <v/>
      </c>
      <c r="N1373" s="124" t="inlineStr">
        <is>
          <t xml:space="preserve">100-290 шт - </t>
        </is>
      </c>
      <c r="O1373" s="47" t="inlineStr">
        <is>
          <t xml:space="preserve"> руб / шт с НДС</t>
        </is>
      </c>
      <c r="P1373" s="125">
        <f>ROUND(K1373,2)</f>
        <v/>
      </c>
      <c r="Q1373" s="207">
        <f>CONCATENATE(N1373,P1373,O1373,)</f>
        <v/>
      </c>
      <c r="R1373" s="240" t="n"/>
      <c r="T1373" s="241" t="n"/>
      <c r="U1373" s="240" t="n"/>
      <c r="V1373" s="241" t="n"/>
      <c r="Z1373" s="240" t="n"/>
      <c r="AB1373" s="241" t="n"/>
      <c r="AC1373" s="240" t="n"/>
      <c r="AD1373" s="241" t="n"/>
      <c r="AE1373" t="n">
        <v>1.39</v>
      </c>
    </row>
    <row r="1374">
      <c r="B1374" s="42" t="n">
        <v>276</v>
      </c>
      <c r="C1374" s="118">
        <f>INDIRECT("'Закуп'!A" &amp; B1374)</f>
        <v/>
      </c>
      <c r="D1374" s="119">
        <f>C1374*1.2</f>
        <v/>
      </c>
      <c r="G1374" s="172">
        <f>IF(INDIRECT("'Закуп'!L" &amp; B1374)="Sale","Sale","")</f>
        <v/>
      </c>
      <c r="H1374" s="158">
        <f>IF(INDIRECT("'Закуп'!F" &amp; B1374)=0,"",INDIRECT("'Закуп'!F" &amp; B1374))</f>
        <v/>
      </c>
      <c r="I1374" s="120" t="n">
        <v>300</v>
      </c>
      <c r="J1374" s="121">
        <f>K1374/1.2</f>
        <v/>
      </c>
      <c r="K1374" s="242" t="n">
        <v>0.87</v>
      </c>
      <c r="L1374" s="122">
        <f>J1374-C1374-(J1374-C1374)*0.2</f>
        <v/>
      </c>
      <c r="M1374" s="123">
        <f>L1374*I1374</f>
        <v/>
      </c>
      <c r="N1374" s="124" t="inlineStr">
        <is>
          <t xml:space="preserve">300-490 шт - </t>
        </is>
      </c>
      <c r="O1374" s="47" t="inlineStr">
        <is>
          <t xml:space="preserve"> руб / шт с НДС</t>
        </is>
      </c>
      <c r="P1374" s="125">
        <f>ROUND(K1374,2)</f>
        <v/>
      </c>
      <c r="Q1374" s="207">
        <f>CONCATENATE(N1374,P1374,O1374,)</f>
        <v/>
      </c>
      <c r="R1374" s="240" t="n"/>
      <c r="T1374" s="241" t="n"/>
      <c r="U1374" s="240" t="n"/>
      <c r="V1374" s="241" t="n"/>
      <c r="Z1374" s="240" t="n"/>
      <c r="AB1374" s="241" t="n"/>
      <c r="AC1374" s="240" t="n"/>
      <c r="AD1374" s="241" t="n"/>
      <c r="AE1374" t="n">
        <v>1.28</v>
      </c>
    </row>
    <row r="1375">
      <c r="B1375" s="42" t="n">
        <v>276</v>
      </c>
      <c r="C1375" s="118">
        <f>INDIRECT("'Закуп'!A" &amp; B1375)</f>
        <v/>
      </c>
      <c r="D1375" s="119">
        <f>C1375*1.2</f>
        <v/>
      </c>
      <c r="G1375" s="172">
        <f>IF(INDIRECT("'Закуп'!L" &amp; B1375)="Sale","Sale","")</f>
        <v/>
      </c>
      <c r="H1375" s="158">
        <f>IF(INDIRECT("'Закуп'!F" &amp; B1375)=0,"",INDIRECT("'Закуп'!F" &amp; B1375))</f>
        <v/>
      </c>
      <c r="I1375" s="120" t="n">
        <v>500</v>
      </c>
      <c r="J1375" s="121">
        <f>K1375/1.2</f>
        <v/>
      </c>
      <c r="K1375" s="242" t="n">
        <v>0.8</v>
      </c>
      <c r="L1375" s="122">
        <f>J1375-C1375-(J1375-C1375)*0.2</f>
        <v/>
      </c>
      <c r="M1375" s="123">
        <f>L1375*I1375</f>
        <v/>
      </c>
      <c r="N1375" s="124" t="inlineStr">
        <is>
          <t xml:space="preserve">500-990 шт - </t>
        </is>
      </c>
      <c r="O1375" s="47" t="inlineStr">
        <is>
          <t xml:space="preserve"> руб / шт с НДС</t>
        </is>
      </c>
      <c r="P1375" s="125">
        <f>ROUND(K1375,2)</f>
        <v/>
      </c>
      <c r="Q1375" s="207">
        <f>CONCATENATE(N1375,P1375,O1375,)</f>
        <v/>
      </c>
      <c r="R1375" s="240" t="n"/>
      <c r="T1375" s="241" t="n"/>
      <c r="U1375" s="240" t="n"/>
      <c r="V1375" s="241" t="n"/>
      <c r="Z1375" s="240" t="n"/>
      <c r="AB1375" s="241" t="n"/>
      <c r="AC1375" s="240" t="n"/>
      <c r="AD1375" s="241" t="n"/>
      <c r="AE1375" t="n">
        <v>1.18</v>
      </c>
    </row>
    <row r="1376">
      <c r="B1376" s="42" t="n">
        <v>276</v>
      </c>
      <c r="C1376" s="118">
        <f>INDIRECT("'Закуп'!A" &amp; B1376)</f>
        <v/>
      </c>
      <c r="D1376" s="119">
        <f>C1376*1.2</f>
        <v/>
      </c>
      <c r="G1376" s="172">
        <f>IF(INDIRECT("'Закуп'!L" &amp; B1376)="Sale","Sale","")</f>
        <v/>
      </c>
      <c r="H1376" s="158">
        <f>IF(INDIRECT("'Закуп'!F" &amp; B1376)=0,"",INDIRECT("'Закуп'!F" &amp; B1376))</f>
        <v/>
      </c>
      <c r="I1376" s="120" t="n">
        <v>1000</v>
      </c>
      <c r="J1376" s="121">
        <f>K1376/1.2</f>
        <v/>
      </c>
      <c r="K1376" s="242" t="n">
        <v>0.67</v>
      </c>
      <c r="L1376" s="122">
        <f>J1376-C1376-(J1376-C1376)*0.2</f>
        <v/>
      </c>
      <c r="M1376" s="123">
        <f>L1376*I1376</f>
        <v/>
      </c>
      <c r="N1376" s="124" t="inlineStr">
        <is>
          <t xml:space="preserve">1000 + шт - </t>
        </is>
      </c>
      <c r="O1376" s="47" t="inlineStr">
        <is>
          <t xml:space="preserve"> руб / шт с НДС</t>
        </is>
      </c>
      <c r="P1376" s="125">
        <f>ROUND(K1376,2)</f>
        <v/>
      </c>
      <c r="Q1376" s="207">
        <f>CONCATENATE(N1376,P1376,O1376,)</f>
        <v/>
      </c>
      <c r="R1376" s="240" t="n"/>
      <c r="T1376" s="241" t="n"/>
      <c r="U1376" s="240" t="n"/>
      <c r="V1376" s="241" t="n"/>
      <c r="Z1376" s="240" t="n"/>
      <c r="AB1376" s="241" t="n"/>
      <c r="AC1376" s="240" t="n"/>
      <c r="AD1376" s="241" t="n"/>
      <c r="AE1376" t="n">
        <v>1.07</v>
      </c>
    </row>
    <row r="1377">
      <c r="A1377" s="232" t="n">
        <v>277</v>
      </c>
      <c r="B1377" s="42" t="n">
        <v>277</v>
      </c>
      <c r="C1377" s="118">
        <f>INDIRECT("'Закуп'!A" &amp; B1377)</f>
        <v/>
      </c>
      <c r="D1377" s="119">
        <f>C1377*1.2</f>
        <v/>
      </c>
      <c r="E1377" s="224">
        <f>INDIRECT("'Закуп'!D" &amp; A1377)</f>
        <v/>
      </c>
      <c r="F1377" s="231">
        <f>INDIRECT("'Закуп'!E" &amp; B1377)</f>
        <v/>
      </c>
      <c r="G1377" s="172">
        <f>IF(INDIRECT("'Закуп'!L" &amp; B1377)="Sale","Sale","")</f>
        <v/>
      </c>
      <c r="H1377" s="158">
        <f>IF(INDIRECT("'Закуп'!F" &amp; B1377)=0,"",INDIRECT("'Закуп'!F" &amp; B1377))</f>
        <v/>
      </c>
      <c r="I1377" s="120" t="n">
        <v>50</v>
      </c>
      <c r="J1377" s="121">
        <f>K1377/1.2</f>
        <v/>
      </c>
      <c r="K1377" s="70" t="n">
        <v>1.18</v>
      </c>
      <c r="L1377" s="122">
        <f>J1377-C1377-(J1377-C1377)*0.2</f>
        <v/>
      </c>
      <c r="M1377" s="123">
        <f>L1377*I1377</f>
        <v/>
      </c>
      <c r="N1377" s="124" t="inlineStr">
        <is>
          <t xml:space="preserve">50-90 шт - </t>
        </is>
      </c>
      <c r="O1377" s="47" t="inlineStr">
        <is>
          <t xml:space="preserve"> руб / шт с НДС</t>
        </is>
      </c>
      <c r="P1377" s="125">
        <f>ROUND(K1377,2)</f>
        <v/>
      </c>
      <c r="Q1377" s="207">
        <f>CONCATENATE(N1377,P1377,O1377,)</f>
        <v/>
      </c>
      <c r="R1377" s="235">
        <f>INDIRECT("'Закуп'!k" &amp; A1377)</f>
        <v/>
      </c>
      <c r="S1377" s="239">
        <f>INDIRECT("'Закуп'!o" &amp; A1377)</f>
        <v/>
      </c>
      <c r="T1377" s="226">
        <f>INDIRECT("'Закуп'!p" &amp; A1377)</f>
        <v/>
      </c>
      <c r="U1377" s="235">
        <f>INDIRECT("'Закуп'!v" &amp; A1377)</f>
        <v/>
      </c>
      <c r="V1377" s="222">
        <f>INDIRECT("'Закуп'!w" &amp; A1377)</f>
        <v/>
      </c>
      <c r="W1377" s="229">
        <f>INDIRECT("'Закуп'!H" &amp; A1377)</f>
        <v/>
      </c>
      <c r="X1377" s="237">
        <f>INDIRECT("'Закуп'!g" &amp; A1377)</f>
        <v/>
      </c>
      <c r="Y1377" s="229">
        <f>INDIRECT("'Закуп'!i" &amp; A1377)</f>
        <v/>
      </c>
      <c r="Z1377" s="236">
        <f>INDIRECT("'Закуп'!x" &amp; A1377)</f>
        <v/>
      </c>
      <c r="AA1377" s="237">
        <f>INDIRECT("'Закуп'!y" &amp; A1377)</f>
        <v/>
      </c>
      <c r="AB1377" s="238">
        <f>INDIRECT("'Закуп'!z" &amp; A1377)</f>
        <v/>
      </c>
      <c r="AC1377" s="223">
        <f>SUBSTITUTE(INDEX(F:F, ROUNDUP((ROW(A1376))/5,0)*5 - 3), "х", "x")</f>
        <v/>
      </c>
      <c r="AD1377" s="222">
        <f>SUBSTITUTE(INDEX(F:F, ROUNDUP((ROW(A1376))/5,0)*5 - 3), "х", "x") &amp; " - " &amp; SUBSTITUTE(SUBSTITUTE(INDEX(F:F, ROUNDUP((ROW(A1376))/5,0)*5 - 3), "х", "*"), "x", "*") &amp; " мм"</f>
        <v/>
      </c>
    </row>
    <row r="1378">
      <c r="B1378" s="42" t="n">
        <v>277</v>
      </c>
      <c r="C1378" s="118">
        <f>INDIRECT("'Закуп'!A" &amp; B1378)</f>
        <v/>
      </c>
      <c r="D1378" s="119">
        <f>C1378*1.2</f>
        <v/>
      </c>
      <c r="G1378" s="172">
        <f>IF(INDIRECT("'Закуп'!L" &amp; B1378)="Sale","Sale","")</f>
        <v/>
      </c>
      <c r="H1378" s="158">
        <f>IF(INDIRECT("'Закуп'!F" &amp; B1378)=0,"",INDIRECT("'Закуп'!F" &amp; B1378))</f>
        <v/>
      </c>
      <c r="I1378" s="120" t="n">
        <v>100</v>
      </c>
      <c r="J1378" s="121">
        <f>K1378/1.2</f>
        <v/>
      </c>
      <c r="K1378" s="70" t="n">
        <v>1.07</v>
      </c>
      <c r="L1378" s="122">
        <f>J1378-C1378-(J1378-C1378)*0.2</f>
        <v/>
      </c>
      <c r="M1378" s="123">
        <f>L1378*I1378</f>
        <v/>
      </c>
      <c r="N1378" s="124" t="inlineStr">
        <is>
          <t xml:space="preserve">100-290 шт - </t>
        </is>
      </c>
      <c r="O1378" s="47" t="inlineStr">
        <is>
          <t xml:space="preserve"> руб / шт с НДС</t>
        </is>
      </c>
      <c r="P1378" s="125">
        <f>ROUND(K1378,2)</f>
        <v/>
      </c>
      <c r="Q1378" s="207">
        <f>CONCATENATE(N1378,P1378,O1378,)</f>
        <v/>
      </c>
      <c r="R1378" s="240" t="n"/>
      <c r="T1378" s="241" t="n"/>
      <c r="U1378" s="240" t="n"/>
      <c r="V1378" s="241" t="n"/>
      <c r="Z1378" s="240" t="n"/>
      <c r="AB1378" s="241" t="n"/>
      <c r="AC1378" s="240" t="n"/>
      <c r="AD1378" s="241" t="n"/>
    </row>
    <row r="1379">
      <c r="B1379" s="42" t="n">
        <v>277</v>
      </c>
      <c r="C1379" s="118">
        <f>INDIRECT("'Закуп'!A" &amp; B1379)</f>
        <v/>
      </c>
      <c r="D1379" s="119">
        <f>C1379*1.2</f>
        <v/>
      </c>
      <c r="G1379" s="172">
        <f>IF(INDIRECT("'Закуп'!L" &amp; B1379)="Sale","Sale","")</f>
        <v/>
      </c>
      <c r="H1379" s="158">
        <f>IF(INDIRECT("'Закуп'!F" &amp; B1379)=0,"",INDIRECT("'Закуп'!F" &amp; B1379))</f>
        <v/>
      </c>
      <c r="I1379" s="120" t="n">
        <v>300</v>
      </c>
      <c r="J1379" s="121">
        <f>K1379/1.2</f>
        <v/>
      </c>
      <c r="K1379" s="70" t="n">
        <v>0.91</v>
      </c>
      <c r="L1379" s="122">
        <f>J1379-C1379-(J1379-C1379)*0.2</f>
        <v/>
      </c>
      <c r="M1379" s="123">
        <f>L1379*I1379</f>
        <v/>
      </c>
      <c r="N1379" s="124" t="inlineStr">
        <is>
          <t xml:space="preserve">300-490 шт - </t>
        </is>
      </c>
      <c r="O1379" s="47" t="inlineStr">
        <is>
          <t xml:space="preserve"> руб / шт с НДС</t>
        </is>
      </c>
      <c r="P1379" s="125">
        <f>ROUND(K1379,2)</f>
        <v/>
      </c>
      <c r="Q1379" s="207">
        <f>CONCATENATE(N1379,P1379,O1379,)</f>
        <v/>
      </c>
      <c r="R1379" s="240" t="n"/>
      <c r="T1379" s="241" t="n"/>
      <c r="U1379" s="240" t="n"/>
      <c r="V1379" s="241" t="n"/>
      <c r="Z1379" s="240" t="n"/>
      <c r="AB1379" s="241" t="n"/>
      <c r="AC1379" s="240" t="n"/>
      <c r="AD1379" s="241" t="n"/>
    </row>
    <row r="1380">
      <c r="B1380" s="42" t="n">
        <v>277</v>
      </c>
      <c r="C1380" s="118">
        <f>INDIRECT("'Закуп'!A" &amp; B1380)</f>
        <v/>
      </c>
      <c r="D1380" s="119">
        <f>C1380*1.2</f>
        <v/>
      </c>
      <c r="G1380" s="172">
        <f>IF(INDIRECT("'Закуп'!L" &amp; B1380)="Sale","Sale","")</f>
        <v/>
      </c>
      <c r="H1380" s="158">
        <f>IF(INDIRECT("'Закуп'!F" &amp; B1380)=0,"",INDIRECT("'Закуп'!F" &amp; B1380))</f>
        <v/>
      </c>
      <c r="I1380" s="120" t="n">
        <v>500</v>
      </c>
      <c r="J1380" s="121">
        <f>K1380/1.2</f>
        <v/>
      </c>
      <c r="K1380" s="70" t="n">
        <v>0.75</v>
      </c>
      <c r="L1380" s="122">
        <f>J1380-C1380-(J1380-C1380)*0.2</f>
        <v/>
      </c>
      <c r="M1380" s="123">
        <f>L1380*I1380</f>
        <v/>
      </c>
      <c r="N1380" s="124" t="inlineStr">
        <is>
          <t xml:space="preserve">500-990 шт - </t>
        </is>
      </c>
      <c r="O1380" s="47" t="inlineStr">
        <is>
          <t xml:space="preserve"> руб / шт с НДС</t>
        </is>
      </c>
      <c r="P1380" s="125">
        <f>ROUND(K1380,2)</f>
        <v/>
      </c>
      <c r="Q1380" s="207">
        <f>CONCATENATE(N1380,P1380,O1380,)</f>
        <v/>
      </c>
      <c r="R1380" s="240" t="n"/>
      <c r="T1380" s="241" t="n"/>
      <c r="U1380" s="240" t="n"/>
      <c r="V1380" s="241" t="n"/>
      <c r="Z1380" s="240" t="n"/>
      <c r="AB1380" s="241" t="n"/>
      <c r="AC1380" s="240" t="n"/>
      <c r="AD1380" s="241" t="n"/>
    </row>
    <row r="1381">
      <c r="B1381" s="42" t="n">
        <v>277</v>
      </c>
      <c r="C1381" s="118">
        <f>INDIRECT("'Закуп'!A" &amp; B1381)</f>
        <v/>
      </c>
      <c r="D1381" s="119">
        <f>C1381*1.2</f>
        <v/>
      </c>
      <c r="G1381" s="172">
        <f>IF(INDIRECT("'Закуп'!L" &amp; B1381)="Sale","Sale","")</f>
        <v/>
      </c>
      <c r="H1381" s="158">
        <f>IF(INDIRECT("'Закуп'!F" &amp; B1381)=0,"",INDIRECT("'Закуп'!F" &amp; B1381))</f>
        <v/>
      </c>
      <c r="I1381" s="120" t="n">
        <v>1000</v>
      </c>
      <c r="J1381" s="121">
        <f>K1381/1.2</f>
        <v/>
      </c>
      <c r="K1381" s="70" t="n">
        <v>0.59</v>
      </c>
      <c r="L1381" s="122">
        <f>J1381-C1381-(J1381-C1381)*0.2</f>
        <v/>
      </c>
      <c r="M1381" s="123">
        <f>L1381*I1381</f>
        <v/>
      </c>
      <c r="N1381" s="124" t="inlineStr">
        <is>
          <t xml:space="preserve">1000 + шт - </t>
        </is>
      </c>
      <c r="O1381" s="47" t="inlineStr">
        <is>
          <t xml:space="preserve"> руб / шт с НДС</t>
        </is>
      </c>
      <c r="P1381" s="125">
        <f>ROUND(K1381,2)</f>
        <v/>
      </c>
      <c r="Q1381" s="207">
        <f>CONCATENATE(N1381,P1381,O1381,)</f>
        <v/>
      </c>
      <c r="R1381" s="240" t="n"/>
      <c r="T1381" s="241" t="n"/>
      <c r="U1381" s="240" t="n"/>
      <c r="V1381" s="241" t="n"/>
      <c r="Z1381" s="240" t="n"/>
      <c r="AB1381" s="241" t="n"/>
      <c r="AC1381" s="240" t="n"/>
      <c r="AD1381" s="241" t="n"/>
    </row>
    <row r="1382">
      <c r="A1382" s="232" t="n">
        <v>278</v>
      </c>
      <c r="B1382" s="42" t="n">
        <v>278</v>
      </c>
      <c r="C1382" s="118">
        <f>INDIRECT("'Закуп'!A" &amp; B1382)</f>
        <v/>
      </c>
      <c r="D1382" s="119">
        <f>C1382*1.2</f>
        <v/>
      </c>
      <c r="E1382" s="224">
        <f>INDIRECT("'Закуп'!D" &amp; A1382)</f>
        <v/>
      </c>
      <c r="F1382" s="231">
        <f>INDIRECT("'Закуп'!E" &amp; B1382)</f>
        <v/>
      </c>
      <c r="G1382" s="172">
        <f>IF(INDIRECT("'Закуп'!L" &amp; B1382)="Sale","Sale","")</f>
        <v/>
      </c>
      <c r="H1382" s="158">
        <f>IF(INDIRECT("'Закуп'!F" &amp; B1382)=0,"",INDIRECT("'Закуп'!F" &amp; B1382))</f>
        <v/>
      </c>
      <c r="I1382" s="120" t="n">
        <v>50</v>
      </c>
      <c r="J1382" s="121">
        <f>K1382/1.2</f>
        <v/>
      </c>
      <c r="K1382" s="70" t="n">
        <v>1.24</v>
      </c>
      <c r="L1382" s="122">
        <f>J1382-C1382-(J1382-C1382)*0.2</f>
        <v/>
      </c>
      <c r="M1382" s="123">
        <f>L1382*I1382</f>
        <v/>
      </c>
      <c r="N1382" s="124" t="inlineStr">
        <is>
          <t xml:space="preserve">50-90 шт - </t>
        </is>
      </c>
      <c r="O1382" s="47" t="inlineStr">
        <is>
          <t xml:space="preserve"> руб / шт с НДС</t>
        </is>
      </c>
      <c r="P1382" s="125">
        <f>ROUND(K1382,2)</f>
        <v/>
      </c>
      <c r="Q1382" s="207">
        <f>CONCATENATE(N1382,P1382,O1382,)</f>
        <v/>
      </c>
      <c r="R1382" s="235">
        <f>INDIRECT("'Закуп'!k" &amp; A1382)</f>
        <v/>
      </c>
      <c r="S1382" s="239">
        <f>INDIRECT("'Закуп'!o" &amp; A1382)</f>
        <v/>
      </c>
      <c r="T1382" s="226">
        <f>INDIRECT("'Закуп'!p" &amp; A1382)</f>
        <v/>
      </c>
      <c r="U1382" s="235">
        <f>INDIRECT("'Закуп'!v" &amp; A1382)</f>
        <v/>
      </c>
      <c r="V1382" s="222">
        <f>INDIRECT("'Закуп'!w" &amp; A1382)</f>
        <v/>
      </c>
      <c r="W1382" s="229">
        <f>INDIRECT("'Закуп'!H" &amp; A1382)</f>
        <v/>
      </c>
      <c r="X1382" s="237">
        <f>INDIRECT("'Закуп'!g" &amp; A1382)</f>
        <v/>
      </c>
      <c r="Y1382" s="229">
        <f>INDIRECT("'Закуп'!i" &amp; A1382)</f>
        <v/>
      </c>
      <c r="Z1382" s="236">
        <f>INDIRECT("'Закуп'!x" &amp; A1382)</f>
        <v/>
      </c>
      <c r="AA1382" s="237">
        <f>INDIRECT("'Закуп'!y" &amp; A1382)</f>
        <v/>
      </c>
      <c r="AB1382" s="238">
        <f>INDIRECT("'Закуп'!z" &amp; A1382)</f>
        <v/>
      </c>
      <c r="AC1382" s="223">
        <f>SUBSTITUTE(INDEX(F:F, ROUNDUP((ROW(A1381))/5,0)*5 - 3), "х", "x")</f>
        <v/>
      </c>
      <c r="AD1382" s="222">
        <f>SUBSTITUTE(INDEX(F:F, ROUNDUP((ROW(A1381))/5,0)*5 - 3), "х", "x") &amp; " - " &amp; SUBSTITUTE(SUBSTITUTE(INDEX(F:F, ROUNDUP((ROW(A1381))/5,0)*5 - 3), "х", "*"), "x", "*") &amp; " мм"</f>
        <v/>
      </c>
    </row>
    <row r="1383">
      <c r="B1383" s="42" t="n">
        <v>278</v>
      </c>
      <c r="C1383" s="118">
        <f>INDIRECT("'Закуп'!A" &amp; B1383)</f>
        <v/>
      </c>
      <c r="D1383" s="119">
        <f>C1383*1.2</f>
        <v/>
      </c>
      <c r="G1383" s="172">
        <f>IF(INDIRECT("'Закуп'!L" &amp; B1383)="Sale","Sale","")</f>
        <v/>
      </c>
      <c r="H1383" s="158">
        <f>IF(INDIRECT("'Закуп'!F" &amp; B1383)=0,"",INDIRECT("'Закуп'!F" &amp; B1383))</f>
        <v/>
      </c>
      <c r="I1383" s="120" t="n">
        <v>100</v>
      </c>
      <c r="J1383" s="121">
        <f>K1383/1.2</f>
        <v/>
      </c>
      <c r="K1383" s="70" t="n">
        <v>1.13</v>
      </c>
      <c r="L1383" s="122">
        <f>J1383-C1383-(J1383-C1383)*0.2</f>
        <v/>
      </c>
      <c r="M1383" s="123">
        <f>L1383*I1383</f>
        <v/>
      </c>
      <c r="N1383" s="124" t="inlineStr">
        <is>
          <t xml:space="preserve">100-290 шт - </t>
        </is>
      </c>
      <c r="O1383" s="47" t="inlineStr">
        <is>
          <t xml:space="preserve"> руб / шт с НДС</t>
        </is>
      </c>
      <c r="P1383" s="125">
        <f>ROUND(K1383,2)</f>
        <v/>
      </c>
      <c r="Q1383" s="207">
        <f>CONCATENATE(N1383,P1383,O1383,)</f>
        <v/>
      </c>
      <c r="R1383" s="240" t="n"/>
      <c r="T1383" s="241" t="n"/>
      <c r="U1383" s="240" t="n"/>
      <c r="V1383" s="241" t="n"/>
      <c r="Z1383" s="240" t="n"/>
      <c r="AB1383" s="241" t="n"/>
      <c r="AC1383" s="240" t="n"/>
      <c r="AD1383" s="241" t="n"/>
    </row>
    <row r="1384">
      <c r="B1384" s="42" t="n">
        <v>278</v>
      </c>
      <c r="C1384" s="118">
        <f>INDIRECT("'Закуп'!A" &amp; B1384)</f>
        <v/>
      </c>
      <c r="D1384" s="119">
        <f>C1384*1.2</f>
        <v/>
      </c>
      <c r="G1384" s="172">
        <f>IF(INDIRECT("'Закуп'!L" &amp; B1384)="Sale","Sale","")</f>
        <v/>
      </c>
      <c r="H1384" s="158">
        <f>IF(INDIRECT("'Закуп'!F" &amp; B1384)=0,"",INDIRECT("'Закуп'!F" &amp; B1384))</f>
        <v/>
      </c>
      <c r="I1384" s="120" t="n">
        <v>300</v>
      </c>
      <c r="J1384" s="121">
        <f>K1384/1.2</f>
        <v/>
      </c>
      <c r="K1384" s="70" t="n">
        <v>0.9</v>
      </c>
      <c r="L1384" s="122">
        <f>J1384-C1384-(J1384-C1384)*0.2</f>
        <v/>
      </c>
      <c r="M1384" s="123">
        <f>L1384*I1384</f>
        <v/>
      </c>
      <c r="N1384" s="124" t="inlineStr">
        <is>
          <t xml:space="preserve">300-490 шт - </t>
        </is>
      </c>
      <c r="O1384" s="47" t="inlineStr">
        <is>
          <t xml:space="preserve"> руб / шт с НДС</t>
        </is>
      </c>
      <c r="P1384" s="125">
        <f>ROUND(K1384,2)</f>
        <v/>
      </c>
      <c r="Q1384" s="207">
        <f>CONCATENATE(N1384,P1384,O1384,)</f>
        <v/>
      </c>
      <c r="R1384" s="240" t="n"/>
      <c r="T1384" s="241" t="n"/>
      <c r="U1384" s="240" t="n"/>
      <c r="V1384" s="241" t="n"/>
      <c r="Z1384" s="240" t="n"/>
      <c r="AB1384" s="241" t="n"/>
      <c r="AC1384" s="240" t="n"/>
      <c r="AD1384" s="241" t="n"/>
    </row>
    <row r="1385">
      <c r="B1385" s="42" t="n">
        <v>278</v>
      </c>
      <c r="C1385" s="118">
        <f>INDIRECT("'Закуп'!A" &amp; B1385)</f>
        <v/>
      </c>
      <c r="D1385" s="119">
        <f>C1385*1.2</f>
        <v/>
      </c>
      <c r="G1385" s="172">
        <f>IF(INDIRECT("'Закуп'!L" &amp; B1385)="Sale","Sale","")</f>
        <v/>
      </c>
      <c r="H1385" s="158">
        <f>IF(INDIRECT("'Закуп'!F" &amp; B1385)=0,"",INDIRECT("'Закуп'!F" &amp; B1385))</f>
        <v/>
      </c>
      <c r="I1385" s="120" t="n">
        <v>500</v>
      </c>
      <c r="J1385" s="121">
        <f>K1385/1.2</f>
        <v/>
      </c>
      <c r="K1385" s="70" t="n">
        <v>0.8100000000000001</v>
      </c>
      <c r="L1385" s="122">
        <f>J1385-C1385-(J1385-C1385)*0.2</f>
        <v/>
      </c>
      <c r="M1385" s="123">
        <f>L1385*I1385</f>
        <v/>
      </c>
      <c r="N1385" s="124" t="inlineStr">
        <is>
          <t xml:space="preserve">500-990 шт - </t>
        </is>
      </c>
      <c r="O1385" s="47" t="inlineStr">
        <is>
          <t xml:space="preserve"> руб / шт с НДС</t>
        </is>
      </c>
      <c r="P1385" s="125">
        <f>ROUND(K1385,2)</f>
        <v/>
      </c>
      <c r="Q1385" s="207">
        <f>CONCATENATE(N1385,P1385,O1385,)</f>
        <v/>
      </c>
      <c r="R1385" s="240" t="n"/>
      <c r="T1385" s="241" t="n"/>
      <c r="U1385" s="240" t="n"/>
      <c r="V1385" s="241" t="n"/>
      <c r="Z1385" s="240" t="n"/>
      <c r="AB1385" s="241" t="n"/>
      <c r="AC1385" s="240" t="n"/>
      <c r="AD1385" s="241" t="n"/>
    </row>
    <row r="1386">
      <c r="B1386" s="42" t="n">
        <v>278</v>
      </c>
      <c r="C1386" s="118">
        <f>INDIRECT("'Закуп'!A" &amp; B1386)</f>
        <v/>
      </c>
      <c r="D1386" s="119">
        <f>C1386*1.2</f>
        <v/>
      </c>
      <c r="G1386" s="172">
        <f>IF(INDIRECT("'Закуп'!L" &amp; B1386)="Sale","Sale","")</f>
        <v/>
      </c>
      <c r="H1386" s="158">
        <f>IF(INDIRECT("'Закуп'!F" &amp; B1386)=0,"",INDIRECT("'Закуп'!F" &amp; B1386))</f>
        <v/>
      </c>
      <c r="I1386" s="120" t="n">
        <v>1000</v>
      </c>
      <c r="J1386" s="121">
        <f>K1386/1.2</f>
        <v/>
      </c>
      <c r="K1386" s="70" t="n">
        <v>0.62</v>
      </c>
      <c r="L1386" s="122">
        <f>J1386-C1386-(J1386-C1386)*0.2</f>
        <v/>
      </c>
      <c r="M1386" s="123">
        <f>L1386*I1386</f>
        <v/>
      </c>
      <c r="N1386" s="124" t="inlineStr">
        <is>
          <t xml:space="preserve">1000 + шт - </t>
        </is>
      </c>
      <c r="O1386" s="47" t="inlineStr">
        <is>
          <t xml:space="preserve"> руб / шт с НДС</t>
        </is>
      </c>
      <c r="P1386" s="125">
        <f>ROUND(K1386,2)</f>
        <v/>
      </c>
      <c r="Q1386" s="207">
        <f>CONCATENATE(N1386,P1386,O1386,)</f>
        <v/>
      </c>
      <c r="R1386" s="240" t="n"/>
      <c r="T1386" s="241" t="n"/>
      <c r="U1386" s="240" t="n"/>
      <c r="V1386" s="241" t="n"/>
      <c r="Z1386" s="240" t="n"/>
      <c r="AB1386" s="241" t="n"/>
      <c r="AC1386" s="240" t="n"/>
      <c r="AD1386" s="241" t="n"/>
    </row>
    <row r="1387">
      <c r="A1387" s="232" t="n">
        <v>279</v>
      </c>
      <c r="B1387" s="42" t="n">
        <v>279</v>
      </c>
      <c r="C1387" s="118">
        <f>INDIRECT("'Закуп'!A" &amp; B1387)</f>
        <v/>
      </c>
      <c r="D1387" s="119">
        <f>C1387*1.2</f>
        <v/>
      </c>
      <c r="E1387" s="224">
        <f>INDIRECT("'Закуп'!D" &amp; A1387)</f>
        <v/>
      </c>
      <c r="F1387" s="231">
        <f>INDIRECT("'Закуп'!E" &amp; B1387)</f>
        <v/>
      </c>
      <c r="G1387" s="172">
        <f>IF(INDIRECT("'Закуп'!L" &amp; B1387)="Sale","Sale","")</f>
        <v/>
      </c>
      <c r="H1387" s="158">
        <f>IF(INDIRECT("'Закуп'!F" &amp; B1387)=0,"",INDIRECT("'Закуп'!F" &amp; B1387))</f>
        <v/>
      </c>
      <c r="I1387" s="120" t="n">
        <v>50</v>
      </c>
      <c r="J1387" s="121">
        <f>K1387/1.2</f>
        <v/>
      </c>
      <c r="K1387" s="70" t="n">
        <v>1.58</v>
      </c>
      <c r="L1387" s="122">
        <f>J1387-C1387-(J1387-C1387)*0.2</f>
        <v/>
      </c>
      <c r="M1387" s="123">
        <f>L1387*I1387</f>
        <v/>
      </c>
      <c r="N1387" s="124" t="inlineStr">
        <is>
          <t xml:space="preserve">50-90 шт - </t>
        </is>
      </c>
      <c r="O1387" s="47" t="inlineStr">
        <is>
          <t xml:space="preserve"> руб / шт с НДС</t>
        </is>
      </c>
      <c r="P1387" s="125">
        <f>ROUND(K1387,2)</f>
        <v/>
      </c>
      <c r="Q1387" s="207">
        <f>CONCATENATE(N1387,P1387,O1387,)</f>
        <v/>
      </c>
      <c r="R1387" s="235">
        <f>INDIRECT("'Закуп'!k" &amp; A1387)</f>
        <v/>
      </c>
      <c r="S1387" s="239">
        <f>INDIRECT("'Закуп'!o" &amp; A1387)</f>
        <v/>
      </c>
      <c r="T1387" s="226">
        <f>INDIRECT("'Закуп'!p" &amp; A1387)</f>
        <v/>
      </c>
      <c r="U1387" s="235">
        <f>INDIRECT("'Закуп'!v" &amp; A1387)</f>
        <v/>
      </c>
      <c r="V1387" s="222">
        <f>INDIRECT("'Закуп'!w" &amp; A1387)</f>
        <v/>
      </c>
      <c r="W1387" s="229">
        <f>INDIRECT("'Закуп'!H" &amp; A1387)</f>
        <v/>
      </c>
      <c r="X1387" s="237">
        <f>INDIRECT("'Закуп'!g" &amp; A1387)</f>
        <v/>
      </c>
      <c r="Y1387" s="229">
        <f>INDIRECT("'Закуп'!i" &amp; A1387)</f>
        <v/>
      </c>
      <c r="Z1387" s="236">
        <f>INDIRECT("'Закуп'!x" &amp; A1387)</f>
        <v/>
      </c>
      <c r="AA1387" s="237">
        <f>INDIRECT("'Закуп'!y" &amp; A1387)</f>
        <v/>
      </c>
      <c r="AB1387" s="238">
        <f>INDIRECT("'Закуп'!z" &amp; A1387)</f>
        <v/>
      </c>
      <c r="AC1387" s="223">
        <f>SUBSTITUTE(INDEX(F:F, ROUNDUP((ROW(A1386))/5,0)*5 - 3), "х", "x")</f>
        <v/>
      </c>
      <c r="AD1387" s="222">
        <f>SUBSTITUTE(INDEX(F:F, ROUNDUP((ROW(A1386))/5,0)*5 - 3), "х", "x") &amp; " - " &amp; SUBSTITUTE(SUBSTITUTE(INDEX(F:F, ROUNDUP((ROW(A1386))/5,0)*5 - 3), "х", "*"), "x", "*") &amp; " мм"</f>
        <v/>
      </c>
    </row>
    <row r="1388">
      <c r="B1388" s="42" t="n">
        <v>279</v>
      </c>
      <c r="C1388" s="118">
        <f>INDIRECT("'Закуп'!A" &amp; B1388)</f>
        <v/>
      </c>
      <c r="D1388" s="119">
        <f>C1388*1.2</f>
        <v/>
      </c>
      <c r="G1388" s="172">
        <f>IF(INDIRECT("'Закуп'!L" &amp; B1388)="Sale","Sale","")</f>
        <v/>
      </c>
      <c r="H1388" s="158">
        <f>IF(INDIRECT("'Закуп'!F" &amp; B1388)=0,"",INDIRECT("'Закуп'!F" &amp; B1388))</f>
        <v/>
      </c>
      <c r="I1388" s="120" t="n">
        <v>100</v>
      </c>
      <c r="J1388" s="121">
        <f>K1388/1.2</f>
        <v/>
      </c>
      <c r="K1388" s="70" t="n">
        <v>1.43</v>
      </c>
      <c r="L1388" s="122">
        <f>J1388-C1388-(J1388-C1388)*0.2</f>
        <v/>
      </c>
      <c r="M1388" s="123">
        <f>L1388*I1388</f>
        <v/>
      </c>
      <c r="N1388" s="124" t="inlineStr">
        <is>
          <t xml:space="preserve">100-290 шт - </t>
        </is>
      </c>
      <c r="O1388" s="47" t="inlineStr">
        <is>
          <t xml:space="preserve"> руб / шт с НДС</t>
        </is>
      </c>
      <c r="P1388" s="125">
        <f>ROUND(K1388,2)</f>
        <v/>
      </c>
      <c r="Q1388" s="207">
        <f>CONCATENATE(N1388,P1388,O1388,)</f>
        <v/>
      </c>
      <c r="R1388" s="240" t="n"/>
      <c r="T1388" s="241" t="n"/>
      <c r="U1388" s="240" t="n"/>
      <c r="V1388" s="241" t="n"/>
      <c r="Z1388" s="240" t="n"/>
      <c r="AB1388" s="241" t="n"/>
      <c r="AC1388" s="240" t="n"/>
      <c r="AD1388" s="241" t="n"/>
    </row>
    <row r="1389">
      <c r="B1389" s="42" t="n">
        <v>279</v>
      </c>
      <c r="C1389" s="118">
        <f>INDIRECT("'Закуп'!A" &amp; B1389)</f>
        <v/>
      </c>
      <c r="D1389" s="119">
        <f>C1389*1.2</f>
        <v/>
      </c>
      <c r="G1389" s="172">
        <f>IF(INDIRECT("'Закуп'!L" &amp; B1389)="Sale","Sale","")</f>
        <v/>
      </c>
      <c r="H1389" s="158">
        <f>IF(INDIRECT("'Закуп'!F" &amp; B1389)=0,"",INDIRECT("'Закуп'!F" &amp; B1389))</f>
        <v/>
      </c>
      <c r="I1389" s="120" t="n">
        <v>300</v>
      </c>
      <c r="J1389" s="121">
        <f>K1389/1.2</f>
        <v/>
      </c>
      <c r="K1389" s="70" t="n">
        <v>1.13</v>
      </c>
      <c r="L1389" s="122">
        <f>J1389-C1389-(J1389-C1389)*0.2</f>
        <v/>
      </c>
      <c r="M1389" s="123">
        <f>L1389*I1389</f>
        <v/>
      </c>
      <c r="N1389" s="124" t="inlineStr">
        <is>
          <t xml:space="preserve">300-490 шт - </t>
        </is>
      </c>
      <c r="O1389" s="47" t="inlineStr">
        <is>
          <t xml:space="preserve"> руб / шт с НДС</t>
        </is>
      </c>
      <c r="P1389" s="125">
        <f>ROUND(K1389,2)</f>
        <v/>
      </c>
      <c r="Q1389" s="207">
        <f>CONCATENATE(N1389,P1389,O1389,)</f>
        <v/>
      </c>
      <c r="R1389" s="240" t="n"/>
      <c r="T1389" s="241" t="n"/>
      <c r="U1389" s="240" t="n"/>
      <c r="V1389" s="241" t="n"/>
      <c r="Z1389" s="240" t="n"/>
      <c r="AB1389" s="241" t="n"/>
      <c r="AC1389" s="240" t="n"/>
      <c r="AD1389" s="241" t="n"/>
    </row>
    <row r="1390">
      <c r="B1390" s="42" t="n">
        <v>279</v>
      </c>
      <c r="C1390" s="118">
        <f>INDIRECT("'Закуп'!A" &amp; B1390)</f>
        <v/>
      </c>
      <c r="D1390" s="119">
        <f>C1390*1.2</f>
        <v/>
      </c>
      <c r="G1390" s="172">
        <f>IF(INDIRECT("'Закуп'!L" &amp; B1390)="Sale","Sale","")</f>
        <v/>
      </c>
      <c r="H1390" s="158">
        <f>IF(INDIRECT("'Закуп'!F" &amp; B1390)=0,"",INDIRECT("'Закуп'!F" &amp; B1390))</f>
        <v/>
      </c>
      <c r="I1390" s="120" t="n">
        <v>500</v>
      </c>
      <c r="J1390" s="121">
        <f>K1390/1.2</f>
        <v/>
      </c>
      <c r="K1390" s="70" t="n">
        <v>1.06</v>
      </c>
      <c r="L1390" s="122">
        <f>J1390-C1390-(J1390-C1390)*0.2</f>
        <v/>
      </c>
      <c r="M1390" s="123">
        <f>L1390*I1390</f>
        <v/>
      </c>
      <c r="N1390" s="124" t="inlineStr">
        <is>
          <t xml:space="preserve">500-990 шт - </t>
        </is>
      </c>
      <c r="O1390" s="47" t="inlineStr">
        <is>
          <t xml:space="preserve"> руб / шт с НДС</t>
        </is>
      </c>
      <c r="P1390" s="125">
        <f>ROUND(K1390,2)</f>
        <v/>
      </c>
      <c r="Q1390" s="207">
        <f>CONCATENATE(N1390,P1390,O1390,)</f>
        <v/>
      </c>
      <c r="R1390" s="240" t="n"/>
      <c r="T1390" s="241" t="n"/>
      <c r="U1390" s="240" t="n"/>
      <c r="V1390" s="241" t="n"/>
      <c r="Z1390" s="240" t="n"/>
      <c r="AB1390" s="241" t="n"/>
      <c r="AC1390" s="240" t="n"/>
      <c r="AD1390" s="241" t="n"/>
    </row>
    <row r="1391">
      <c r="B1391" s="42" t="n">
        <v>279</v>
      </c>
      <c r="C1391" s="118">
        <f>INDIRECT("'Закуп'!A" &amp; B1391)</f>
        <v/>
      </c>
      <c r="D1391" s="119">
        <f>C1391*1.2</f>
        <v/>
      </c>
      <c r="G1391" s="172">
        <f>IF(INDIRECT("'Закуп'!L" &amp; B1391)="Sale","Sale","")</f>
        <v/>
      </c>
      <c r="H1391" s="158">
        <f>IF(INDIRECT("'Закуп'!F" &amp; B1391)=0,"",INDIRECT("'Закуп'!F" &amp; B1391))</f>
        <v/>
      </c>
      <c r="I1391" s="120" t="n">
        <v>1000</v>
      </c>
      <c r="J1391" s="121">
        <f>K1391/1.2</f>
        <v/>
      </c>
      <c r="K1391" s="70" t="n">
        <v>1.01</v>
      </c>
      <c r="L1391" s="122">
        <f>J1391-C1391-(J1391-C1391)*0.2</f>
        <v/>
      </c>
      <c r="M1391" s="123">
        <f>L1391*I1391</f>
        <v/>
      </c>
      <c r="N1391" s="124" t="inlineStr">
        <is>
          <t xml:space="preserve">1000 + шт - </t>
        </is>
      </c>
      <c r="O1391" s="47" t="inlineStr">
        <is>
          <t xml:space="preserve"> руб / шт с НДС</t>
        </is>
      </c>
      <c r="P1391" s="125">
        <f>ROUND(K1391,2)</f>
        <v/>
      </c>
      <c r="Q1391" s="207">
        <f>CONCATENATE(N1391,P1391,O1391,)</f>
        <v/>
      </c>
      <c r="R1391" s="240" t="n"/>
      <c r="T1391" s="241" t="n"/>
      <c r="U1391" s="240" t="n"/>
      <c r="V1391" s="241" t="n"/>
      <c r="Z1391" s="240" t="n"/>
      <c r="AB1391" s="241" t="n"/>
      <c r="AC1391" s="240" t="n"/>
      <c r="AD1391" s="241" t="n"/>
    </row>
    <row r="1392">
      <c r="A1392" s="232" t="n">
        <v>280</v>
      </c>
      <c r="B1392" s="42" t="n">
        <v>280</v>
      </c>
      <c r="C1392" s="118">
        <f>INDIRECT("'Закуп'!A" &amp; B1392)</f>
        <v/>
      </c>
      <c r="D1392" s="119">
        <f>C1392*1.2</f>
        <v/>
      </c>
      <c r="E1392" s="224">
        <f>INDIRECT("'Закуп'!D" &amp; A1392)</f>
        <v/>
      </c>
      <c r="F1392" s="231">
        <f>INDIRECT("'Закуп'!E" &amp; B1392)</f>
        <v/>
      </c>
      <c r="G1392" s="172">
        <f>IF(INDIRECT("'Закуп'!L" &amp; B1392)="Sale","Sale","")</f>
        <v/>
      </c>
      <c r="H1392" s="158">
        <f>IF(INDIRECT("'Закуп'!F" &amp; B1392)=0,"",INDIRECT("'Закуп'!F" &amp; B1392))</f>
        <v/>
      </c>
      <c r="I1392" s="120" t="n">
        <v>50</v>
      </c>
      <c r="J1392" s="121">
        <f>K1392/1.2</f>
        <v/>
      </c>
      <c r="K1392" s="70" t="n">
        <v>1.15</v>
      </c>
      <c r="L1392" s="122">
        <f>J1392-C1392-(J1392-C1392)*0.2</f>
        <v/>
      </c>
      <c r="M1392" s="123">
        <f>L1392*I1392</f>
        <v/>
      </c>
      <c r="N1392" s="124" t="inlineStr">
        <is>
          <t xml:space="preserve">50-90 шт - </t>
        </is>
      </c>
      <c r="O1392" s="47" t="inlineStr">
        <is>
          <t xml:space="preserve"> руб / шт с НДС</t>
        </is>
      </c>
      <c r="P1392" s="125">
        <f>ROUND(K1392,2)</f>
        <v/>
      </c>
      <c r="Q1392" s="207">
        <f>CONCATENATE(N1392,P1392,O1392,)</f>
        <v/>
      </c>
      <c r="R1392" s="235">
        <f>INDIRECT("'Закуп'!k" &amp; A1392)</f>
        <v/>
      </c>
      <c r="S1392" s="239">
        <f>INDIRECT("'Закуп'!o" &amp; A1392)</f>
        <v/>
      </c>
      <c r="T1392" s="226">
        <f>INDIRECT("'Закуп'!p" &amp; A1392)</f>
        <v/>
      </c>
      <c r="U1392" s="235">
        <f>INDIRECT("'Закуп'!v" &amp; A1392)</f>
        <v/>
      </c>
      <c r="V1392" s="222">
        <f>INDIRECT("'Закуп'!w" &amp; A1392)</f>
        <v/>
      </c>
      <c r="W1392" s="229">
        <f>INDIRECT("'Закуп'!H" &amp; A1392)</f>
        <v/>
      </c>
      <c r="X1392" s="237">
        <f>INDIRECT("'Закуп'!g" &amp; A1392)</f>
        <v/>
      </c>
      <c r="Y1392" s="229">
        <f>INDIRECT("'Закуп'!i" &amp; A1392)</f>
        <v/>
      </c>
      <c r="Z1392" s="236">
        <f>INDIRECT("'Закуп'!x" &amp; A1392)</f>
        <v/>
      </c>
      <c r="AA1392" s="237">
        <f>INDIRECT("'Закуп'!y" &amp; A1392)</f>
        <v/>
      </c>
      <c r="AB1392" s="238">
        <f>INDIRECT("'Закуп'!z" &amp; A1392)</f>
        <v/>
      </c>
      <c r="AC1392" s="223">
        <f>SUBSTITUTE(INDEX(F:F, ROUNDUP((ROW(A1391))/5,0)*5 - 3), "х", "x")</f>
        <v/>
      </c>
      <c r="AD1392" s="222">
        <f>SUBSTITUTE(INDEX(F:F, ROUNDUP((ROW(A1391))/5,0)*5 - 3), "х", "x") &amp; " - " &amp; SUBSTITUTE(SUBSTITUTE(INDEX(F:F, ROUNDUP((ROW(A1391))/5,0)*5 - 3), "х", "*"), "x", "*") &amp; " мм"</f>
        <v/>
      </c>
    </row>
    <row r="1393">
      <c r="B1393" s="42" t="n">
        <v>280</v>
      </c>
      <c r="C1393" s="118">
        <f>INDIRECT("'Закуп'!A" &amp; B1393)</f>
        <v/>
      </c>
      <c r="D1393" s="119">
        <f>C1393*1.2</f>
        <v/>
      </c>
      <c r="G1393" s="172">
        <f>IF(INDIRECT("'Закуп'!L" &amp; B1393)="Sale","Sale","")</f>
        <v/>
      </c>
      <c r="H1393" s="158">
        <f>IF(INDIRECT("'Закуп'!F" &amp; B1393)=0,"",INDIRECT("'Закуп'!F" &amp; B1393))</f>
        <v/>
      </c>
      <c r="I1393" s="120" t="n">
        <v>100</v>
      </c>
      <c r="J1393" s="121">
        <f>K1393/1.2</f>
        <v/>
      </c>
      <c r="K1393" s="70" t="n">
        <v>0.95</v>
      </c>
      <c r="L1393" s="122">
        <f>J1393-C1393-(J1393-C1393)*0.2</f>
        <v/>
      </c>
      <c r="M1393" s="123">
        <f>L1393*I1393</f>
        <v/>
      </c>
      <c r="N1393" s="124" t="inlineStr">
        <is>
          <t xml:space="preserve">100-290 шт - </t>
        </is>
      </c>
      <c r="O1393" s="47" t="inlineStr">
        <is>
          <t xml:space="preserve"> руб / шт с НДС</t>
        </is>
      </c>
      <c r="P1393" s="125">
        <f>ROUND(K1393,2)</f>
        <v/>
      </c>
      <c r="Q1393" s="207">
        <f>CONCATENATE(N1393,P1393,O1393,)</f>
        <v/>
      </c>
      <c r="R1393" s="240" t="n"/>
      <c r="T1393" s="241" t="n"/>
      <c r="U1393" s="240" t="n"/>
      <c r="V1393" s="241" t="n"/>
      <c r="Z1393" s="240" t="n"/>
      <c r="AB1393" s="241" t="n"/>
      <c r="AC1393" s="240" t="n"/>
      <c r="AD1393" s="241" t="n"/>
    </row>
    <row r="1394">
      <c r="B1394" s="42" t="n">
        <v>280</v>
      </c>
      <c r="C1394" s="118">
        <f>INDIRECT("'Закуп'!A" &amp; B1394)</f>
        <v/>
      </c>
      <c r="D1394" s="119">
        <f>C1394*1.2</f>
        <v/>
      </c>
      <c r="G1394" s="172">
        <f>IF(INDIRECT("'Закуп'!L" &amp; B1394)="Sale","Sale","")</f>
        <v/>
      </c>
      <c r="H1394" s="158">
        <f>IF(INDIRECT("'Закуп'!F" &amp; B1394)=0,"",INDIRECT("'Закуп'!F" &amp; B1394))</f>
        <v/>
      </c>
      <c r="I1394" s="120" t="n">
        <v>300</v>
      </c>
      <c r="J1394" s="121">
        <f>K1394/1.2</f>
        <v/>
      </c>
      <c r="K1394" s="70" t="n">
        <v>0.85</v>
      </c>
      <c r="L1394" s="122">
        <f>J1394-C1394-(J1394-C1394)*0.2</f>
        <v/>
      </c>
      <c r="M1394" s="123">
        <f>L1394*I1394</f>
        <v/>
      </c>
      <c r="N1394" s="124" t="inlineStr">
        <is>
          <t xml:space="preserve">300-490 шт - </t>
        </is>
      </c>
      <c r="O1394" s="47" t="inlineStr">
        <is>
          <t xml:space="preserve"> руб / шт с НДС</t>
        </is>
      </c>
      <c r="P1394" s="125">
        <f>ROUND(K1394,2)</f>
        <v/>
      </c>
      <c r="Q1394" s="207">
        <f>CONCATENATE(N1394,P1394,O1394,)</f>
        <v/>
      </c>
      <c r="R1394" s="240" t="n"/>
      <c r="T1394" s="241" t="n"/>
      <c r="U1394" s="240" t="n"/>
      <c r="V1394" s="241" t="n"/>
      <c r="Z1394" s="240" t="n"/>
      <c r="AB1394" s="241" t="n"/>
      <c r="AC1394" s="240" t="n"/>
      <c r="AD1394" s="241" t="n"/>
    </row>
    <row r="1395">
      <c r="B1395" s="42" t="n">
        <v>280</v>
      </c>
      <c r="C1395" s="118">
        <f>INDIRECT("'Закуп'!A" &amp; B1395)</f>
        <v/>
      </c>
      <c r="D1395" s="119">
        <f>C1395*1.2</f>
        <v/>
      </c>
      <c r="G1395" s="172">
        <f>IF(INDIRECT("'Закуп'!L" &amp; B1395)="Sale","Sale","")</f>
        <v/>
      </c>
      <c r="H1395" s="158">
        <f>IF(INDIRECT("'Закуп'!F" &amp; B1395)=0,"",INDIRECT("'Закуп'!F" &amp; B1395))</f>
        <v/>
      </c>
      <c r="I1395" s="120" t="n">
        <v>500</v>
      </c>
      <c r="J1395" s="121">
        <f>K1395/1.2</f>
        <v/>
      </c>
      <c r="K1395" s="70" t="n">
        <v>0.75</v>
      </c>
      <c r="L1395" s="122">
        <f>J1395-C1395-(J1395-C1395)*0.2</f>
        <v/>
      </c>
      <c r="M1395" s="123">
        <f>L1395*I1395</f>
        <v/>
      </c>
      <c r="N1395" s="124" t="inlineStr">
        <is>
          <t xml:space="preserve">500-990 шт - </t>
        </is>
      </c>
      <c r="O1395" s="47" t="inlineStr">
        <is>
          <t xml:space="preserve"> руб / шт с НДС</t>
        </is>
      </c>
      <c r="P1395" s="125">
        <f>ROUND(K1395,2)</f>
        <v/>
      </c>
      <c r="Q1395" s="207">
        <f>CONCATENATE(N1395,P1395,O1395,)</f>
        <v/>
      </c>
      <c r="R1395" s="240" t="n"/>
      <c r="T1395" s="241" t="n"/>
      <c r="U1395" s="240" t="n"/>
      <c r="V1395" s="241" t="n"/>
      <c r="Z1395" s="240" t="n"/>
      <c r="AB1395" s="241" t="n"/>
      <c r="AC1395" s="240" t="n"/>
      <c r="AD1395" s="241" t="n"/>
    </row>
    <row r="1396">
      <c r="B1396" s="42" t="n">
        <v>280</v>
      </c>
      <c r="C1396" s="118">
        <f>INDIRECT("'Закуп'!A" &amp; B1396)</f>
        <v/>
      </c>
      <c r="D1396" s="119">
        <f>C1396*1.2</f>
        <v/>
      </c>
      <c r="G1396" s="172">
        <f>IF(INDIRECT("'Закуп'!L" &amp; B1396)="Sale","Sale","")</f>
        <v/>
      </c>
      <c r="H1396" s="158">
        <f>IF(INDIRECT("'Закуп'!F" &amp; B1396)=0,"",INDIRECT("'Закуп'!F" &amp; B1396))</f>
        <v/>
      </c>
      <c r="I1396" s="120" t="n">
        <v>1000</v>
      </c>
      <c r="J1396" s="121">
        <f>K1396/1.2</f>
        <v/>
      </c>
      <c r="K1396" s="70" t="n">
        <v>0.65</v>
      </c>
      <c r="L1396" s="122">
        <f>J1396-C1396-(J1396-C1396)*0.2</f>
        <v/>
      </c>
      <c r="M1396" s="123">
        <f>L1396*I1396</f>
        <v/>
      </c>
      <c r="N1396" s="124" t="inlineStr">
        <is>
          <t xml:space="preserve">1000 + шт - </t>
        </is>
      </c>
      <c r="O1396" s="47" t="inlineStr">
        <is>
          <t xml:space="preserve"> руб / шт с НДС</t>
        </is>
      </c>
      <c r="P1396" s="125">
        <f>ROUND(K1396,2)</f>
        <v/>
      </c>
      <c r="Q1396" s="207">
        <f>CONCATENATE(N1396,P1396,O1396,)</f>
        <v/>
      </c>
      <c r="R1396" s="240" t="n"/>
      <c r="T1396" s="241" t="n"/>
      <c r="U1396" s="240" t="n"/>
      <c r="V1396" s="241" t="n"/>
      <c r="Z1396" s="240" t="n"/>
      <c r="AB1396" s="241" t="n"/>
      <c r="AC1396" s="240" t="n"/>
      <c r="AD1396" s="241" t="n"/>
    </row>
    <row r="1397">
      <c r="A1397" s="232" t="n">
        <v>281</v>
      </c>
      <c r="B1397" s="42" t="n">
        <v>281</v>
      </c>
      <c r="C1397" s="118">
        <f>INDIRECT("'Закуп'!A" &amp; B1397)</f>
        <v/>
      </c>
      <c r="D1397" s="119">
        <f>C1397*1.2</f>
        <v/>
      </c>
      <c r="E1397" s="224">
        <f>INDIRECT("'Закуп'!D" &amp; A1397)</f>
        <v/>
      </c>
      <c r="F1397" s="231">
        <f>INDIRECT("'Закуп'!E" &amp; B1397)</f>
        <v/>
      </c>
      <c r="G1397" s="172">
        <f>IF(INDIRECT("'Закуп'!L" &amp; B1397)="Sale","Sale","")</f>
        <v/>
      </c>
      <c r="H1397" s="158">
        <f>IF(INDIRECT("'Закуп'!F" &amp; B1397)=0,"",INDIRECT("'Закуп'!F" &amp; B1397))</f>
        <v/>
      </c>
      <c r="I1397" s="120" t="n">
        <v>50</v>
      </c>
      <c r="J1397" s="121">
        <f>K1397/1.2</f>
        <v/>
      </c>
      <c r="K1397" s="70" t="n">
        <v>1</v>
      </c>
      <c r="L1397" s="122">
        <f>J1397-C1397-(J1397-C1397)*0.2</f>
        <v/>
      </c>
      <c r="M1397" s="123">
        <f>L1397*I1397</f>
        <v/>
      </c>
      <c r="N1397" s="124" t="inlineStr">
        <is>
          <t xml:space="preserve">50-90 шт - </t>
        </is>
      </c>
      <c r="O1397" s="47" t="inlineStr">
        <is>
          <t xml:space="preserve"> руб / шт с НДС</t>
        </is>
      </c>
      <c r="P1397" s="125">
        <f>ROUND(K1397,2)</f>
        <v/>
      </c>
      <c r="Q1397" s="207">
        <f>CONCATENATE(N1397,P1397,O1397,)</f>
        <v/>
      </c>
      <c r="R1397" s="235">
        <f>INDIRECT("'Закуп'!k" &amp; A1397)</f>
        <v/>
      </c>
      <c r="S1397" s="239">
        <f>INDIRECT("'Закуп'!o" &amp; A1397)</f>
        <v/>
      </c>
      <c r="T1397" s="226">
        <f>INDIRECT("'Закуп'!p" &amp; A1397)</f>
        <v/>
      </c>
      <c r="U1397" s="235">
        <f>INDIRECT("'Закуп'!v" &amp; A1397)</f>
        <v/>
      </c>
      <c r="V1397" s="222">
        <f>INDIRECT("'Закуп'!w" &amp; A1397)</f>
        <v/>
      </c>
      <c r="W1397" s="229">
        <f>INDIRECT("'Закуп'!H" &amp; A1397)</f>
        <v/>
      </c>
      <c r="X1397" s="237">
        <f>INDIRECT("'Закуп'!g" &amp; A1397)</f>
        <v/>
      </c>
      <c r="Y1397" s="229">
        <f>INDIRECT("'Закуп'!i" &amp; A1397)</f>
        <v/>
      </c>
      <c r="Z1397" s="236">
        <f>INDIRECT("'Закуп'!x" &amp; A1397)</f>
        <v/>
      </c>
      <c r="AA1397" s="237">
        <f>INDIRECT("'Закуп'!y" &amp; A1397)</f>
        <v/>
      </c>
      <c r="AB1397" s="238">
        <f>INDIRECT("'Закуп'!z" &amp; A1397)</f>
        <v/>
      </c>
      <c r="AC1397" s="223">
        <f>SUBSTITUTE(INDEX(F:F, ROUNDUP((ROW(A1396))/5,0)*5 - 3), "х", "x")</f>
        <v/>
      </c>
      <c r="AD1397" s="222">
        <f>SUBSTITUTE(INDEX(F:F, ROUNDUP((ROW(A1396))/5,0)*5 - 3), "х", "x") &amp; " - " &amp; SUBSTITUTE(SUBSTITUTE(INDEX(F:F, ROUNDUP((ROW(A1396))/5,0)*5 - 3), "х", "*"), "x", "*") &amp; " мм"</f>
        <v/>
      </c>
    </row>
    <row r="1398">
      <c r="B1398" s="42" t="n">
        <v>281</v>
      </c>
      <c r="C1398" s="118">
        <f>INDIRECT("'Закуп'!A" &amp; B1398)</f>
        <v/>
      </c>
      <c r="D1398" s="119">
        <f>C1398*1.2</f>
        <v/>
      </c>
      <c r="G1398" s="172">
        <f>IF(INDIRECT("'Закуп'!L" &amp; B1398)="Sale","Sale","")</f>
        <v/>
      </c>
      <c r="H1398" s="158">
        <f>IF(INDIRECT("'Закуп'!F" &amp; B1398)=0,"",INDIRECT("'Закуп'!F" &amp; B1398))</f>
        <v/>
      </c>
      <c r="I1398" s="120" t="n">
        <v>100</v>
      </c>
      <c r="J1398" s="121">
        <f>K1398/1.2</f>
        <v/>
      </c>
      <c r="K1398" s="70" t="n">
        <v>0.85</v>
      </c>
      <c r="L1398" s="122">
        <f>J1398-C1398-(J1398-C1398)*0.2</f>
        <v/>
      </c>
      <c r="M1398" s="123">
        <f>L1398*I1398</f>
        <v/>
      </c>
      <c r="N1398" s="124" t="inlineStr">
        <is>
          <t xml:space="preserve">100-290 шт - </t>
        </is>
      </c>
      <c r="O1398" s="47" t="inlineStr">
        <is>
          <t xml:space="preserve"> руб / шт с НДС</t>
        </is>
      </c>
      <c r="P1398" s="125">
        <f>ROUND(K1398,2)</f>
        <v/>
      </c>
      <c r="Q1398" s="207">
        <f>CONCATENATE(N1398,P1398,O1398,)</f>
        <v/>
      </c>
      <c r="R1398" s="240" t="n"/>
      <c r="T1398" s="241" t="n"/>
      <c r="U1398" s="240" t="n"/>
      <c r="V1398" s="241" t="n"/>
      <c r="Z1398" s="240" t="n"/>
      <c r="AB1398" s="241" t="n"/>
      <c r="AC1398" s="240" t="n"/>
      <c r="AD1398" s="241" t="n"/>
    </row>
    <row r="1399">
      <c r="B1399" s="42" t="n">
        <v>281</v>
      </c>
      <c r="C1399" s="118">
        <f>INDIRECT("'Закуп'!A" &amp; B1399)</f>
        <v/>
      </c>
      <c r="D1399" s="119">
        <f>C1399*1.2</f>
        <v/>
      </c>
      <c r="G1399" s="172">
        <f>IF(INDIRECT("'Закуп'!L" &amp; B1399)="Sale","Sale","")</f>
        <v/>
      </c>
      <c r="H1399" s="158">
        <f>IF(INDIRECT("'Закуп'!F" &amp; B1399)=0,"",INDIRECT("'Закуп'!F" &amp; B1399))</f>
        <v/>
      </c>
      <c r="I1399" s="120" t="n">
        <v>300</v>
      </c>
      <c r="J1399" s="121">
        <f>K1399/1.2</f>
        <v/>
      </c>
      <c r="K1399" s="70" t="n">
        <v>0.7</v>
      </c>
      <c r="L1399" s="122">
        <f>J1399-C1399-(J1399-C1399)*0.2</f>
        <v/>
      </c>
      <c r="M1399" s="123">
        <f>L1399*I1399</f>
        <v/>
      </c>
      <c r="N1399" s="124" t="inlineStr">
        <is>
          <t xml:space="preserve">300-490 шт - </t>
        </is>
      </c>
      <c r="O1399" s="47" t="inlineStr">
        <is>
          <t xml:space="preserve"> руб / шт с НДС</t>
        </is>
      </c>
      <c r="P1399" s="125">
        <f>ROUND(K1399,2)</f>
        <v/>
      </c>
      <c r="Q1399" s="207">
        <f>CONCATENATE(N1399,P1399,O1399,)</f>
        <v/>
      </c>
      <c r="R1399" s="240" t="n"/>
      <c r="T1399" s="241" t="n"/>
      <c r="U1399" s="240" t="n"/>
      <c r="V1399" s="241" t="n"/>
      <c r="Z1399" s="240" t="n"/>
      <c r="AB1399" s="241" t="n"/>
      <c r="AC1399" s="240" t="n"/>
      <c r="AD1399" s="241" t="n"/>
    </row>
    <row r="1400">
      <c r="B1400" s="42" t="n">
        <v>281</v>
      </c>
      <c r="C1400" s="118">
        <f>INDIRECT("'Закуп'!A" &amp; B1400)</f>
        <v/>
      </c>
      <c r="D1400" s="119">
        <f>C1400*1.2</f>
        <v/>
      </c>
      <c r="G1400" s="172">
        <f>IF(INDIRECT("'Закуп'!L" &amp; B1400)="Sale","Sale","")</f>
        <v/>
      </c>
      <c r="H1400" s="158">
        <f>IF(INDIRECT("'Закуп'!F" &amp; B1400)=0,"",INDIRECT("'Закуп'!F" &amp; B1400))</f>
        <v/>
      </c>
      <c r="I1400" s="120" t="n">
        <v>500</v>
      </c>
      <c r="J1400" s="121">
        <f>K1400/1.2</f>
        <v/>
      </c>
      <c r="K1400" s="70" t="n">
        <v>0.6</v>
      </c>
      <c r="L1400" s="122">
        <f>J1400-C1400-(J1400-C1400)*0.2</f>
        <v/>
      </c>
      <c r="M1400" s="123">
        <f>L1400*I1400</f>
        <v/>
      </c>
      <c r="N1400" s="124" t="inlineStr">
        <is>
          <t xml:space="preserve">500-990 шт - </t>
        </is>
      </c>
      <c r="O1400" s="47" t="inlineStr">
        <is>
          <t xml:space="preserve"> руб / шт с НДС</t>
        </is>
      </c>
      <c r="P1400" s="125">
        <f>ROUND(K1400,2)</f>
        <v/>
      </c>
      <c r="Q1400" s="207">
        <f>CONCATENATE(N1400,P1400,O1400,)</f>
        <v/>
      </c>
      <c r="R1400" s="240" t="n"/>
      <c r="T1400" s="241" t="n"/>
      <c r="U1400" s="240" t="n"/>
      <c r="V1400" s="241" t="n"/>
      <c r="Z1400" s="240" t="n"/>
      <c r="AB1400" s="241" t="n"/>
      <c r="AC1400" s="240" t="n"/>
      <c r="AD1400" s="241" t="n"/>
    </row>
    <row r="1401">
      <c r="B1401" s="42" t="n">
        <v>281</v>
      </c>
      <c r="C1401" s="118">
        <f>INDIRECT("'Закуп'!A" &amp; B1401)</f>
        <v/>
      </c>
      <c r="D1401" s="119">
        <f>C1401*1.2</f>
        <v/>
      </c>
      <c r="G1401" s="172">
        <f>IF(INDIRECT("'Закуп'!L" &amp; B1401)="Sale","Sale","")</f>
        <v/>
      </c>
      <c r="H1401" s="158">
        <f>IF(INDIRECT("'Закуп'!F" &amp; B1401)=0,"",INDIRECT("'Закуп'!F" &amp; B1401))</f>
        <v/>
      </c>
      <c r="I1401" s="120" t="n">
        <v>1000</v>
      </c>
      <c r="J1401" s="121">
        <f>K1401/1.2</f>
        <v/>
      </c>
      <c r="K1401" s="70" t="n">
        <v>0.5</v>
      </c>
      <c r="L1401" s="122">
        <f>J1401-C1401-(J1401-C1401)*0.2</f>
        <v/>
      </c>
      <c r="M1401" s="123">
        <f>L1401*I1401</f>
        <v/>
      </c>
      <c r="N1401" s="124" t="inlineStr">
        <is>
          <t xml:space="preserve">1000 + шт - </t>
        </is>
      </c>
      <c r="O1401" s="47" t="inlineStr">
        <is>
          <t xml:space="preserve"> руб / шт с НДС</t>
        </is>
      </c>
      <c r="P1401" s="125">
        <f>ROUND(K1401,2)</f>
        <v/>
      </c>
      <c r="Q1401" s="207">
        <f>CONCATENATE(N1401,P1401,O1401,)</f>
        <v/>
      </c>
      <c r="R1401" s="240" t="n"/>
      <c r="T1401" s="241" t="n"/>
      <c r="U1401" s="240" t="n"/>
      <c r="V1401" s="241" t="n"/>
      <c r="Z1401" s="240" t="n"/>
      <c r="AB1401" s="241" t="n"/>
      <c r="AC1401" s="240" t="n"/>
      <c r="AD1401" s="241" t="n"/>
    </row>
    <row r="1402">
      <c r="A1402" s="232" t="n">
        <v>282</v>
      </c>
      <c r="B1402" s="42" t="n">
        <v>282</v>
      </c>
      <c r="C1402" s="118">
        <f>INDIRECT("'Закуп'!A" &amp; B1402)</f>
        <v/>
      </c>
      <c r="D1402" s="119">
        <f>C1402*1.2</f>
        <v/>
      </c>
      <c r="E1402" s="224">
        <f>INDIRECT("'Закуп'!D" &amp; A1402)</f>
        <v/>
      </c>
      <c r="F1402" s="231">
        <f>INDIRECT("'Закуп'!E" &amp; B1402)</f>
        <v/>
      </c>
      <c r="G1402" s="172">
        <f>IF(INDIRECT("'Закуп'!L" &amp; B1402)="Sale","Sale","")</f>
        <v/>
      </c>
      <c r="H1402" s="158">
        <f>IF(INDIRECT("'Закуп'!F" &amp; B1402)=0,"",INDIRECT("'Закуп'!F" &amp; B1402))</f>
        <v/>
      </c>
      <c r="I1402" s="120" t="n">
        <v>50</v>
      </c>
      <c r="J1402" s="121">
        <f>K1402/1.2</f>
        <v/>
      </c>
      <c r="K1402" s="70" t="n">
        <v>3.4</v>
      </c>
      <c r="L1402" s="122">
        <f>J1402-C1402-(J1402-C1402)*0.2</f>
        <v/>
      </c>
      <c r="M1402" s="123">
        <f>L1402*I1402</f>
        <v/>
      </c>
      <c r="N1402" s="124" t="inlineStr">
        <is>
          <t xml:space="preserve">50-90 шт - </t>
        </is>
      </c>
      <c r="O1402" s="47" t="inlineStr">
        <is>
          <t xml:space="preserve"> руб / шт с НДС</t>
        </is>
      </c>
      <c r="P1402" s="125">
        <f>ROUND(K1402,2)</f>
        <v/>
      </c>
      <c r="Q1402" s="207">
        <f>CONCATENATE(N1402,P1402,O1402,)</f>
        <v/>
      </c>
      <c r="R1402" s="235">
        <f>INDIRECT("'Закуп'!k" &amp; A1402)</f>
        <v/>
      </c>
      <c r="S1402" s="239">
        <f>INDIRECT("'Закуп'!o" &amp; A1402)</f>
        <v/>
      </c>
      <c r="T1402" s="226">
        <f>INDIRECT("'Закуп'!p" &amp; A1402)</f>
        <v/>
      </c>
      <c r="U1402" s="235">
        <f>INDIRECT("'Закуп'!v" &amp; A1402)</f>
        <v/>
      </c>
      <c r="V1402" s="222">
        <f>INDIRECT("'Закуп'!w" &amp; A1402)</f>
        <v/>
      </c>
      <c r="W1402" s="229">
        <f>INDIRECT("'Закуп'!H" &amp; A1402)</f>
        <v/>
      </c>
      <c r="X1402" s="237">
        <f>INDIRECT("'Закуп'!g" &amp; A1402)</f>
        <v/>
      </c>
      <c r="Y1402" s="229">
        <f>INDIRECT("'Закуп'!i" &amp; A1402)</f>
        <v/>
      </c>
      <c r="Z1402" s="236">
        <f>INDIRECT("'Закуп'!x" &amp; A1402)</f>
        <v/>
      </c>
      <c r="AA1402" s="237">
        <f>INDIRECT("'Закуп'!y" &amp; A1402)</f>
        <v/>
      </c>
      <c r="AB1402" s="238">
        <f>INDIRECT("'Закуп'!z" &amp; A1402)</f>
        <v/>
      </c>
      <c r="AC1402" s="223">
        <f>SUBSTITUTE(INDEX(F:F, ROUNDUP((ROW(A1401))/5,0)*5 - 3), "х", "x")</f>
        <v/>
      </c>
      <c r="AD1402" s="222">
        <f>SUBSTITUTE(INDEX(F:F, ROUNDUP((ROW(A1401))/5,0)*5 - 3), "х", "x") &amp; " - " &amp; SUBSTITUTE(SUBSTITUTE(INDEX(F:F, ROUNDUP((ROW(A1401))/5,0)*5 - 3), "х", "*"), "x", "*") &amp; " мм"</f>
        <v/>
      </c>
    </row>
    <row r="1403">
      <c r="B1403" s="42" t="n">
        <v>282</v>
      </c>
      <c r="C1403" s="118">
        <f>INDIRECT("'Закуп'!A" &amp; B1403)</f>
        <v/>
      </c>
      <c r="D1403" s="119">
        <f>C1403*1.2</f>
        <v/>
      </c>
      <c r="G1403" s="172">
        <f>IF(INDIRECT("'Закуп'!L" &amp; B1403)="Sale","Sale","")</f>
        <v/>
      </c>
      <c r="H1403" s="158">
        <f>IF(INDIRECT("'Закуп'!F" &amp; B1403)=0,"",INDIRECT("'Закуп'!F" &amp; B1403))</f>
        <v/>
      </c>
      <c r="I1403" s="120" t="n">
        <v>100</v>
      </c>
      <c r="J1403" s="121">
        <f>K1403/1.2</f>
        <v/>
      </c>
      <c r="K1403" s="70" t="n">
        <v>2.9</v>
      </c>
      <c r="L1403" s="122">
        <f>J1403-C1403-(J1403-C1403)*0.2</f>
        <v/>
      </c>
      <c r="M1403" s="123">
        <f>L1403*I1403</f>
        <v/>
      </c>
      <c r="N1403" s="124" t="inlineStr">
        <is>
          <t xml:space="preserve">100-290 шт - </t>
        </is>
      </c>
      <c r="O1403" s="47" t="inlineStr">
        <is>
          <t xml:space="preserve"> руб / шт с НДС</t>
        </is>
      </c>
      <c r="P1403" s="125">
        <f>ROUND(K1403,2)</f>
        <v/>
      </c>
      <c r="Q1403" s="207">
        <f>CONCATENATE(N1403,P1403,O1403,)</f>
        <v/>
      </c>
      <c r="R1403" s="240" t="n"/>
      <c r="T1403" s="241" t="n"/>
      <c r="U1403" s="240" t="n"/>
      <c r="V1403" s="241" t="n"/>
      <c r="Z1403" s="240" t="n"/>
      <c r="AB1403" s="241" t="n"/>
      <c r="AC1403" s="240" t="n"/>
      <c r="AD1403" s="241" t="n"/>
    </row>
    <row r="1404">
      <c r="B1404" s="42" t="n">
        <v>282</v>
      </c>
      <c r="C1404" s="118">
        <f>INDIRECT("'Закуп'!A" &amp; B1404)</f>
        <v/>
      </c>
      <c r="D1404" s="119">
        <f>C1404*1.2</f>
        <v/>
      </c>
      <c r="G1404" s="172">
        <f>IF(INDIRECT("'Закуп'!L" &amp; B1404)="Sale","Sale","")</f>
        <v/>
      </c>
      <c r="H1404" s="158">
        <f>IF(INDIRECT("'Закуп'!F" &amp; B1404)=0,"",INDIRECT("'Закуп'!F" &amp; B1404))</f>
        <v/>
      </c>
      <c r="I1404" s="120" t="n">
        <v>300</v>
      </c>
      <c r="J1404" s="121">
        <f>K1404/1.2</f>
        <v/>
      </c>
      <c r="K1404" s="70" t="n">
        <v>2.55</v>
      </c>
      <c r="L1404" s="122">
        <f>J1404-C1404-(J1404-C1404)*0.2</f>
        <v/>
      </c>
      <c r="M1404" s="123">
        <f>L1404*I1404</f>
        <v/>
      </c>
      <c r="N1404" s="124" t="inlineStr">
        <is>
          <t xml:space="preserve">300-490 шт - </t>
        </is>
      </c>
      <c r="O1404" s="47" t="inlineStr">
        <is>
          <t xml:space="preserve"> руб / шт с НДС</t>
        </is>
      </c>
      <c r="P1404" s="125">
        <f>ROUND(K1404,2)</f>
        <v/>
      </c>
      <c r="Q1404" s="207">
        <f>CONCATENATE(N1404,P1404,O1404,)</f>
        <v/>
      </c>
      <c r="R1404" s="240" t="n"/>
      <c r="T1404" s="241" t="n"/>
      <c r="U1404" s="240" t="n"/>
      <c r="V1404" s="241" t="n"/>
      <c r="Z1404" s="240" t="n"/>
      <c r="AB1404" s="241" t="n"/>
      <c r="AC1404" s="240" t="n"/>
      <c r="AD1404" s="241" t="n"/>
    </row>
    <row r="1405">
      <c r="B1405" s="42" t="n">
        <v>282</v>
      </c>
      <c r="C1405" s="118">
        <f>INDIRECT("'Закуп'!A" &amp; B1405)</f>
        <v/>
      </c>
      <c r="D1405" s="119">
        <f>C1405*1.2</f>
        <v/>
      </c>
      <c r="G1405" s="172">
        <f>IF(INDIRECT("'Закуп'!L" &amp; B1405)="Sale","Sale","")</f>
        <v/>
      </c>
      <c r="H1405" s="158">
        <f>IF(INDIRECT("'Закуп'!F" &amp; B1405)=0,"",INDIRECT("'Закуп'!F" &amp; B1405))</f>
        <v/>
      </c>
      <c r="I1405" s="120" t="n">
        <v>500</v>
      </c>
      <c r="J1405" s="121">
        <f>K1405/1.2</f>
        <v/>
      </c>
      <c r="K1405" s="70" t="n">
        <v>2.42</v>
      </c>
      <c r="L1405" s="122">
        <f>J1405-C1405-(J1405-C1405)*0.2</f>
        <v/>
      </c>
      <c r="M1405" s="123">
        <f>L1405*I1405</f>
        <v/>
      </c>
      <c r="N1405" s="124" t="inlineStr">
        <is>
          <t xml:space="preserve">500-990 шт - </t>
        </is>
      </c>
      <c r="O1405" s="47" t="inlineStr">
        <is>
          <t xml:space="preserve"> руб / шт с НДС</t>
        </is>
      </c>
      <c r="P1405" s="125">
        <f>ROUND(K1405,2)</f>
        <v/>
      </c>
      <c r="Q1405" s="207">
        <f>CONCATENATE(N1405,P1405,O1405,)</f>
        <v/>
      </c>
      <c r="R1405" s="240" t="n"/>
      <c r="T1405" s="241" t="n"/>
      <c r="U1405" s="240" t="n"/>
      <c r="V1405" s="241" t="n"/>
      <c r="Z1405" s="240" t="n"/>
      <c r="AB1405" s="241" t="n"/>
      <c r="AC1405" s="240" t="n"/>
      <c r="AD1405" s="241" t="n"/>
    </row>
    <row r="1406">
      <c r="B1406" s="42" t="n">
        <v>282</v>
      </c>
      <c r="C1406" s="118">
        <f>INDIRECT("'Закуп'!A" &amp; B1406)</f>
        <v/>
      </c>
      <c r="D1406" s="119">
        <f>C1406*1.2</f>
        <v/>
      </c>
      <c r="G1406" s="172">
        <f>IF(INDIRECT("'Закуп'!L" &amp; B1406)="Sale","Sale","")</f>
        <v/>
      </c>
      <c r="H1406" s="158">
        <f>IF(INDIRECT("'Закуп'!F" &amp; B1406)=0,"",INDIRECT("'Закуп'!F" &amp; B1406))</f>
        <v/>
      </c>
      <c r="I1406" s="120" t="n">
        <v>1000</v>
      </c>
      <c r="J1406" s="121">
        <f>K1406/1.2</f>
        <v/>
      </c>
      <c r="K1406" s="70" t="n">
        <v>2.3</v>
      </c>
      <c r="L1406" s="122">
        <f>J1406-C1406-(J1406-C1406)*0.2</f>
        <v/>
      </c>
      <c r="M1406" s="123">
        <f>L1406*I1406</f>
        <v/>
      </c>
      <c r="N1406" s="124" t="inlineStr">
        <is>
          <t xml:space="preserve">1000 + шт - </t>
        </is>
      </c>
      <c r="O1406" s="47" t="inlineStr">
        <is>
          <t xml:space="preserve"> руб / шт с НДС</t>
        </is>
      </c>
      <c r="P1406" s="125">
        <f>ROUND(K1406,2)</f>
        <v/>
      </c>
      <c r="Q1406" s="207">
        <f>CONCATENATE(N1406,P1406,O1406,)</f>
        <v/>
      </c>
      <c r="R1406" s="240" t="n"/>
      <c r="T1406" s="241" t="n"/>
      <c r="U1406" s="240" t="n"/>
      <c r="V1406" s="241" t="n"/>
      <c r="Z1406" s="240" t="n"/>
      <c r="AB1406" s="241" t="n"/>
      <c r="AC1406" s="240" t="n"/>
      <c r="AD1406" s="241" t="n"/>
    </row>
    <row r="1407">
      <c r="A1407" s="232" t="n">
        <v>283</v>
      </c>
      <c r="B1407" s="42" t="n">
        <v>283</v>
      </c>
      <c r="C1407" s="118">
        <f>INDIRECT("'Закуп'!A" &amp; B1407)</f>
        <v/>
      </c>
      <c r="D1407" s="119">
        <f>C1407*1.2</f>
        <v/>
      </c>
      <c r="E1407" s="224">
        <f>INDIRECT("'Закуп'!D" &amp; A1407)</f>
        <v/>
      </c>
      <c r="F1407" s="231">
        <f>INDIRECT("'Закуп'!E" &amp; B1407)</f>
        <v/>
      </c>
      <c r="G1407" s="172">
        <f>IF(INDIRECT("'Закуп'!L" &amp; B1407)="Sale","Sale","")</f>
        <v/>
      </c>
      <c r="H1407" s="158">
        <f>IF(INDIRECT("'Закуп'!F" &amp; B1407)=0,"",INDIRECT("'Закуп'!F" &amp; B1407))</f>
        <v/>
      </c>
      <c r="I1407" s="120" t="n">
        <v>50</v>
      </c>
      <c r="J1407" s="121">
        <f>K1407/1.2</f>
        <v/>
      </c>
      <c r="K1407" s="70" t="n">
        <v>1</v>
      </c>
      <c r="L1407" s="122">
        <f>J1407-C1407-(J1407-C1407)*0.2</f>
        <v/>
      </c>
      <c r="M1407" s="123">
        <f>L1407*I1407</f>
        <v/>
      </c>
      <c r="N1407" s="124" t="inlineStr">
        <is>
          <t xml:space="preserve">50-90 шт - </t>
        </is>
      </c>
      <c r="O1407" s="47" t="inlineStr">
        <is>
          <t xml:space="preserve"> руб / шт с НДС</t>
        </is>
      </c>
      <c r="P1407" s="125">
        <f>ROUND(K1407,2)</f>
        <v/>
      </c>
      <c r="Q1407" s="207">
        <f>CONCATENATE(N1407,P1407,O1407,)</f>
        <v/>
      </c>
      <c r="R1407" s="235">
        <f>INDIRECT("'Закуп'!k" &amp; A1407)</f>
        <v/>
      </c>
      <c r="S1407" s="239">
        <f>INDIRECT("'Закуп'!o" &amp; A1407)</f>
        <v/>
      </c>
      <c r="T1407" s="226">
        <f>INDIRECT("'Закуп'!p" &amp; A1407)</f>
        <v/>
      </c>
      <c r="U1407" s="235">
        <f>INDIRECT("'Закуп'!v" &amp; A1407)</f>
        <v/>
      </c>
      <c r="V1407" s="222">
        <f>INDIRECT("'Закуп'!w" &amp; A1407)</f>
        <v/>
      </c>
      <c r="W1407" s="229">
        <f>INDIRECT("'Закуп'!H" &amp; A1407)</f>
        <v/>
      </c>
      <c r="X1407" s="237">
        <f>INDIRECT("'Закуп'!g" &amp; A1407)</f>
        <v/>
      </c>
      <c r="Y1407" s="229">
        <f>INDIRECT("'Закуп'!i" &amp; A1407)</f>
        <v/>
      </c>
      <c r="Z1407" s="236">
        <f>INDIRECT("'Закуп'!x" &amp; A1407)</f>
        <v/>
      </c>
      <c r="AA1407" s="237">
        <f>INDIRECT("'Закуп'!y" &amp; A1407)</f>
        <v/>
      </c>
      <c r="AB1407" s="238">
        <f>INDIRECT("'Закуп'!z" &amp; A1407)</f>
        <v/>
      </c>
      <c r="AC1407" s="223">
        <f>SUBSTITUTE(INDEX(F:F, ROUNDUP((ROW(A1406))/5,0)*5 - 3), "х", "x")</f>
        <v/>
      </c>
      <c r="AD1407" s="222">
        <f>SUBSTITUTE(INDEX(F:F, ROUNDUP((ROW(A1406))/5,0)*5 - 3), "х", "x") &amp; " - " &amp; SUBSTITUTE(SUBSTITUTE(INDEX(F:F, ROUNDUP((ROW(A1406))/5,0)*5 - 3), "х", "*"), "x", "*") &amp; " мм"</f>
        <v/>
      </c>
    </row>
    <row r="1408">
      <c r="B1408" s="42" t="n">
        <v>283</v>
      </c>
      <c r="C1408" s="118">
        <f>INDIRECT("'Закуп'!A" &amp; B1408)</f>
        <v/>
      </c>
      <c r="D1408" s="119">
        <f>C1408*1.2</f>
        <v/>
      </c>
      <c r="G1408" s="172">
        <f>IF(INDIRECT("'Закуп'!L" &amp; B1408)="Sale","Sale","")</f>
        <v/>
      </c>
      <c r="H1408" s="158">
        <f>IF(INDIRECT("'Закуп'!F" &amp; B1408)=0,"",INDIRECT("'Закуп'!F" &amp; B1408))</f>
        <v/>
      </c>
      <c r="I1408" s="120" t="n">
        <v>100</v>
      </c>
      <c r="J1408" s="121">
        <f>K1408/1.2</f>
        <v/>
      </c>
      <c r="K1408" s="70" t="n">
        <v>0.85</v>
      </c>
      <c r="L1408" s="122">
        <f>J1408-C1408-(J1408-C1408)*0.2</f>
        <v/>
      </c>
      <c r="M1408" s="123">
        <f>L1408*I1408</f>
        <v/>
      </c>
      <c r="N1408" s="124" t="inlineStr">
        <is>
          <t xml:space="preserve">100-290 шт - </t>
        </is>
      </c>
      <c r="O1408" s="47" t="inlineStr">
        <is>
          <t xml:space="preserve"> руб / шт с НДС</t>
        </is>
      </c>
      <c r="P1408" s="125">
        <f>ROUND(K1408,2)</f>
        <v/>
      </c>
      <c r="Q1408" s="207">
        <f>CONCATENATE(N1408,P1408,O1408,)</f>
        <v/>
      </c>
      <c r="R1408" s="240" t="n"/>
      <c r="T1408" s="241" t="n"/>
      <c r="U1408" s="240" t="n"/>
      <c r="V1408" s="241" t="n"/>
      <c r="Z1408" s="240" t="n"/>
      <c r="AB1408" s="241" t="n"/>
      <c r="AC1408" s="240" t="n"/>
      <c r="AD1408" s="241" t="n"/>
    </row>
    <row r="1409">
      <c r="B1409" s="42" t="n">
        <v>283</v>
      </c>
      <c r="C1409" s="118">
        <f>INDIRECT("'Закуп'!A" &amp; B1409)</f>
        <v/>
      </c>
      <c r="D1409" s="119">
        <f>C1409*1.2</f>
        <v/>
      </c>
      <c r="G1409" s="172">
        <f>IF(INDIRECT("'Закуп'!L" &amp; B1409)="Sale","Sale","")</f>
        <v/>
      </c>
      <c r="H1409" s="158">
        <f>IF(INDIRECT("'Закуп'!F" &amp; B1409)=0,"",INDIRECT("'Закуп'!F" &amp; B1409))</f>
        <v/>
      </c>
      <c r="I1409" s="120" t="n">
        <v>300</v>
      </c>
      <c r="J1409" s="121">
        <f>K1409/1.2</f>
        <v/>
      </c>
      <c r="K1409" s="70" t="n">
        <v>0.7</v>
      </c>
      <c r="L1409" s="122">
        <f>J1409-C1409-(J1409-C1409)*0.2</f>
        <v/>
      </c>
      <c r="M1409" s="123">
        <f>L1409*I1409</f>
        <v/>
      </c>
      <c r="N1409" s="124" t="inlineStr">
        <is>
          <t xml:space="preserve">300-490 шт - </t>
        </is>
      </c>
      <c r="O1409" s="47" t="inlineStr">
        <is>
          <t xml:space="preserve"> руб / шт с НДС</t>
        </is>
      </c>
      <c r="P1409" s="125">
        <f>ROUND(K1409,2)</f>
        <v/>
      </c>
      <c r="Q1409" s="207">
        <f>CONCATENATE(N1409,P1409,O1409,)</f>
        <v/>
      </c>
      <c r="R1409" s="240" t="n"/>
      <c r="T1409" s="241" t="n"/>
      <c r="U1409" s="240" t="n"/>
      <c r="V1409" s="241" t="n"/>
      <c r="Z1409" s="240" t="n"/>
      <c r="AB1409" s="241" t="n"/>
      <c r="AC1409" s="240" t="n"/>
      <c r="AD1409" s="241" t="n"/>
    </row>
    <row r="1410">
      <c r="B1410" s="42" t="n">
        <v>283</v>
      </c>
      <c r="C1410" s="118">
        <f>INDIRECT("'Закуп'!A" &amp; B1410)</f>
        <v/>
      </c>
      <c r="D1410" s="119">
        <f>C1410*1.2</f>
        <v/>
      </c>
      <c r="G1410" s="172">
        <f>IF(INDIRECT("'Закуп'!L" &amp; B1410)="Sale","Sale","")</f>
        <v/>
      </c>
      <c r="H1410" s="158">
        <f>IF(INDIRECT("'Закуп'!F" &amp; B1410)=0,"",INDIRECT("'Закуп'!F" &amp; B1410))</f>
        <v/>
      </c>
      <c r="I1410" s="120" t="n">
        <v>500</v>
      </c>
      <c r="J1410" s="121">
        <f>K1410/1.2</f>
        <v/>
      </c>
      <c r="K1410" s="70" t="n">
        <v>0.6</v>
      </c>
      <c r="L1410" s="122">
        <f>J1410-C1410-(J1410-C1410)*0.2</f>
        <v/>
      </c>
      <c r="M1410" s="123">
        <f>L1410*I1410</f>
        <v/>
      </c>
      <c r="N1410" s="124" t="inlineStr">
        <is>
          <t xml:space="preserve">500-990 шт - </t>
        </is>
      </c>
      <c r="O1410" s="47" t="inlineStr">
        <is>
          <t xml:space="preserve"> руб / шт с НДС</t>
        </is>
      </c>
      <c r="P1410" s="125">
        <f>ROUND(K1410,2)</f>
        <v/>
      </c>
      <c r="Q1410" s="207">
        <f>CONCATENATE(N1410,P1410,O1410,)</f>
        <v/>
      </c>
      <c r="R1410" s="240" t="n"/>
      <c r="T1410" s="241" t="n"/>
      <c r="U1410" s="240" t="n"/>
      <c r="V1410" s="241" t="n"/>
      <c r="Z1410" s="240" t="n"/>
      <c r="AB1410" s="241" t="n"/>
      <c r="AC1410" s="240" t="n"/>
      <c r="AD1410" s="241" t="n"/>
    </row>
    <row r="1411">
      <c r="B1411" s="42" t="n">
        <v>283</v>
      </c>
      <c r="C1411" s="118">
        <f>INDIRECT("'Закуп'!A" &amp; B1411)</f>
        <v/>
      </c>
      <c r="D1411" s="119">
        <f>C1411*1.2</f>
        <v/>
      </c>
      <c r="G1411" s="172">
        <f>IF(INDIRECT("'Закуп'!L" &amp; B1411)="Sale","Sale","")</f>
        <v/>
      </c>
      <c r="H1411" s="158">
        <f>IF(INDIRECT("'Закуп'!F" &amp; B1411)=0,"",INDIRECT("'Закуп'!F" &amp; B1411))</f>
        <v/>
      </c>
      <c r="I1411" s="120" t="n">
        <v>1000</v>
      </c>
      <c r="J1411" s="121">
        <f>K1411/1.2</f>
        <v/>
      </c>
      <c r="K1411" s="70" t="n">
        <v>0.5</v>
      </c>
      <c r="L1411" s="122">
        <f>J1411-C1411-(J1411-C1411)*0.2</f>
        <v/>
      </c>
      <c r="M1411" s="123">
        <f>L1411*I1411</f>
        <v/>
      </c>
      <c r="N1411" s="124" t="inlineStr">
        <is>
          <t xml:space="preserve">1000 + шт - </t>
        </is>
      </c>
      <c r="O1411" s="47" t="inlineStr">
        <is>
          <t xml:space="preserve"> руб / шт с НДС</t>
        </is>
      </c>
      <c r="P1411" s="125">
        <f>ROUND(K1411,2)</f>
        <v/>
      </c>
      <c r="Q1411" s="207">
        <f>CONCATENATE(N1411,P1411,O1411,)</f>
        <v/>
      </c>
      <c r="R1411" s="240" t="n"/>
      <c r="T1411" s="241" t="n"/>
      <c r="U1411" s="240" t="n"/>
      <c r="V1411" s="241" t="n"/>
      <c r="Z1411" s="240" t="n"/>
      <c r="AB1411" s="241" t="n"/>
      <c r="AC1411" s="240" t="n"/>
      <c r="AD1411" s="241" t="n"/>
    </row>
    <row r="1412">
      <c r="A1412" s="232" t="n">
        <v>284</v>
      </c>
      <c r="B1412" s="42" t="n">
        <v>284</v>
      </c>
      <c r="C1412" s="118">
        <f>INDIRECT("'Закуп'!A" &amp; B1412)</f>
        <v/>
      </c>
      <c r="D1412" s="119">
        <f>C1412*1.2</f>
        <v/>
      </c>
      <c r="E1412" s="224">
        <f>INDIRECT("'Закуп'!D" &amp; A1412)</f>
        <v/>
      </c>
      <c r="F1412" s="231">
        <f>INDIRECT("'Закуп'!E" &amp; B1412)</f>
        <v/>
      </c>
      <c r="G1412" s="172">
        <f>IF(INDIRECT("'Закуп'!L" &amp; B1412)="Sale","Sale","")</f>
        <v/>
      </c>
      <c r="H1412" s="158">
        <f>IF(INDIRECT("'Закуп'!F" &amp; B1412)=0,"",INDIRECT("'Закуп'!F" &amp; B1412))</f>
        <v/>
      </c>
      <c r="I1412" s="120" t="n">
        <v>50</v>
      </c>
      <c r="J1412" s="121">
        <f>K1412/1.2</f>
        <v/>
      </c>
      <c r="K1412" s="70" t="n">
        <v>1.07</v>
      </c>
      <c r="L1412" s="122">
        <f>J1412-C1412-(J1412-C1412)*0.2</f>
        <v/>
      </c>
      <c r="M1412" s="123">
        <f>L1412*I1412</f>
        <v/>
      </c>
      <c r="N1412" s="124" t="inlineStr">
        <is>
          <t xml:space="preserve">50-90 шт - </t>
        </is>
      </c>
      <c r="O1412" s="47" t="inlineStr">
        <is>
          <t xml:space="preserve"> руб / шт с НДС</t>
        </is>
      </c>
      <c r="P1412" s="125">
        <f>ROUND(K1412,2)</f>
        <v/>
      </c>
      <c r="Q1412" s="207">
        <f>CONCATENATE(N1412,P1412,O1412,)</f>
        <v/>
      </c>
      <c r="R1412" s="235">
        <f>INDIRECT("'Закуп'!k" &amp; A1412)</f>
        <v/>
      </c>
      <c r="S1412" s="239">
        <f>INDIRECT("'Закуп'!o" &amp; A1412)</f>
        <v/>
      </c>
      <c r="T1412" s="226">
        <f>INDIRECT("'Закуп'!p" &amp; A1412)</f>
        <v/>
      </c>
      <c r="U1412" s="235">
        <f>INDIRECT("'Закуп'!v" &amp; A1412)</f>
        <v/>
      </c>
      <c r="V1412" s="222">
        <f>INDIRECT("'Закуп'!w" &amp; A1412)</f>
        <v/>
      </c>
      <c r="W1412" s="229">
        <f>INDIRECT("'Закуп'!H" &amp; A1412)</f>
        <v/>
      </c>
      <c r="X1412" s="237">
        <f>INDIRECT("'Закуп'!g" &amp; A1412)</f>
        <v/>
      </c>
      <c r="Y1412" s="229">
        <f>INDIRECT("'Закуп'!i" &amp; A1412)</f>
        <v/>
      </c>
      <c r="Z1412" s="236">
        <f>INDIRECT("'Закуп'!x" &amp; A1412)</f>
        <v/>
      </c>
      <c r="AA1412" s="237">
        <f>INDIRECT("'Закуп'!y" &amp; A1412)</f>
        <v/>
      </c>
      <c r="AB1412" s="238">
        <f>INDIRECT("'Закуп'!z" &amp; A1412)</f>
        <v/>
      </c>
      <c r="AC1412" s="223">
        <f>SUBSTITUTE(INDEX(F:F, ROUNDUP((ROW(A1411))/5,0)*5 - 3), "х", "x")</f>
        <v/>
      </c>
      <c r="AD1412" s="222">
        <f>SUBSTITUTE(INDEX(F:F, ROUNDUP((ROW(A1411))/5,0)*5 - 3), "х", "x") &amp; " - " &amp; SUBSTITUTE(SUBSTITUTE(INDEX(F:F, ROUNDUP((ROW(A1411))/5,0)*5 - 3), "х", "*"), "x", "*") &amp; " мм"</f>
        <v/>
      </c>
    </row>
    <row r="1413">
      <c r="B1413" s="42" t="n">
        <v>284</v>
      </c>
      <c r="C1413" s="118">
        <f>INDIRECT("'Закуп'!A" &amp; B1413)</f>
        <v/>
      </c>
      <c r="D1413" s="119">
        <f>C1413*1.2</f>
        <v/>
      </c>
      <c r="G1413" s="172">
        <f>IF(INDIRECT("'Закуп'!L" &amp; B1413)="Sale","Sale","")</f>
        <v/>
      </c>
      <c r="H1413" s="158">
        <f>IF(INDIRECT("'Закуп'!F" &amp; B1413)=0,"",INDIRECT("'Закуп'!F" &amp; B1413))</f>
        <v/>
      </c>
      <c r="I1413" s="120" t="n">
        <v>100</v>
      </c>
      <c r="J1413" s="121">
        <f>K1413/1.2</f>
        <v/>
      </c>
      <c r="K1413" s="70" t="n">
        <v>0.91</v>
      </c>
      <c r="L1413" s="122">
        <f>J1413-C1413-(J1413-C1413)*0.2</f>
        <v/>
      </c>
      <c r="M1413" s="123">
        <f>L1413*I1413</f>
        <v/>
      </c>
      <c r="N1413" s="124" t="inlineStr">
        <is>
          <t xml:space="preserve">100-290 шт - </t>
        </is>
      </c>
      <c r="O1413" s="47" t="inlineStr">
        <is>
          <t xml:space="preserve"> руб / шт с НДС</t>
        </is>
      </c>
      <c r="P1413" s="125">
        <f>ROUND(K1413,2)</f>
        <v/>
      </c>
      <c r="Q1413" s="207">
        <f>CONCATENATE(N1413,P1413,O1413,)</f>
        <v/>
      </c>
      <c r="R1413" s="240" t="n"/>
      <c r="T1413" s="241" t="n"/>
      <c r="U1413" s="240" t="n"/>
      <c r="V1413" s="241" t="n"/>
      <c r="Z1413" s="240" t="n"/>
      <c r="AB1413" s="241" t="n"/>
      <c r="AC1413" s="240" t="n"/>
      <c r="AD1413" s="241" t="n"/>
    </row>
    <row r="1414">
      <c r="B1414" s="42" t="n">
        <v>284</v>
      </c>
      <c r="C1414" s="118">
        <f>INDIRECT("'Закуп'!A" &amp; B1414)</f>
        <v/>
      </c>
      <c r="D1414" s="119">
        <f>C1414*1.2</f>
        <v/>
      </c>
      <c r="G1414" s="172">
        <f>IF(INDIRECT("'Закуп'!L" &amp; B1414)="Sale","Sale","")</f>
        <v/>
      </c>
      <c r="H1414" s="158">
        <f>IF(INDIRECT("'Закуп'!F" &amp; B1414)=0,"",INDIRECT("'Закуп'!F" &amp; B1414))</f>
        <v/>
      </c>
      <c r="I1414" s="120" t="n">
        <v>300</v>
      </c>
      <c r="J1414" s="121">
        <f>K1414/1.2</f>
        <v/>
      </c>
      <c r="K1414" s="70" t="n">
        <v>0.75</v>
      </c>
      <c r="L1414" s="122">
        <f>J1414-C1414-(J1414-C1414)*0.2</f>
        <v/>
      </c>
      <c r="M1414" s="123">
        <f>L1414*I1414</f>
        <v/>
      </c>
      <c r="N1414" s="124" t="inlineStr">
        <is>
          <t xml:space="preserve">300-490 шт - </t>
        </is>
      </c>
      <c r="O1414" s="47" t="inlineStr">
        <is>
          <t xml:space="preserve"> руб / шт с НДС</t>
        </is>
      </c>
      <c r="P1414" s="125">
        <f>ROUND(K1414,2)</f>
        <v/>
      </c>
      <c r="Q1414" s="207">
        <f>CONCATENATE(N1414,P1414,O1414,)</f>
        <v/>
      </c>
      <c r="R1414" s="240" t="n"/>
      <c r="T1414" s="241" t="n"/>
      <c r="U1414" s="240" t="n"/>
      <c r="V1414" s="241" t="n"/>
      <c r="Z1414" s="240" t="n"/>
      <c r="AB1414" s="241" t="n"/>
      <c r="AC1414" s="240" t="n"/>
      <c r="AD1414" s="241" t="n"/>
    </row>
    <row r="1415">
      <c r="B1415" s="42" t="n">
        <v>284</v>
      </c>
      <c r="C1415" s="118">
        <f>INDIRECT("'Закуп'!A" &amp; B1415)</f>
        <v/>
      </c>
      <c r="D1415" s="119">
        <f>C1415*1.2</f>
        <v/>
      </c>
      <c r="G1415" s="172">
        <f>IF(INDIRECT("'Закуп'!L" &amp; B1415)="Sale","Sale","")</f>
        <v/>
      </c>
      <c r="H1415" s="158">
        <f>IF(INDIRECT("'Закуп'!F" &amp; B1415)=0,"",INDIRECT("'Закуп'!F" &amp; B1415))</f>
        <v/>
      </c>
      <c r="I1415" s="120" t="n">
        <v>500</v>
      </c>
      <c r="J1415" s="121">
        <f>K1415/1.2</f>
        <v/>
      </c>
      <c r="K1415" s="70" t="n">
        <v>0.64</v>
      </c>
      <c r="L1415" s="122">
        <f>J1415-C1415-(J1415-C1415)*0.2</f>
        <v/>
      </c>
      <c r="M1415" s="123">
        <f>L1415*I1415</f>
        <v/>
      </c>
      <c r="N1415" s="124" t="inlineStr">
        <is>
          <t xml:space="preserve">500-990 шт - </t>
        </is>
      </c>
      <c r="O1415" s="47" t="inlineStr">
        <is>
          <t xml:space="preserve"> руб / шт с НДС</t>
        </is>
      </c>
      <c r="P1415" s="125">
        <f>ROUND(K1415,2)</f>
        <v/>
      </c>
      <c r="Q1415" s="207">
        <f>CONCATENATE(N1415,P1415,O1415,)</f>
        <v/>
      </c>
      <c r="R1415" s="240" t="n"/>
      <c r="T1415" s="241" t="n"/>
      <c r="U1415" s="240" t="n"/>
      <c r="V1415" s="241" t="n"/>
      <c r="Z1415" s="240" t="n"/>
      <c r="AB1415" s="241" t="n"/>
      <c r="AC1415" s="240" t="n"/>
      <c r="AD1415" s="241" t="n"/>
    </row>
    <row r="1416">
      <c r="B1416" s="42" t="n">
        <v>284</v>
      </c>
      <c r="C1416" s="118">
        <f>INDIRECT("'Закуп'!A" &amp; B1416)</f>
        <v/>
      </c>
      <c r="D1416" s="119">
        <f>C1416*1.2</f>
        <v/>
      </c>
      <c r="G1416" s="172">
        <f>IF(INDIRECT("'Закуп'!L" &amp; B1416)="Sale","Sale","")</f>
        <v/>
      </c>
      <c r="H1416" s="158">
        <f>IF(INDIRECT("'Закуп'!F" &amp; B1416)=0,"",INDIRECT("'Закуп'!F" &amp; B1416))</f>
        <v/>
      </c>
      <c r="I1416" s="120" t="n">
        <v>1000</v>
      </c>
      <c r="J1416" s="121">
        <f>K1416/1.2</f>
        <v/>
      </c>
      <c r="K1416" s="70" t="n">
        <v>0.54</v>
      </c>
      <c r="L1416" s="122">
        <f>J1416-C1416-(J1416-C1416)*0.2</f>
        <v/>
      </c>
      <c r="M1416" s="123">
        <f>L1416*I1416</f>
        <v/>
      </c>
      <c r="N1416" s="124" t="inlineStr">
        <is>
          <t xml:space="preserve">1000 + шт - </t>
        </is>
      </c>
      <c r="O1416" s="47" t="inlineStr">
        <is>
          <t xml:space="preserve"> руб / шт с НДС</t>
        </is>
      </c>
      <c r="P1416" s="125">
        <f>ROUND(K1416,2)</f>
        <v/>
      </c>
      <c r="Q1416" s="207">
        <f>CONCATENATE(N1416,P1416,O1416,)</f>
        <v/>
      </c>
      <c r="R1416" s="240" t="n"/>
      <c r="T1416" s="241" t="n"/>
      <c r="U1416" s="240" t="n"/>
      <c r="V1416" s="241" t="n"/>
      <c r="Z1416" s="240" t="n"/>
      <c r="AB1416" s="241" t="n"/>
      <c r="AC1416" s="240" t="n"/>
      <c r="AD1416" s="241" t="n"/>
    </row>
    <row r="1417">
      <c r="A1417" s="232" t="n">
        <v>285</v>
      </c>
      <c r="B1417" s="42" t="n">
        <v>285</v>
      </c>
      <c r="C1417" s="118">
        <f>INDIRECT("'Закуп'!A" &amp; B1417)</f>
        <v/>
      </c>
      <c r="D1417" s="119">
        <f>C1417*1.2</f>
        <v/>
      </c>
      <c r="E1417" s="224">
        <f>INDIRECT("'Закуп'!D" &amp; A1417)</f>
        <v/>
      </c>
      <c r="F1417" s="231">
        <f>INDIRECT("'Закуп'!E" &amp; B1417)</f>
        <v/>
      </c>
      <c r="G1417" s="172">
        <f>IF(INDIRECT("'Закуп'!L" &amp; B1417)="Sale","Sale","")</f>
        <v/>
      </c>
      <c r="H1417" s="158">
        <f>IF(INDIRECT("'Закуп'!F" &amp; B1417)=0,"",INDIRECT("'Закуп'!F" &amp; B1417))</f>
        <v/>
      </c>
      <c r="I1417" s="120" t="n">
        <v>50</v>
      </c>
      <c r="J1417" s="121">
        <f>K1417/1.2</f>
        <v/>
      </c>
      <c r="K1417" s="242" t="n">
        <v>1.62</v>
      </c>
      <c r="L1417" s="122">
        <f>J1417-C1417-(J1417-C1417)*0.2</f>
        <v/>
      </c>
      <c r="M1417" s="123">
        <f>L1417*I1417</f>
        <v/>
      </c>
      <c r="N1417" s="124" t="inlineStr">
        <is>
          <t xml:space="preserve">50-90 шт - </t>
        </is>
      </c>
      <c r="O1417" s="47" t="inlineStr">
        <is>
          <t xml:space="preserve"> руб / шт с НДС</t>
        </is>
      </c>
      <c r="P1417" s="125">
        <f>ROUND(K1417,2)</f>
        <v/>
      </c>
      <c r="Q1417" s="207">
        <f>CONCATENATE(N1417,P1417,O1417,)</f>
        <v/>
      </c>
      <c r="R1417" s="235">
        <f>INDIRECT("'Закуп'!k" &amp; A1417)</f>
        <v/>
      </c>
      <c r="S1417" s="239">
        <f>INDIRECT("'Закуп'!o" &amp; A1417)</f>
        <v/>
      </c>
      <c r="T1417" s="226">
        <f>INDIRECT("'Закуп'!p" &amp; A1417)</f>
        <v/>
      </c>
      <c r="U1417" s="235">
        <f>INDIRECT("'Закуп'!v" &amp; A1417)</f>
        <v/>
      </c>
      <c r="V1417" s="222">
        <f>INDIRECT("'Закуп'!w" &amp; A1417)</f>
        <v/>
      </c>
      <c r="W1417" s="229">
        <f>INDIRECT("'Закуп'!H" &amp; A1417)</f>
        <v/>
      </c>
      <c r="X1417" s="237">
        <f>INDIRECT("'Закуп'!g" &amp; A1417)</f>
        <v/>
      </c>
      <c r="Y1417" s="229">
        <f>INDIRECT("'Закуп'!i" &amp; A1417)</f>
        <v/>
      </c>
      <c r="Z1417" s="236">
        <f>INDIRECT("'Закуп'!x" &amp; A1417)</f>
        <v/>
      </c>
      <c r="AA1417" s="237">
        <f>INDIRECT("'Закуп'!y" &amp; A1417)</f>
        <v/>
      </c>
      <c r="AB1417" s="238">
        <f>INDIRECT("'Закуп'!z" &amp; A1417)</f>
        <v/>
      </c>
      <c r="AC1417" s="223">
        <f>SUBSTITUTE(INDEX(F:F, ROUNDUP((ROW(A1416))/5,0)*5 - 3), "х", "x")</f>
        <v/>
      </c>
      <c r="AD1417" s="222">
        <f>SUBSTITUTE(INDEX(F:F, ROUNDUP((ROW(A1416))/5,0)*5 - 3), "х", "x") &amp; " - " &amp; SUBSTITUTE(SUBSTITUTE(INDEX(F:F, ROUNDUP((ROW(A1416))/5,0)*5 - 3), "х", "*"), "x", "*") &amp; " мм"</f>
        <v/>
      </c>
      <c r="AE1417" t="n">
        <v>1.36</v>
      </c>
    </row>
    <row r="1418">
      <c r="B1418" s="42" t="n">
        <v>285</v>
      </c>
      <c r="C1418" s="118">
        <f>INDIRECT("'Закуп'!A" &amp; B1418)</f>
        <v/>
      </c>
      <c r="D1418" s="119">
        <f>C1418*1.2</f>
        <v/>
      </c>
      <c r="G1418" s="172">
        <f>IF(INDIRECT("'Закуп'!L" &amp; B1418)="Sale","Sale","")</f>
        <v/>
      </c>
      <c r="H1418" s="158">
        <f>IF(INDIRECT("'Закуп'!F" &amp; B1418)=0,"",INDIRECT("'Закуп'!F" &amp; B1418))</f>
        <v/>
      </c>
      <c r="I1418" s="120" t="n">
        <v>100</v>
      </c>
      <c r="J1418" s="121">
        <f>K1418/1.2</f>
        <v/>
      </c>
      <c r="K1418" s="242" t="n">
        <v>1.43</v>
      </c>
      <c r="L1418" s="122">
        <f>J1418-C1418-(J1418-C1418)*0.2</f>
        <v/>
      </c>
      <c r="M1418" s="123">
        <f>L1418*I1418</f>
        <v/>
      </c>
      <c r="N1418" s="124" t="inlineStr">
        <is>
          <t xml:space="preserve">100-290 шт - </t>
        </is>
      </c>
      <c r="O1418" s="47" t="inlineStr">
        <is>
          <t xml:space="preserve"> руб / шт с НДС</t>
        </is>
      </c>
      <c r="P1418" s="125">
        <f>ROUND(K1418,2)</f>
        <v/>
      </c>
      <c r="Q1418" s="207">
        <f>CONCATENATE(N1418,P1418,O1418,)</f>
        <v/>
      </c>
      <c r="R1418" s="240" t="n"/>
      <c r="T1418" s="241" t="n"/>
      <c r="U1418" s="240" t="n"/>
      <c r="V1418" s="241" t="n"/>
      <c r="Z1418" s="240" t="n"/>
      <c r="AB1418" s="241" t="n"/>
      <c r="AC1418" s="240" t="n"/>
      <c r="AD1418" s="241" t="n"/>
      <c r="AE1418" t="n">
        <v>1.18</v>
      </c>
    </row>
    <row r="1419">
      <c r="B1419" s="42" t="n">
        <v>285</v>
      </c>
      <c r="C1419" s="118">
        <f>INDIRECT("'Закуп'!A" &amp; B1419)</f>
        <v/>
      </c>
      <c r="D1419" s="119">
        <f>C1419*1.2</f>
        <v/>
      </c>
      <c r="G1419" s="172">
        <f>IF(INDIRECT("'Закуп'!L" &amp; B1419)="Sale","Sale","")</f>
        <v/>
      </c>
      <c r="H1419" s="158">
        <f>IF(INDIRECT("'Закуп'!F" &amp; B1419)=0,"",INDIRECT("'Закуп'!F" &amp; B1419))</f>
        <v/>
      </c>
      <c r="I1419" s="120" t="n">
        <v>300</v>
      </c>
      <c r="J1419" s="121">
        <f>K1419/1.2</f>
        <v/>
      </c>
      <c r="K1419" s="242" t="n">
        <v>1.24</v>
      </c>
      <c r="L1419" s="122">
        <f>J1419-C1419-(J1419-C1419)*0.2</f>
        <v/>
      </c>
      <c r="M1419" s="123">
        <f>L1419*I1419</f>
        <v/>
      </c>
      <c r="N1419" s="124" t="inlineStr">
        <is>
          <t xml:space="preserve">300-490 шт - </t>
        </is>
      </c>
      <c r="O1419" s="47" t="inlineStr">
        <is>
          <t xml:space="preserve"> руб / шт с НДС</t>
        </is>
      </c>
      <c r="P1419" s="125">
        <f>ROUND(K1419,2)</f>
        <v/>
      </c>
      <c r="Q1419" s="207">
        <f>CONCATENATE(N1419,P1419,O1419,)</f>
        <v/>
      </c>
      <c r="R1419" s="240" t="n"/>
      <c r="T1419" s="241" t="n"/>
      <c r="U1419" s="240" t="n"/>
      <c r="V1419" s="241" t="n"/>
      <c r="Z1419" s="240" t="n"/>
      <c r="AB1419" s="241" t="n"/>
      <c r="AC1419" s="240" t="n"/>
      <c r="AD1419" s="241" t="n"/>
      <c r="AE1419" t="n">
        <v>1</v>
      </c>
    </row>
    <row r="1420">
      <c r="B1420" s="42" t="n">
        <v>285</v>
      </c>
      <c r="C1420" s="118">
        <f>INDIRECT("'Закуп'!A" &amp; B1420)</f>
        <v/>
      </c>
      <c r="D1420" s="119">
        <f>C1420*1.2</f>
        <v/>
      </c>
      <c r="G1420" s="172">
        <f>IF(INDIRECT("'Закуп'!L" &amp; B1420)="Sale","Sale","")</f>
        <v/>
      </c>
      <c r="H1420" s="158">
        <f>IF(INDIRECT("'Закуп'!F" &amp; B1420)=0,"",INDIRECT("'Закуп'!F" &amp; B1420))</f>
        <v/>
      </c>
      <c r="I1420" s="120" t="n">
        <v>500</v>
      </c>
      <c r="J1420" s="121">
        <f>K1420/1.2</f>
        <v/>
      </c>
      <c r="K1420" s="242" t="n">
        <v>1.14</v>
      </c>
      <c r="L1420" s="122">
        <f>J1420-C1420-(J1420-C1420)*0.2</f>
        <v/>
      </c>
      <c r="M1420" s="123">
        <f>L1420*I1420</f>
        <v/>
      </c>
      <c r="N1420" s="124" t="inlineStr">
        <is>
          <t xml:space="preserve">500-990 шт - </t>
        </is>
      </c>
      <c r="O1420" s="47" t="inlineStr">
        <is>
          <t xml:space="preserve"> руб / шт с НДС</t>
        </is>
      </c>
      <c r="P1420" s="125">
        <f>ROUND(K1420,2)</f>
        <v/>
      </c>
      <c r="Q1420" s="207">
        <f>CONCATENATE(N1420,P1420,O1420,)</f>
        <v/>
      </c>
      <c r="R1420" s="240" t="n"/>
      <c r="T1420" s="241" t="n"/>
      <c r="U1420" s="240" t="n"/>
      <c r="V1420" s="241" t="n"/>
      <c r="Z1420" s="240" t="n"/>
      <c r="AB1420" s="241" t="n"/>
      <c r="AC1420" s="240" t="n"/>
      <c r="AD1420" s="241" t="n"/>
      <c r="AE1420" t="n">
        <v>0.95</v>
      </c>
    </row>
    <row r="1421">
      <c r="B1421" s="42" t="n">
        <v>285</v>
      </c>
      <c r="C1421" s="118">
        <f>INDIRECT("'Закуп'!A" &amp; B1421)</f>
        <v/>
      </c>
      <c r="D1421" s="119">
        <f>C1421*1.2</f>
        <v/>
      </c>
      <c r="G1421" s="172">
        <f>IF(INDIRECT("'Закуп'!L" &amp; B1421)="Sale","Sale","")</f>
        <v/>
      </c>
      <c r="H1421" s="158">
        <f>IF(INDIRECT("'Закуп'!F" &amp; B1421)=0,"",INDIRECT("'Закуп'!F" &amp; B1421))</f>
        <v/>
      </c>
      <c r="I1421" s="120" t="n">
        <v>1000</v>
      </c>
      <c r="J1421" s="121">
        <f>K1421/1.2</f>
        <v/>
      </c>
      <c r="K1421" s="242" t="n">
        <v>0.95</v>
      </c>
      <c r="L1421" s="122">
        <f>J1421-C1421-(J1421-C1421)*0.2</f>
        <v/>
      </c>
      <c r="M1421" s="123">
        <f>L1421*I1421</f>
        <v/>
      </c>
      <c r="N1421" s="124" t="inlineStr">
        <is>
          <t xml:space="preserve">1000 + шт - </t>
        </is>
      </c>
      <c r="O1421" s="47" t="inlineStr">
        <is>
          <t xml:space="preserve"> руб / шт с НДС</t>
        </is>
      </c>
      <c r="P1421" s="125">
        <f>ROUND(K1421,2)</f>
        <v/>
      </c>
      <c r="Q1421" s="207">
        <f>CONCATENATE(N1421,P1421,O1421,)</f>
        <v/>
      </c>
      <c r="R1421" s="240" t="n"/>
      <c r="T1421" s="241" t="n"/>
      <c r="U1421" s="240" t="n"/>
      <c r="V1421" s="241" t="n"/>
      <c r="Z1421" s="240" t="n"/>
      <c r="AB1421" s="241" t="n"/>
      <c r="AC1421" s="240" t="n"/>
      <c r="AD1421" s="241" t="n"/>
      <c r="AE1421" t="n">
        <v>0.88</v>
      </c>
    </row>
    <row r="1422">
      <c r="A1422" s="232" t="n">
        <v>286</v>
      </c>
      <c r="B1422" s="42" t="n">
        <v>286</v>
      </c>
      <c r="C1422" s="118">
        <f>INDIRECT("'Закуп'!A" &amp; B1422)</f>
        <v/>
      </c>
      <c r="D1422" s="119">
        <f>C1422*1.2</f>
        <v/>
      </c>
      <c r="E1422" s="224">
        <f>INDIRECT("'Закуп'!D" &amp; A1422)</f>
        <v/>
      </c>
      <c r="F1422" s="231">
        <f>INDIRECT("'Закуп'!E" &amp; B1422)</f>
        <v/>
      </c>
      <c r="G1422" s="172">
        <f>IF(INDIRECT("'Закуп'!L" &amp; B1422)="Sale","Sale","")</f>
        <v/>
      </c>
      <c r="H1422" s="158">
        <f>IF(INDIRECT("'Закуп'!F" &amp; B1422)=0,"",INDIRECT("'Закуп'!F" &amp; B1422))</f>
        <v/>
      </c>
      <c r="I1422" s="120" t="n">
        <v>50</v>
      </c>
      <c r="J1422" s="121">
        <f>K1422/1.2</f>
        <v/>
      </c>
      <c r="K1422" s="242" t="n">
        <v>1.79</v>
      </c>
      <c r="L1422" s="122">
        <f>J1422-C1422-(J1422-C1422)*0.2</f>
        <v/>
      </c>
      <c r="M1422" s="123">
        <f>L1422*I1422</f>
        <v/>
      </c>
      <c r="N1422" s="124" t="inlineStr">
        <is>
          <t xml:space="preserve">50-90 шт - </t>
        </is>
      </c>
      <c r="O1422" s="47" t="inlineStr">
        <is>
          <t xml:space="preserve"> руб / шт с НДС</t>
        </is>
      </c>
      <c r="P1422" s="125">
        <f>ROUND(K1422,2)</f>
        <v/>
      </c>
      <c r="Q1422" s="207">
        <f>CONCATENATE(N1422,P1422,O1422,)</f>
        <v/>
      </c>
      <c r="R1422" s="235">
        <f>INDIRECT("'Закуп'!k" &amp; A1422)</f>
        <v/>
      </c>
      <c r="S1422" s="239">
        <f>INDIRECT("'Закуп'!o" &amp; A1422)</f>
        <v/>
      </c>
      <c r="T1422" s="226">
        <f>INDIRECT("'Закуп'!p" &amp; A1422)</f>
        <v/>
      </c>
      <c r="U1422" s="235">
        <f>INDIRECT("'Закуп'!v" &amp; A1422)</f>
        <v/>
      </c>
      <c r="V1422" s="222">
        <f>INDIRECT("'Закуп'!w" &amp; A1422)</f>
        <v/>
      </c>
      <c r="W1422" s="229">
        <f>INDIRECT("'Закуп'!H" &amp; A1422)</f>
        <v/>
      </c>
      <c r="X1422" s="237">
        <f>INDIRECT("'Закуп'!g" &amp; A1422)</f>
        <v/>
      </c>
      <c r="Y1422" s="229">
        <f>INDIRECT("'Закуп'!i" &amp; A1422)</f>
        <v/>
      </c>
      <c r="Z1422" s="236">
        <f>INDIRECT("'Закуп'!x" &amp; A1422)</f>
        <v/>
      </c>
      <c r="AA1422" s="237">
        <f>INDIRECT("'Закуп'!y" &amp; A1422)</f>
        <v/>
      </c>
      <c r="AB1422" s="238">
        <f>INDIRECT("'Закуп'!z" &amp; A1422)</f>
        <v/>
      </c>
      <c r="AC1422" s="223">
        <f>SUBSTITUTE(INDEX(F:F, ROUNDUP((ROW(A1421))/5,0)*5 - 3), "х", "x")</f>
        <v/>
      </c>
      <c r="AD1422" s="222">
        <f>SUBSTITUTE(INDEX(F:F, ROUNDUP((ROW(A1421))/5,0)*5 - 3), "х", "x") &amp; " - " &amp; SUBSTITUTE(SUBSTITUTE(INDEX(F:F, ROUNDUP((ROW(A1421))/5,0)*5 - 3), "х", "*"), "x", "*") &amp; " мм"</f>
        <v/>
      </c>
      <c r="AE1422" t="n">
        <v>1.5</v>
      </c>
    </row>
    <row r="1423">
      <c r="B1423" s="42" t="n">
        <v>286</v>
      </c>
      <c r="C1423" s="118">
        <f>INDIRECT("'Закуп'!A" &amp; B1423)</f>
        <v/>
      </c>
      <c r="D1423" s="119">
        <f>C1423*1.2</f>
        <v/>
      </c>
      <c r="G1423" s="172">
        <f>IF(INDIRECT("'Закуп'!L" &amp; B1423)="Sale","Sale","")</f>
        <v/>
      </c>
      <c r="H1423" s="158">
        <f>IF(INDIRECT("'Закуп'!F" &amp; B1423)=0,"",INDIRECT("'Закуп'!F" &amp; B1423))</f>
        <v/>
      </c>
      <c r="I1423" s="120" t="n">
        <v>100</v>
      </c>
      <c r="J1423" s="121">
        <f>K1423/1.2</f>
        <v/>
      </c>
      <c r="K1423" s="242" t="n">
        <v>1.58</v>
      </c>
      <c r="L1423" s="122">
        <f>J1423-C1423-(J1423-C1423)*0.2</f>
        <v/>
      </c>
      <c r="M1423" s="123">
        <f>L1423*I1423</f>
        <v/>
      </c>
      <c r="N1423" s="124" t="inlineStr">
        <is>
          <t xml:space="preserve">100-290 шт - </t>
        </is>
      </c>
      <c r="O1423" s="47" t="inlineStr">
        <is>
          <t xml:space="preserve"> руб / шт с НДС</t>
        </is>
      </c>
      <c r="P1423" s="125">
        <f>ROUND(K1423,2)</f>
        <v/>
      </c>
      <c r="Q1423" s="207">
        <f>CONCATENATE(N1423,P1423,O1423,)</f>
        <v/>
      </c>
      <c r="R1423" s="240" t="n"/>
      <c r="T1423" s="241" t="n"/>
      <c r="U1423" s="240" t="n"/>
      <c r="V1423" s="241" t="n"/>
      <c r="Z1423" s="240" t="n"/>
      <c r="AB1423" s="241" t="n"/>
      <c r="AC1423" s="240" t="n"/>
      <c r="AD1423" s="241" t="n"/>
      <c r="AE1423" t="n">
        <v>1.36</v>
      </c>
    </row>
    <row r="1424">
      <c r="B1424" s="42" t="n">
        <v>286</v>
      </c>
      <c r="C1424" s="118">
        <f>INDIRECT("'Закуп'!A" &amp; B1424)</f>
        <v/>
      </c>
      <c r="D1424" s="119">
        <f>C1424*1.2</f>
        <v/>
      </c>
      <c r="G1424" s="172">
        <f>IF(INDIRECT("'Закуп'!L" &amp; B1424)="Sale","Sale","")</f>
        <v/>
      </c>
      <c r="H1424" s="158">
        <f>IF(INDIRECT("'Закуп'!F" &amp; B1424)=0,"",INDIRECT("'Закуп'!F" &amp; B1424))</f>
        <v/>
      </c>
      <c r="I1424" s="120" t="n">
        <v>300</v>
      </c>
      <c r="J1424" s="121">
        <f>K1424/1.2</f>
        <v/>
      </c>
      <c r="K1424" s="242" t="n">
        <v>1.37</v>
      </c>
      <c r="L1424" s="122">
        <f>J1424-C1424-(J1424-C1424)*0.2</f>
        <v/>
      </c>
      <c r="M1424" s="123">
        <f>L1424*I1424</f>
        <v/>
      </c>
      <c r="N1424" s="124" t="inlineStr">
        <is>
          <t xml:space="preserve">300-490 шт - </t>
        </is>
      </c>
      <c r="O1424" s="47" t="inlineStr">
        <is>
          <t xml:space="preserve"> руб / шт с НДС</t>
        </is>
      </c>
      <c r="P1424" s="125">
        <f>ROUND(K1424,2)</f>
        <v/>
      </c>
      <c r="Q1424" s="207">
        <f>CONCATENATE(N1424,P1424,O1424,)</f>
        <v/>
      </c>
      <c r="R1424" s="240" t="n"/>
      <c r="T1424" s="241" t="n"/>
      <c r="U1424" s="240" t="n"/>
      <c r="V1424" s="241" t="n"/>
      <c r="Z1424" s="240" t="n"/>
      <c r="AB1424" s="241" t="n"/>
      <c r="AC1424" s="240" t="n"/>
      <c r="AD1424" s="241" t="n"/>
      <c r="AE1424" t="n">
        <v>1.08</v>
      </c>
    </row>
    <row r="1425">
      <c r="B1425" s="42" t="n">
        <v>286</v>
      </c>
      <c r="C1425" s="118">
        <f>INDIRECT("'Закуп'!A" &amp; B1425)</f>
        <v/>
      </c>
      <c r="D1425" s="119">
        <f>C1425*1.2</f>
        <v/>
      </c>
      <c r="G1425" s="172">
        <f>IF(INDIRECT("'Закуп'!L" &amp; B1425)="Sale","Sale","")</f>
        <v/>
      </c>
      <c r="H1425" s="158">
        <f>IF(INDIRECT("'Закуп'!F" &amp; B1425)=0,"",INDIRECT("'Закуп'!F" &amp; B1425))</f>
        <v/>
      </c>
      <c r="I1425" s="120" t="n">
        <v>500</v>
      </c>
      <c r="J1425" s="121">
        <f>K1425/1.2</f>
        <v/>
      </c>
      <c r="K1425" s="242" t="n">
        <v>1.27</v>
      </c>
      <c r="L1425" s="122">
        <f>J1425-C1425-(J1425-C1425)*0.2</f>
        <v/>
      </c>
      <c r="M1425" s="123">
        <f>L1425*I1425</f>
        <v/>
      </c>
      <c r="N1425" s="124" t="inlineStr">
        <is>
          <t xml:space="preserve">500-990 шт - </t>
        </is>
      </c>
      <c r="O1425" s="47" t="inlineStr">
        <is>
          <t xml:space="preserve"> руб / шт с НДС</t>
        </is>
      </c>
      <c r="P1425" s="125">
        <f>ROUND(K1425,2)</f>
        <v/>
      </c>
      <c r="Q1425" s="207">
        <f>CONCATENATE(N1425,P1425,O1425,)</f>
        <v/>
      </c>
      <c r="R1425" s="240" t="n"/>
      <c r="T1425" s="241" t="n"/>
      <c r="U1425" s="240" t="n"/>
      <c r="V1425" s="241" t="n"/>
      <c r="Z1425" s="240" t="n"/>
      <c r="AB1425" s="241" t="n"/>
      <c r="AC1425" s="240" t="n"/>
      <c r="AD1425" s="241" t="n"/>
      <c r="AE1425" t="n">
        <v>1.01</v>
      </c>
    </row>
    <row r="1426">
      <c r="B1426" s="42" t="n">
        <v>286</v>
      </c>
      <c r="C1426" s="118">
        <f>INDIRECT("'Закуп'!A" &amp; B1426)</f>
        <v/>
      </c>
      <c r="D1426" s="119">
        <f>C1426*1.2</f>
        <v/>
      </c>
      <c r="G1426" s="172">
        <f>IF(INDIRECT("'Закуп'!L" &amp; B1426)="Sale","Sale","")</f>
        <v/>
      </c>
      <c r="H1426" s="158">
        <f>IF(INDIRECT("'Закуп'!F" &amp; B1426)=0,"",INDIRECT("'Закуп'!F" &amp; B1426))</f>
        <v/>
      </c>
      <c r="I1426" s="120" t="n">
        <v>1000</v>
      </c>
      <c r="J1426" s="121">
        <f>K1426/1.2</f>
        <v/>
      </c>
      <c r="K1426" s="242" t="n">
        <v>1.05</v>
      </c>
      <c r="L1426" s="122">
        <f>J1426-C1426-(J1426-C1426)*0.2</f>
        <v/>
      </c>
      <c r="M1426" s="123">
        <f>L1426*I1426</f>
        <v/>
      </c>
      <c r="N1426" s="124" t="inlineStr">
        <is>
          <t xml:space="preserve">1000 + шт - </t>
        </is>
      </c>
      <c r="O1426" s="47" t="inlineStr">
        <is>
          <t xml:space="preserve"> руб / шт с НДС</t>
        </is>
      </c>
      <c r="P1426" s="125">
        <f>ROUND(K1426,2)</f>
        <v/>
      </c>
      <c r="Q1426" s="207">
        <f>CONCATENATE(N1426,P1426,O1426,)</f>
        <v/>
      </c>
      <c r="R1426" s="240" t="n"/>
      <c r="T1426" s="241" t="n"/>
      <c r="U1426" s="240" t="n"/>
      <c r="V1426" s="241" t="n"/>
      <c r="Z1426" s="240" t="n"/>
      <c r="AB1426" s="241" t="n"/>
      <c r="AC1426" s="240" t="n"/>
      <c r="AD1426" s="241" t="n"/>
      <c r="AE1426" t="n">
        <v>0.95</v>
      </c>
    </row>
    <row r="1427">
      <c r="A1427" s="232" t="n">
        <v>287</v>
      </c>
      <c r="B1427" s="42" t="n">
        <v>287</v>
      </c>
      <c r="C1427" s="118">
        <f>INDIRECT("'Закуп'!A" &amp; B1427)</f>
        <v/>
      </c>
      <c r="D1427" s="119">
        <f>C1427*1.2</f>
        <v/>
      </c>
      <c r="E1427" s="225">
        <f>INDIRECT("'Закуп'!D" &amp; A1427)</f>
        <v/>
      </c>
      <c r="F1427" s="231">
        <f>INDIRECT("'Закуп'!E" &amp; B1427)</f>
        <v/>
      </c>
      <c r="G1427" s="172">
        <f>IF(INDIRECT("'Закуп'!L" &amp; B1427)="Sale","Sale","")</f>
        <v/>
      </c>
      <c r="H1427" s="158">
        <f>IF(INDIRECT("'Закуп'!F" &amp; B1427)=0,"",INDIRECT("'Закуп'!F" &amp; B1427))</f>
        <v/>
      </c>
      <c r="I1427" s="120" t="n">
        <v>50</v>
      </c>
      <c r="J1427" s="121">
        <f>K1427/1.2</f>
        <v/>
      </c>
      <c r="K1427" s="242" t="n">
        <v>4.02</v>
      </c>
      <c r="L1427" s="122">
        <f>J1427-C1427-(J1427-C1427)*0.2</f>
        <v/>
      </c>
      <c r="M1427" s="123">
        <f>L1427*I1427</f>
        <v/>
      </c>
      <c r="N1427" s="124" t="inlineStr">
        <is>
          <t xml:space="preserve">50-90 шт - </t>
        </is>
      </c>
      <c r="O1427" s="47" t="inlineStr">
        <is>
          <t xml:space="preserve"> руб / шт с НДС</t>
        </is>
      </c>
      <c r="P1427" s="125">
        <f>ROUND(K1427,2)</f>
        <v/>
      </c>
      <c r="Q1427" s="207">
        <f>CONCATENATE(N1427,P1427,O1427,)</f>
        <v/>
      </c>
      <c r="R1427" s="235">
        <f>INDIRECT("'Закуп'!k" &amp; A1427)</f>
        <v/>
      </c>
      <c r="S1427" s="239">
        <f>INDIRECT("'Закуп'!o" &amp; A1427)</f>
        <v/>
      </c>
      <c r="T1427" s="226">
        <f>INDIRECT("'Закуп'!p" &amp; A1427)</f>
        <v/>
      </c>
      <c r="U1427" s="235">
        <f>INDIRECT("'Закуп'!v" &amp; A1427)</f>
        <v/>
      </c>
      <c r="V1427" s="222">
        <f>INDIRECT("'Закуп'!w" &amp; A1427)</f>
        <v/>
      </c>
      <c r="W1427" s="229">
        <f>INDIRECT("'Закуп'!H" &amp; A1427)</f>
        <v/>
      </c>
      <c r="X1427" s="237">
        <f>INDIRECT("'Закуп'!g" &amp; A1427)</f>
        <v/>
      </c>
      <c r="Y1427" s="229">
        <f>INDIRECT("'Закуп'!i" &amp; A1427)</f>
        <v/>
      </c>
      <c r="Z1427" s="236">
        <f>INDIRECT("'Закуп'!x" &amp; A1427)</f>
        <v/>
      </c>
      <c r="AA1427" s="237">
        <f>INDIRECT("'Закуп'!y" &amp; A1427)</f>
        <v/>
      </c>
      <c r="AB1427" s="238">
        <f>INDIRECT("'Закуп'!z" &amp; A1427)</f>
        <v/>
      </c>
      <c r="AC1427" s="223">
        <f>SUBSTITUTE(INDEX(F:F, ROUNDUP((ROW(A1426))/5,0)*5 - 3), "х", "x")</f>
        <v/>
      </c>
      <c r="AD1427" s="222">
        <f>SUBSTITUTE(INDEX(F:F, ROUNDUP((ROW(A1426))/5,0)*5 - 3), "х", "x") &amp; " - " &amp; SUBSTITUTE(SUBSTITUTE(INDEX(F:F, ROUNDUP((ROW(A1426))/5,0)*5 - 3), "х", "*"), "x", "*") &amp; " мм"</f>
        <v/>
      </c>
      <c r="AE1427" t="n">
        <v>3.88</v>
      </c>
    </row>
    <row r="1428">
      <c r="B1428" s="42" t="n">
        <v>287</v>
      </c>
      <c r="C1428" s="118">
        <f>INDIRECT("'Закуп'!A" &amp; B1428)</f>
        <v/>
      </c>
      <c r="D1428" s="119">
        <f>C1428*1.2</f>
        <v/>
      </c>
      <c r="G1428" s="172">
        <f>IF(INDIRECT("'Закуп'!L" &amp; B1428)="Sale","Sale","")</f>
        <v/>
      </c>
      <c r="H1428" s="158">
        <f>IF(INDIRECT("'Закуп'!F" &amp; B1428)=0,"",INDIRECT("'Закуп'!F" &amp; B1428))</f>
        <v/>
      </c>
      <c r="I1428" s="120" t="n">
        <v>100</v>
      </c>
      <c r="J1428" s="121">
        <f>K1428/1.2</f>
        <v/>
      </c>
      <c r="K1428" s="242" t="n">
        <v>3.44</v>
      </c>
      <c r="L1428" s="122">
        <f>J1428-C1428-(J1428-C1428)*0.2</f>
        <v/>
      </c>
      <c r="M1428" s="123">
        <f>L1428*I1428</f>
        <v/>
      </c>
      <c r="N1428" s="124" t="inlineStr">
        <is>
          <t xml:space="preserve">100-290 шт - </t>
        </is>
      </c>
      <c r="O1428" s="47" t="inlineStr">
        <is>
          <t xml:space="preserve"> руб / шт с НДС</t>
        </is>
      </c>
      <c r="P1428" s="125">
        <f>ROUND(K1428,2)</f>
        <v/>
      </c>
      <c r="Q1428" s="207">
        <f>CONCATENATE(N1428,P1428,O1428,)</f>
        <v/>
      </c>
      <c r="R1428" s="240" t="n"/>
      <c r="T1428" s="241" t="n"/>
      <c r="U1428" s="240" t="n"/>
      <c r="V1428" s="241" t="n"/>
      <c r="Z1428" s="240" t="n"/>
      <c r="AB1428" s="241" t="n"/>
      <c r="AC1428" s="240" t="n"/>
      <c r="AD1428" s="241" t="n"/>
      <c r="AE1428" t="n">
        <v>3.78</v>
      </c>
    </row>
    <row r="1429">
      <c r="B1429" s="42" t="n">
        <v>287</v>
      </c>
      <c r="C1429" s="118">
        <f>INDIRECT("'Закуп'!A" &amp; B1429)</f>
        <v/>
      </c>
      <c r="D1429" s="119">
        <f>C1429*1.2</f>
        <v/>
      </c>
      <c r="G1429" s="172">
        <f>IF(INDIRECT("'Закуп'!L" &amp; B1429)="Sale","Sale","")</f>
        <v/>
      </c>
      <c r="H1429" s="158">
        <f>IF(INDIRECT("'Закуп'!F" &amp; B1429)=0,"",INDIRECT("'Закуп'!F" &amp; B1429))</f>
        <v/>
      </c>
      <c r="I1429" s="120" t="n">
        <v>300</v>
      </c>
      <c r="J1429" s="121">
        <f>K1429/1.2</f>
        <v/>
      </c>
      <c r="K1429" s="242" t="n">
        <v>3.11</v>
      </c>
      <c r="L1429" s="122">
        <f>J1429-C1429-(J1429-C1429)*0.2</f>
        <v/>
      </c>
      <c r="M1429" s="123">
        <f>L1429*I1429</f>
        <v/>
      </c>
      <c r="N1429" s="124" t="inlineStr">
        <is>
          <t xml:space="preserve">300-490 шт - </t>
        </is>
      </c>
      <c r="O1429" s="47" t="inlineStr">
        <is>
          <t xml:space="preserve"> руб / шт с НДС</t>
        </is>
      </c>
      <c r="P1429" s="125">
        <f>ROUND(K1429,2)</f>
        <v/>
      </c>
      <c r="Q1429" s="207">
        <f>CONCATENATE(N1429,P1429,O1429,)</f>
        <v/>
      </c>
      <c r="R1429" s="240" t="n"/>
      <c r="T1429" s="241" t="n"/>
      <c r="U1429" s="240" t="n"/>
      <c r="V1429" s="241" t="n"/>
      <c r="Z1429" s="240" t="n"/>
      <c r="AB1429" s="241" t="n"/>
      <c r="AC1429" s="240" t="n"/>
      <c r="AD1429" s="241" t="n"/>
      <c r="AE1429" t="n">
        <v>3.15</v>
      </c>
    </row>
    <row r="1430">
      <c r="B1430" s="42" t="n">
        <v>287</v>
      </c>
      <c r="C1430" s="118">
        <f>INDIRECT("'Закуп'!A" &amp; B1430)</f>
        <v/>
      </c>
      <c r="D1430" s="119">
        <f>C1430*1.2</f>
        <v/>
      </c>
      <c r="G1430" s="172">
        <f>IF(INDIRECT("'Закуп'!L" &amp; B1430)="Sale","Sale","")</f>
        <v/>
      </c>
      <c r="H1430" s="158">
        <f>IF(INDIRECT("'Закуп'!F" &amp; B1430)=0,"",INDIRECT("'Закуп'!F" &amp; B1430))</f>
        <v/>
      </c>
      <c r="I1430" s="120" t="n">
        <v>500</v>
      </c>
      <c r="J1430" s="121">
        <f>K1430/1.2</f>
        <v/>
      </c>
      <c r="K1430" s="242" t="n">
        <v>2.94</v>
      </c>
      <c r="L1430" s="122">
        <f>J1430-C1430-(J1430-C1430)*0.2</f>
        <v/>
      </c>
      <c r="M1430" s="123">
        <f>L1430*I1430</f>
        <v/>
      </c>
      <c r="N1430" s="124" t="inlineStr">
        <is>
          <t xml:space="preserve">500-990 шт - </t>
        </is>
      </c>
      <c r="O1430" s="47" t="inlineStr">
        <is>
          <t xml:space="preserve"> руб / шт с НДС</t>
        </is>
      </c>
      <c r="P1430" s="125">
        <f>ROUND(K1430,2)</f>
        <v/>
      </c>
      <c r="Q1430" s="207">
        <f>CONCATENATE(N1430,P1430,O1430,)</f>
        <v/>
      </c>
      <c r="R1430" s="240" t="n"/>
      <c r="T1430" s="241" t="n"/>
      <c r="U1430" s="240" t="n"/>
      <c r="V1430" s="241" t="n"/>
      <c r="Z1430" s="240" t="n"/>
      <c r="AB1430" s="241" t="n"/>
      <c r="AC1430" s="240" t="n"/>
      <c r="AD1430" s="241" t="n"/>
      <c r="AE1430" t="n">
        <v>3.05</v>
      </c>
    </row>
    <row r="1431">
      <c r="B1431" s="42" t="n">
        <v>287</v>
      </c>
      <c r="C1431" s="118">
        <f>INDIRECT("'Закуп'!A" &amp; B1431)</f>
        <v/>
      </c>
      <c r="D1431" s="119">
        <f>C1431*1.2</f>
        <v/>
      </c>
      <c r="G1431" s="172">
        <f>IF(INDIRECT("'Закуп'!L" &amp; B1431)="Sale","Sale","")</f>
        <v/>
      </c>
      <c r="H1431" s="158">
        <f>IF(INDIRECT("'Закуп'!F" &amp; B1431)=0,"",INDIRECT("'Закуп'!F" &amp; B1431))</f>
        <v/>
      </c>
      <c r="I1431" s="120" t="n">
        <v>1000</v>
      </c>
      <c r="J1431" s="121">
        <f>K1431/1.2</f>
        <v/>
      </c>
      <c r="K1431" s="242" t="n">
        <v>2.85</v>
      </c>
      <c r="L1431" s="122">
        <f>J1431-C1431-(J1431-C1431)*0.2</f>
        <v/>
      </c>
      <c r="M1431" s="123">
        <f>L1431*I1431</f>
        <v/>
      </c>
      <c r="N1431" s="124" t="inlineStr">
        <is>
          <t xml:space="preserve">1000 + шт - </t>
        </is>
      </c>
      <c r="O1431" s="47" t="inlineStr">
        <is>
          <t xml:space="preserve"> руб / шт с НДС</t>
        </is>
      </c>
      <c r="P1431" s="125">
        <f>ROUND(K1431,2)</f>
        <v/>
      </c>
      <c r="Q1431" s="207">
        <f>CONCATENATE(N1431,P1431,O1431,)</f>
        <v/>
      </c>
      <c r="R1431" s="240" t="n"/>
      <c r="T1431" s="241" t="n"/>
      <c r="U1431" s="240" t="n"/>
      <c r="V1431" s="241" t="n"/>
      <c r="Z1431" s="240" t="n"/>
      <c r="AB1431" s="241" t="n"/>
      <c r="AC1431" s="240" t="n"/>
      <c r="AD1431" s="241" t="n"/>
      <c r="AE1431" t="n">
        <v>2.96</v>
      </c>
    </row>
    <row r="1432">
      <c r="A1432" s="232" t="n">
        <v>288</v>
      </c>
      <c r="B1432" s="42" t="n">
        <v>288</v>
      </c>
      <c r="C1432" s="118">
        <f>INDIRECT("'Закуп'!A" &amp; B1432)</f>
        <v/>
      </c>
      <c r="D1432" s="119">
        <f>C1432*1.2</f>
        <v/>
      </c>
      <c r="E1432" s="224">
        <f>INDIRECT("'Закуп'!D" &amp; A1432)</f>
        <v/>
      </c>
      <c r="F1432" s="231">
        <f>INDIRECT("'Закуп'!E" &amp; B1432)</f>
        <v/>
      </c>
      <c r="G1432" s="172">
        <f>IF(INDIRECT("'Закуп'!L" &amp; B1432)="Sale","Sale","")</f>
        <v/>
      </c>
      <c r="H1432" s="158">
        <f>IF(INDIRECT("'Закуп'!F" &amp; B1432)=0,"",INDIRECT("'Закуп'!F" &amp; B1432))</f>
        <v/>
      </c>
      <c r="I1432" s="120" t="n">
        <v>50</v>
      </c>
      <c r="J1432" s="121">
        <f>K1432/1.2</f>
        <v/>
      </c>
      <c r="K1432" s="70" t="n">
        <v>2.8</v>
      </c>
      <c r="L1432" s="122">
        <f>J1432-C1432-(J1432-C1432)*0.2</f>
        <v/>
      </c>
      <c r="M1432" s="123">
        <f>L1432*I1432</f>
        <v/>
      </c>
      <c r="N1432" s="124" t="inlineStr">
        <is>
          <t xml:space="preserve">50-90 шт - </t>
        </is>
      </c>
      <c r="O1432" s="47" t="inlineStr">
        <is>
          <t xml:space="preserve"> руб / шт с НДС</t>
        </is>
      </c>
      <c r="P1432" s="125">
        <f>ROUND(K1432,2)</f>
        <v/>
      </c>
      <c r="Q1432" s="207">
        <f>CONCATENATE(N1432,P1432,O1432,)</f>
        <v/>
      </c>
      <c r="R1432" s="235">
        <f>INDIRECT("'Закуп'!k" &amp; A1432)</f>
        <v/>
      </c>
      <c r="S1432" s="239">
        <f>INDIRECT("'Закуп'!o" &amp; A1432)</f>
        <v/>
      </c>
      <c r="T1432" s="226">
        <f>INDIRECT("'Закуп'!p" &amp; A1432)</f>
        <v/>
      </c>
      <c r="U1432" s="235">
        <f>INDIRECT("'Закуп'!v" &amp; A1432)</f>
        <v/>
      </c>
      <c r="V1432" s="222">
        <f>INDIRECT("'Закуп'!w" &amp; A1432)</f>
        <v/>
      </c>
      <c r="W1432" s="229">
        <f>INDIRECT("'Закуп'!H" &amp; A1432)</f>
        <v/>
      </c>
      <c r="X1432" s="237">
        <f>INDIRECT("'Закуп'!g" &amp; A1432)</f>
        <v/>
      </c>
      <c r="Y1432" s="229">
        <f>INDIRECT("'Закуп'!i" &amp; A1432)</f>
        <v/>
      </c>
      <c r="Z1432" s="236">
        <f>INDIRECT("'Закуп'!x" &amp; A1432)</f>
        <v/>
      </c>
      <c r="AA1432" s="237">
        <f>INDIRECT("'Закуп'!y" &amp; A1432)</f>
        <v/>
      </c>
      <c r="AB1432" s="238">
        <f>INDIRECT("'Закуп'!z" &amp; A1432)</f>
        <v/>
      </c>
      <c r="AC1432" s="223">
        <f>SUBSTITUTE(INDEX(F:F, ROUNDUP((ROW(A1431))/5,0)*5 - 3), "х", "x")</f>
        <v/>
      </c>
      <c r="AD1432" s="222">
        <f>SUBSTITUTE(INDEX(F:F, ROUNDUP((ROW(A1431))/5,0)*5 - 3), "х", "x") &amp; " - " &amp; SUBSTITUTE(SUBSTITUTE(INDEX(F:F, ROUNDUP((ROW(A1431))/5,0)*5 - 3), "х", "*"), "x", "*") &amp; " мм"</f>
        <v/>
      </c>
    </row>
    <row r="1433">
      <c r="B1433" s="42" t="n">
        <v>288</v>
      </c>
      <c r="C1433" s="118">
        <f>INDIRECT("'Закуп'!A" &amp; B1433)</f>
        <v/>
      </c>
      <c r="D1433" s="119">
        <f>C1433*1.2</f>
        <v/>
      </c>
      <c r="G1433" s="172">
        <f>IF(INDIRECT("'Закуп'!L" &amp; B1433)="Sale","Sale","")</f>
        <v/>
      </c>
      <c r="H1433" s="158">
        <f>IF(INDIRECT("'Закуп'!F" &amp; B1433)=0,"",INDIRECT("'Закуп'!F" &amp; B1433))</f>
        <v/>
      </c>
      <c r="I1433" s="120" t="n">
        <v>100</v>
      </c>
      <c r="J1433" s="121">
        <f>K1433/1.2</f>
        <v/>
      </c>
      <c r="K1433" s="70" t="n">
        <v>2.4</v>
      </c>
      <c r="L1433" s="122">
        <f>J1433-C1433-(J1433-C1433)*0.2</f>
        <v/>
      </c>
      <c r="M1433" s="123">
        <f>L1433*I1433</f>
        <v/>
      </c>
      <c r="N1433" s="124" t="inlineStr">
        <is>
          <t xml:space="preserve">100-290 шт - </t>
        </is>
      </c>
      <c r="O1433" s="47" t="inlineStr">
        <is>
          <t xml:space="preserve"> руб / шт с НДС</t>
        </is>
      </c>
      <c r="P1433" s="125">
        <f>ROUND(K1433,2)</f>
        <v/>
      </c>
      <c r="Q1433" s="207">
        <f>CONCATENATE(N1433,P1433,O1433,)</f>
        <v/>
      </c>
      <c r="R1433" s="240" t="n"/>
      <c r="T1433" s="241" t="n"/>
      <c r="U1433" s="240" t="n"/>
      <c r="V1433" s="241" t="n"/>
      <c r="Z1433" s="240" t="n"/>
      <c r="AB1433" s="241" t="n"/>
      <c r="AC1433" s="240" t="n"/>
      <c r="AD1433" s="241" t="n"/>
    </row>
    <row r="1434">
      <c r="B1434" s="42" t="n">
        <v>288</v>
      </c>
      <c r="C1434" s="118">
        <f>INDIRECT("'Закуп'!A" &amp; B1434)</f>
        <v/>
      </c>
      <c r="D1434" s="119">
        <f>C1434*1.2</f>
        <v/>
      </c>
      <c r="G1434" s="172">
        <f>IF(INDIRECT("'Закуп'!L" &amp; B1434)="Sale","Sale","")</f>
        <v/>
      </c>
      <c r="H1434" s="158">
        <f>IF(INDIRECT("'Закуп'!F" &amp; B1434)=0,"",INDIRECT("'Закуп'!F" &amp; B1434))</f>
        <v/>
      </c>
      <c r="I1434" s="120" t="n">
        <v>300</v>
      </c>
      <c r="J1434" s="121">
        <f>K1434/1.2</f>
        <v/>
      </c>
      <c r="K1434" s="70" t="n">
        <v>2.16</v>
      </c>
      <c r="L1434" s="122">
        <f>J1434-C1434-(J1434-C1434)*0.2</f>
        <v/>
      </c>
      <c r="M1434" s="123">
        <f>L1434*I1434</f>
        <v/>
      </c>
      <c r="N1434" s="124" t="inlineStr">
        <is>
          <t xml:space="preserve">300-490 шт - </t>
        </is>
      </c>
      <c r="O1434" s="47" t="inlineStr">
        <is>
          <t xml:space="preserve"> руб / шт с НДС</t>
        </is>
      </c>
      <c r="P1434" s="125">
        <f>ROUND(K1434,2)</f>
        <v/>
      </c>
      <c r="Q1434" s="207">
        <f>CONCATENATE(N1434,P1434,O1434,)</f>
        <v/>
      </c>
      <c r="R1434" s="240" t="n"/>
      <c r="T1434" s="241" t="n"/>
      <c r="U1434" s="240" t="n"/>
      <c r="V1434" s="241" t="n"/>
      <c r="Z1434" s="240" t="n"/>
      <c r="AB1434" s="241" t="n"/>
      <c r="AC1434" s="240" t="n"/>
      <c r="AD1434" s="241" t="n"/>
    </row>
    <row r="1435">
      <c r="B1435" s="42" t="n">
        <v>288</v>
      </c>
      <c r="C1435" s="118">
        <f>INDIRECT("'Закуп'!A" &amp; B1435)</f>
        <v/>
      </c>
      <c r="D1435" s="119">
        <f>C1435*1.2</f>
        <v/>
      </c>
      <c r="G1435" s="172">
        <f>IF(INDIRECT("'Закуп'!L" &amp; B1435)="Sale","Sale","")</f>
        <v/>
      </c>
      <c r="H1435" s="158">
        <f>IF(INDIRECT("'Закуп'!F" &amp; B1435)=0,"",INDIRECT("'Закуп'!F" &amp; B1435))</f>
        <v/>
      </c>
      <c r="I1435" s="120" t="n">
        <v>500</v>
      </c>
      <c r="J1435" s="121">
        <f>K1435/1.2</f>
        <v/>
      </c>
      <c r="K1435" s="70" t="n">
        <v>1.95</v>
      </c>
      <c r="L1435" s="122">
        <f>J1435-C1435-(J1435-C1435)*0.2</f>
        <v/>
      </c>
      <c r="M1435" s="123">
        <f>L1435*I1435</f>
        <v/>
      </c>
      <c r="N1435" s="124" t="inlineStr">
        <is>
          <t xml:space="preserve">500-990 шт - </t>
        </is>
      </c>
      <c r="O1435" s="47" t="inlineStr">
        <is>
          <t xml:space="preserve"> руб / шт с НДС</t>
        </is>
      </c>
      <c r="P1435" s="125">
        <f>ROUND(K1435,2)</f>
        <v/>
      </c>
      <c r="Q1435" s="207">
        <f>CONCATENATE(N1435,P1435,O1435,)</f>
        <v/>
      </c>
      <c r="R1435" s="240" t="n"/>
      <c r="T1435" s="241" t="n"/>
      <c r="U1435" s="240" t="n"/>
      <c r="V1435" s="241" t="n"/>
      <c r="Z1435" s="240" t="n"/>
      <c r="AB1435" s="241" t="n"/>
      <c r="AC1435" s="240" t="n"/>
      <c r="AD1435" s="241" t="n"/>
    </row>
    <row r="1436">
      <c r="B1436" s="42" t="n">
        <v>288</v>
      </c>
      <c r="C1436" s="118">
        <f>INDIRECT("'Закуп'!A" &amp; B1436)</f>
        <v/>
      </c>
      <c r="D1436" s="119">
        <f>C1436*1.2</f>
        <v/>
      </c>
      <c r="G1436" s="172">
        <f>IF(INDIRECT("'Закуп'!L" &amp; B1436)="Sale","Sale","")</f>
        <v/>
      </c>
      <c r="H1436" s="158">
        <f>IF(INDIRECT("'Закуп'!F" &amp; B1436)=0,"",INDIRECT("'Закуп'!F" &amp; B1436))</f>
        <v/>
      </c>
      <c r="I1436" s="120" t="n">
        <v>1000</v>
      </c>
      <c r="J1436" s="121">
        <f>K1436/1.2</f>
        <v/>
      </c>
      <c r="K1436" s="70" t="n">
        <v>1.86</v>
      </c>
      <c r="L1436" s="122">
        <f>J1436-C1436-(J1436-C1436)*0.2</f>
        <v/>
      </c>
      <c r="M1436" s="123">
        <f>L1436*I1436</f>
        <v/>
      </c>
      <c r="N1436" s="124" t="inlineStr">
        <is>
          <t xml:space="preserve">1000 + шт - </t>
        </is>
      </c>
      <c r="O1436" s="47" t="inlineStr">
        <is>
          <t xml:space="preserve"> руб / шт с НДС</t>
        </is>
      </c>
      <c r="P1436" s="125">
        <f>ROUND(K1436,2)</f>
        <v/>
      </c>
      <c r="Q1436" s="207">
        <f>CONCATENATE(N1436,P1436,O1436,)</f>
        <v/>
      </c>
      <c r="R1436" s="240" t="n"/>
      <c r="T1436" s="241" t="n"/>
      <c r="U1436" s="240" t="n"/>
      <c r="V1436" s="241" t="n"/>
      <c r="Z1436" s="240" t="n"/>
      <c r="AB1436" s="241" t="n"/>
      <c r="AC1436" s="240" t="n"/>
      <c r="AD1436" s="241" t="n"/>
    </row>
    <row r="1437">
      <c r="A1437" s="232" t="n">
        <v>289</v>
      </c>
      <c r="B1437" s="42" t="n">
        <v>289</v>
      </c>
      <c r="C1437" s="118">
        <f>INDIRECT("'Закуп'!A" &amp; B1437)</f>
        <v/>
      </c>
      <c r="D1437" s="119">
        <f>C1437*1.2</f>
        <v/>
      </c>
      <c r="E1437" s="224">
        <f>INDIRECT("'Закуп'!D" &amp; A1437)</f>
        <v/>
      </c>
      <c r="F1437" s="231">
        <f>INDIRECT("'Закуп'!E" &amp; B1437)</f>
        <v/>
      </c>
      <c r="G1437" s="172">
        <f>IF(INDIRECT("'Закуп'!L" &amp; B1437)="Sale","Sale","")</f>
        <v/>
      </c>
      <c r="H1437" s="158">
        <f>IF(INDIRECT("'Закуп'!F" &amp; B1437)=0,"",INDIRECT("'Закуп'!F" &amp; B1437))</f>
        <v/>
      </c>
      <c r="I1437" s="120" t="n">
        <v>50</v>
      </c>
      <c r="J1437" s="121">
        <f>K1437/1.2</f>
        <v/>
      </c>
      <c r="K1437" s="70" t="n">
        <v>1.1</v>
      </c>
      <c r="L1437" s="122">
        <f>J1437-C1437-(J1437-C1437)*0.2</f>
        <v/>
      </c>
      <c r="M1437" s="123">
        <f>L1437*I1437</f>
        <v/>
      </c>
      <c r="N1437" s="124" t="inlineStr">
        <is>
          <t xml:space="preserve">50-90 шт - </t>
        </is>
      </c>
      <c r="O1437" s="47" t="inlineStr">
        <is>
          <t xml:space="preserve"> руб / шт с НДС</t>
        </is>
      </c>
      <c r="P1437" s="125">
        <f>ROUND(K1437,2)</f>
        <v/>
      </c>
      <c r="Q1437" s="207">
        <f>CONCATENATE(N1437,P1437,O1437,)</f>
        <v/>
      </c>
      <c r="R1437" s="235">
        <f>INDIRECT("'Закуп'!k" &amp; A1437)</f>
        <v/>
      </c>
      <c r="S1437" s="239">
        <f>INDIRECT("'Закуп'!o" &amp; A1437)</f>
        <v/>
      </c>
      <c r="T1437" s="226">
        <f>INDIRECT("'Закуп'!p" &amp; A1437)</f>
        <v/>
      </c>
      <c r="U1437" s="235">
        <f>INDIRECT("'Закуп'!v" &amp; A1437)</f>
        <v/>
      </c>
      <c r="V1437" s="222">
        <f>INDIRECT("'Закуп'!w" &amp; A1437)</f>
        <v/>
      </c>
      <c r="W1437" s="229">
        <f>INDIRECT("'Закуп'!H" &amp; A1437)</f>
        <v/>
      </c>
      <c r="X1437" s="237">
        <f>INDIRECT("'Закуп'!g" &amp; A1437)</f>
        <v/>
      </c>
      <c r="Y1437" s="229">
        <f>INDIRECT("'Закуп'!i" &amp; A1437)</f>
        <v/>
      </c>
      <c r="Z1437" s="236">
        <f>INDIRECT("'Закуп'!x" &amp; A1437)</f>
        <v/>
      </c>
      <c r="AA1437" s="237">
        <f>INDIRECT("'Закуп'!y" &amp; A1437)</f>
        <v/>
      </c>
      <c r="AB1437" s="238">
        <f>INDIRECT("'Закуп'!z" &amp; A1437)</f>
        <v/>
      </c>
      <c r="AC1437" s="223">
        <f>SUBSTITUTE(INDEX(F:F, ROUNDUP((ROW(A1436))/5,0)*5 - 3), "х", "x")</f>
        <v/>
      </c>
      <c r="AD1437" s="222">
        <f>SUBSTITUTE(INDEX(F:F, ROUNDUP((ROW(A1436))/5,0)*5 - 3), "х", "x") &amp; " - " &amp; SUBSTITUTE(SUBSTITUTE(INDEX(F:F, ROUNDUP((ROW(A1436))/5,0)*5 - 3), "х", "*"), "x", "*") &amp; " мм"</f>
        <v/>
      </c>
    </row>
    <row r="1438">
      <c r="B1438" s="42" t="n">
        <v>289</v>
      </c>
      <c r="C1438" s="118">
        <f>INDIRECT("'Закуп'!A" &amp; B1438)</f>
        <v/>
      </c>
      <c r="D1438" s="119">
        <f>C1438*1.2</f>
        <v/>
      </c>
      <c r="G1438" s="172">
        <f>IF(INDIRECT("'Закуп'!L" &amp; B1438)="Sale","Sale","")</f>
        <v/>
      </c>
      <c r="H1438" s="158">
        <f>IF(INDIRECT("'Закуп'!F" &amp; B1438)=0,"",INDIRECT("'Закуп'!F" &amp; B1438))</f>
        <v/>
      </c>
      <c r="I1438" s="120" t="n">
        <v>100</v>
      </c>
      <c r="J1438" s="121">
        <f>K1438/1.2</f>
        <v/>
      </c>
      <c r="K1438" s="70" t="n">
        <v>1</v>
      </c>
      <c r="L1438" s="122">
        <f>J1438-C1438-(J1438-C1438)*0.2</f>
        <v/>
      </c>
      <c r="M1438" s="123">
        <f>L1438*I1438</f>
        <v/>
      </c>
      <c r="N1438" s="124" t="inlineStr">
        <is>
          <t xml:space="preserve">100-290 шт - </t>
        </is>
      </c>
      <c r="O1438" s="47" t="inlineStr">
        <is>
          <t xml:space="preserve"> руб / шт с НДС</t>
        </is>
      </c>
      <c r="P1438" s="125">
        <f>ROUND(K1438,2)</f>
        <v/>
      </c>
      <c r="Q1438" s="207">
        <f>CONCATENATE(N1438,P1438,O1438,)</f>
        <v/>
      </c>
      <c r="R1438" s="240" t="n"/>
      <c r="T1438" s="241" t="n"/>
      <c r="U1438" s="240" t="n"/>
      <c r="V1438" s="241" t="n"/>
      <c r="Z1438" s="240" t="n"/>
      <c r="AB1438" s="241" t="n"/>
      <c r="AC1438" s="240" t="n"/>
      <c r="AD1438" s="241" t="n"/>
    </row>
    <row r="1439">
      <c r="B1439" s="42" t="n">
        <v>289</v>
      </c>
      <c r="C1439" s="118">
        <f>INDIRECT("'Закуп'!A" &amp; B1439)</f>
        <v/>
      </c>
      <c r="D1439" s="119">
        <f>C1439*1.2</f>
        <v/>
      </c>
      <c r="G1439" s="172">
        <f>IF(INDIRECT("'Закуп'!L" &amp; B1439)="Sale","Sale","")</f>
        <v/>
      </c>
      <c r="H1439" s="158">
        <f>IF(INDIRECT("'Закуп'!F" &amp; B1439)=0,"",INDIRECT("'Закуп'!F" &amp; B1439))</f>
        <v/>
      </c>
      <c r="I1439" s="120" t="n">
        <v>300</v>
      </c>
      <c r="J1439" s="121">
        <f>K1439/1.2</f>
        <v/>
      </c>
      <c r="K1439" s="70" t="n">
        <v>0.9</v>
      </c>
      <c r="L1439" s="122">
        <f>J1439-C1439-(J1439-C1439)*0.2</f>
        <v/>
      </c>
      <c r="M1439" s="123">
        <f>L1439*I1439</f>
        <v/>
      </c>
      <c r="N1439" s="124" t="inlineStr">
        <is>
          <t xml:space="preserve">300-490 шт - </t>
        </is>
      </c>
      <c r="O1439" s="47" t="inlineStr">
        <is>
          <t xml:space="preserve"> руб / шт с НДС</t>
        </is>
      </c>
      <c r="P1439" s="125">
        <f>ROUND(K1439,2)</f>
        <v/>
      </c>
      <c r="Q1439" s="207">
        <f>CONCATENATE(N1439,P1439,O1439,)</f>
        <v/>
      </c>
      <c r="R1439" s="240" t="n"/>
      <c r="T1439" s="241" t="n"/>
      <c r="U1439" s="240" t="n"/>
      <c r="V1439" s="241" t="n"/>
      <c r="Z1439" s="240" t="n"/>
      <c r="AB1439" s="241" t="n"/>
      <c r="AC1439" s="240" t="n"/>
      <c r="AD1439" s="241" t="n"/>
    </row>
    <row r="1440">
      <c r="B1440" s="42" t="n">
        <v>289</v>
      </c>
      <c r="C1440" s="118">
        <f>INDIRECT("'Закуп'!A" &amp; B1440)</f>
        <v/>
      </c>
      <c r="D1440" s="119">
        <f>C1440*1.2</f>
        <v/>
      </c>
      <c r="G1440" s="172">
        <f>IF(INDIRECT("'Закуп'!L" &amp; B1440)="Sale","Sale","")</f>
        <v/>
      </c>
      <c r="H1440" s="158">
        <f>IF(INDIRECT("'Закуп'!F" &amp; B1440)=0,"",INDIRECT("'Закуп'!F" &amp; B1440))</f>
        <v/>
      </c>
      <c r="I1440" s="120" t="n">
        <v>500</v>
      </c>
      <c r="J1440" s="121">
        <f>K1440/1.2</f>
        <v/>
      </c>
      <c r="K1440" s="70" t="n">
        <v>0.8</v>
      </c>
      <c r="L1440" s="122">
        <f>J1440-C1440-(J1440-C1440)*0.2</f>
        <v/>
      </c>
      <c r="M1440" s="123">
        <f>L1440*I1440</f>
        <v/>
      </c>
      <c r="N1440" s="124" t="inlineStr">
        <is>
          <t xml:space="preserve">500-990 шт - </t>
        </is>
      </c>
      <c r="O1440" s="47" t="inlineStr">
        <is>
          <t xml:space="preserve"> руб / шт с НДС</t>
        </is>
      </c>
      <c r="P1440" s="125">
        <f>ROUND(K1440,2)</f>
        <v/>
      </c>
      <c r="Q1440" s="207">
        <f>CONCATENATE(N1440,P1440,O1440,)</f>
        <v/>
      </c>
      <c r="R1440" s="240" t="n"/>
      <c r="T1440" s="241" t="n"/>
      <c r="U1440" s="240" t="n"/>
      <c r="V1440" s="241" t="n"/>
      <c r="Z1440" s="240" t="n"/>
      <c r="AB1440" s="241" t="n"/>
      <c r="AC1440" s="240" t="n"/>
      <c r="AD1440" s="241" t="n"/>
    </row>
    <row r="1441">
      <c r="B1441" s="42" t="n">
        <v>289</v>
      </c>
      <c r="C1441" s="118">
        <f>INDIRECT("'Закуп'!A" &amp; B1441)</f>
        <v/>
      </c>
      <c r="D1441" s="119">
        <f>C1441*1.2</f>
        <v/>
      </c>
      <c r="G1441" s="172">
        <f>IF(INDIRECT("'Закуп'!L" &amp; B1441)="Sale","Sale","")</f>
        <v/>
      </c>
      <c r="H1441" s="158">
        <f>IF(INDIRECT("'Закуп'!F" &amp; B1441)=0,"",INDIRECT("'Закуп'!F" &amp; B1441))</f>
        <v/>
      </c>
      <c r="I1441" s="120" t="n">
        <v>1000</v>
      </c>
      <c r="J1441" s="121">
        <f>K1441/1.2</f>
        <v/>
      </c>
      <c r="K1441" s="70" t="n">
        <v>0.7</v>
      </c>
      <c r="L1441" s="122">
        <f>J1441-C1441-(J1441-C1441)*0.2</f>
        <v/>
      </c>
      <c r="M1441" s="123">
        <f>L1441*I1441</f>
        <v/>
      </c>
      <c r="N1441" s="124" t="inlineStr">
        <is>
          <t xml:space="preserve">1000 + шт - </t>
        </is>
      </c>
      <c r="O1441" s="47" t="inlineStr">
        <is>
          <t xml:space="preserve"> руб / шт с НДС</t>
        </is>
      </c>
      <c r="P1441" s="125">
        <f>ROUND(K1441,2)</f>
        <v/>
      </c>
      <c r="Q1441" s="207">
        <f>CONCATENATE(N1441,P1441,O1441,)</f>
        <v/>
      </c>
      <c r="R1441" s="240" t="n"/>
      <c r="T1441" s="241" t="n"/>
      <c r="U1441" s="240" t="n"/>
      <c r="V1441" s="241" t="n"/>
      <c r="Z1441" s="240" t="n"/>
      <c r="AB1441" s="241" t="n"/>
      <c r="AC1441" s="240" t="n"/>
      <c r="AD1441" s="241" t="n"/>
    </row>
    <row r="1442">
      <c r="A1442" s="232" t="n">
        <v>290</v>
      </c>
      <c r="B1442" s="42" t="n">
        <v>290</v>
      </c>
      <c r="C1442" s="118">
        <f>INDIRECT("'Закуп'!A" &amp; B1442)</f>
        <v/>
      </c>
      <c r="D1442" s="119">
        <f>C1442*1.2</f>
        <v/>
      </c>
      <c r="E1442" s="224">
        <f>INDIRECT("'Закуп'!D" &amp; A1442)</f>
        <v/>
      </c>
      <c r="F1442" s="231">
        <f>INDIRECT("'Закуп'!E" &amp; B1442)</f>
        <v/>
      </c>
      <c r="G1442" s="172">
        <f>IF(INDIRECT("'Закуп'!L" &amp; B1442)="Sale","Sale","")</f>
        <v/>
      </c>
      <c r="H1442" s="158">
        <f>IF(INDIRECT("'Закуп'!F" &amp; B1442)=0,"",INDIRECT("'Закуп'!F" &amp; B1442))</f>
        <v/>
      </c>
      <c r="I1442" s="120" t="n">
        <v>50</v>
      </c>
      <c r="J1442" s="121">
        <f>K1442/1.2</f>
        <v/>
      </c>
      <c r="K1442" s="242" t="n">
        <v>1.46</v>
      </c>
      <c r="L1442" s="122">
        <f>J1442-C1442-(J1442-C1442)*0.2</f>
        <v/>
      </c>
      <c r="M1442" s="123">
        <f>L1442*I1442</f>
        <v/>
      </c>
      <c r="N1442" s="124" t="inlineStr">
        <is>
          <t xml:space="preserve">50-90 шт - </t>
        </is>
      </c>
      <c r="O1442" s="47" t="inlineStr">
        <is>
          <t xml:space="preserve"> руб / шт с НДС</t>
        </is>
      </c>
      <c r="P1442" s="125">
        <f>ROUND(K1442,2)</f>
        <v/>
      </c>
      <c r="Q1442" s="207">
        <f>CONCATENATE(N1442,P1442,O1442,)</f>
        <v/>
      </c>
      <c r="R1442" s="235">
        <f>INDIRECT("'Закуп'!k" &amp; A1442)</f>
        <v/>
      </c>
      <c r="S1442" s="239">
        <f>INDIRECT("'Закуп'!o" &amp; A1442)</f>
        <v/>
      </c>
      <c r="T1442" s="226">
        <f>INDIRECT("'Закуп'!p" &amp; A1442)</f>
        <v/>
      </c>
      <c r="U1442" s="235">
        <f>INDIRECT("'Закуп'!v" &amp; A1442)</f>
        <v/>
      </c>
      <c r="V1442" s="222">
        <f>INDIRECT("'Закуп'!w" &amp; A1442)</f>
        <v/>
      </c>
      <c r="W1442" s="229">
        <f>INDIRECT("'Закуп'!H" &amp; A1442)</f>
        <v/>
      </c>
      <c r="X1442" s="237">
        <f>INDIRECT("'Закуп'!g" &amp; A1442)</f>
        <v/>
      </c>
      <c r="Y1442" s="229">
        <f>INDIRECT("'Закуп'!i" &amp; A1442)</f>
        <v/>
      </c>
      <c r="Z1442" s="236">
        <f>INDIRECT("'Закуп'!x" &amp; A1442)</f>
        <v/>
      </c>
      <c r="AA1442" s="237">
        <f>INDIRECT("'Закуп'!y" &amp; A1442)</f>
        <v/>
      </c>
      <c r="AB1442" s="238">
        <f>INDIRECT("'Закуп'!z" &amp; A1442)</f>
        <v/>
      </c>
      <c r="AC1442" s="223">
        <f>SUBSTITUTE(INDEX(F:F, ROUNDUP((ROW(A1441))/5,0)*5 - 3), "х", "x")</f>
        <v/>
      </c>
      <c r="AD1442" s="222">
        <f>SUBSTITUTE(INDEX(F:F, ROUNDUP((ROW(A1441))/5,0)*5 - 3), "х", "x") &amp; " - " &amp; SUBSTITUTE(SUBSTITUTE(INDEX(F:F, ROUNDUP((ROW(A1441))/5,0)*5 - 3), "х", "*"), "x", "*") &amp; " мм"</f>
        <v/>
      </c>
      <c r="AE1442" t="n">
        <v>1.78</v>
      </c>
    </row>
    <row r="1443">
      <c r="B1443" s="42" t="n">
        <v>290</v>
      </c>
      <c r="C1443" s="118">
        <f>INDIRECT("'Закуп'!A" &amp; B1443)</f>
        <v/>
      </c>
      <c r="D1443" s="119">
        <f>C1443*1.2</f>
        <v/>
      </c>
      <c r="G1443" s="172">
        <f>IF(INDIRECT("'Закуп'!L" &amp; B1443)="Sale","Sale","")</f>
        <v/>
      </c>
      <c r="H1443" s="158">
        <f>IF(INDIRECT("'Закуп'!F" &amp; B1443)=0,"",INDIRECT("'Закуп'!F" &amp; B1443))</f>
        <v/>
      </c>
      <c r="I1443" s="120" t="n">
        <v>100</v>
      </c>
      <c r="J1443" s="121">
        <f>K1443/1.2</f>
        <v/>
      </c>
      <c r="K1443" s="242" t="n">
        <v>1.25</v>
      </c>
      <c r="L1443" s="122">
        <f>J1443-C1443-(J1443-C1443)*0.2</f>
        <v/>
      </c>
      <c r="M1443" s="123">
        <f>L1443*I1443</f>
        <v/>
      </c>
      <c r="N1443" s="124" t="inlineStr">
        <is>
          <t xml:space="preserve">100-290 шт - </t>
        </is>
      </c>
      <c r="O1443" s="47" t="inlineStr">
        <is>
          <t xml:space="preserve"> руб / шт с НДС</t>
        </is>
      </c>
      <c r="P1443" s="125">
        <f>ROUND(K1443,2)</f>
        <v/>
      </c>
      <c r="Q1443" s="207">
        <f>CONCATENATE(N1443,P1443,O1443,)</f>
        <v/>
      </c>
      <c r="R1443" s="240" t="n"/>
      <c r="T1443" s="241" t="n"/>
      <c r="U1443" s="240" t="n"/>
      <c r="V1443" s="241" t="n"/>
      <c r="Z1443" s="240" t="n"/>
      <c r="AB1443" s="241" t="n"/>
      <c r="AC1443" s="240" t="n"/>
      <c r="AD1443" s="241" t="n"/>
      <c r="AE1443" t="n">
        <v>1.62</v>
      </c>
    </row>
    <row r="1444">
      <c r="B1444" s="42" t="n">
        <v>290</v>
      </c>
      <c r="C1444" s="118">
        <f>INDIRECT("'Закуп'!A" &amp; B1444)</f>
        <v/>
      </c>
      <c r="D1444" s="119">
        <f>C1444*1.2</f>
        <v/>
      </c>
      <c r="G1444" s="172">
        <f>IF(INDIRECT("'Закуп'!L" &amp; B1444)="Sale","Sale","")</f>
        <v/>
      </c>
      <c r="H1444" s="158">
        <f>IF(INDIRECT("'Закуп'!F" &amp; B1444)=0,"",INDIRECT("'Закуп'!F" &amp; B1444))</f>
        <v/>
      </c>
      <c r="I1444" s="120" t="n">
        <v>300</v>
      </c>
      <c r="J1444" s="121">
        <f>K1444/1.2</f>
        <v/>
      </c>
      <c r="K1444" s="242" t="n">
        <v>1.18</v>
      </c>
      <c r="L1444" s="122">
        <f>J1444-C1444-(J1444-C1444)*0.2</f>
        <v/>
      </c>
      <c r="M1444" s="123">
        <f>L1444*I1444</f>
        <v/>
      </c>
      <c r="N1444" s="124" t="inlineStr">
        <is>
          <t xml:space="preserve">300-490 шт - </t>
        </is>
      </c>
      <c r="O1444" s="47" t="inlineStr">
        <is>
          <t xml:space="preserve"> руб / шт с НДС</t>
        </is>
      </c>
      <c r="P1444" s="125">
        <f>ROUND(K1444,2)</f>
        <v/>
      </c>
      <c r="Q1444" s="207">
        <f>CONCATENATE(N1444,P1444,O1444,)</f>
        <v/>
      </c>
      <c r="R1444" s="240" t="n"/>
      <c r="T1444" s="241" t="n"/>
      <c r="U1444" s="240" t="n"/>
      <c r="V1444" s="241" t="n"/>
      <c r="Z1444" s="240" t="n"/>
      <c r="AB1444" s="241" t="n"/>
      <c r="AC1444" s="240" t="n"/>
      <c r="AD1444" s="241" t="n"/>
      <c r="AE1444" t="n">
        <v>1.48</v>
      </c>
    </row>
    <row r="1445">
      <c r="B1445" s="42" t="n">
        <v>290</v>
      </c>
      <c r="C1445" s="118">
        <f>INDIRECT("'Закуп'!A" &amp; B1445)</f>
        <v/>
      </c>
      <c r="D1445" s="119">
        <f>C1445*1.2</f>
        <v/>
      </c>
      <c r="G1445" s="172">
        <f>IF(INDIRECT("'Закуп'!L" &amp; B1445)="Sale","Sale","")</f>
        <v/>
      </c>
      <c r="H1445" s="158">
        <f>IF(INDIRECT("'Закуп'!F" &amp; B1445)=0,"",INDIRECT("'Закуп'!F" &amp; B1445))</f>
        <v/>
      </c>
      <c r="I1445" s="120" t="n">
        <v>500</v>
      </c>
      <c r="J1445" s="121">
        <f>K1445/1.2</f>
        <v/>
      </c>
      <c r="K1445" s="242" t="n">
        <v>1.12</v>
      </c>
      <c r="L1445" s="122">
        <f>J1445-C1445-(J1445-C1445)*0.2</f>
        <v/>
      </c>
      <c r="M1445" s="123">
        <f>L1445*I1445</f>
        <v/>
      </c>
      <c r="N1445" s="124" t="inlineStr">
        <is>
          <t xml:space="preserve">500-990 шт - </t>
        </is>
      </c>
      <c r="O1445" s="47" t="inlineStr">
        <is>
          <t xml:space="preserve"> руб / шт с НДС</t>
        </is>
      </c>
      <c r="P1445" s="125">
        <f>ROUND(K1445,2)</f>
        <v/>
      </c>
      <c r="Q1445" s="207">
        <f>CONCATENATE(N1445,P1445,O1445,)</f>
        <v/>
      </c>
      <c r="R1445" s="240" t="n"/>
      <c r="T1445" s="241" t="n"/>
      <c r="U1445" s="240" t="n"/>
      <c r="V1445" s="241" t="n"/>
      <c r="Z1445" s="240" t="n"/>
      <c r="AB1445" s="241" t="n"/>
      <c r="AC1445" s="240" t="n"/>
      <c r="AD1445" s="241" t="n"/>
      <c r="AE1445" t="n">
        <v>1.37</v>
      </c>
    </row>
    <row r="1446">
      <c r="B1446" s="42" t="n">
        <v>290</v>
      </c>
      <c r="C1446" s="118">
        <f>INDIRECT("'Закуп'!A" &amp; B1446)</f>
        <v/>
      </c>
      <c r="D1446" s="119">
        <f>C1446*1.2</f>
        <v/>
      </c>
      <c r="G1446" s="172">
        <f>IF(INDIRECT("'Закуп'!L" &amp; B1446)="Sale","Sale","")</f>
        <v/>
      </c>
      <c r="H1446" s="158">
        <f>IF(INDIRECT("'Закуп'!F" &amp; B1446)=0,"",INDIRECT("'Закуп'!F" &amp; B1446))</f>
        <v/>
      </c>
      <c r="I1446" s="120" t="n">
        <v>1000</v>
      </c>
      <c r="J1446" s="121">
        <f>K1446/1.2</f>
        <v/>
      </c>
      <c r="K1446" s="242" t="n">
        <v>1.03</v>
      </c>
      <c r="L1446" s="122">
        <f>J1446-C1446-(J1446-C1446)*0.2</f>
        <v/>
      </c>
      <c r="M1446" s="123">
        <f>L1446*I1446</f>
        <v/>
      </c>
      <c r="N1446" s="124" t="inlineStr">
        <is>
          <t xml:space="preserve">1000 + шт - </t>
        </is>
      </c>
      <c r="O1446" s="47" t="inlineStr">
        <is>
          <t xml:space="preserve"> руб / шт с НДС</t>
        </is>
      </c>
      <c r="P1446" s="125">
        <f>ROUND(K1446,2)</f>
        <v/>
      </c>
      <c r="Q1446" s="207">
        <f>CONCATENATE(N1446,P1446,O1446,)</f>
        <v/>
      </c>
      <c r="R1446" s="240" t="n"/>
      <c r="T1446" s="241" t="n"/>
      <c r="U1446" s="240" t="n"/>
      <c r="V1446" s="241" t="n"/>
      <c r="Z1446" s="240" t="n"/>
      <c r="AB1446" s="241" t="n"/>
      <c r="AC1446" s="240" t="n"/>
      <c r="AD1446" s="241" t="n"/>
      <c r="AE1446" t="n">
        <v>1.21</v>
      </c>
    </row>
    <row r="1447">
      <c r="A1447" s="232" t="n">
        <v>291</v>
      </c>
      <c r="B1447" s="42" t="n">
        <v>291</v>
      </c>
      <c r="C1447" s="118">
        <f>INDIRECT("'Закуп'!A" &amp; B1447)</f>
        <v/>
      </c>
      <c r="D1447" s="119">
        <f>C1447*1.2</f>
        <v/>
      </c>
      <c r="E1447" s="224">
        <f>INDIRECT("'Закуп'!D" &amp; A1447)</f>
        <v/>
      </c>
      <c r="F1447" s="231">
        <f>INDIRECT("'Закуп'!E" &amp; B1447)</f>
        <v/>
      </c>
      <c r="G1447" s="172">
        <f>IF(INDIRECT("'Закуп'!L" &amp; B1447)="Sale","Sale","")</f>
        <v/>
      </c>
      <c r="H1447" s="158">
        <f>IF(INDIRECT("'Закуп'!F" &amp; B1447)=0,"",INDIRECT("'Закуп'!F" &amp; B1447))</f>
        <v/>
      </c>
      <c r="I1447" s="120" t="n">
        <v>50</v>
      </c>
      <c r="J1447" s="121">
        <f>K1447/1.2</f>
        <v/>
      </c>
      <c r="K1447" s="70" t="n">
        <v>1.06</v>
      </c>
      <c r="L1447" s="122">
        <f>J1447-C1447-(J1447-C1447)*0.2</f>
        <v/>
      </c>
      <c r="M1447" s="123">
        <f>L1447*I1447</f>
        <v/>
      </c>
      <c r="N1447" s="124" t="inlineStr">
        <is>
          <t xml:space="preserve">50-90 шт - </t>
        </is>
      </c>
      <c r="O1447" s="47" t="inlineStr">
        <is>
          <t xml:space="preserve"> руб / шт с НДС</t>
        </is>
      </c>
      <c r="P1447" s="125">
        <f>ROUND(K1447,2)</f>
        <v/>
      </c>
      <c r="Q1447" s="207">
        <f>CONCATENATE(N1447,P1447,O1447,)</f>
        <v/>
      </c>
      <c r="R1447" s="235">
        <f>INDIRECT("'Закуп'!k" &amp; A1447)</f>
        <v/>
      </c>
      <c r="S1447" s="239">
        <f>INDIRECT("'Закуп'!o" &amp; A1447)</f>
        <v/>
      </c>
      <c r="T1447" s="226">
        <f>INDIRECT("'Закуп'!p" &amp; A1447)</f>
        <v/>
      </c>
      <c r="U1447" s="235">
        <f>INDIRECT("'Закуп'!v" &amp; A1447)</f>
        <v/>
      </c>
      <c r="V1447" s="222">
        <f>INDIRECT("'Закуп'!w" &amp; A1447)</f>
        <v/>
      </c>
      <c r="W1447" s="229">
        <f>INDIRECT("'Закуп'!H" &amp; A1447)</f>
        <v/>
      </c>
      <c r="X1447" s="237">
        <f>INDIRECT("'Закуп'!g" &amp; A1447)</f>
        <v/>
      </c>
      <c r="Y1447" s="229">
        <f>INDIRECT("'Закуп'!i" &amp; A1447)</f>
        <v/>
      </c>
      <c r="Z1447" s="236">
        <f>INDIRECT("'Закуп'!x" &amp; A1447)</f>
        <v/>
      </c>
      <c r="AA1447" s="237">
        <f>INDIRECT("'Закуп'!y" &amp; A1447)</f>
        <v/>
      </c>
      <c r="AB1447" s="238">
        <f>INDIRECT("'Закуп'!z" &amp; A1447)</f>
        <v/>
      </c>
      <c r="AC1447" s="223">
        <f>SUBSTITUTE(INDEX(F:F, ROUNDUP((ROW(A1446))/5,0)*5 - 3), "х", "x")</f>
        <v/>
      </c>
      <c r="AD1447" s="222">
        <f>SUBSTITUTE(INDEX(F:F, ROUNDUP((ROW(A1446))/5,0)*5 - 3), "х", "x") &amp; " - " &amp; SUBSTITUTE(SUBSTITUTE(INDEX(F:F, ROUNDUP((ROW(A1446))/5,0)*5 - 3), "х", "*"), "x", "*") &amp; " мм"</f>
        <v/>
      </c>
    </row>
    <row r="1448">
      <c r="B1448" s="42" t="n">
        <v>291</v>
      </c>
      <c r="C1448" s="118">
        <f>INDIRECT("'Закуп'!A" &amp; B1448)</f>
        <v/>
      </c>
      <c r="D1448" s="119">
        <f>C1448*1.2</f>
        <v/>
      </c>
      <c r="G1448" s="172">
        <f>IF(INDIRECT("'Закуп'!L" &amp; B1448)="Sale","Sale","")</f>
        <v/>
      </c>
      <c r="H1448" s="158">
        <f>IF(INDIRECT("'Закуп'!F" &amp; B1448)=0,"",INDIRECT("'Закуп'!F" &amp; B1448))</f>
        <v/>
      </c>
      <c r="I1448" s="120" t="n">
        <v>100</v>
      </c>
      <c r="J1448" s="121">
        <f>K1448/1.2</f>
        <v/>
      </c>
      <c r="K1448" s="242" t="n">
        <v>0.93</v>
      </c>
      <c r="L1448" s="122">
        <f>J1448-C1448-(J1448-C1448)*0.2</f>
        <v/>
      </c>
      <c r="M1448" s="123">
        <f>L1448*I1448</f>
        <v/>
      </c>
      <c r="N1448" s="124" t="inlineStr">
        <is>
          <t xml:space="preserve">100-290 шт - </t>
        </is>
      </c>
      <c r="O1448" s="47" t="inlineStr">
        <is>
          <t xml:space="preserve"> руб / шт с НДС</t>
        </is>
      </c>
      <c r="P1448" s="125">
        <f>ROUND(K1448,2)</f>
        <v/>
      </c>
      <c r="Q1448" s="207">
        <f>CONCATENATE(N1448,P1448,O1448,)</f>
        <v/>
      </c>
      <c r="R1448" s="240" t="n"/>
      <c r="T1448" s="241" t="n"/>
      <c r="U1448" s="240" t="n"/>
      <c r="V1448" s="241" t="n"/>
      <c r="Z1448" s="240" t="n"/>
      <c r="AB1448" s="241" t="n"/>
      <c r="AC1448" s="240" t="n"/>
      <c r="AD1448" s="241" t="n"/>
      <c r="AE1448" t="n">
        <v>0.91</v>
      </c>
    </row>
    <row r="1449">
      <c r="B1449" s="42" t="n">
        <v>291</v>
      </c>
      <c r="C1449" s="118">
        <f>INDIRECT("'Закуп'!A" &amp; B1449)</f>
        <v/>
      </c>
      <c r="D1449" s="119">
        <f>C1449*1.2</f>
        <v/>
      </c>
      <c r="G1449" s="172">
        <f>IF(INDIRECT("'Закуп'!L" &amp; B1449)="Sale","Sale","")</f>
        <v/>
      </c>
      <c r="H1449" s="158">
        <f>IF(INDIRECT("'Закуп'!F" &amp; B1449)=0,"",INDIRECT("'Закуп'!F" &amp; B1449))</f>
        <v/>
      </c>
      <c r="I1449" s="120" t="n">
        <v>300</v>
      </c>
      <c r="J1449" s="121">
        <f>K1449/1.2</f>
        <v/>
      </c>
      <c r="K1449" s="242" t="n">
        <v>0.8100000000000001</v>
      </c>
      <c r="L1449" s="122">
        <f>J1449-C1449-(J1449-C1449)*0.2</f>
        <v/>
      </c>
      <c r="M1449" s="123">
        <f>L1449*I1449</f>
        <v/>
      </c>
      <c r="N1449" s="124" t="inlineStr">
        <is>
          <t xml:space="preserve">300-490 шт - </t>
        </is>
      </c>
      <c r="O1449" s="47" t="inlineStr">
        <is>
          <t xml:space="preserve"> руб / шт с НДС</t>
        </is>
      </c>
      <c r="P1449" s="125">
        <f>ROUND(K1449,2)</f>
        <v/>
      </c>
      <c r="Q1449" s="207">
        <f>CONCATENATE(N1449,P1449,O1449,)</f>
        <v/>
      </c>
      <c r="R1449" s="240" t="n"/>
      <c r="T1449" s="241" t="n"/>
      <c r="U1449" s="240" t="n"/>
      <c r="V1449" s="241" t="n"/>
      <c r="Z1449" s="240" t="n"/>
      <c r="AB1449" s="241" t="n"/>
      <c r="AC1449" s="240" t="n"/>
      <c r="AD1449" s="241" t="n"/>
      <c r="AE1449" t="n">
        <v>0.73</v>
      </c>
    </row>
    <row r="1450">
      <c r="B1450" s="42" t="n">
        <v>291</v>
      </c>
      <c r="C1450" s="118">
        <f>INDIRECT("'Закуп'!A" &amp; B1450)</f>
        <v/>
      </c>
      <c r="D1450" s="119">
        <f>C1450*1.2</f>
        <v/>
      </c>
      <c r="G1450" s="172">
        <f>IF(INDIRECT("'Закуп'!L" &amp; B1450)="Sale","Sale","")</f>
        <v/>
      </c>
      <c r="H1450" s="158">
        <f>IF(INDIRECT("'Закуп'!F" &amp; B1450)=0,"",INDIRECT("'Закуп'!F" &amp; B1450))</f>
        <v/>
      </c>
      <c r="I1450" s="120" t="n">
        <v>500</v>
      </c>
      <c r="J1450" s="121">
        <f>K1450/1.2</f>
        <v/>
      </c>
      <c r="K1450" s="242" t="n">
        <v>0.75</v>
      </c>
      <c r="L1450" s="122">
        <f>J1450-C1450-(J1450-C1450)*0.2</f>
        <v/>
      </c>
      <c r="M1450" s="123">
        <f>L1450*I1450</f>
        <v/>
      </c>
      <c r="N1450" s="124" t="inlineStr">
        <is>
          <t xml:space="preserve">500-990 шт - </t>
        </is>
      </c>
      <c r="O1450" s="47" t="inlineStr">
        <is>
          <t xml:space="preserve"> руб / шт с НДС</t>
        </is>
      </c>
      <c r="P1450" s="125">
        <f>ROUND(K1450,2)</f>
        <v/>
      </c>
      <c r="Q1450" s="207">
        <f>CONCATENATE(N1450,P1450,O1450,)</f>
        <v/>
      </c>
      <c r="R1450" s="240" t="n"/>
      <c r="T1450" s="241" t="n"/>
      <c r="U1450" s="240" t="n"/>
      <c r="V1450" s="241" t="n"/>
      <c r="Z1450" s="240" t="n"/>
      <c r="AB1450" s="241" t="n"/>
      <c r="AC1450" s="240" t="n"/>
      <c r="AD1450" s="241" t="n"/>
      <c r="AE1450" t="n">
        <v>0.67</v>
      </c>
    </row>
    <row r="1451">
      <c r="B1451" s="42" t="n">
        <v>291</v>
      </c>
      <c r="C1451" s="118">
        <f>INDIRECT("'Закуп'!A" &amp; B1451)</f>
        <v/>
      </c>
      <c r="D1451" s="119">
        <f>C1451*1.2</f>
        <v/>
      </c>
      <c r="G1451" s="172">
        <f>IF(INDIRECT("'Закуп'!L" &amp; B1451)="Sale","Sale","")</f>
        <v/>
      </c>
      <c r="H1451" s="158">
        <f>IF(INDIRECT("'Закуп'!F" &amp; B1451)=0,"",INDIRECT("'Закуп'!F" &amp; B1451))</f>
        <v/>
      </c>
      <c r="I1451" s="120" t="n">
        <v>1000</v>
      </c>
      <c r="J1451" s="121">
        <f>K1451/1.2</f>
        <v/>
      </c>
      <c r="K1451" s="242" t="n">
        <v>0.62</v>
      </c>
      <c r="L1451" s="122">
        <f>J1451-C1451-(J1451-C1451)*0.2</f>
        <v/>
      </c>
      <c r="M1451" s="123">
        <f>L1451*I1451</f>
        <v/>
      </c>
      <c r="N1451" s="124" t="inlineStr">
        <is>
          <t xml:space="preserve">1000 + шт - </t>
        </is>
      </c>
      <c r="O1451" s="47" t="inlineStr">
        <is>
          <t xml:space="preserve"> руб / шт с НДС</t>
        </is>
      </c>
      <c r="P1451" s="125">
        <f>ROUND(K1451,2)</f>
        <v/>
      </c>
      <c r="Q1451" s="207">
        <f>CONCATENATE(N1451,P1451,O1451,)</f>
        <v/>
      </c>
      <c r="R1451" s="240" t="n"/>
      <c r="T1451" s="241" t="n"/>
      <c r="U1451" s="240" t="n"/>
      <c r="V1451" s="241" t="n"/>
      <c r="Z1451" s="240" t="n"/>
      <c r="AB1451" s="241" t="n"/>
      <c r="AC1451" s="240" t="n"/>
      <c r="AD1451" s="241" t="n"/>
      <c r="AE1451" t="n">
        <v>0.57</v>
      </c>
    </row>
    <row r="1452">
      <c r="A1452" s="232" t="n">
        <v>292</v>
      </c>
      <c r="B1452" s="42" t="n">
        <v>292</v>
      </c>
      <c r="C1452" s="118">
        <f>INDIRECT("'Закуп'!A" &amp; B1452)</f>
        <v/>
      </c>
      <c r="D1452" s="119">
        <f>C1452*1.2</f>
        <v/>
      </c>
      <c r="E1452" s="225">
        <f>INDIRECT("'Закуп'!D" &amp; A1452)</f>
        <v/>
      </c>
      <c r="F1452" s="231">
        <f>INDIRECT("'Закуп'!E" &amp; B1452)</f>
        <v/>
      </c>
      <c r="G1452" s="172">
        <f>IF(INDIRECT("'Закуп'!L" &amp; B1452)="Sale","Sale","")</f>
        <v/>
      </c>
      <c r="H1452" s="158">
        <f>IF(INDIRECT("'Закуп'!F" &amp; B1452)=0,"",INDIRECT("'Закуп'!F" &amp; B1452))</f>
        <v/>
      </c>
      <c r="I1452" s="120" t="n">
        <v>50</v>
      </c>
      <c r="J1452" s="121">
        <f>K1452/1.2</f>
        <v/>
      </c>
      <c r="K1452" s="70" t="n">
        <v>1</v>
      </c>
      <c r="L1452" s="122">
        <f>J1452-C1452-(J1452-C1452)*0.2</f>
        <v/>
      </c>
      <c r="M1452" s="123">
        <f>L1452*I1452</f>
        <v/>
      </c>
      <c r="N1452" s="124" t="inlineStr">
        <is>
          <t xml:space="preserve">50-90 шт - </t>
        </is>
      </c>
      <c r="O1452" s="47" t="inlineStr">
        <is>
          <t xml:space="preserve"> руб / шт с НДС</t>
        </is>
      </c>
      <c r="P1452" s="125">
        <f>ROUND(K1452,2)</f>
        <v/>
      </c>
      <c r="Q1452" s="207">
        <f>CONCATENATE(N1452,P1452,O1452,)</f>
        <v/>
      </c>
      <c r="R1452" s="235">
        <f>INDIRECT("'Закуп'!k" &amp; A1452)</f>
        <v/>
      </c>
      <c r="S1452" s="239">
        <f>INDIRECT("'Закуп'!o" &amp; A1452)</f>
        <v/>
      </c>
      <c r="T1452" s="226">
        <f>INDIRECT("'Закуп'!p" &amp; A1452)</f>
        <v/>
      </c>
      <c r="U1452" s="235">
        <f>INDIRECT("'Закуп'!v" &amp; A1452)</f>
        <v/>
      </c>
      <c r="V1452" s="222">
        <f>INDIRECT("'Закуп'!w" &amp; A1452)</f>
        <v/>
      </c>
      <c r="W1452" s="229">
        <f>INDIRECT("'Закуп'!H" &amp; A1452)</f>
        <v/>
      </c>
      <c r="X1452" s="237">
        <f>INDIRECT("'Закуп'!g" &amp; A1452)</f>
        <v/>
      </c>
      <c r="Y1452" s="229">
        <f>INDIRECT("'Закуп'!i" &amp; A1452)</f>
        <v/>
      </c>
      <c r="Z1452" s="236">
        <f>INDIRECT("'Закуп'!x" &amp; A1452)</f>
        <v/>
      </c>
      <c r="AA1452" s="237">
        <f>INDIRECT("'Закуп'!y" &amp; A1452)</f>
        <v/>
      </c>
      <c r="AB1452" s="238">
        <f>INDIRECT("'Закуп'!z" &amp; A1452)</f>
        <v/>
      </c>
      <c r="AC1452" s="223">
        <f>SUBSTITUTE(INDEX(F:F, ROUNDUP((ROW(A1451))/5,0)*5 - 3), "х", "x")</f>
        <v/>
      </c>
      <c r="AD1452" s="222">
        <f>SUBSTITUTE(INDEX(F:F, ROUNDUP((ROW(A1451))/5,0)*5 - 3), "х", "x") &amp; " - " &amp; SUBSTITUTE(SUBSTITUTE(INDEX(F:F, ROUNDUP((ROW(A1451))/5,0)*5 - 3), "х", "*"), "x", "*") &amp; " мм"</f>
        <v/>
      </c>
    </row>
    <row r="1453">
      <c r="B1453" s="42" t="n">
        <v>292</v>
      </c>
      <c r="C1453" s="118">
        <f>INDIRECT("'Закуп'!A" &amp; B1453)</f>
        <v/>
      </c>
      <c r="D1453" s="119">
        <f>C1453*1.2</f>
        <v/>
      </c>
      <c r="G1453" s="172">
        <f>IF(INDIRECT("'Закуп'!L" &amp; B1453)="Sale","Sale","")</f>
        <v/>
      </c>
      <c r="H1453" s="158">
        <f>IF(INDIRECT("'Закуп'!F" &amp; B1453)=0,"",INDIRECT("'Закуп'!F" &amp; B1453))</f>
        <v/>
      </c>
      <c r="I1453" s="120" t="n">
        <v>100</v>
      </c>
      <c r="J1453" s="121">
        <f>K1453/1.2</f>
        <v/>
      </c>
      <c r="K1453" s="70" t="n">
        <v>0.9</v>
      </c>
      <c r="L1453" s="122">
        <f>J1453-C1453-(J1453-C1453)*0.2</f>
        <v/>
      </c>
      <c r="M1453" s="123">
        <f>L1453*I1453</f>
        <v/>
      </c>
      <c r="N1453" s="124" t="inlineStr">
        <is>
          <t xml:space="preserve">100-290 шт - </t>
        </is>
      </c>
      <c r="O1453" s="47" t="inlineStr">
        <is>
          <t xml:space="preserve"> руб / шт с НДС</t>
        </is>
      </c>
      <c r="P1453" s="125">
        <f>ROUND(K1453,2)</f>
        <v/>
      </c>
      <c r="Q1453" s="207">
        <f>CONCATENATE(N1453,P1453,O1453,)</f>
        <v/>
      </c>
      <c r="R1453" s="240" t="n"/>
      <c r="T1453" s="241" t="n"/>
      <c r="U1453" s="240" t="n"/>
      <c r="V1453" s="241" t="n"/>
      <c r="Z1453" s="240" t="n"/>
      <c r="AB1453" s="241" t="n"/>
      <c r="AC1453" s="240" t="n"/>
      <c r="AD1453" s="241" t="n"/>
    </row>
    <row r="1454">
      <c r="B1454" s="42" t="n">
        <v>292</v>
      </c>
      <c r="C1454" s="118">
        <f>INDIRECT("'Закуп'!A" &amp; B1454)</f>
        <v/>
      </c>
      <c r="D1454" s="119">
        <f>C1454*1.2</f>
        <v/>
      </c>
      <c r="G1454" s="172">
        <f>IF(INDIRECT("'Закуп'!L" &amp; B1454)="Sale","Sale","")</f>
        <v/>
      </c>
      <c r="H1454" s="158">
        <f>IF(INDIRECT("'Закуп'!F" &amp; B1454)=0,"",INDIRECT("'Закуп'!F" &amp; B1454))</f>
        <v/>
      </c>
      <c r="I1454" s="120" t="n">
        <v>300</v>
      </c>
      <c r="J1454" s="121">
        <f>K1454/1.2</f>
        <v/>
      </c>
      <c r="K1454" s="70" t="n">
        <v>0.8</v>
      </c>
      <c r="L1454" s="122">
        <f>J1454-C1454-(J1454-C1454)*0.2</f>
        <v/>
      </c>
      <c r="M1454" s="123">
        <f>L1454*I1454</f>
        <v/>
      </c>
      <c r="N1454" s="124" t="inlineStr">
        <is>
          <t xml:space="preserve">300-490 шт - </t>
        </is>
      </c>
      <c r="O1454" s="47" t="inlineStr">
        <is>
          <t xml:space="preserve"> руб / шт с НДС</t>
        </is>
      </c>
      <c r="P1454" s="125">
        <f>ROUND(K1454,2)</f>
        <v/>
      </c>
      <c r="Q1454" s="207">
        <f>CONCATENATE(N1454,P1454,O1454,)</f>
        <v/>
      </c>
      <c r="R1454" s="240" t="n"/>
      <c r="T1454" s="241" t="n"/>
      <c r="U1454" s="240" t="n"/>
      <c r="V1454" s="241" t="n"/>
      <c r="Z1454" s="240" t="n"/>
      <c r="AB1454" s="241" t="n"/>
      <c r="AC1454" s="240" t="n"/>
      <c r="AD1454" s="241" t="n"/>
    </row>
    <row r="1455">
      <c r="B1455" s="42" t="n">
        <v>292</v>
      </c>
      <c r="C1455" s="118">
        <f>INDIRECT("'Закуп'!A" &amp; B1455)</f>
        <v/>
      </c>
      <c r="D1455" s="119">
        <f>C1455*1.2</f>
        <v/>
      </c>
      <c r="G1455" s="172">
        <f>IF(INDIRECT("'Закуп'!L" &amp; B1455)="Sale","Sale","")</f>
        <v/>
      </c>
      <c r="H1455" s="158">
        <f>IF(INDIRECT("'Закуп'!F" &amp; B1455)=0,"",INDIRECT("'Закуп'!F" &amp; B1455))</f>
        <v/>
      </c>
      <c r="I1455" s="120" t="n">
        <v>500</v>
      </c>
      <c r="J1455" s="121">
        <f>K1455/1.2</f>
        <v/>
      </c>
      <c r="K1455" s="70" t="n">
        <v>0.7</v>
      </c>
      <c r="L1455" s="122">
        <f>J1455-C1455-(J1455-C1455)*0.2</f>
        <v/>
      </c>
      <c r="M1455" s="123">
        <f>L1455*I1455</f>
        <v/>
      </c>
      <c r="N1455" s="124" t="inlineStr">
        <is>
          <t xml:space="preserve">500-990 шт - </t>
        </is>
      </c>
      <c r="O1455" s="47" t="inlineStr">
        <is>
          <t xml:space="preserve"> руб / шт с НДС</t>
        </is>
      </c>
      <c r="P1455" s="125">
        <f>ROUND(K1455,2)</f>
        <v/>
      </c>
      <c r="Q1455" s="207">
        <f>CONCATENATE(N1455,P1455,O1455,)</f>
        <v/>
      </c>
      <c r="R1455" s="240" t="n"/>
      <c r="T1455" s="241" t="n"/>
      <c r="U1455" s="240" t="n"/>
      <c r="V1455" s="241" t="n"/>
      <c r="Z1455" s="240" t="n"/>
      <c r="AB1455" s="241" t="n"/>
      <c r="AC1455" s="240" t="n"/>
      <c r="AD1455" s="241" t="n"/>
    </row>
    <row r="1456">
      <c r="B1456" s="42" t="n">
        <v>292</v>
      </c>
      <c r="C1456" s="118">
        <f>INDIRECT("'Закуп'!A" &amp; B1456)</f>
        <v/>
      </c>
      <c r="D1456" s="119">
        <f>C1456*1.2</f>
        <v/>
      </c>
      <c r="G1456" s="172">
        <f>IF(INDIRECT("'Закуп'!L" &amp; B1456)="Sale","Sale","")</f>
        <v/>
      </c>
      <c r="H1456" s="158">
        <f>IF(INDIRECT("'Закуп'!F" &amp; B1456)=0,"",INDIRECT("'Закуп'!F" &amp; B1456))</f>
        <v/>
      </c>
      <c r="I1456" s="120" t="n">
        <v>1000</v>
      </c>
      <c r="J1456" s="121">
        <f>K1456/1.2</f>
        <v/>
      </c>
      <c r="K1456" s="70" t="n">
        <v>0.6</v>
      </c>
      <c r="L1456" s="122">
        <f>J1456-C1456-(J1456-C1456)*0.2</f>
        <v/>
      </c>
      <c r="M1456" s="123">
        <f>L1456*I1456</f>
        <v/>
      </c>
      <c r="N1456" s="124" t="inlineStr">
        <is>
          <t xml:space="preserve">1000 + шт - </t>
        </is>
      </c>
      <c r="O1456" s="47" t="inlineStr">
        <is>
          <t xml:space="preserve"> руб / шт с НДС</t>
        </is>
      </c>
      <c r="P1456" s="125">
        <f>ROUND(K1456,2)</f>
        <v/>
      </c>
      <c r="Q1456" s="207">
        <f>CONCATENATE(N1456,P1456,O1456,)</f>
        <v/>
      </c>
      <c r="R1456" s="240" t="n"/>
      <c r="T1456" s="241" t="n"/>
      <c r="U1456" s="240" t="n"/>
      <c r="V1456" s="241" t="n"/>
      <c r="Z1456" s="240" t="n"/>
      <c r="AB1456" s="241" t="n"/>
      <c r="AC1456" s="240" t="n"/>
      <c r="AD1456" s="241" t="n"/>
    </row>
    <row r="1457">
      <c r="A1457" s="232" t="n">
        <v>293</v>
      </c>
      <c r="B1457" s="42" t="n">
        <v>293</v>
      </c>
      <c r="C1457" s="118">
        <f>INDIRECT("'Закуп'!A" &amp; B1457)</f>
        <v/>
      </c>
      <c r="D1457" s="119">
        <f>C1457*1.2</f>
        <v/>
      </c>
      <c r="E1457" s="224">
        <f>INDIRECT("'Закуп'!D" &amp; A1457)</f>
        <v/>
      </c>
      <c r="F1457" s="231">
        <f>INDIRECT("'Закуп'!E" &amp; B1457)</f>
        <v/>
      </c>
      <c r="G1457" s="172">
        <f>IF(INDIRECT("'Закуп'!L" &amp; B1457)="Sale","Sale","")</f>
        <v/>
      </c>
      <c r="H1457" s="158">
        <f>IF(INDIRECT("'Закуп'!F" &amp; B1457)=0,"",INDIRECT("'Закуп'!F" &amp; B1457))</f>
        <v/>
      </c>
      <c r="I1457" s="120" t="n">
        <v>50</v>
      </c>
      <c r="J1457" s="121">
        <f>K1457/1.2</f>
        <v/>
      </c>
      <c r="K1457" s="70" t="n">
        <v>1.74</v>
      </c>
      <c r="L1457" s="122">
        <f>J1457-C1457-(J1457-C1457)*0.2</f>
        <v/>
      </c>
      <c r="M1457" s="123">
        <f>L1457*I1457</f>
        <v/>
      </c>
      <c r="N1457" s="124" t="inlineStr">
        <is>
          <t xml:space="preserve">50-90 шт - </t>
        </is>
      </c>
      <c r="O1457" s="47" t="inlineStr">
        <is>
          <t xml:space="preserve"> руб / шт с НДС</t>
        </is>
      </c>
      <c r="P1457" s="125">
        <f>ROUND(K1457,2)</f>
        <v/>
      </c>
      <c r="Q1457" s="207">
        <f>CONCATENATE(N1457,P1457,O1457,)</f>
        <v/>
      </c>
      <c r="R1457" s="235">
        <f>INDIRECT("'Закуп'!k" &amp; A1457)</f>
        <v/>
      </c>
      <c r="S1457" s="239">
        <f>INDIRECT("'Закуп'!o" &amp; A1457)</f>
        <v/>
      </c>
      <c r="T1457" s="226">
        <f>INDIRECT("'Закуп'!p" &amp; A1457)</f>
        <v/>
      </c>
      <c r="U1457" s="235">
        <f>INDIRECT("'Закуп'!v" &amp; A1457)</f>
        <v/>
      </c>
      <c r="V1457" s="222">
        <f>INDIRECT("'Закуп'!w" &amp; A1457)</f>
        <v/>
      </c>
      <c r="W1457" s="229">
        <f>INDIRECT("'Закуп'!H" &amp; A1457)</f>
        <v/>
      </c>
      <c r="X1457" s="237">
        <f>INDIRECT("'Закуп'!g" &amp; A1457)</f>
        <v/>
      </c>
      <c r="Y1457" s="229">
        <f>INDIRECT("'Закуп'!i" &amp; A1457)</f>
        <v/>
      </c>
      <c r="Z1457" s="236">
        <f>INDIRECT("'Закуп'!x" &amp; A1457)</f>
        <v/>
      </c>
      <c r="AA1457" s="237">
        <f>INDIRECT("'Закуп'!y" &amp; A1457)</f>
        <v/>
      </c>
      <c r="AB1457" s="238">
        <f>INDIRECT("'Закуп'!z" &amp; A1457)</f>
        <v/>
      </c>
      <c r="AC1457" s="223">
        <f>SUBSTITUTE(INDEX(F:F, ROUNDUP((ROW(A1456))/5,0)*5 - 3), "х", "x")</f>
        <v/>
      </c>
      <c r="AD1457" s="222">
        <f>SUBSTITUTE(INDEX(F:F, ROUNDUP((ROW(A1456))/5,0)*5 - 3), "х", "x") &amp; " - " &amp; SUBSTITUTE(SUBSTITUTE(INDEX(F:F, ROUNDUP((ROW(A1456))/5,0)*5 - 3), "х", "*"), "x", "*") &amp; " мм"</f>
        <v/>
      </c>
    </row>
    <row r="1458">
      <c r="B1458" s="42" t="n">
        <v>293</v>
      </c>
      <c r="C1458" s="118">
        <f>INDIRECT("'Закуп'!A" &amp; B1458)</f>
        <v/>
      </c>
      <c r="D1458" s="119">
        <f>C1458*1.2</f>
        <v/>
      </c>
      <c r="G1458" s="172">
        <f>IF(INDIRECT("'Закуп'!L" &amp; B1458)="Sale","Sale","")</f>
        <v/>
      </c>
      <c r="H1458" s="158">
        <f>IF(INDIRECT("'Закуп'!F" &amp; B1458)=0,"",INDIRECT("'Закуп'!F" &amp; B1458))</f>
        <v/>
      </c>
      <c r="I1458" s="120" t="n">
        <v>100</v>
      </c>
      <c r="J1458" s="121">
        <f>K1458/1.2</f>
        <v/>
      </c>
      <c r="K1458" s="70" t="n">
        <v>1.58</v>
      </c>
      <c r="L1458" s="122">
        <f>J1458-C1458-(J1458-C1458)*0.2</f>
        <v/>
      </c>
      <c r="M1458" s="123">
        <f>L1458*I1458</f>
        <v/>
      </c>
      <c r="N1458" s="124" t="inlineStr">
        <is>
          <t xml:space="preserve">100-290 шт - </t>
        </is>
      </c>
      <c r="O1458" s="47" t="inlineStr">
        <is>
          <t xml:space="preserve"> руб / шт с НДС</t>
        </is>
      </c>
      <c r="P1458" s="125">
        <f>ROUND(K1458,2)</f>
        <v/>
      </c>
      <c r="Q1458" s="207">
        <f>CONCATENATE(N1458,P1458,O1458,)</f>
        <v/>
      </c>
      <c r="R1458" s="240" t="n"/>
      <c r="T1458" s="241" t="n"/>
      <c r="U1458" s="240" t="n"/>
      <c r="V1458" s="241" t="n"/>
      <c r="Z1458" s="240" t="n"/>
      <c r="AB1458" s="241" t="n"/>
      <c r="AC1458" s="240" t="n"/>
      <c r="AD1458" s="241" t="n"/>
    </row>
    <row r="1459">
      <c r="B1459" s="42" t="n">
        <v>293</v>
      </c>
      <c r="C1459" s="118">
        <f>INDIRECT("'Закуп'!A" &amp; B1459)</f>
        <v/>
      </c>
      <c r="D1459" s="119">
        <f>C1459*1.2</f>
        <v/>
      </c>
      <c r="G1459" s="172">
        <f>IF(INDIRECT("'Закуп'!L" &amp; B1459)="Sale","Sale","")</f>
        <v/>
      </c>
      <c r="H1459" s="158">
        <f>IF(INDIRECT("'Закуп'!F" &amp; B1459)=0,"",INDIRECT("'Закуп'!F" &amp; B1459))</f>
        <v/>
      </c>
      <c r="I1459" s="120" t="n">
        <v>300</v>
      </c>
      <c r="J1459" s="121">
        <f>K1459/1.2</f>
        <v/>
      </c>
      <c r="K1459" s="70" t="n">
        <v>1.25</v>
      </c>
      <c r="L1459" s="122">
        <f>J1459-C1459-(J1459-C1459)*0.2</f>
        <v/>
      </c>
      <c r="M1459" s="123">
        <f>L1459*I1459</f>
        <v/>
      </c>
      <c r="N1459" s="124" t="inlineStr">
        <is>
          <t xml:space="preserve">300-490 шт - </t>
        </is>
      </c>
      <c r="O1459" s="47" t="inlineStr">
        <is>
          <t xml:space="preserve"> руб / шт с НДС</t>
        </is>
      </c>
      <c r="P1459" s="125">
        <f>ROUND(K1459,2)</f>
        <v/>
      </c>
      <c r="Q1459" s="207">
        <f>CONCATENATE(N1459,P1459,O1459,)</f>
        <v/>
      </c>
      <c r="R1459" s="240" t="n"/>
      <c r="T1459" s="241" t="n"/>
      <c r="U1459" s="240" t="n"/>
      <c r="V1459" s="241" t="n"/>
      <c r="Z1459" s="240" t="n"/>
      <c r="AB1459" s="241" t="n"/>
      <c r="AC1459" s="240" t="n"/>
      <c r="AD1459" s="241" t="n"/>
    </row>
    <row r="1460">
      <c r="B1460" s="42" t="n">
        <v>293</v>
      </c>
      <c r="C1460" s="118">
        <f>INDIRECT("'Закуп'!A" &amp; B1460)</f>
        <v/>
      </c>
      <c r="D1460" s="119">
        <f>C1460*1.2</f>
        <v/>
      </c>
      <c r="G1460" s="172">
        <f>IF(INDIRECT("'Закуп'!L" &amp; B1460)="Sale","Sale","")</f>
        <v/>
      </c>
      <c r="H1460" s="158">
        <f>IF(INDIRECT("'Закуп'!F" &amp; B1460)=0,"",INDIRECT("'Закуп'!F" &amp; B1460))</f>
        <v/>
      </c>
      <c r="I1460" s="120" t="n">
        <v>500</v>
      </c>
      <c r="J1460" s="121">
        <f>K1460/1.2</f>
        <v/>
      </c>
      <c r="K1460" s="70" t="n">
        <v>1.17</v>
      </c>
      <c r="L1460" s="122">
        <f>J1460-C1460-(J1460-C1460)*0.2</f>
        <v/>
      </c>
      <c r="M1460" s="123">
        <f>L1460*I1460</f>
        <v/>
      </c>
      <c r="N1460" s="124" t="inlineStr">
        <is>
          <t xml:space="preserve">500-990 шт - </t>
        </is>
      </c>
      <c r="O1460" s="47" t="inlineStr">
        <is>
          <t xml:space="preserve"> руб / шт с НДС</t>
        </is>
      </c>
      <c r="P1460" s="125">
        <f>ROUND(K1460,2)</f>
        <v/>
      </c>
      <c r="Q1460" s="207">
        <f>CONCATENATE(N1460,P1460,O1460,)</f>
        <v/>
      </c>
      <c r="R1460" s="240" t="n"/>
      <c r="T1460" s="241" t="n"/>
      <c r="U1460" s="240" t="n"/>
      <c r="V1460" s="241" t="n"/>
      <c r="Z1460" s="240" t="n"/>
      <c r="AB1460" s="241" t="n"/>
      <c r="AC1460" s="240" t="n"/>
      <c r="AD1460" s="241" t="n"/>
    </row>
    <row r="1461">
      <c r="B1461" s="42" t="n">
        <v>293</v>
      </c>
      <c r="C1461" s="118">
        <f>INDIRECT("'Закуп'!A" &amp; B1461)</f>
        <v/>
      </c>
      <c r="D1461" s="119">
        <f>C1461*1.2</f>
        <v/>
      </c>
      <c r="G1461" s="172">
        <f>IF(INDIRECT("'Закуп'!L" &amp; B1461)="Sale","Sale","")</f>
        <v/>
      </c>
      <c r="H1461" s="158">
        <f>IF(INDIRECT("'Закуп'!F" &amp; B1461)=0,"",INDIRECT("'Закуп'!F" &amp; B1461))</f>
        <v/>
      </c>
      <c r="I1461" s="120" t="n">
        <v>1000</v>
      </c>
      <c r="J1461" s="121">
        <f>K1461/1.2</f>
        <v/>
      </c>
      <c r="K1461" s="70" t="n">
        <v>1.03</v>
      </c>
      <c r="L1461" s="122">
        <f>J1461-C1461-(J1461-C1461)*0.2</f>
        <v/>
      </c>
      <c r="M1461" s="123">
        <f>L1461*I1461</f>
        <v/>
      </c>
      <c r="N1461" s="124" t="inlineStr">
        <is>
          <t xml:space="preserve">1000 + шт - </t>
        </is>
      </c>
      <c r="O1461" s="47" t="inlineStr">
        <is>
          <t xml:space="preserve"> руб / шт с НДС</t>
        </is>
      </c>
      <c r="P1461" s="125">
        <f>ROUND(K1461,2)</f>
        <v/>
      </c>
      <c r="Q1461" s="207">
        <f>CONCATENATE(N1461,P1461,O1461,)</f>
        <v/>
      </c>
      <c r="R1461" s="240" t="n"/>
      <c r="T1461" s="241" t="n"/>
      <c r="U1461" s="240" t="n"/>
      <c r="V1461" s="241" t="n"/>
      <c r="Z1461" s="240" t="n"/>
      <c r="AB1461" s="241" t="n"/>
      <c r="AC1461" s="240" t="n"/>
      <c r="AD1461" s="241" t="n"/>
    </row>
    <row r="1462">
      <c r="A1462" s="232" t="n">
        <v>294</v>
      </c>
      <c r="B1462" s="42" t="n">
        <v>294</v>
      </c>
      <c r="C1462" s="118">
        <f>INDIRECT("'Закуп'!A" &amp; B1462)</f>
        <v/>
      </c>
      <c r="D1462" s="119">
        <f>C1462*1.2</f>
        <v/>
      </c>
      <c r="E1462" s="224">
        <f>INDIRECT("'Закуп'!D" &amp; A1462)</f>
        <v/>
      </c>
      <c r="F1462" s="231">
        <f>INDIRECT("'Закуп'!E" &amp; B1462)</f>
        <v/>
      </c>
      <c r="G1462" s="172">
        <f>IF(INDIRECT("'Закуп'!L" &amp; B1462)="Sale","Sale","")</f>
        <v/>
      </c>
      <c r="H1462" s="158">
        <f>IF(INDIRECT("'Закуп'!F" &amp; B1462)=0,"",INDIRECT("'Закуп'!F" &amp; B1462))</f>
        <v/>
      </c>
      <c r="I1462" s="120" t="n">
        <v>50</v>
      </c>
      <c r="J1462" s="121">
        <f>K1462/1.2</f>
        <v/>
      </c>
      <c r="K1462" s="242" t="n">
        <v>1.46</v>
      </c>
      <c r="L1462" s="122">
        <f>J1462-C1462-(J1462-C1462)*0.2</f>
        <v/>
      </c>
      <c r="M1462" s="123">
        <f>L1462*I1462</f>
        <v/>
      </c>
      <c r="N1462" s="124" t="inlineStr">
        <is>
          <t xml:space="preserve">50-90 шт - </t>
        </is>
      </c>
      <c r="O1462" s="47" t="inlineStr">
        <is>
          <t xml:space="preserve"> руб / шт с НДС</t>
        </is>
      </c>
      <c r="P1462" s="125">
        <f>ROUND(K1462,2)</f>
        <v/>
      </c>
      <c r="Q1462" s="207">
        <f>CONCATENATE(N1462,P1462,O1462,)</f>
        <v/>
      </c>
      <c r="R1462" s="235">
        <f>INDIRECT("'Закуп'!k" &amp; A1462)</f>
        <v/>
      </c>
      <c r="S1462" s="239">
        <f>INDIRECT("'Закуп'!o" &amp; A1462)</f>
        <v/>
      </c>
      <c r="T1462" s="226">
        <f>INDIRECT("'Закуп'!p" &amp; A1462)</f>
        <v/>
      </c>
      <c r="U1462" s="235">
        <f>INDIRECT("'Закуп'!v" &amp; A1462)</f>
        <v/>
      </c>
      <c r="V1462" s="222">
        <f>INDIRECT("'Закуп'!w" &amp; A1462)</f>
        <v/>
      </c>
      <c r="W1462" s="229">
        <f>INDIRECT("'Закуп'!H" &amp; A1462)</f>
        <v/>
      </c>
      <c r="X1462" s="237">
        <f>INDIRECT("'Закуп'!g" &amp; A1462)</f>
        <v/>
      </c>
      <c r="Y1462" s="229">
        <f>INDIRECT("'Закуп'!i" &amp; A1462)</f>
        <v/>
      </c>
      <c r="Z1462" s="236">
        <f>INDIRECT("'Закуп'!x" &amp; A1462)</f>
        <v/>
      </c>
      <c r="AA1462" s="237">
        <f>INDIRECT("'Закуп'!y" &amp; A1462)</f>
        <v/>
      </c>
      <c r="AB1462" s="238">
        <f>INDIRECT("'Закуп'!z" &amp; A1462)</f>
        <v/>
      </c>
      <c r="AC1462" s="223">
        <f>SUBSTITUTE(INDEX(F:F, ROUNDUP((ROW(A1461))/5,0)*5 - 3), "х", "x")</f>
        <v/>
      </c>
      <c r="AD1462" s="222">
        <f>SUBSTITUTE(INDEX(F:F, ROUNDUP((ROW(A1461))/5,0)*5 - 3), "х", "x") &amp; " - " &amp; SUBSTITUTE(SUBSTITUTE(INDEX(F:F, ROUNDUP((ROW(A1461))/5,0)*5 - 3), "х", "*"), "x", "*") &amp; " мм"</f>
        <v/>
      </c>
      <c r="AE1462" t="n">
        <v>2.16</v>
      </c>
    </row>
    <row r="1463">
      <c r="B1463" s="42" t="n">
        <v>294</v>
      </c>
      <c r="C1463" s="118">
        <f>INDIRECT("'Закуп'!A" &amp; B1463)</f>
        <v/>
      </c>
      <c r="D1463" s="119">
        <f>C1463*1.2</f>
        <v/>
      </c>
      <c r="G1463" s="172">
        <f>IF(INDIRECT("'Закуп'!L" &amp; B1463)="Sale","Sale","")</f>
        <v/>
      </c>
      <c r="H1463" s="158">
        <f>IF(INDIRECT("'Закуп'!F" &amp; B1463)=0,"",INDIRECT("'Закуп'!F" &amp; B1463))</f>
        <v/>
      </c>
      <c r="I1463" s="120" t="n">
        <v>100</v>
      </c>
      <c r="J1463" s="121">
        <f>K1463/1.2</f>
        <v/>
      </c>
      <c r="K1463" s="242" t="n">
        <v>1.24</v>
      </c>
      <c r="L1463" s="122">
        <f>J1463-C1463-(J1463-C1463)*0.2</f>
        <v/>
      </c>
      <c r="M1463" s="123">
        <f>L1463*I1463</f>
        <v/>
      </c>
      <c r="N1463" s="124" t="inlineStr">
        <is>
          <t xml:space="preserve">100-290 шт - </t>
        </is>
      </c>
      <c r="O1463" s="47" t="inlineStr">
        <is>
          <t xml:space="preserve"> руб / шт с НДС</t>
        </is>
      </c>
      <c r="P1463" s="125">
        <f>ROUND(K1463,2)</f>
        <v/>
      </c>
      <c r="Q1463" s="207">
        <f>CONCATENATE(N1463,P1463,O1463,)</f>
        <v/>
      </c>
      <c r="R1463" s="240" t="n"/>
      <c r="T1463" s="241" t="n"/>
      <c r="U1463" s="240" t="n"/>
      <c r="V1463" s="241" t="n"/>
      <c r="Z1463" s="240" t="n"/>
      <c r="AB1463" s="241" t="n"/>
      <c r="AC1463" s="240" t="n"/>
      <c r="AD1463" s="241" t="n"/>
      <c r="AE1463" t="n">
        <v>1.97</v>
      </c>
    </row>
    <row r="1464">
      <c r="B1464" s="42" t="n">
        <v>294</v>
      </c>
      <c r="C1464" s="118">
        <f>INDIRECT("'Закуп'!A" &amp; B1464)</f>
        <v/>
      </c>
      <c r="D1464" s="119">
        <f>C1464*1.2</f>
        <v/>
      </c>
      <c r="G1464" s="172">
        <f>IF(INDIRECT("'Закуп'!L" &amp; B1464)="Sale","Sale","")</f>
        <v/>
      </c>
      <c r="H1464" s="158">
        <f>IF(INDIRECT("'Закуп'!F" &amp; B1464)=0,"",INDIRECT("'Закуп'!F" &amp; B1464))</f>
        <v/>
      </c>
      <c r="I1464" s="120" t="n">
        <v>300</v>
      </c>
      <c r="J1464" s="121">
        <f>K1464/1.2</f>
        <v/>
      </c>
      <c r="K1464" s="242" t="n">
        <v>1.17</v>
      </c>
      <c r="L1464" s="122">
        <f>J1464-C1464-(J1464-C1464)*0.2</f>
        <v/>
      </c>
      <c r="M1464" s="123">
        <f>L1464*I1464</f>
        <v/>
      </c>
      <c r="N1464" s="124" t="inlineStr">
        <is>
          <t xml:space="preserve">300-490 шт - </t>
        </is>
      </c>
      <c r="O1464" s="47" t="inlineStr">
        <is>
          <t xml:space="preserve"> руб / шт с НДС</t>
        </is>
      </c>
      <c r="P1464" s="125">
        <f>ROUND(K1464,2)</f>
        <v/>
      </c>
      <c r="Q1464" s="207">
        <f>CONCATENATE(N1464,P1464,O1464,)</f>
        <v/>
      </c>
      <c r="R1464" s="240" t="n"/>
      <c r="T1464" s="241" t="n"/>
      <c r="U1464" s="240" t="n"/>
      <c r="V1464" s="241" t="n"/>
      <c r="Z1464" s="240" t="n"/>
      <c r="AB1464" s="241" t="n"/>
      <c r="AC1464" s="240" t="n"/>
      <c r="AD1464" s="241" t="n"/>
      <c r="AE1464" t="n">
        <v>1.54</v>
      </c>
    </row>
    <row r="1465">
      <c r="B1465" s="42" t="n">
        <v>294</v>
      </c>
      <c r="C1465" s="118">
        <f>INDIRECT("'Закуп'!A" &amp; B1465)</f>
        <v/>
      </c>
      <c r="D1465" s="119">
        <f>C1465*1.2</f>
        <v/>
      </c>
      <c r="G1465" s="172">
        <f>IF(INDIRECT("'Закуп'!L" &amp; B1465)="Sale","Sale","")</f>
        <v/>
      </c>
      <c r="H1465" s="158">
        <f>IF(INDIRECT("'Закуп'!F" &amp; B1465)=0,"",INDIRECT("'Закуп'!F" &amp; B1465))</f>
        <v/>
      </c>
      <c r="I1465" s="120" t="n">
        <v>500</v>
      </c>
      <c r="J1465" s="121">
        <f>K1465/1.2</f>
        <v/>
      </c>
      <c r="K1465" s="242" t="n">
        <v>1.11</v>
      </c>
      <c r="L1465" s="122">
        <f>J1465-C1465-(J1465-C1465)*0.2</f>
        <v/>
      </c>
      <c r="M1465" s="123">
        <f>L1465*I1465</f>
        <v/>
      </c>
      <c r="N1465" s="124" t="inlineStr">
        <is>
          <t xml:space="preserve">500-990 шт - </t>
        </is>
      </c>
      <c r="O1465" s="47" t="inlineStr">
        <is>
          <t xml:space="preserve"> руб / шт с НДС</t>
        </is>
      </c>
      <c r="P1465" s="125">
        <f>ROUND(K1465,2)</f>
        <v/>
      </c>
      <c r="Q1465" s="207">
        <f>CONCATENATE(N1465,P1465,O1465,)</f>
        <v/>
      </c>
      <c r="R1465" s="240" t="n"/>
      <c r="T1465" s="241" t="n"/>
      <c r="U1465" s="240" t="n"/>
      <c r="V1465" s="241" t="n"/>
      <c r="Z1465" s="240" t="n"/>
      <c r="AB1465" s="241" t="n"/>
      <c r="AC1465" s="240" t="n"/>
      <c r="AD1465" s="241" t="n"/>
      <c r="AE1465" t="n">
        <v>1.33</v>
      </c>
    </row>
    <row r="1466">
      <c r="B1466" s="42" t="n">
        <v>294</v>
      </c>
      <c r="C1466" s="118">
        <f>INDIRECT("'Закуп'!A" &amp; B1466)</f>
        <v/>
      </c>
      <c r="D1466" s="119">
        <f>C1466*1.2</f>
        <v/>
      </c>
      <c r="G1466" s="172">
        <f>IF(INDIRECT("'Закуп'!L" &amp; B1466)="Sale","Sale","")</f>
        <v/>
      </c>
      <c r="H1466" s="158">
        <f>IF(INDIRECT("'Закуп'!F" &amp; B1466)=0,"",INDIRECT("'Закуп'!F" &amp; B1466))</f>
        <v/>
      </c>
      <c r="I1466" s="120" t="n">
        <v>1000</v>
      </c>
      <c r="J1466" s="121">
        <f>K1466/1.2</f>
        <v/>
      </c>
      <c r="K1466" s="242" t="n">
        <v>1.07</v>
      </c>
      <c r="L1466" s="122">
        <f>J1466-C1466-(J1466-C1466)*0.2</f>
        <v/>
      </c>
      <c r="M1466" s="123">
        <f>L1466*I1466</f>
        <v/>
      </c>
      <c r="N1466" s="124" t="inlineStr">
        <is>
          <t xml:space="preserve">1000 + шт - </t>
        </is>
      </c>
      <c r="O1466" s="47" t="inlineStr">
        <is>
          <t xml:space="preserve"> руб / шт с НДС</t>
        </is>
      </c>
      <c r="P1466" s="125">
        <f>ROUND(K1466,2)</f>
        <v/>
      </c>
      <c r="Q1466" s="207">
        <f>CONCATENATE(N1466,P1466,O1466,)</f>
        <v/>
      </c>
      <c r="R1466" s="240" t="n"/>
      <c r="T1466" s="241" t="n"/>
      <c r="U1466" s="240" t="n"/>
      <c r="V1466" s="241" t="n"/>
      <c r="Z1466" s="240" t="n"/>
      <c r="AB1466" s="241" t="n"/>
      <c r="AC1466" s="240" t="n"/>
      <c r="AD1466" s="241" t="n"/>
      <c r="AE1466" t="n">
        <v>1.24</v>
      </c>
    </row>
    <row r="1467">
      <c r="A1467" s="232" t="n">
        <v>295</v>
      </c>
      <c r="B1467" s="42" t="n">
        <v>295</v>
      </c>
      <c r="C1467" s="118">
        <f>INDIRECT("'Закуп'!A" &amp; B1467)</f>
        <v/>
      </c>
      <c r="D1467" s="119">
        <f>C1467*1.2</f>
        <v/>
      </c>
      <c r="E1467" s="224">
        <f>INDIRECT("'Закуп'!D" &amp; A1467)</f>
        <v/>
      </c>
      <c r="F1467" s="231">
        <f>INDIRECT("'Закуп'!E" &amp; B1467)</f>
        <v/>
      </c>
      <c r="G1467" s="172">
        <f>IF(INDIRECT("'Закуп'!L" &amp; B1467)="Sale","Sale","")</f>
        <v/>
      </c>
      <c r="H1467" s="158">
        <f>IF(INDIRECT("'Закуп'!F" &amp; B1467)=0,"",INDIRECT("'Закуп'!F" &amp; B1467))</f>
        <v/>
      </c>
      <c r="I1467" s="120" t="n">
        <v>50</v>
      </c>
      <c r="J1467" s="121">
        <f>K1467/1.2</f>
        <v/>
      </c>
      <c r="K1467" s="70" t="n">
        <v>1.1</v>
      </c>
      <c r="L1467" s="122">
        <f>J1467-C1467-(J1467-C1467)*0.2</f>
        <v/>
      </c>
      <c r="M1467" s="123">
        <f>L1467*I1467</f>
        <v/>
      </c>
      <c r="N1467" s="124" t="inlineStr">
        <is>
          <t xml:space="preserve">50-90 шт - </t>
        </is>
      </c>
      <c r="O1467" s="47" t="inlineStr">
        <is>
          <t xml:space="preserve"> руб / шт с НДС</t>
        </is>
      </c>
      <c r="P1467" s="125">
        <f>ROUND(K1467,2)</f>
        <v/>
      </c>
      <c r="Q1467" s="207">
        <f>CONCATENATE(N1467,P1467,O1467,)</f>
        <v/>
      </c>
      <c r="R1467" s="235">
        <f>INDIRECT("'Закуп'!k" &amp; A1467)</f>
        <v/>
      </c>
      <c r="S1467" s="239">
        <f>INDIRECT("'Закуп'!o" &amp; A1467)</f>
        <v/>
      </c>
      <c r="T1467" s="226">
        <f>INDIRECT("'Закуп'!p" &amp; A1467)</f>
        <v/>
      </c>
      <c r="U1467" s="235">
        <f>INDIRECT("'Закуп'!v" &amp; A1467)</f>
        <v/>
      </c>
      <c r="V1467" s="222">
        <f>INDIRECT("'Закуп'!w" &amp; A1467)</f>
        <v/>
      </c>
      <c r="W1467" s="229">
        <f>INDIRECT("'Закуп'!H" &amp; A1467)</f>
        <v/>
      </c>
      <c r="X1467" s="237">
        <f>INDIRECT("'Закуп'!g" &amp; A1467)</f>
        <v/>
      </c>
      <c r="Y1467" s="229">
        <f>INDIRECT("'Закуп'!i" &amp; A1467)</f>
        <v/>
      </c>
      <c r="Z1467" s="236">
        <f>INDIRECT("'Закуп'!x" &amp; A1467)</f>
        <v/>
      </c>
      <c r="AA1467" s="237">
        <f>INDIRECT("'Закуп'!y" &amp; A1467)</f>
        <v/>
      </c>
      <c r="AB1467" s="238">
        <f>INDIRECT("'Закуп'!z" &amp; A1467)</f>
        <v/>
      </c>
      <c r="AC1467" s="223">
        <f>SUBSTITUTE(INDEX(F:F, ROUNDUP((ROW(A1466))/5,0)*5 - 3), "х", "x")</f>
        <v/>
      </c>
      <c r="AD1467" s="222">
        <f>SUBSTITUTE(INDEX(F:F, ROUNDUP((ROW(A1466))/5,0)*5 - 3), "х", "x") &amp; " - " &amp; SUBSTITUTE(SUBSTITUTE(INDEX(F:F, ROUNDUP((ROW(A1466))/5,0)*5 - 3), "х", "*"), "x", "*") &amp; " мм"</f>
        <v/>
      </c>
    </row>
    <row r="1468">
      <c r="B1468" s="42" t="n">
        <v>295</v>
      </c>
      <c r="C1468" s="118">
        <f>INDIRECT("'Закуп'!A" &amp; B1468)</f>
        <v/>
      </c>
      <c r="D1468" s="119">
        <f>C1468*1.2</f>
        <v/>
      </c>
      <c r="G1468" s="172">
        <f>IF(INDIRECT("'Закуп'!L" &amp; B1468)="Sale","Sale","")</f>
        <v/>
      </c>
      <c r="H1468" s="158">
        <f>IF(INDIRECT("'Закуп'!F" &amp; B1468)=0,"",INDIRECT("'Закуп'!F" &amp; B1468))</f>
        <v/>
      </c>
      <c r="I1468" s="120" t="n">
        <v>100</v>
      </c>
      <c r="J1468" s="121">
        <f>K1468/1.2</f>
        <v/>
      </c>
      <c r="K1468" s="70" t="n">
        <v>0.9399999999999999</v>
      </c>
      <c r="L1468" s="122">
        <f>J1468-C1468-(J1468-C1468)*0.2</f>
        <v/>
      </c>
      <c r="M1468" s="123">
        <f>L1468*I1468</f>
        <v/>
      </c>
      <c r="N1468" s="124" t="inlineStr">
        <is>
          <t xml:space="preserve">100-290 шт - </t>
        </is>
      </c>
      <c r="O1468" s="47" t="inlineStr">
        <is>
          <t xml:space="preserve"> руб / шт с НДС</t>
        </is>
      </c>
      <c r="P1468" s="125">
        <f>ROUND(K1468,2)</f>
        <v/>
      </c>
      <c r="Q1468" s="207">
        <f>CONCATENATE(N1468,P1468,O1468,)</f>
        <v/>
      </c>
      <c r="R1468" s="240" t="n"/>
      <c r="T1468" s="241" t="n"/>
      <c r="U1468" s="240" t="n"/>
      <c r="V1468" s="241" t="n"/>
      <c r="Z1468" s="240" t="n"/>
      <c r="AB1468" s="241" t="n"/>
      <c r="AC1468" s="240" t="n"/>
      <c r="AD1468" s="241" t="n"/>
    </row>
    <row r="1469">
      <c r="B1469" s="42" t="n">
        <v>295</v>
      </c>
      <c r="C1469" s="118">
        <f>INDIRECT("'Закуп'!A" &amp; B1469)</f>
        <v/>
      </c>
      <c r="D1469" s="119">
        <f>C1469*1.2</f>
        <v/>
      </c>
      <c r="G1469" s="172">
        <f>IF(INDIRECT("'Закуп'!L" &amp; B1469)="Sale","Sale","")</f>
        <v/>
      </c>
      <c r="H1469" s="158">
        <f>IF(INDIRECT("'Закуп'!F" &amp; B1469)=0,"",INDIRECT("'Закуп'!F" &amp; B1469))</f>
        <v/>
      </c>
      <c r="I1469" s="120" t="n">
        <v>300</v>
      </c>
      <c r="J1469" s="121">
        <f>K1469/1.2</f>
        <v/>
      </c>
      <c r="K1469" s="70" t="n">
        <v>0.77</v>
      </c>
      <c r="L1469" s="122">
        <f>J1469-C1469-(J1469-C1469)*0.2</f>
        <v/>
      </c>
      <c r="M1469" s="123">
        <f>L1469*I1469</f>
        <v/>
      </c>
      <c r="N1469" s="124" t="inlineStr">
        <is>
          <t xml:space="preserve">300-490 шт - </t>
        </is>
      </c>
      <c r="O1469" s="47" t="inlineStr">
        <is>
          <t xml:space="preserve"> руб / шт с НДС</t>
        </is>
      </c>
      <c r="P1469" s="125">
        <f>ROUND(K1469,2)</f>
        <v/>
      </c>
      <c r="Q1469" s="207">
        <f>CONCATENATE(N1469,P1469,O1469,)</f>
        <v/>
      </c>
      <c r="R1469" s="240" t="n"/>
      <c r="T1469" s="241" t="n"/>
      <c r="U1469" s="240" t="n"/>
      <c r="V1469" s="241" t="n"/>
      <c r="Z1469" s="240" t="n"/>
      <c r="AB1469" s="241" t="n"/>
      <c r="AC1469" s="240" t="n"/>
      <c r="AD1469" s="241" t="n"/>
    </row>
    <row r="1470">
      <c r="B1470" s="42" t="n">
        <v>295</v>
      </c>
      <c r="C1470" s="118">
        <f>INDIRECT("'Закуп'!A" &amp; B1470)</f>
        <v/>
      </c>
      <c r="D1470" s="119">
        <f>C1470*1.2</f>
        <v/>
      </c>
      <c r="G1470" s="172">
        <f>IF(INDIRECT("'Закуп'!L" &amp; B1470)="Sale","Sale","")</f>
        <v/>
      </c>
      <c r="H1470" s="158">
        <f>IF(INDIRECT("'Закуп'!F" &amp; B1470)=0,"",INDIRECT("'Закуп'!F" &amp; B1470))</f>
        <v/>
      </c>
      <c r="I1470" s="120" t="n">
        <v>500</v>
      </c>
      <c r="J1470" s="121">
        <f>K1470/1.2</f>
        <v/>
      </c>
      <c r="K1470" s="70" t="n">
        <v>0.68</v>
      </c>
      <c r="L1470" s="122">
        <f>J1470-C1470-(J1470-C1470)*0.2</f>
        <v/>
      </c>
      <c r="M1470" s="123">
        <f>L1470*I1470</f>
        <v/>
      </c>
      <c r="N1470" s="124" t="inlineStr">
        <is>
          <t xml:space="preserve">500-990 шт - </t>
        </is>
      </c>
      <c r="O1470" s="47" t="inlineStr">
        <is>
          <t xml:space="preserve"> руб / шт с НДС</t>
        </is>
      </c>
      <c r="P1470" s="125">
        <f>ROUND(K1470,2)</f>
        <v/>
      </c>
      <c r="Q1470" s="207">
        <f>CONCATENATE(N1470,P1470,O1470,)</f>
        <v/>
      </c>
      <c r="R1470" s="240" t="n"/>
      <c r="T1470" s="241" t="n"/>
      <c r="U1470" s="240" t="n"/>
      <c r="V1470" s="241" t="n"/>
      <c r="Z1470" s="240" t="n"/>
      <c r="AB1470" s="241" t="n"/>
      <c r="AC1470" s="240" t="n"/>
      <c r="AD1470" s="241" t="n"/>
    </row>
    <row r="1471">
      <c r="B1471" s="42" t="n">
        <v>295</v>
      </c>
      <c r="C1471" s="118">
        <f>INDIRECT("'Закуп'!A" &amp; B1471)</f>
        <v/>
      </c>
      <c r="D1471" s="119">
        <f>C1471*1.2</f>
        <v/>
      </c>
      <c r="G1471" s="172">
        <f>IF(INDIRECT("'Закуп'!L" &amp; B1471)="Sale","Sale","")</f>
        <v/>
      </c>
      <c r="H1471" s="158">
        <f>IF(INDIRECT("'Закуп'!F" &amp; B1471)=0,"",INDIRECT("'Закуп'!F" &amp; B1471))</f>
        <v/>
      </c>
      <c r="I1471" s="120" t="n">
        <v>1000</v>
      </c>
      <c r="J1471" s="121">
        <f>K1471/1.2</f>
        <v/>
      </c>
      <c r="K1471" s="70" t="n">
        <v>0.57</v>
      </c>
      <c r="L1471" s="122">
        <f>J1471-C1471-(J1471-C1471)*0.2</f>
        <v/>
      </c>
      <c r="M1471" s="123">
        <f>L1471*I1471</f>
        <v/>
      </c>
      <c r="N1471" s="124" t="inlineStr">
        <is>
          <t xml:space="preserve">1000 + шт - </t>
        </is>
      </c>
      <c r="O1471" s="47" t="inlineStr">
        <is>
          <t xml:space="preserve"> руб / шт с НДС</t>
        </is>
      </c>
      <c r="P1471" s="125">
        <f>ROUND(K1471,2)</f>
        <v/>
      </c>
      <c r="Q1471" s="207">
        <f>CONCATENATE(N1471,P1471,O1471,)</f>
        <v/>
      </c>
      <c r="R1471" s="240" t="n"/>
      <c r="T1471" s="241" t="n"/>
      <c r="U1471" s="240" t="n"/>
      <c r="V1471" s="241" t="n"/>
      <c r="Z1471" s="240" t="n"/>
      <c r="AB1471" s="241" t="n"/>
      <c r="AC1471" s="240" t="n"/>
      <c r="AD1471" s="241" t="n"/>
    </row>
    <row r="1472">
      <c r="A1472" s="232" t="n">
        <v>296</v>
      </c>
      <c r="B1472" s="42" t="n">
        <v>296</v>
      </c>
      <c r="C1472" s="118">
        <f>INDIRECT("'Закуп'!A" &amp; B1472)</f>
        <v/>
      </c>
      <c r="D1472" s="119">
        <f>C1472*1.2</f>
        <v/>
      </c>
      <c r="E1472" s="225">
        <f>INDIRECT("'Закуп'!D" &amp; A1472)</f>
        <v/>
      </c>
      <c r="F1472" s="231">
        <f>INDIRECT("'Закуп'!E" &amp; B1472)</f>
        <v/>
      </c>
      <c r="G1472" s="172">
        <f>IF(INDIRECT("'Закуп'!L" &amp; B1472)="Sale","Sale","")</f>
        <v/>
      </c>
      <c r="H1472" s="158">
        <f>IF(INDIRECT("'Закуп'!F" &amp; B1472)=0,"",INDIRECT("'Закуп'!F" &amp; B1472))</f>
        <v/>
      </c>
      <c r="I1472" s="120" t="n">
        <v>50</v>
      </c>
      <c r="J1472" s="121">
        <f>K1472/1.2</f>
        <v/>
      </c>
      <c r="K1472" s="70" t="n">
        <v>1.06</v>
      </c>
      <c r="L1472" s="122">
        <f>J1472-C1472-(J1472-C1472)*0.2</f>
        <v/>
      </c>
      <c r="M1472" s="123">
        <f>L1472*I1472</f>
        <v/>
      </c>
      <c r="N1472" s="124" t="inlineStr">
        <is>
          <t xml:space="preserve">50-90 шт - </t>
        </is>
      </c>
      <c r="O1472" s="47" t="inlineStr">
        <is>
          <t xml:space="preserve"> руб / шт с НДС</t>
        </is>
      </c>
      <c r="P1472" s="125">
        <f>ROUND(K1472,2)</f>
        <v/>
      </c>
      <c r="Q1472" s="207">
        <f>CONCATENATE(N1472,P1472,O1472,)</f>
        <v/>
      </c>
      <c r="R1472" s="235">
        <f>INDIRECT("'Закуп'!k" &amp; A1472)</f>
        <v/>
      </c>
      <c r="S1472" s="239">
        <f>INDIRECT("'Закуп'!o" &amp; A1472)</f>
        <v/>
      </c>
      <c r="T1472" s="226">
        <f>INDIRECT("'Закуп'!p" &amp; A1472)</f>
        <v/>
      </c>
      <c r="U1472" s="235">
        <f>INDIRECT("'Закуп'!v" &amp; A1472)</f>
        <v/>
      </c>
      <c r="V1472" s="222">
        <f>INDIRECT("'Закуп'!w" &amp; A1472)</f>
        <v/>
      </c>
      <c r="W1472" s="229">
        <f>INDIRECT("'Закуп'!H" &amp; A1472)</f>
        <v/>
      </c>
      <c r="X1472" s="237">
        <f>INDIRECT("'Закуп'!g" &amp; A1472)</f>
        <v/>
      </c>
      <c r="Y1472" s="229">
        <f>INDIRECT("'Закуп'!i" &amp; A1472)</f>
        <v/>
      </c>
      <c r="Z1472" s="236">
        <f>INDIRECT("'Закуп'!x" &amp; A1472)</f>
        <v/>
      </c>
      <c r="AA1472" s="237">
        <f>INDIRECT("'Закуп'!y" &amp; A1472)</f>
        <v/>
      </c>
      <c r="AB1472" s="238">
        <f>INDIRECT("'Закуп'!z" &amp; A1472)</f>
        <v/>
      </c>
      <c r="AC1472" s="223">
        <f>SUBSTITUTE(INDEX(F:F, ROUNDUP((ROW(A1471))/5,0)*5 - 3), "х", "x")</f>
        <v/>
      </c>
      <c r="AD1472" s="222">
        <f>SUBSTITUTE(INDEX(F:F, ROUNDUP((ROW(A1471))/5,0)*5 - 3), "х", "x") &amp; " - " &amp; SUBSTITUTE(SUBSTITUTE(INDEX(F:F, ROUNDUP((ROW(A1471))/5,0)*5 - 3), "х", "*"), "x", "*") &amp; " мм"</f>
        <v/>
      </c>
    </row>
    <row r="1473">
      <c r="B1473" s="42" t="n">
        <v>296</v>
      </c>
      <c r="C1473" s="118">
        <f>INDIRECT("'Закуп'!A" &amp; B1473)</f>
        <v/>
      </c>
      <c r="D1473" s="119">
        <f>C1473*1.2</f>
        <v/>
      </c>
      <c r="G1473" s="172">
        <f>IF(INDIRECT("'Закуп'!L" &amp; B1473)="Sale","Sale","")</f>
        <v/>
      </c>
      <c r="H1473" s="158">
        <f>IF(INDIRECT("'Закуп'!F" &amp; B1473)=0,"",INDIRECT("'Закуп'!F" &amp; B1473))</f>
        <v/>
      </c>
      <c r="I1473" s="120" t="n">
        <v>100</v>
      </c>
      <c r="J1473" s="121">
        <f>K1473/1.2</f>
        <v/>
      </c>
      <c r="K1473" s="70" t="n">
        <v>0.91</v>
      </c>
      <c r="L1473" s="122">
        <f>J1473-C1473-(J1473-C1473)*0.2</f>
        <v/>
      </c>
      <c r="M1473" s="123">
        <f>L1473*I1473</f>
        <v/>
      </c>
      <c r="N1473" s="124" t="inlineStr">
        <is>
          <t xml:space="preserve">100-290 шт - </t>
        </is>
      </c>
      <c r="O1473" s="47" t="inlineStr">
        <is>
          <t xml:space="preserve"> руб / шт с НДС</t>
        </is>
      </c>
      <c r="P1473" s="125">
        <f>ROUND(K1473,2)</f>
        <v/>
      </c>
      <c r="Q1473" s="207">
        <f>CONCATENATE(N1473,P1473,O1473,)</f>
        <v/>
      </c>
      <c r="R1473" s="240" t="n"/>
      <c r="T1473" s="241" t="n"/>
      <c r="U1473" s="240" t="n"/>
      <c r="V1473" s="241" t="n"/>
      <c r="Z1473" s="240" t="n"/>
      <c r="AB1473" s="241" t="n"/>
      <c r="AC1473" s="240" t="n"/>
      <c r="AD1473" s="241" t="n"/>
    </row>
    <row r="1474">
      <c r="B1474" s="42" t="n">
        <v>296</v>
      </c>
      <c r="C1474" s="118">
        <f>INDIRECT("'Закуп'!A" &amp; B1474)</f>
        <v/>
      </c>
      <c r="D1474" s="119">
        <f>C1474*1.2</f>
        <v/>
      </c>
      <c r="G1474" s="172">
        <f>IF(INDIRECT("'Закуп'!L" &amp; B1474)="Sale","Sale","")</f>
        <v/>
      </c>
      <c r="H1474" s="158">
        <f>IF(INDIRECT("'Закуп'!F" &amp; B1474)=0,"",INDIRECT("'Закуп'!F" &amp; B1474))</f>
        <v/>
      </c>
      <c r="I1474" s="120" t="n">
        <v>300</v>
      </c>
      <c r="J1474" s="121">
        <f>K1474/1.2</f>
        <v/>
      </c>
      <c r="K1474" s="70" t="n">
        <v>0.73</v>
      </c>
      <c r="L1474" s="122">
        <f>J1474-C1474-(J1474-C1474)*0.2</f>
        <v/>
      </c>
      <c r="M1474" s="123">
        <f>L1474*I1474</f>
        <v/>
      </c>
      <c r="N1474" s="124" t="inlineStr">
        <is>
          <t xml:space="preserve">300-490 шт - </t>
        </is>
      </c>
      <c r="O1474" s="47" t="inlineStr">
        <is>
          <t xml:space="preserve"> руб / шт с НДС</t>
        </is>
      </c>
      <c r="P1474" s="125">
        <f>ROUND(K1474,2)</f>
        <v/>
      </c>
      <c r="Q1474" s="207">
        <f>CONCATENATE(N1474,P1474,O1474,)</f>
        <v/>
      </c>
      <c r="R1474" s="240" t="n"/>
      <c r="T1474" s="241" t="n"/>
      <c r="U1474" s="240" t="n"/>
      <c r="V1474" s="241" t="n"/>
      <c r="Z1474" s="240" t="n"/>
      <c r="AB1474" s="241" t="n"/>
      <c r="AC1474" s="240" t="n"/>
      <c r="AD1474" s="241" t="n"/>
    </row>
    <row r="1475">
      <c r="B1475" s="42" t="n">
        <v>296</v>
      </c>
      <c r="C1475" s="118">
        <f>INDIRECT("'Закуп'!A" &amp; B1475)</f>
        <v/>
      </c>
      <c r="D1475" s="119">
        <f>C1475*1.2</f>
        <v/>
      </c>
      <c r="G1475" s="172">
        <f>IF(INDIRECT("'Закуп'!L" &amp; B1475)="Sale","Sale","")</f>
        <v/>
      </c>
      <c r="H1475" s="158">
        <f>IF(INDIRECT("'Закуп'!F" &amp; B1475)=0,"",INDIRECT("'Закуп'!F" &amp; B1475))</f>
        <v/>
      </c>
      <c r="I1475" s="120" t="n">
        <v>500</v>
      </c>
      <c r="J1475" s="121">
        <f>K1475/1.2</f>
        <v/>
      </c>
      <c r="K1475" s="70" t="n">
        <v>0.67</v>
      </c>
      <c r="L1475" s="122">
        <f>J1475-C1475-(J1475-C1475)*0.2</f>
        <v/>
      </c>
      <c r="M1475" s="123">
        <f>L1475*I1475</f>
        <v/>
      </c>
      <c r="N1475" s="124" t="inlineStr">
        <is>
          <t xml:space="preserve">500-990 шт - </t>
        </is>
      </c>
      <c r="O1475" s="47" t="inlineStr">
        <is>
          <t xml:space="preserve"> руб / шт с НДС</t>
        </is>
      </c>
      <c r="P1475" s="125">
        <f>ROUND(K1475,2)</f>
        <v/>
      </c>
      <c r="Q1475" s="207">
        <f>CONCATENATE(N1475,P1475,O1475,)</f>
        <v/>
      </c>
      <c r="R1475" s="240" t="n"/>
      <c r="T1475" s="241" t="n"/>
      <c r="U1475" s="240" t="n"/>
      <c r="V1475" s="241" t="n"/>
      <c r="Z1475" s="240" t="n"/>
      <c r="AB1475" s="241" t="n"/>
      <c r="AC1475" s="240" t="n"/>
      <c r="AD1475" s="241" t="n"/>
    </row>
    <row r="1476">
      <c r="B1476" s="42" t="n">
        <v>296</v>
      </c>
      <c r="C1476" s="118">
        <f>INDIRECT("'Закуп'!A" &amp; B1476)</f>
        <v/>
      </c>
      <c r="D1476" s="119">
        <f>C1476*1.2</f>
        <v/>
      </c>
      <c r="G1476" s="172">
        <f>IF(INDIRECT("'Закуп'!L" &amp; B1476)="Sale","Sale","")</f>
        <v/>
      </c>
      <c r="H1476" s="158">
        <f>IF(INDIRECT("'Закуп'!F" &amp; B1476)=0,"",INDIRECT("'Закуп'!F" &amp; B1476))</f>
        <v/>
      </c>
      <c r="I1476" s="120" t="n">
        <v>1000</v>
      </c>
      <c r="J1476" s="121">
        <f>K1476/1.2</f>
        <v/>
      </c>
      <c r="K1476" s="70" t="n">
        <v>0.57</v>
      </c>
      <c r="L1476" s="122">
        <f>J1476-C1476-(J1476-C1476)*0.2</f>
        <v/>
      </c>
      <c r="M1476" s="123">
        <f>L1476*I1476</f>
        <v/>
      </c>
      <c r="N1476" s="124" t="inlineStr">
        <is>
          <t xml:space="preserve">1000 + шт - </t>
        </is>
      </c>
      <c r="O1476" s="47" t="inlineStr">
        <is>
          <t xml:space="preserve"> руб / шт с НДС</t>
        </is>
      </c>
      <c r="P1476" s="125">
        <f>ROUND(K1476,2)</f>
        <v/>
      </c>
      <c r="Q1476" s="207">
        <f>CONCATENATE(N1476,P1476,O1476,)</f>
        <v/>
      </c>
      <c r="R1476" s="240" t="n"/>
      <c r="T1476" s="241" t="n"/>
      <c r="U1476" s="240" t="n"/>
      <c r="V1476" s="241" t="n"/>
      <c r="Z1476" s="240" t="n"/>
      <c r="AB1476" s="241" t="n"/>
      <c r="AC1476" s="240" t="n"/>
      <c r="AD1476" s="241" t="n"/>
    </row>
    <row r="1477">
      <c r="A1477" s="232" t="n">
        <v>297</v>
      </c>
      <c r="B1477" s="42" t="n">
        <v>297</v>
      </c>
      <c r="C1477" s="118">
        <f>INDIRECT("'Закуп'!A" &amp; B1477)</f>
        <v/>
      </c>
      <c r="D1477" s="119">
        <f>C1477*1.2</f>
        <v/>
      </c>
      <c r="E1477" s="224">
        <f>INDIRECT("'Закуп'!D" &amp; A1477)</f>
        <v/>
      </c>
      <c r="F1477" s="231">
        <f>INDIRECT("'Закуп'!E" &amp; B1477)</f>
        <v/>
      </c>
      <c r="G1477" s="172">
        <f>IF(INDIRECT("'Закуп'!L" &amp; B1477)="Sale","Sale","")</f>
        <v/>
      </c>
      <c r="H1477" s="158">
        <f>IF(INDIRECT("'Закуп'!F" &amp; B1477)=0,"",INDIRECT("'Закуп'!F" &amp; B1477))</f>
        <v/>
      </c>
      <c r="I1477" s="120" t="n">
        <v>50</v>
      </c>
      <c r="J1477" s="121">
        <f>K1477/1.2</f>
        <v/>
      </c>
      <c r="K1477" s="242" t="n">
        <v>1.62</v>
      </c>
      <c r="L1477" s="122">
        <f>J1477-C1477-(J1477-C1477)*0.2</f>
        <v/>
      </c>
      <c r="M1477" s="123">
        <f>L1477*I1477</f>
        <v/>
      </c>
      <c r="N1477" s="124" t="inlineStr">
        <is>
          <t xml:space="preserve">50-90 шт - </t>
        </is>
      </c>
      <c r="O1477" s="47" t="inlineStr">
        <is>
          <t xml:space="preserve"> руб / шт с НДС</t>
        </is>
      </c>
      <c r="P1477" s="125">
        <f>ROUND(K1477,2)</f>
        <v/>
      </c>
      <c r="Q1477" s="207">
        <f>CONCATENATE(N1477,P1477,O1477,)</f>
        <v/>
      </c>
      <c r="R1477" s="235">
        <f>INDIRECT("'Закуп'!k" &amp; A1477)</f>
        <v/>
      </c>
      <c r="S1477" s="239">
        <f>INDIRECT("'Закуп'!o" &amp; A1477)</f>
        <v/>
      </c>
      <c r="T1477" s="226">
        <f>INDIRECT("'Закуп'!p" &amp; A1477)</f>
        <v/>
      </c>
      <c r="U1477" s="235">
        <f>INDIRECT("'Закуп'!v" &amp; A1477)</f>
        <v/>
      </c>
      <c r="V1477" s="222">
        <f>INDIRECT("'Закуп'!w" &amp; A1477)</f>
        <v/>
      </c>
      <c r="W1477" s="229">
        <f>INDIRECT("'Закуп'!H" &amp; A1477)</f>
        <v/>
      </c>
      <c r="X1477" s="237">
        <f>INDIRECT("'Закуп'!g" &amp; A1477)</f>
        <v/>
      </c>
      <c r="Y1477" s="229">
        <f>INDIRECT("'Закуп'!i" &amp; A1477)</f>
        <v/>
      </c>
      <c r="Z1477" s="236">
        <f>INDIRECT("'Закуп'!x" &amp; A1477)</f>
        <v/>
      </c>
      <c r="AA1477" s="237">
        <f>INDIRECT("'Закуп'!y" &amp; A1477)</f>
        <v/>
      </c>
      <c r="AB1477" s="238">
        <f>INDIRECT("'Закуп'!z" &amp; A1477)</f>
        <v/>
      </c>
      <c r="AC1477" s="223">
        <f>SUBSTITUTE(INDEX(F:F, ROUNDUP((ROW(A1476))/5,0)*5 - 3), "х", "x")</f>
        <v/>
      </c>
      <c r="AD1477" s="222">
        <f>SUBSTITUTE(INDEX(F:F, ROUNDUP((ROW(A1476))/5,0)*5 - 3), "х", "x") &amp; " - " &amp; SUBSTITUTE(SUBSTITUTE(INDEX(F:F, ROUNDUP((ROW(A1476))/5,0)*5 - 3), "х", "*"), "x", "*") &amp; " мм"</f>
        <v/>
      </c>
      <c r="AE1477" t="n">
        <v>1.33</v>
      </c>
    </row>
    <row r="1478">
      <c r="B1478" s="42" t="n">
        <v>297</v>
      </c>
      <c r="C1478" s="118">
        <f>INDIRECT("'Закуп'!A" &amp; B1478)</f>
        <v/>
      </c>
      <c r="D1478" s="119">
        <f>C1478*1.2</f>
        <v/>
      </c>
      <c r="G1478" s="172">
        <f>IF(INDIRECT("'Закуп'!L" &amp; B1478)="Sale","Sale","")</f>
        <v/>
      </c>
      <c r="H1478" s="158">
        <f>IF(INDIRECT("'Закуп'!F" &amp; B1478)=0,"",INDIRECT("'Закуп'!F" &amp; B1478))</f>
        <v/>
      </c>
      <c r="I1478" s="120" t="n">
        <v>100</v>
      </c>
      <c r="J1478" s="121">
        <f>K1478/1.2</f>
        <v/>
      </c>
      <c r="K1478" s="242" t="n">
        <v>1.43</v>
      </c>
      <c r="L1478" s="122">
        <f>J1478-C1478-(J1478-C1478)*0.2</f>
        <v/>
      </c>
      <c r="M1478" s="123">
        <f>L1478*I1478</f>
        <v/>
      </c>
      <c r="N1478" s="124" t="inlineStr">
        <is>
          <t xml:space="preserve">100-290 шт - </t>
        </is>
      </c>
      <c r="O1478" s="47" t="inlineStr">
        <is>
          <t xml:space="preserve"> руб / шт с НДС</t>
        </is>
      </c>
      <c r="P1478" s="125">
        <f>ROUND(K1478,2)</f>
        <v/>
      </c>
      <c r="Q1478" s="207">
        <f>CONCATENATE(N1478,P1478,O1478,)</f>
        <v/>
      </c>
      <c r="R1478" s="240" t="n"/>
      <c r="T1478" s="241" t="n"/>
      <c r="U1478" s="240" t="n"/>
      <c r="V1478" s="241" t="n"/>
      <c r="Z1478" s="240" t="n"/>
      <c r="AB1478" s="241" t="n"/>
      <c r="AC1478" s="240" t="n"/>
      <c r="AD1478" s="241" t="n"/>
      <c r="AE1478" t="n">
        <v>1.16</v>
      </c>
    </row>
    <row r="1479">
      <c r="B1479" s="42" t="n">
        <v>297</v>
      </c>
      <c r="C1479" s="118">
        <f>INDIRECT("'Закуп'!A" &amp; B1479)</f>
        <v/>
      </c>
      <c r="D1479" s="119">
        <f>C1479*1.2</f>
        <v/>
      </c>
      <c r="G1479" s="172">
        <f>IF(INDIRECT("'Закуп'!L" &amp; B1479)="Sale","Sale","")</f>
        <v/>
      </c>
      <c r="H1479" s="158">
        <f>IF(INDIRECT("'Закуп'!F" &amp; B1479)=0,"",INDIRECT("'Закуп'!F" &amp; B1479))</f>
        <v/>
      </c>
      <c r="I1479" s="120" t="n">
        <v>300</v>
      </c>
      <c r="J1479" s="121">
        <f>K1479/1.2</f>
        <v/>
      </c>
      <c r="K1479" s="242" t="n">
        <v>1.24</v>
      </c>
      <c r="L1479" s="122">
        <f>J1479-C1479-(J1479-C1479)*0.2</f>
        <v/>
      </c>
      <c r="M1479" s="123">
        <f>L1479*I1479</f>
        <v/>
      </c>
      <c r="N1479" s="124" t="inlineStr">
        <is>
          <t xml:space="preserve">300-490 шт - </t>
        </is>
      </c>
      <c r="O1479" s="47" t="inlineStr">
        <is>
          <t xml:space="preserve"> руб / шт с НДС</t>
        </is>
      </c>
      <c r="P1479" s="125">
        <f>ROUND(K1479,2)</f>
        <v/>
      </c>
      <c r="Q1479" s="207">
        <f>CONCATENATE(N1479,P1479,O1479,)</f>
        <v/>
      </c>
      <c r="R1479" s="240" t="n"/>
      <c r="T1479" s="241" t="n"/>
      <c r="U1479" s="240" t="n"/>
      <c r="V1479" s="241" t="n"/>
      <c r="Z1479" s="240" t="n"/>
      <c r="AB1479" s="241" t="n"/>
      <c r="AC1479" s="240" t="n"/>
      <c r="AD1479" s="241" t="n"/>
      <c r="AE1479" t="n">
        <v>0.98</v>
      </c>
    </row>
    <row r="1480">
      <c r="B1480" s="42" t="n">
        <v>297</v>
      </c>
      <c r="C1480" s="118">
        <f>INDIRECT("'Закуп'!A" &amp; B1480)</f>
        <v/>
      </c>
      <c r="D1480" s="119">
        <f>C1480*1.2</f>
        <v/>
      </c>
      <c r="G1480" s="172">
        <f>IF(INDIRECT("'Закуп'!L" &amp; B1480)="Sale","Sale","")</f>
        <v/>
      </c>
      <c r="H1480" s="158">
        <f>IF(INDIRECT("'Закуп'!F" &amp; B1480)=0,"",INDIRECT("'Закуп'!F" &amp; B1480))</f>
        <v/>
      </c>
      <c r="I1480" s="120" t="n">
        <v>500</v>
      </c>
      <c r="J1480" s="121">
        <f>K1480/1.2</f>
        <v/>
      </c>
      <c r="K1480" s="242" t="n">
        <v>1.15</v>
      </c>
      <c r="L1480" s="122">
        <f>J1480-C1480-(J1480-C1480)*0.2</f>
        <v/>
      </c>
      <c r="M1480" s="123">
        <f>L1480*I1480</f>
        <v/>
      </c>
      <c r="N1480" s="124" t="inlineStr">
        <is>
          <t xml:space="preserve">500-990 шт - </t>
        </is>
      </c>
      <c r="O1480" s="47" t="inlineStr">
        <is>
          <t xml:space="preserve"> руб / шт с НДС</t>
        </is>
      </c>
      <c r="P1480" s="125">
        <f>ROUND(K1480,2)</f>
        <v/>
      </c>
      <c r="Q1480" s="207">
        <f>CONCATENATE(N1480,P1480,O1480,)</f>
        <v/>
      </c>
      <c r="R1480" s="240" t="n"/>
      <c r="T1480" s="241" t="n"/>
      <c r="U1480" s="240" t="n"/>
      <c r="V1480" s="241" t="n"/>
      <c r="Z1480" s="240" t="n"/>
      <c r="AB1480" s="241" t="n"/>
      <c r="AC1480" s="240" t="n"/>
      <c r="AD1480" s="241" t="n"/>
      <c r="AE1480" t="n">
        <v>0.92</v>
      </c>
    </row>
    <row r="1481">
      <c r="B1481" s="42" t="n">
        <v>297</v>
      </c>
      <c r="C1481" s="118">
        <f>INDIRECT("'Закуп'!A" &amp; B1481)</f>
        <v/>
      </c>
      <c r="D1481" s="119">
        <f>C1481*1.2</f>
        <v/>
      </c>
      <c r="G1481" s="172">
        <f>IF(INDIRECT("'Закуп'!L" &amp; B1481)="Sale","Sale","")</f>
        <v/>
      </c>
      <c r="H1481" s="158">
        <f>IF(INDIRECT("'Закуп'!F" &amp; B1481)=0,"",INDIRECT("'Закуп'!F" &amp; B1481))</f>
        <v/>
      </c>
      <c r="I1481" s="120" t="n">
        <v>1000</v>
      </c>
      <c r="J1481" s="121">
        <f>K1481/1.2</f>
        <v/>
      </c>
      <c r="K1481" s="242" t="n">
        <v>0.95</v>
      </c>
      <c r="L1481" s="122">
        <f>J1481-C1481-(J1481-C1481)*0.2</f>
        <v/>
      </c>
      <c r="M1481" s="123">
        <f>L1481*I1481</f>
        <v/>
      </c>
      <c r="N1481" s="124" t="inlineStr">
        <is>
          <t xml:space="preserve">1000 + шт - </t>
        </is>
      </c>
      <c r="O1481" s="47" t="inlineStr">
        <is>
          <t xml:space="preserve"> руб / шт с НДС</t>
        </is>
      </c>
      <c r="P1481" s="125">
        <f>ROUND(K1481,2)</f>
        <v/>
      </c>
      <c r="Q1481" s="207">
        <f>CONCATENATE(N1481,P1481,O1481,)</f>
        <v/>
      </c>
      <c r="R1481" s="240" t="n"/>
      <c r="T1481" s="241" t="n"/>
      <c r="U1481" s="240" t="n"/>
      <c r="V1481" s="241" t="n"/>
      <c r="Z1481" s="240" t="n"/>
      <c r="AB1481" s="241" t="n"/>
      <c r="AC1481" s="240" t="n"/>
      <c r="AD1481" s="241" t="n"/>
      <c r="AE1481" t="n">
        <v>0.86</v>
      </c>
    </row>
    <row r="1482">
      <c r="A1482" s="232" t="n">
        <v>298</v>
      </c>
      <c r="B1482" s="42" t="n">
        <v>298</v>
      </c>
      <c r="C1482" s="118">
        <f>INDIRECT("'Закуп'!A" &amp; B1482)</f>
        <v/>
      </c>
      <c r="D1482" s="119">
        <f>C1482*1.2</f>
        <v/>
      </c>
      <c r="E1482" s="224">
        <f>INDIRECT("'Закуп'!D" &amp; A1482)</f>
        <v/>
      </c>
      <c r="F1482" s="231">
        <f>INDIRECT("'Закуп'!E" &amp; B1482)</f>
        <v/>
      </c>
      <c r="G1482" s="172">
        <f>IF(INDIRECT("'Закуп'!L" &amp; B1482)="Sale","Sale","")</f>
        <v/>
      </c>
      <c r="H1482" s="158">
        <f>IF(INDIRECT("'Закуп'!F" &amp; B1482)=0,"",INDIRECT("'Закуп'!F" &amp; B1482))</f>
        <v/>
      </c>
      <c r="I1482" s="120" t="n">
        <v>50</v>
      </c>
      <c r="J1482" s="121">
        <f>K1482/1.2</f>
        <v/>
      </c>
      <c r="K1482" s="242" t="n">
        <v>1.79</v>
      </c>
      <c r="L1482" s="122">
        <f>J1482-C1482-(J1482-C1482)*0.2</f>
        <v/>
      </c>
      <c r="M1482" s="123">
        <f>L1482*I1482</f>
        <v/>
      </c>
      <c r="N1482" s="124" t="inlineStr">
        <is>
          <t xml:space="preserve">50-90 шт - </t>
        </is>
      </c>
      <c r="O1482" s="47" t="inlineStr">
        <is>
          <t xml:space="preserve"> руб / шт с НДС</t>
        </is>
      </c>
      <c r="P1482" s="125">
        <f>ROUND(K1482,2)</f>
        <v/>
      </c>
      <c r="Q1482" s="207">
        <f>CONCATENATE(N1482,P1482,O1482,)</f>
        <v/>
      </c>
      <c r="R1482" s="235">
        <f>INDIRECT("'Закуп'!k" &amp; A1482)</f>
        <v/>
      </c>
      <c r="S1482" s="239">
        <f>INDIRECT("'Закуп'!o" &amp; A1482)</f>
        <v/>
      </c>
      <c r="T1482" s="226">
        <f>INDIRECT("'Закуп'!p" &amp; A1482)</f>
        <v/>
      </c>
      <c r="U1482" s="235">
        <f>INDIRECT("'Закуп'!v" &amp; A1482)</f>
        <v/>
      </c>
      <c r="V1482" s="222">
        <f>INDIRECT("'Закуп'!w" &amp; A1482)</f>
        <v/>
      </c>
      <c r="W1482" s="229">
        <f>INDIRECT("'Закуп'!H" &amp; A1482)</f>
        <v/>
      </c>
      <c r="X1482" s="237">
        <f>INDIRECT("'Закуп'!g" &amp; A1482)</f>
        <v/>
      </c>
      <c r="Y1482" s="229">
        <f>INDIRECT("'Закуп'!i" &amp; A1482)</f>
        <v/>
      </c>
      <c r="Z1482" s="236">
        <f>INDIRECT("'Закуп'!x" &amp; A1482)</f>
        <v/>
      </c>
      <c r="AA1482" s="237">
        <f>INDIRECT("'Закуп'!y" &amp; A1482)</f>
        <v/>
      </c>
      <c r="AB1482" s="238">
        <f>INDIRECT("'Закуп'!z" &amp; A1482)</f>
        <v/>
      </c>
      <c r="AC1482" s="223">
        <f>SUBSTITUTE(INDEX(F:F, ROUNDUP((ROW(A1481))/5,0)*5 - 3), "х", "x")</f>
        <v/>
      </c>
      <c r="AD1482" s="222">
        <f>SUBSTITUTE(INDEX(F:F, ROUNDUP((ROW(A1481))/5,0)*5 - 3), "х", "x") &amp; " - " &amp; SUBSTITUTE(SUBSTITUTE(INDEX(F:F, ROUNDUP((ROW(A1481))/5,0)*5 - 3), "х", "*"), "x", "*") &amp; " мм"</f>
        <v/>
      </c>
      <c r="AE1482" t="n">
        <v>1.45</v>
      </c>
    </row>
    <row r="1483">
      <c r="B1483" s="42" t="n">
        <v>298</v>
      </c>
      <c r="C1483" s="118">
        <f>INDIRECT("'Закуп'!A" &amp; B1483)</f>
        <v/>
      </c>
      <c r="D1483" s="119">
        <f>C1483*1.2</f>
        <v/>
      </c>
      <c r="G1483" s="172">
        <f>IF(INDIRECT("'Закуп'!L" &amp; B1483)="Sale","Sale","")</f>
        <v/>
      </c>
      <c r="H1483" s="158">
        <f>IF(INDIRECT("'Закуп'!F" &amp; B1483)=0,"",INDIRECT("'Закуп'!F" &amp; B1483))</f>
        <v/>
      </c>
      <c r="I1483" s="120" t="n">
        <v>100</v>
      </c>
      <c r="J1483" s="121">
        <f>K1483/1.2</f>
        <v/>
      </c>
      <c r="K1483" s="242" t="n">
        <v>1.58</v>
      </c>
      <c r="L1483" s="122">
        <f>J1483-C1483-(J1483-C1483)*0.2</f>
        <v/>
      </c>
      <c r="M1483" s="123">
        <f>L1483*I1483</f>
        <v/>
      </c>
      <c r="N1483" s="124" t="inlineStr">
        <is>
          <t xml:space="preserve">100-290 шт - </t>
        </is>
      </c>
      <c r="O1483" s="47" t="inlineStr">
        <is>
          <t xml:space="preserve"> руб / шт с НДС</t>
        </is>
      </c>
      <c r="P1483" s="125">
        <f>ROUND(K1483,2)</f>
        <v/>
      </c>
      <c r="Q1483" s="207">
        <f>CONCATENATE(N1483,P1483,O1483,)</f>
        <v/>
      </c>
      <c r="R1483" s="240" t="n"/>
      <c r="T1483" s="241" t="n"/>
      <c r="U1483" s="240" t="n"/>
      <c r="V1483" s="241" t="n"/>
      <c r="Z1483" s="240" t="n"/>
      <c r="AB1483" s="241" t="n"/>
      <c r="AC1483" s="240" t="n"/>
      <c r="AD1483" s="241" t="n"/>
      <c r="AE1483" t="n">
        <v>1.26</v>
      </c>
    </row>
    <row r="1484">
      <c r="B1484" s="42" t="n">
        <v>298</v>
      </c>
      <c r="C1484" s="118">
        <f>INDIRECT("'Закуп'!A" &amp; B1484)</f>
        <v/>
      </c>
      <c r="D1484" s="119">
        <f>C1484*1.2</f>
        <v/>
      </c>
      <c r="G1484" s="172">
        <f>IF(INDIRECT("'Закуп'!L" &amp; B1484)="Sale","Sale","")</f>
        <v/>
      </c>
      <c r="H1484" s="158">
        <f>IF(INDIRECT("'Закуп'!F" &amp; B1484)=0,"",INDIRECT("'Закуп'!F" &amp; B1484))</f>
        <v/>
      </c>
      <c r="I1484" s="120" t="n">
        <v>300</v>
      </c>
      <c r="J1484" s="121">
        <f>K1484/1.2</f>
        <v/>
      </c>
      <c r="K1484" s="242" t="n">
        <v>1.37</v>
      </c>
      <c r="L1484" s="122">
        <f>J1484-C1484-(J1484-C1484)*0.2</f>
        <v/>
      </c>
      <c r="M1484" s="123">
        <f>L1484*I1484</f>
        <v/>
      </c>
      <c r="N1484" s="124" t="inlineStr">
        <is>
          <t xml:space="preserve">300-490 шт - </t>
        </is>
      </c>
      <c r="O1484" s="47" t="inlineStr">
        <is>
          <t xml:space="preserve"> руб / шт с НДС</t>
        </is>
      </c>
      <c r="P1484" s="125">
        <f>ROUND(K1484,2)</f>
        <v/>
      </c>
      <c r="Q1484" s="207">
        <f>CONCATENATE(N1484,P1484,O1484,)</f>
        <v/>
      </c>
      <c r="R1484" s="240" t="n"/>
      <c r="T1484" s="241" t="n"/>
      <c r="U1484" s="240" t="n"/>
      <c r="V1484" s="241" t="n"/>
      <c r="Z1484" s="240" t="n"/>
      <c r="AB1484" s="241" t="n"/>
      <c r="AC1484" s="240" t="n"/>
      <c r="AD1484" s="241" t="n"/>
      <c r="AE1484" t="n">
        <v>1.07</v>
      </c>
    </row>
    <row r="1485">
      <c r="B1485" s="42" t="n">
        <v>298</v>
      </c>
      <c r="C1485" s="118">
        <f>INDIRECT("'Закуп'!A" &amp; B1485)</f>
        <v/>
      </c>
      <c r="D1485" s="119">
        <f>C1485*1.2</f>
        <v/>
      </c>
      <c r="G1485" s="172">
        <f>IF(INDIRECT("'Закуп'!L" &amp; B1485)="Sale","Sale","")</f>
        <v/>
      </c>
      <c r="H1485" s="158">
        <f>IF(INDIRECT("'Закуп'!F" &amp; B1485)=0,"",INDIRECT("'Закуп'!F" &amp; B1485))</f>
        <v/>
      </c>
      <c r="I1485" s="120" t="n">
        <v>500</v>
      </c>
      <c r="J1485" s="121">
        <f>K1485/1.2</f>
        <v/>
      </c>
      <c r="K1485" s="242" t="n">
        <v>1.26</v>
      </c>
      <c r="L1485" s="122">
        <f>J1485-C1485-(J1485-C1485)*0.2</f>
        <v/>
      </c>
      <c r="M1485" s="123">
        <f>L1485*I1485</f>
        <v/>
      </c>
      <c r="N1485" s="124" t="inlineStr">
        <is>
          <t xml:space="preserve">500-990 шт - </t>
        </is>
      </c>
      <c r="O1485" s="47" t="inlineStr">
        <is>
          <t xml:space="preserve"> руб / шт с НДС</t>
        </is>
      </c>
      <c r="P1485" s="125">
        <f>ROUND(K1485,2)</f>
        <v/>
      </c>
      <c r="Q1485" s="207">
        <f>CONCATENATE(N1485,P1485,O1485,)</f>
        <v/>
      </c>
      <c r="R1485" s="240" t="n"/>
      <c r="T1485" s="241" t="n"/>
      <c r="U1485" s="240" t="n"/>
      <c r="V1485" s="241" t="n"/>
      <c r="Z1485" s="240" t="n"/>
      <c r="AB1485" s="241" t="n"/>
      <c r="AC1485" s="240" t="n"/>
      <c r="AD1485" s="241" t="n"/>
      <c r="AE1485" t="n">
        <v>1.01</v>
      </c>
    </row>
    <row r="1486">
      <c r="B1486" s="42" t="n">
        <v>298</v>
      </c>
      <c r="C1486" s="118">
        <f>INDIRECT("'Закуп'!A" &amp; B1486)</f>
        <v/>
      </c>
      <c r="D1486" s="119">
        <f>C1486*1.2</f>
        <v/>
      </c>
      <c r="G1486" s="172">
        <f>IF(INDIRECT("'Закуп'!L" &amp; B1486)="Sale","Sale","")</f>
        <v/>
      </c>
      <c r="H1486" s="158">
        <f>IF(INDIRECT("'Закуп'!F" &amp; B1486)=0,"",INDIRECT("'Закуп'!F" &amp; B1486))</f>
        <v/>
      </c>
      <c r="I1486" s="120" t="n">
        <v>1000</v>
      </c>
      <c r="J1486" s="121">
        <f>K1486/1.2</f>
        <v/>
      </c>
      <c r="K1486" s="242" t="n">
        <v>1.05</v>
      </c>
      <c r="L1486" s="122">
        <f>J1486-C1486-(J1486-C1486)*0.2</f>
        <v/>
      </c>
      <c r="M1486" s="123">
        <f>L1486*I1486</f>
        <v/>
      </c>
      <c r="N1486" s="124" t="inlineStr">
        <is>
          <t xml:space="preserve">1000 + шт - </t>
        </is>
      </c>
      <c r="O1486" s="47" t="inlineStr">
        <is>
          <t xml:space="preserve"> руб / шт с НДС</t>
        </is>
      </c>
      <c r="P1486" s="125">
        <f>ROUND(K1486,2)</f>
        <v/>
      </c>
      <c r="Q1486" s="207">
        <f>CONCATENATE(N1486,P1486,O1486,)</f>
        <v/>
      </c>
      <c r="R1486" s="240" t="n"/>
      <c r="T1486" s="241" t="n"/>
      <c r="U1486" s="240" t="n"/>
      <c r="V1486" s="241" t="n"/>
      <c r="Z1486" s="240" t="n"/>
      <c r="AB1486" s="241" t="n"/>
      <c r="AC1486" s="240" t="n"/>
      <c r="AD1486" s="241" t="n"/>
      <c r="AE1486" t="n">
        <v>0.9399999999999999</v>
      </c>
    </row>
    <row r="1487">
      <c r="A1487" s="232" t="n">
        <v>299</v>
      </c>
      <c r="B1487" s="42" t="n">
        <v>299</v>
      </c>
      <c r="C1487" s="118">
        <f>INDIRECT("'Закуп'!A" &amp; B1487)</f>
        <v/>
      </c>
      <c r="D1487" s="119">
        <f>C1487*1.2</f>
        <v/>
      </c>
      <c r="E1487" s="225">
        <f>INDIRECT("'Закуп'!D" &amp; A1487)</f>
        <v/>
      </c>
      <c r="F1487" s="231">
        <f>INDIRECT("'Закуп'!E" &amp; B1487)</f>
        <v/>
      </c>
      <c r="G1487" s="172">
        <f>IF(INDIRECT("'Закуп'!L" &amp; B1487)="Sale","Sale","")</f>
        <v/>
      </c>
      <c r="H1487" s="158">
        <f>IF(INDIRECT("'Закуп'!F" &amp; B1487)=0,"",INDIRECT("'Закуп'!F" &amp; B1487))</f>
        <v/>
      </c>
      <c r="I1487" s="120" t="n">
        <v>50</v>
      </c>
      <c r="J1487" s="121">
        <f>K1487/1.2</f>
        <v/>
      </c>
      <c r="K1487" s="70" t="n">
        <v>1.2</v>
      </c>
      <c r="L1487" s="122">
        <f>J1487-C1487-(J1487-C1487)*0.2</f>
        <v/>
      </c>
      <c r="M1487" s="123">
        <f>L1487*I1487</f>
        <v/>
      </c>
      <c r="N1487" s="124" t="inlineStr">
        <is>
          <t xml:space="preserve">50-90 шт - </t>
        </is>
      </c>
      <c r="O1487" s="47" t="inlineStr">
        <is>
          <t xml:space="preserve"> руб / шт с НДС</t>
        </is>
      </c>
      <c r="P1487" s="125">
        <f>ROUND(K1487,2)</f>
        <v/>
      </c>
      <c r="Q1487" s="207">
        <f>CONCATENATE(N1487,P1487,O1487,)</f>
        <v/>
      </c>
      <c r="R1487" s="235">
        <f>INDIRECT("'Закуп'!k" &amp; A1487)</f>
        <v/>
      </c>
      <c r="S1487" s="239">
        <f>INDIRECT("'Закуп'!o" &amp; A1487)</f>
        <v/>
      </c>
      <c r="T1487" s="226">
        <f>INDIRECT("'Закуп'!p" &amp; A1487)</f>
        <v/>
      </c>
      <c r="U1487" s="235">
        <f>INDIRECT("'Закуп'!v" &amp; A1487)</f>
        <v/>
      </c>
      <c r="V1487" s="222">
        <f>INDIRECT("'Закуп'!w" &amp; A1487)</f>
        <v/>
      </c>
      <c r="W1487" s="229">
        <f>INDIRECT("'Закуп'!H" &amp; A1487)</f>
        <v/>
      </c>
      <c r="X1487" s="237">
        <f>INDIRECT("'Закуп'!g" &amp; A1487)</f>
        <v/>
      </c>
      <c r="Y1487" s="229">
        <f>INDIRECT("'Закуп'!i" &amp; A1487)</f>
        <v/>
      </c>
      <c r="Z1487" s="236">
        <f>INDIRECT("'Закуп'!x" &amp; A1487)</f>
        <v/>
      </c>
      <c r="AA1487" s="237">
        <f>INDIRECT("'Закуп'!y" &amp; A1487)</f>
        <v/>
      </c>
      <c r="AB1487" s="238">
        <f>INDIRECT("'Закуп'!z" &amp; A1487)</f>
        <v/>
      </c>
      <c r="AC1487" s="223">
        <f>SUBSTITUTE(INDEX(F:F, ROUNDUP((ROW(A1486))/5,0)*5 - 3), "х", "x")</f>
        <v/>
      </c>
      <c r="AD1487" s="222">
        <f>SUBSTITUTE(INDEX(F:F, ROUNDUP((ROW(A1486))/5,0)*5 - 3), "х", "x") &amp; " - " &amp; SUBSTITUTE(SUBSTITUTE(INDEX(F:F, ROUNDUP((ROW(A1486))/5,0)*5 - 3), "х", "*"), "x", "*") &amp; " мм"</f>
        <v/>
      </c>
    </row>
    <row r="1488">
      <c r="B1488" s="42" t="n">
        <v>299</v>
      </c>
      <c r="C1488" s="118">
        <f>INDIRECT("'Закуп'!A" &amp; B1488)</f>
        <v/>
      </c>
      <c r="D1488" s="119">
        <f>C1488*1.2</f>
        <v/>
      </c>
      <c r="G1488" s="172">
        <f>IF(INDIRECT("'Закуп'!L" &amp; B1488)="Sale","Sale","")</f>
        <v/>
      </c>
      <c r="H1488" s="158">
        <f>IF(INDIRECT("'Закуп'!F" &amp; B1488)=0,"",INDIRECT("'Закуп'!F" &amp; B1488))</f>
        <v/>
      </c>
      <c r="I1488" s="120" t="n">
        <v>100</v>
      </c>
      <c r="J1488" s="121">
        <f>K1488/1.2</f>
        <v/>
      </c>
      <c r="K1488" s="70" t="n">
        <v>1.05</v>
      </c>
      <c r="L1488" s="122">
        <f>J1488-C1488-(J1488-C1488)*0.2</f>
        <v/>
      </c>
      <c r="M1488" s="123">
        <f>L1488*I1488</f>
        <v/>
      </c>
      <c r="N1488" s="124" t="inlineStr">
        <is>
          <t xml:space="preserve">100-290 шт - </t>
        </is>
      </c>
      <c r="O1488" s="47" t="inlineStr">
        <is>
          <t xml:space="preserve"> руб / шт с НДС</t>
        </is>
      </c>
      <c r="P1488" s="125">
        <f>ROUND(K1488,2)</f>
        <v/>
      </c>
      <c r="Q1488" s="207">
        <f>CONCATENATE(N1488,P1488,O1488,)</f>
        <v/>
      </c>
      <c r="R1488" s="240" t="n"/>
      <c r="T1488" s="241" t="n"/>
      <c r="U1488" s="240" t="n"/>
      <c r="V1488" s="241" t="n"/>
      <c r="Z1488" s="240" t="n"/>
      <c r="AB1488" s="241" t="n"/>
      <c r="AC1488" s="240" t="n"/>
      <c r="AD1488" s="241" t="n"/>
    </row>
    <row r="1489">
      <c r="B1489" s="42" t="n">
        <v>299</v>
      </c>
      <c r="C1489" s="118">
        <f>INDIRECT("'Закуп'!A" &amp; B1489)</f>
        <v/>
      </c>
      <c r="D1489" s="119">
        <f>C1489*1.2</f>
        <v/>
      </c>
      <c r="G1489" s="172">
        <f>IF(INDIRECT("'Закуп'!L" &amp; B1489)="Sale","Sale","")</f>
        <v/>
      </c>
      <c r="H1489" s="158">
        <f>IF(INDIRECT("'Закуп'!F" &amp; B1489)=0,"",INDIRECT("'Закуп'!F" &amp; B1489))</f>
        <v/>
      </c>
      <c r="I1489" s="120" t="n">
        <v>300</v>
      </c>
      <c r="J1489" s="121">
        <f>K1489/1.2</f>
        <v/>
      </c>
      <c r="K1489" s="70" t="n">
        <v>0.95</v>
      </c>
      <c r="L1489" s="122">
        <f>J1489-C1489-(J1489-C1489)*0.2</f>
        <v/>
      </c>
      <c r="M1489" s="123">
        <f>L1489*I1489</f>
        <v/>
      </c>
      <c r="N1489" s="124" t="inlineStr">
        <is>
          <t xml:space="preserve">300-490 шт - </t>
        </is>
      </c>
      <c r="O1489" s="47" t="inlineStr">
        <is>
          <t xml:space="preserve"> руб / шт с НДС</t>
        </is>
      </c>
      <c r="P1489" s="125">
        <f>ROUND(K1489,2)</f>
        <v/>
      </c>
      <c r="Q1489" s="207">
        <f>CONCATENATE(N1489,P1489,O1489,)</f>
        <v/>
      </c>
      <c r="R1489" s="240" t="n"/>
      <c r="T1489" s="241" t="n"/>
      <c r="U1489" s="240" t="n"/>
      <c r="V1489" s="241" t="n"/>
      <c r="Z1489" s="240" t="n"/>
      <c r="AB1489" s="241" t="n"/>
      <c r="AC1489" s="240" t="n"/>
      <c r="AD1489" s="241" t="n"/>
    </row>
    <row r="1490">
      <c r="B1490" s="42" t="n">
        <v>299</v>
      </c>
      <c r="C1490" s="118">
        <f>INDIRECT("'Закуп'!A" &amp; B1490)</f>
        <v/>
      </c>
      <c r="D1490" s="119">
        <f>C1490*1.2</f>
        <v/>
      </c>
      <c r="G1490" s="172">
        <f>IF(INDIRECT("'Закуп'!L" &amp; B1490)="Sale","Sale","")</f>
        <v/>
      </c>
      <c r="H1490" s="158">
        <f>IF(INDIRECT("'Закуп'!F" &amp; B1490)=0,"",INDIRECT("'Закуп'!F" &amp; B1490))</f>
        <v/>
      </c>
      <c r="I1490" s="120" t="n">
        <v>500</v>
      </c>
      <c r="J1490" s="121">
        <f>K1490/1.2</f>
        <v/>
      </c>
      <c r="K1490" s="70" t="n">
        <v>0.85</v>
      </c>
      <c r="L1490" s="122">
        <f>J1490-C1490-(J1490-C1490)*0.2</f>
        <v/>
      </c>
      <c r="M1490" s="123">
        <f>L1490*I1490</f>
        <v/>
      </c>
      <c r="N1490" s="124" t="inlineStr">
        <is>
          <t xml:space="preserve">500-990 шт - </t>
        </is>
      </c>
      <c r="O1490" s="47" t="inlineStr">
        <is>
          <t xml:space="preserve"> руб / шт с НДС</t>
        </is>
      </c>
      <c r="P1490" s="125">
        <f>ROUND(K1490,2)</f>
        <v/>
      </c>
      <c r="Q1490" s="207">
        <f>CONCATENATE(N1490,P1490,O1490,)</f>
        <v/>
      </c>
      <c r="R1490" s="240" t="n"/>
      <c r="T1490" s="241" t="n"/>
      <c r="U1490" s="240" t="n"/>
      <c r="V1490" s="241" t="n"/>
      <c r="Z1490" s="240" t="n"/>
      <c r="AB1490" s="241" t="n"/>
      <c r="AC1490" s="240" t="n"/>
      <c r="AD1490" s="241" t="n"/>
    </row>
    <row r="1491">
      <c r="B1491" s="42" t="n">
        <v>299</v>
      </c>
      <c r="C1491" s="118">
        <f>INDIRECT("'Закуп'!A" &amp; B1491)</f>
        <v/>
      </c>
      <c r="D1491" s="119">
        <f>C1491*1.2</f>
        <v/>
      </c>
      <c r="G1491" s="172">
        <f>IF(INDIRECT("'Закуп'!L" &amp; B1491)="Sale","Sale","")</f>
        <v/>
      </c>
      <c r="H1491" s="158">
        <f>IF(INDIRECT("'Закуп'!F" &amp; B1491)=0,"",INDIRECT("'Закуп'!F" &amp; B1491))</f>
        <v/>
      </c>
      <c r="I1491" s="120" t="n">
        <v>1000</v>
      </c>
      <c r="J1491" s="121">
        <f>K1491/1.2</f>
        <v/>
      </c>
      <c r="K1491" s="70" t="n">
        <v>0.75</v>
      </c>
      <c r="L1491" s="122">
        <f>J1491-C1491-(J1491-C1491)*0.2</f>
        <v/>
      </c>
      <c r="M1491" s="123">
        <f>L1491*I1491</f>
        <v/>
      </c>
      <c r="N1491" s="124" t="inlineStr">
        <is>
          <t xml:space="preserve">1000 + шт - </t>
        </is>
      </c>
      <c r="O1491" s="47" t="inlineStr">
        <is>
          <t xml:space="preserve"> руб / шт с НДС</t>
        </is>
      </c>
      <c r="P1491" s="125">
        <f>ROUND(K1491,2)</f>
        <v/>
      </c>
      <c r="Q1491" s="207">
        <f>CONCATENATE(N1491,P1491,O1491,)</f>
        <v/>
      </c>
      <c r="R1491" s="240" t="n"/>
      <c r="T1491" s="241" t="n"/>
      <c r="U1491" s="240" t="n"/>
      <c r="V1491" s="241" t="n"/>
      <c r="Z1491" s="240" t="n"/>
      <c r="AB1491" s="241" t="n"/>
      <c r="AC1491" s="240" t="n"/>
      <c r="AD1491" s="241" t="n"/>
    </row>
    <row r="1492">
      <c r="A1492" s="232" t="n">
        <v>300</v>
      </c>
      <c r="B1492" s="42" t="n">
        <v>300</v>
      </c>
      <c r="C1492" s="118">
        <f>INDIRECT("'Закуп'!A" &amp; B1492)</f>
        <v/>
      </c>
      <c r="D1492" s="119">
        <f>C1492*1.2</f>
        <v/>
      </c>
      <c r="E1492" s="233">
        <f>INDIRECT("'Закуп'!D" &amp; A1492)</f>
        <v/>
      </c>
      <c r="F1492" s="231">
        <f>INDIRECT("'Закуп'!E" &amp; B1492)</f>
        <v/>
      </c>
      <c r="G1492" s="172">
        <f>IF(INDIRECT("'Закуп'!L" &amp; B1492)="Sale","Sale","")</f>
        <v/>
      </c>
      <c r="H1492" s="158">
        <f>IF(INDIRECT("'Закуп'!F" &amp; B1492)=0,"",INDIRECT("'Закуп'!F" &amp; B1492))</f>
        <v/>
      </c>
      <c r="I1492" s="120" t="n">
        <v>50</v>
      </c>
      <c r="J1492" s="121">
        <f>K1492/1.2</f>
        <v/>
      </c>
      <c r="K1492" s="70" t="n">
        <v>1.7</v>
      </c>
      <c r="L1492" s="122">
        <f>J1492-C1492-(J1492-C1492)*0.2</f>
        <v/>
      </c>
      <c r="M1492" s="123">
        <f>L1492*I1492</f>
        <v/>
      </c>
      <c r="N1492" s="124" t="inlineStr">
        <is>
          <t xml:space="preserve">50-90 шт - </t>
        </is>
      </c>
      <c r="O1492" s="47" t="inlineStr">
        <is>
          <t xml:space="preserve"> руб / шт с НДС</t>
        </is>
      </c>
      <c r="P1492" s="125">
        <f>ROUND(K1492,2)</f>
        <v/>
      </c>
      <c r="Q1492" s="207">
        <f>CONCATENATE(N1492,P1492,O1492,)</f>
        <v/>
      </c>
      <c r="R1492" s="235">
        <f>INDIRECT("'Закуп'!k" &amp; A1492)</f>
        <v/>
      </c>
      <c r="S1492" s="239">
        <f>INDIRECT("'Закуп'!o" &amp; A1492)</f>
        <v/>
      </c>
      <c r="T1492" s="226">
        <f>INDIRECT("'Закуп'!p" &amp; A1492)</f>
        <v/>
      </c>
      <c r="U1492" s="235">
        <f>INDIRECT("'Закуп'!v" &amp; A1492)</f>
        <v/>
      </c>
      <c r="V1492" s="222">
        <f>INDIRECT("'Закуп'!w" &amp; A1492)</f>
        <v/>
      </c>
      <c r="W1492" s="229">
        <f>INDIRECT("'Закуп'!H" &amp; A1492)</f>
        <v/>
      </c>
      <c r="X1492" s="237">
        <f>INDIRECT("'Закуп'!g" &amp; A1492)</f>
        <v/>
      </c>
      <c r="Y1492" s="229">
        <f>INDIRECT("'Закуп'!i" &amp; A1492)</f>
        <v/>
      </c>
      <c r="Z1492" s="236">
        <f>INDIRECT("'Закуп'!x" &amp; A1492)</f>
        <v/>
      </c>
      <c r="AA1492" s="237">
        <f>INDIRECT("'Закуп'!y" &amp; A1492)</f>
        <v/>
      </c>
      <c r="AB1492" s="238">
        <f>INDIRECT("'Закуп'!z" &amp; A1492)</f>
        <v/>
      </c>
      <c r="AC1492" s="223">
        <f>SUBSTITUTE(INDEX(F:F, ROUNDUP((ROW(A1491))/5,0)*5 - 3), "х", "x")</f>
        <v/>
      </c>
      <c r="AD1492" s="222">
        <f>SUBSTITUTE(INDEX(F:F, ROUNDUP((ROW(A1491))/5,0)*5 - 3), "х", "x") &amp; " - " &amp; SUBSTITUTE(SUBSTITUTE(INDEX(F:F, ROUNDUP((ROW(A1491))/5,0)*5 - 3), "х", "*"), "x", "*") &amp; " мм"</f>
        <v/>
      </c>
    </row>
    <row r="1493">
      <c r="B1493" s="42" t="n">
        <v>300</v>
      </c>
      <c r="C1493" s="118">
        <f>INDIRECT("'Закуп'!A" &amp; B1493)</f>
        <v/>
      </c>
      <c r="D1493" s="119">
        <f>C1493*1.2</f>
        <v/>
      </c>
      <c r="G1493" s="172">
        <f>IF(INDIRECT("'Закуп'!L" &amp; B1493)="Sale","Sale","")</f>
        <v/>
      </c>
      <c r="H1493" s="158">
        <f>IF(INDIRECT("'Закуп'!F" &amp; B1493)=0,"",INDIRECT("'Закуп'!F" &amp; B1493))</f>
        <v/>
      </c>
      <c r="I1493" s="120" t="n">
        <v>100</v>
      </c>
      <c r="J1493" s="121">
        <f>K1493/1.2</f>
        <v/>
      </c>
      <c r="K1493" s="70" t="n">
        <v>1.55</v>
      </c>
      <c r="L1493" s="122">
        <f>J1493-C1493-(J1493-C1493)*0.2</f>
        <v/>
      </c>
      <c r="M1493" s="123">
        <f>L1493*I1493</f>
        <v/>
      </c>
      <c r="N1493" s="124" t="inlineStr">
        <is>
          <t xml:space="preserve">100-290 шт - </t>
        </is>
      </c>
      <c r="O1493" s="47" t="inlineStr">
        <is>
          <t xml:space="preserve"> руб / шт с НДС</t>
        </is>
      </c>
      <c r="P1493" s="125">
        <f>ROUND(K1493,2)</f>
        <v/>
      </c>
      <c r="Q1493" s="207">
        <f>CONCATENATE(N1493,P1493,O1493,)</f>
        <v/>
      </c>
      <c r="R1493" s="240" t="n"/>
      <c r="T1493" s="241" t="n"/>
      <c r="U1493" s="240" t="n"/>
      <c r="V1493" s="241" t="n"/>
      <c r="Z1493" s="240" t="n"/>
      <c r="AB1493" s="241" t="n"/>
      <c r="AC1493" s="240" t="n"/>
      <c r="AD1493" s="241" t="n"/>
    </row>
    <row r="1494">
      <c r="B1494" s="42" t="n">
        <v>300</v>
      </c>
      <c r="C1494" s="118">
        <f>INDIRECT("'Закуп'!A" &amp; B1494)</f>
        <v/>
      </c>
      <c r="D1494" s="119">
        <f>C1494*1.2</f>
        <v/>
      </c>
      <c r="G1494" s="172">
        <f>IF(INDIRECT("'Закуп'!L" &amp; B1494)="Sale","Sale","")</f>
        <v/>
      </c>
      <c r="H1494" s="158">
        <f>IF(INDIRECT("'Закуп'!F" &amp; B1494)=0,"",INDIRECT("'Закуп'!F" &amp; B1494))</f>
        <v/>
      </c>
      <c r="I1494" s="120" t="n">
        <v>300</v>
      </c>
      <c r="J1494" s="121">
        <f>K1494/1.2</f>
        <v/>
      </c>
      <c r="K1494" s="70" t="n">
        <v>1.4</v>
      </c>
      <c r="L1494" s="122">
        <f>J1494-C1494-(J1494-C1494)*0.2</f>
        <v/>
      </c>
      <c r="M1494" s="123">
        <f>L1494*I1494</f>
        <v/>
      </c>
      <c r="N1494" s="124" t="inlineStr">
        <is>
          <t xml:space="preserve">300-490 шт - </t>
        </is>
      </c>
      <c r="O1494" s="47" t="inlineStr">
        <is>
          <t xml:space="preserve"> руб / шт с НДС</t>
        </is>
      </c>
      <c r="P1494" s="125">
        <f>ROUND(K1494,2)</f>
        <v/>
      </c>
      <c r="Q1494" s="207">
        <f>CONCATENATE(N1494,P1494,O1494,)</f>
        <v/>
      </c>
      <c r="R1494" s="240" t="n"/>
      <c r="T1494" s="241" t="n"/>
      <c r="U1494" s="240" t="n"/>
      <c r="V1494" s="241" t="n"/>
      <c r="Z1494" s="240" t="n"/>
      <c r="AB1494" s="241" t="n"/>
      <c r="AC1494" s="240" t="n"/>
      <c r="AD1494" s="241" t="n"/>
    </row>
    <row r="1495">
      <c r="B1495" s="42" t="n">
        <v>300</v>
      </c>
      <c r="C1495" s="118">
        <f>INDIRECT("'Закуп'!A" &amp; B1495)</f>
        <v/>
      </c>
      <c r="D1495" s="119">
        <f>C1495*1.2</f>
        <v/>
      </c>
      <c r="G1495" s="172">
        <f>IF(INDIRECT("'Закуп'!L" &amp; B1495)="Sale","Sale","")</f>
        <v/>
      </c>
      <c r="H1495" s="158">
        <f>IF(INDIRECT("'Закуп'!F" &amp; B1495)=0,"",INDIRECT("'Закуп'!F" &amp; B1495))</f>
        <v/>
      </c>
      <c r="I1495" s="120" t="n">
        <v>500</v>
      </c>
      <c r="J1495" s="121">
        <f>K1495/1.2</f>
        <v/>
      </c>
      <c r="K1495" s="70" t="n">
        <v>1.3</v>
      </c>
      <c r="L1495" s="122">
        <f>J1495-C1495-(J1495-C1495)*0.2</f>
        <v/>
      </c>
      <c r="M1495" s="123">
        <f>L1495*I1495</f>
        <v/>
      </c>
      <c r="N1495" s="124" t="inlineStr">
        <is>
          <t xml:space="preserve">500-990 шт - </t>
        </is>
      </c>
      <c r="O1495" s="47" t="inlineStr">
        <is>
          <t xml:space="preserve"> руб / шт с НДС</t>
        </is>
      </c>
      <c r="P1495" s="125">
        <f>ROUND(K1495,2)</f>
        <v/>
      </c>
      <c r="Q1495" s="207">
        <f>CONCATENATE(N1495,P1495,O1495,)</f>
        <v/>
      </c>
      <c r="R1495" s="240" t="n"/>
      <c r="T1495" s="241" t="n"/>
      <c r="U1495" s="240" t="n"/>
      <c r="V1495" s="241" t="n"/>
      <c r="Z1495" s="240" t="n"/>
      <c r="AB1495" s="241" t="n"/>
      <c r="AC1495" s="240" t="n"/>
      <c r="AD1495" s="241" t="n"/>
    </row>
    <row r="1496">
      <c r="B1496" s="42" t="n">
        <v>300</v>
      </c>
      <c r="C1496" s="118">
        <f>INDIRECT("'Закуп'!A" &amp; B1496)</f>
        <v/>
      </c>
      <c r="D1496" s="119">
        <f>C1496*1.2</f>
        <v/>
      </c>
      <c r="G1496" s="172">
        <f>IF(INDIRECT("'Закуп'!L" &amp; B1496)="Sale","Sale","")</f>
        <v/>
      </c>
      <c r="H1496" s="158">
        <f>IF(INDIRECT("'Закуп'!F" &amp; B1496)=0,"",INDIRECT("'Закуп'!F" &amp; B1496))</f>
        <v/>
      </c>
      <c r="I1496" s="120" t="n">
        <v>1000</v>
      </c>
      <c r="J1496" s="121">
        <f>K1496/1.2</f>
        <v/>
      </c>
      <c r="K1496" s="70" t="n">
        <v>1.2</v>
      </c>
      <c r="L1496" s="122">
        <f>J1496-C1496-(J1496-C1496)*0.2</f>
        <v/>
      </c>
      <c r="M1496" s="123">
        <f>L1496*I1496</f>
        <v/>
      </c>
      <c r="N1496" s="124" t="inlineStr">
        <is>
          <t xml:space="preserve">1000 + шт - </t>
        </is>
      </c>
      <c r="O1496" s="47" t="inlineStr">
        <is>
          <t xml:space="preserve"> руб / шт с НДС</t>
        </is>
      </c>
      <c r="P1496" s="125">
        <f>ROUND(K1496,2)</f>
        <v/>
      </c>
      <c r="Q1496" s="207">
        <f>CONCATENATE(N1496,P1496,O1496,)</f>
        <v/>
      </c>
      <c r="R1496" s="240" t="n"/>
      <c r="T1496" s="241" t="n"/>
      <c r="U1496" s="240" t="n"/>
      <c r="V1496" s="241" t="n"/>
      <c r="Z1496" s="240" t="n"/>
      <c r="AB1496" s="241" t="n"/>
      <c r="AC1496" s="240" t="n"/>
      <c r="AD1496" s="241" t="n"/>
    </row>
    <row r="1497">
      <c r="A1497" s="232" t="n">
        <v>301</v>
      </c>
      <c r="B1497" s="42" t="n">
        <v>301</v>
      </c>
      <c r="C1497" s="118">
        <f>INDIRECT("'Закуп'!A" &amp; B1497)</f>
        <v/>
      </c>
      <c r="D1497" s="119">
        <f>C1497*1.2</f>
        <v/>
      </c>
      <c r="E1497" s="233">
        <f>INDIRECT("'Закуп'!D" &amp; A1497)</f>
        <v/>
      </c>
      <c r="F1497" s="231">
        <f>INDIRECT("'Закуп'!E" &amp; B1497)</f>
        <v/>
      </c>
      <c r="G1497" s="172">
        <f>IF(INDIRECT("'Закуп'!L" &amp; B1497)="Sale","Sale","")</f>
        <v/>
      </c>
      <c r="H1497" s="158">
        <f>IF(INDIRECT("'Закуп'!F" &amp; B1497)=0,"",INDIRECT("'Закуп'!F" &amp; B1497))</f>
        <v/>
      </c>
      <c r="I1497" s="120" t="n">
        <v>50</v>
      </c>
      <c r="J1497" s="121">
        <f>K1497/1.2</f>
        <v/>
      </c>
      <c r="K1497" s="70" t="n">
        <v>1.8</v>
      </c>
      <c r="L1497" s="122">
        <f>J1497-C1497-(J1497-C1497)*0.2</f>
        <v/>
      </c>
      <c r="M1497" s="123">
        <f>L1497*I1497</f>
        <v/>
      </c>
      <c r="N1497" s="124" t="inlineStr">
        <is>
          <t xml:space="preserve">50-90 шт - </t>
        </is>
      </c>
      <c r="O1497" s="47" t="inlineStr">
        <is>
          <t xml:space="preserve"> руб / шт с НДС</t>
        </is>
      </c>
      <c r="P1497" s="125">
        <f>ROUND(K1497,2)</f>
        <v/>
      </c>
      <c r="Q1497" s="207">
        <f>CONCATENATE(N1497,P1497,O1497,)</f>
        <v/>
      </c>
      <c r="R1497" s="235">
        <f>INDIRECT("'Закуп'!k" &amp; A1497)</f>
        <v/>
      </c>
      <c r="S1497" s="239">
        <f>INDIRECT("'Закуп'!o" &amp; A1497)</f>
        <v/>
      </c>
      <c r="T1497" s="226">
        <f>INDIRECT("'Закуп'!p" &amp; A1497)</f>
        <v/>
      </c>
      <c r="U1497" s="235">
        <f>INDIRECT("'Закуп'!v" &amp; A1497)</f>
        <v/>
      </c>
      <c r="V1497" s="222">
        <f>INDIRECT("'Закуп'!w" &amp; A1497)</f>
        <v/>
      </c>
      <c r="W1497" s="229">
        <f>INDIRECT("'Закуп'!H" &amp; A1497)</f>
        <v/>
      </c>
      <c r="X1497" s="237">
        <f>INDIRECT("'Закуп'!g" &amp; A1497)</f>
        <v/>
      </c>
      <c r="Y1497" s="229">
        <f>INDIRECT("'Закуп'!i" &amp; A1497)</f>
        <v/>
      </c>
      <c r="Z1497" s="236">
        <f>INDIRECT("'Закуп'!x" &amp; A1497)</f>
        <v/>
      </c>
      <c r="AA1497" s="237">
        <f>INDIRECT("'Закуп'!y" &amp; A1497)</f>
        <v/>
      </c>
      <c r="AB1497" s="238">
        <f>INDIRECT("'Закуп'!z" &amp; A1497)</f>
        <v/>
      </c>
      <c r="AC1497" s="223">
        <f>SUBSTITUTE(INDEX(F:F, ROUNDUP((ROW(A1496))/5,0)*5 - 3), "х", "x")</f>
        <v/>
      </c>
      <c r="AD1497" s="222">
        <f>SUBSTITUTE(INDEX(F:F, ROUNDUP((ROW(A1496))/5,0)*5 - 3), "х", "x") &amp; " - " &amp; SUBSTITUTE(SUBSTITUTE(INDEX(F:F, ROUNDUP((ROW(A1496))/5,0)*5 - 3), "х", "*"), "x", "*") &amp; " мм"</f>
        <v/>
      </c>
    </row>
    <row r="1498">
      <c r="B1498" s="42" t="n">
        <v>301</v>
      </c>
      <c r="C1498" s="118">
        <f>INDIRECT("'Закуп'!A" &amp; B1498)</f>
        <v/>
      </c>
      <c r="D1498" s="119">
        <f>C1498*1.2</f>
        <v/>
      </c>
      <c r="G1498" s="172">
        <f>IF(INDIRECT("'Закуп'!L" &amp; B1498)="Sale","Sale","")</f>
        <v/>
      </c>
      <c r="H1498" s="158">
        <f>IF(INDIRECT("'Закуп'!F" &amp; B1498)=0,"",INDIRECT("'Закуп'!F" &amp; B1498))</f>
        <v/>
      </c>
      <c r="I1498" s="120" t="n">
        <v>100</v>
      </c>
      <c r="J1498" s="121">
        <f>K1498/1.2</f>
        <v/>
      </c>
      <c r="K1498" s="70" t="n">
        <v>1.65</v>
      </c>
      <c r="L1498" s="122">
        <f>J1498-C1498-(J1498-C1498)*0.2</f>
        <v/>
      </c>
      <c r="M1498" s="123">
        <f>L1498*I1498</f>
        <v/>
      </c>
      <c r="N1498" s="124" t="inlineStr">
        <is>
          <t xml:space="preserve">100-290 шт - </t>
        </is>
      </c>
      <c r="O1498" s="47" t="inlineStr">
        <is>
          <t xml:space="preserve"> руб / шт с НДС</t>
        </is>
      </c>
      <c r="P1498" s="125">
        <f>ROUND(K1498,2)</f>
        <v/>
      </c>
      <c r="Q1498" s="207">
        <f>CONCATENATE(N1498,P1498,O1498,)</f>
        <v/>
      </c>
      <c r="R1498" s="240" t="n"/>
      <c r="T1498" s="241" t="n"/>
      <c r="U1498" s="240" t="n"/>
      <c r="V1498" s="241" t="n"/>
      <c r="Z1498" s="240" t="n"/>
      <c r="AB1498" s="241" t="n"/>
      <c r="AC1498" s="240" t="n"/>
      <c r="AD1498" s="241" t="n"/>
    </row>
    <row r="1499">
      <c r="B1499" s="42" t="n">
        <v>301</v>
      </c>
      <c r="C1499" s="118">
        <f>INDIRECT("'Закуп'!A" &amp; B1499)</f>
        <v/>
      </c>
      <c r="D1499" s="119">
        <f>C1499*1.2</f>
        <v/>
      </c>
      <c r="G1499" s="172">
        <f>IF(INDIRECT("'Закуп'!L" &amp; B1499)="Sale","Sale","")</f>
        <v/>
      </c>
      <c r="H1499" s="158">
        <f>IF(INDIRECT("'Закуп'!F" &amp; B1499)=0,"",INDIRECT("'Закуп'!F" &amp; B1499))</f>
        <v/>
      </c>
      <c r="I1499" s="120" t="n">
        <v>300</v>
      </c>
      <c r="J1499" s="121">
        <f>K1499/1.2</f>
        <v/>
      </c>
      <c r="K1499" s="70" t="n">
        <v>1.5</v>
      </c>
      <c r="L1499" s="122">
        <f>J1499-C1499-(J1499-C1499)*0.2</f>
        <v/>
      </c>
      <c r="M1499" s="123">
        <f>L1499*I1499</f>
        <v/>
      </c>
      <c r="N1499" s="124" t="inlineStr">
        <is>
          <t xml:space="preserve">300-490 шт - </t>
        </is>
      </c>
      <c r="O1499" s="47" t="inlineStr">
        <is>
          <t xml:space="preserve"> руб / шт с НДС</t>
        </is>
      </c>
      <c r="P1499" s="125">
        <f>ROUND(K1499,2)</f>
        <v/>
      </c>
      <c r="Q1499" s="207">
        <f>CONCATENATE(N1499,P1499,O1499,)</f>
        <v/>
      </c>
      <c r="R1499" s="240" t="n"/>
      <c r="T1499" s="241" t="n"/>
      <c r="U1499" s="240" t="n"/>
      <c r="V1499" s="241" t="n"/>
      <c r="Z1499" s="240" t="n"/>
      <c r="AB1499" s="241" t="n"/>
      <c r="AC1499" s="240" t="n"/>
      <c r="AD1499" s="241" t="n"/>
    </row>
    <row r="1500">
      <c r="B1500" s="42" t="n">
        <v>301</v>
      </c>
      <c r="C1500" s="118">
        <f>INDIRECT("'Закуп'!A" &amp; B1500)</f>
        <v/>
      </c>
      <c r="D1500" s="119">
        <f>C1500*1.2</f>
        <v/>
      </c>
      <c r="G1500" s="172">
        <f>IF(INDIRECT("'Закуп'!L" &amp; B1500)="Sale","Sale","")</f>
        <v/>
      </c>
      <c r="H1500" s="158">
        <f>IF(INDIRECT("'Закуп'!F" &amp; B1500)=0,"",INDIRECT("'Закуп'!F" &amp; B1500))</f>
        <v/>
      </c>
      <c r="I1500" s="120" t="n">
        <v>500</v>
      </c>
      <c r="J1500" s="121">
        <f>K1500/1.2</f>
        <v/>
      </c>
      <c r="K1500" s="70" t="n">
        <v>1.4</v>
      </c>
      <c r="L1500" s="122">
        <f>J1500-C1500-(J1500-C1500)*0.2</f>
        <v/>
      </c>
      <c r="M1500" s="123">
        <f>L1500*I1500</f>
        <v/>
      </c>
      <c r="N1500" s="124" t="inlineStr">
        <is>
          <t xml:space="preserve">500-990 шт - </t>
        </is>
      </c>
      <c r="O1500" s="47" t="inlineStr">
        <is>
          <t xml:space="preserve"> руб / шт с НДС</t>
        </is>
      </c>
      <c r="P1500" s="125">
        <f>ROUND(K1500,2)</f>
        <v/>
      </c>
      <c r="Q1500" s="207">
        <f>CONCATENATE(N1500,P1500,O1500,)</f>
        <v/>
      </c>
      <c r="R1500" s="240" t="n"/>
      <c r="T1500" s="241" t="n"/>
      <c r="U1500" s="240" t="n"/>
      <c r="V1500" s="241" t="n"/>
      <c r="Z1500" s="240" t="n"/>
      <c r="AB1500" s="241" t="n"/>
      <c r="AC1500" s="240" t="n"/>
      <c r="AD1500" s="241" t="n"/>
    </row>
    <row r="1501">
      <c r="B1501" s="42" t="n">
        <v>301</v>
      </c>
      <c r="C1501" s="118">
        <f>INDIRECT("'Закуп'!A" &amp; B1501)</f>
        <v/>
      </c>
      <c r="D1501" s="119">
        <f>C1501*1.2</f>
        <v/>
      </c>
      <c r="G1501" s="172">
        <f>IF(INDIRECT("'Закуп'!L" &amp; B1501)="Sale","Sale","")</f>
        <v/>
      </c>
      <c r="H1501" s="158">
        <f>IF(INDIRECT("'Закуп'!F" &amp; B1501)=0,"",INDIRECT("'Закуп'!F" &amp; B1501))</f>
        <v/>
      </c>
      <c r="I1501" s="120" t="n">
        <v>1000</v>
      </c>
      <c r="J1501" s="121">
        <f>K1501/1.2</f>
        <v/>
      </c>
      <c r="K1501" s="70" t="n">
        <v>1.3</v>
      </c>
      <c r="L1501" s="122">
        <f>J1501-C1501-(J1501-C1501)*0.2</f>
        <v/>
      </c>
      <c r="M1501" s="123">
        <f>L1501*I1501</f>
        <v/>
      </c>
      <c r="N1501" s="124" t="inlineStr">
        <is>
          <t xml:space="preserve">1000 + шт - </t>
        </is>
      </c>
      <c r="O1501" s="47" t="inlineStr">
        <is>
          <t xml:space="preserve"> руб / шт с НДС</t>
        </is>
      </c>
      <c r="P1501" s="125">
        <f>ROUND(K1501,2)</f>
        <v/>
      </c>
      <c r="Q1501" s="207">
        <f>CONCATENATE(N1501,P1501,O1501,)</f>
        <v/>
      </c>
      <c r="R1501" s="240" t="n"/>
      <c r="T1501" s="241" t="n"/>
      <c r="U1501" s="240" t="n"/>
      <c r="V1501" s="241" t="n"/>
      <c r="Z1501" s="240" t="n"/>
      <c r="AB1501" s="241" t="n"/>
      <c r="AC1501" s="240" t="n"/>
      <c r="AD1501" s="241" t="n"/>
    </row>
    <row r="1502">
      <c r="A1502" s="232" t="n">
        <v>302</v>
      </c>
      <c r="B1502" s="42" t="n">
        <v>302</v>
      </c>
      <c r="C1502" s="118">
        <f>INDIRECT("'Закуп'!A" &amp; B1502)</f>
        <v/>
      </c>
      <c r="D1502" s="119">
        <f>C1502*1.2</f>
        <v/>
      </c>
      <c r="E1502" s="233">
        <f>INDIRECT("'Закуп'!D" &amp; A1502)</f>
        <v/>
      </c>
      <c r="F1502" s="231">
        <f>INDIRECT("'Закуп'!E" &amp; B1502)</f>
        <v/>
      </c>
      <c r="G1502" s="172">
        <f>IF(INDIRECT("'Закуп'!L" &amp; B1502)="Sale","Sale","")</f>
        <v/>
      </c>
      <c r="H1502" s="158">
        <f>IF(INDIRECT("'Закуп'!F" &amp; B1502)=0,"",INDIRECT("'Закуп'!F" &amp; B1502))</f>
        <v/>
      </c>
      <c r="I1502" s="120" t="n">
        <v>50</v>
      </c>
      <c r="J1502" s="121">
        <f>K1502/1.2</f>
        <v/>
      </c>
      <c r="K1502" s="70" t="n">
        <v>1.45</v>
      </c>
      <c r="L1502" s="122">
        <f>J1502-C1502-(J1502-C1502)*0.2</f>
        <v/>
      </c>
      <c r="M1502" s="123">
        <f>L1502*I1502</f>
        <v/>
      </c>
      <c r="N1502" s="124" t="inlineStr">
        <is>
          <t xml:space="preserve">50-90 шт - </t>
        </is>
      </c>
      <c r="O1502" s="47" t="inlineStr">
        <is>
          <t xml:space="preserve"> руб / шт с НДС</t>
        </is>
      </c>
      <c r="P1502" s="125">
        <f>ROUND(K1502,2)</f>
        <v/>
      </c>
      <c r="Q1502" s="207">
        <f>CONCATENATE(N1502,P1502,O1502,)</f>
        <v/>
      </c>
      <c r="R1502" s="235">
        <f>INDIRECT("'Закуп'!k" &amp; A1502)</f>
        <v/>
      </c>
      <c r="S1502" s="239">
        <f>INDIRECT("'Закуп'!o" &amp; A1502)</f>
        <v/>
      </c>
      <c r="T1502" s="226">
        <f>INDIRECT("'Закуп'!p" &amp; A1502)</f>
        <v/>
      </c>
      <c r="U1502" s="235">
        <f>INDIRECT("'Закуп'!v" &amp; A1502)</f>
        <v/>
      </c>
      <c r="V1502" s="222">
        <f>INDIRECT("'Закуп'!w" &amp; A1502)</f>
        <v/>
      </c>
      <c r="W1502" s="229">
        <f>INDIRECT("'Закуп'!H" &amp; A1502)</f>
        <v/>
      </c>
      <c r="X1502" s="237">
        <f>INDIRECT("'Закуп'!g" &amp; A1502)</f>
        <v/>
      </c>
      <c r="Y1502" s="229">
        <f>INDIRECT("'Закуп'!i" &amp; A1502)</f>
        <v/>
      </c>
      <c r="Z1502" s="236">
        <f>INDIRECT("'Закуп'!x" &amp; A1502)</f>
        <v/>
      </c>
      <c r="AA1502" s="237">
        <f>INDIRECT("'Закуп'!y" &amp; A1502)</f>
        <v/>
      </c>
      <c r="AB1502" s="238">
        <f>INDIRECT("'Закуп'!z" &amp; A1502)</f>
        <v/>
      </c>
      <c r="AC1502" s="223">
        <f>SUBSTITUTE(INDEX(F:F, ROUNDUP((ROW(A1501))/5,0)*5 - 3), "х", "x")</f>
        <v/>
      </c>
      <c r="AD1502" s="222">
        <f>SUBSTITUTE(INDEX(F:F, ROUNDUP((ROW(A1501))/5,0)*5 - 3), "х", "x") &amp; " - " &amp; SUBSTITUTE(SUBSTITUTE(INDEX(F:F, ROUNDUP((ROW(A1501))/5,0)*5 - 3), "х", "*"), "x", "*") &amp; " мм"</f>
        <v/>
      </c>
    </row>
    <row r="1503">
      <c r="B1503" s="42" t="n">
        <v>302</v>
      </c>
      <c r="C1503" s="118">
        <f>INDIRECT("'Закуп'!A" &amp; B1503)</f>
        <v/>
      </c>
      <c r="D1503" s="119">
        <f>C1503*1.2</f>
        <v/>
      </c>
      <c r="G1503" s="172">
        <f>IF(INDIRECT("'Закуп'!L" &amp; B1503)="Sale","Sale","")</f>
        <v/>
      </c>
      <c r="H1503" s="158">
        <f>IF(INDIRECT("'Закуп'!F" &amp; B1503)=0,"",INDIRECT("'Закуп'!F" &amp; B1503))</f>
        <v/>
      </c>
      <c r="I1503" s="120" t="n">
        <v>100</v>
      </c>
      <c r="J1503" s="121">
        <f>K1503/1.2</f>
        <v/>
      </c>
      <c r="K1503" s="70" t="n">
        <v>1.3</v>
      </c>
      <c r="L1503" s="122">
        <f>J1503-C1503-(J1503-C1503)*0.2</f>
        <v/>
      </c>
      <c r="M1503" s="123">
        <f>L1503*I1503</f>
        <v/>
      </c>
      <c r="N1503" s="124" t="inlineStr">
        <is>
          <t xml:space="preserve">100-290 шт - </t>
        </is>
      </c>
      <c r="O1503" s="47" t="inlineStr">
        <is>
          <t xml:space="preserve"> руб / шт с НДС</t>
        </is>
      </c>
      <c r="P1503" s="125">
        <f>ROUND(K1503,2)</f>
        <v/>
      </c>
      <c r="Q1503" s="207">
        <f>CONCATENATE(N1503,P1503,O1503,)</f>
        <v/>
      </c>
      <c r="R1503" s="240" t="n"/>
      <c r="T1503" s="241" t="n"/>
      <c r="U1503" s="240" t="n"/>
      <c r="V1503" s="241" t="n"/>
      <c r="Z1503" s="240" t="n"/>
      <c r="AB1503" s="241" t="n"/>
      <c r="AC1503" s="240" t="n"/>
      <c r="AD1503" s="241" t="n"/>
    </row>
    <row r="1504">
      <c r="B1504" s="42" t="n">
        <v>302</v>
      </c>
      <c r="C1504" s="118">
        <f>INDIRECT("'Закуп'!A" &amp; B1504)</f>
        <v/>
      </c>
      <c r="D1504" s="119">
        <f>C1504*1.2</f>
        <v/>
      </c>
      <c r="G1504" s="172">
        <f>IF(INDIRECT("'Закуп'!L" &amp; B1504)="Sale","Sale","")</f>
        <v/>
      </c>
      <c r="H1504" s="158">
        <f>IF(INDIRECT("'Закуп'!F" &amp; B1504)=0,"",INDIRECT("'Закуп'!F" &amp; B1504))</f>
        <v/>
      </c>
      <c r="I1504" s="120" t="n">
        <v>300</v>
      </c>
      <c r="J1504" s="121">
        <f>K1504/1.2</f>
        <v/>
      </c>
      <c r="K1504" s="70" t="n">
        <v>1.15</v>
      </c>
      <c r="L1504" s="122">
        <f>J1504-C1504-(J1504-C1504)*0.2</f>
        <v/>
      </c>
      <c r="M1504" s="123">
        <f>L1504*I1504</f>
        <v/>
      </c>
      <c r="N1504" s="124" t="inlineStr">
        <is>
          <t xml:space="preserve">300-490 шт - </t>
        </is>
      </c>
      <c r="O1504" s="47" t="inlineStr">
        <is>
          <t xml:space="preserve"> руб / шт с НДС</t>
        </is>
      </c>
      <c r="P1504" s="125">
        <f>ROUND(K1504,2)</f>
        <v/>
      </c>
      <c r="Q1504" s="207">
        <f>CONCATENATE(N1504,P1504,O1504,)</f>
        <v/>
      </c>
      <c r="R1504" s="240" t="n"/>
      <c r="T1504" s="241" t="n"/>
      <c r="U1504" s="240" t="n"/>
      <c r="V1504" s="241" t="n"/>
      <c r="Z1504" s="240" t="n"/>
      <c r="AB1504" s="241" t="n"/>
      <c r="AC1504" s="240" t="n"/>
      <c r="AD1504" s="241" t="n"/>
    </row>
    <row r="1505">
      <c r="B1505" s="42" t="n">
        <v>302</v>
      </c>
      <c r="C1505" s="118">
        <f>INDIRECT("'Закуп'!A" &amp; B1505)</f>
        <v/>
      </c>
      <c r="D1505" s="119">
        <f>C1505*1.2</f>
        <v/>
      </c>
      <c r="G1505" s="172">
        <f>IF(INDIRECT("'Закуп'!L" &amp; B1505)="Sale","Sale","")</f>
        <v/>
      </c>
      <c r="H1505" s="158">
        <f>IF(INDIRECT("'Закуп'!F" &amp; B1505)=0,"",INDIRECT("'Закуп'!F" &amp; B1505))</f>
        <v/>
      </c>
      <c r="I1505" s="120" t="n">
        <v>500</v>
      </c>
      <c r="J1505" s="121">
        <f>K1505/1.2</f>
        <v/>
      </c>
      <c r="K1505" s="70" t="n">
        <v>1.05</v>
      </c>
      <c r="L1505" s="122">
        <f>J1505-C1505-(J1505-C1505)*0.2</f>
        <v/>
      </c>
      <c r="M1505" s="123">
        <f>L1505*I1505</f>
        <v/>
      </c>
      <c r="N1505" s="124" t="inlineStr">
        <is>
          <t xml:space="preserve">500-990 шт - </t>
        </is>
      </c>
      <c r="O1505" s="47" t="inlineStr">
        <is>
          <t xml:space="preserve"> руб / шт с НДС</t>
        </is>
      </c>
      <c r="P1505" s="125">
        <f>ROUND(K1505,2)</f>
        <v/>
      </c>
      <c r="Q1505" s="207">
        <f>CONCATENATE(N1505,P1505,O1505,)</f>
        <v/>
      </c>
      <c r="R1505" s="240" t="n"/>
      <c r="T1505" s="241" t="n"/>
      <c r="U1505" s="240" t="n"/>
      <c r="V1505" s="241" t="n"/>
      <c r="Z1505" s="240" t="n"/>
      <c r="AB1505" s="241" t="n"/>
      <c r="AC1505" s="240" t="n"/>
      <c r="AD1505" s="241" t="n"/>
    </row>
    <row r="1506">
      <c r="B1506" s="42" t="n">
        <v>302</v>
      </c>
      <c r="C1506" s="118">
        <f>INDIRECT("'Закуп'!A" &amp; B1506)</f>
        <v/>
      </c>
      <c r="D1506" s="119">
        <f>C1506*1.2</f>
        <v/>
      </c>
      <c r="G1506" s="172">
        <f>IF(INDIRECT("'Закуп'!L" &amp; B1506)="Sale","Sale","")</f>
        <v/>
      </c>
      <c r="H1506" s="158">
        <f>IF(INDIRECT("'Закуп'!F" &amp; B1506)=0,"",INDIRECT("'Закуп'!F" &amp; B1506))</f>
        <v/>
      </c>
      <c r="I1506" s="120" t="n">
        <v>1000</v>
      </c>
      <c r="J1506" s="121">
        <f>K1506/1.2</f>
        <v/>
      </c>
      <c r="K1506" s="70" t="n">
        <v>0.95</v>
      </c>
      <c r="L1506" s="122">
        <f>J1506-C1506-(J1506-C1506)*0.2</f>
        <v/>
      </c>
      <c r="M1506" s="123">
        <f>L1506*I1506</f>
        <v/>
      </c>
      <c r="N1506" s="124" t="inlineStr">
        <is>
          <t xml:space="preserve">1000 + шт - </t>
        </is>
      </c>
      <c r="O1506" s="47" t="inlineStr">
        <is>
          <t xml:space="preserve"> руб / шт с НДС</t>
        </is>
      </c>
      <c r="P1506" s="125">
        <f>ROUND(K1506,2)</f>
        <v/>
      </c>
      <c r="Q1506" s="207">
        <f>CONCATENATE(N1506,P1506,O1506,)</f>
        <v/>
      </c>
      <c r="R1506" s="240" t="n"/>
      <c r="T1506" s="241" t="n"/>
      <c r="U1506" s="240" t="n"/>
      <c r="V1506" s="241" t="n"/>
      <c r="Z1506" s="240" t="n"/>
      <c r="AB1506" s="241" t="n"/>
      <c r="AC1506" s="240" t="n"/>
      <c r="AD1506" s="241" t="n"/>
    </row>
    <row r="1507">
      <c r="A1507" s="232" t="n">
        <v>303</v>
      </c>
      <c r="B1507" s="42" t="n">
        <v>303</v>
      </c>
      <c r="C1507" s="118">
        <f>INDIRECT("'Закуп'!A" &amp; B1507)</f>
        <v/>
      </c>
      <c r="D1507" s="119">
        <f>C1507*1.2</f>
        <v/>
      </c>
      <c r="E1507" s="225">
        <f>INDIRECT("'Закуп'!D" &amp; A1507)</f>
        <v/>
      </c>
      <c r="F1507" s="231">
        <f>INDIRECT("'Закуп'!E" &amp; B1507)</f>
        <v/>
      </c>
      <c r="G1507" s="172">
        <f>IF(INDIRECT("'Закуп'!L" &amp; B1507)="Sale","Sale","")</f>
        <v/>
      </c>
      <c r="H1507" s="158">
        <f>IF(INDIRECT("'Закуп'!F" &amp; B1507)=0,"",INDIRECT("'Закуп'!F" &amp; B1507))</f>
        <v/>
      </c>
      <c r="I1507" s="120" t="n">
        <v>50</v>
      </c>
      <c r="J1507" s="121">
        <f>K1507/1.2</f>
        <v/>
      </c>
      <c r="K1507" s="70" t="n">
        <v>1.06</v>
      </c>
      <c r="L1507" s="122">
        <f>J1507-C1507-(J1507-C1507)*0.2</f>
        <v/>
      </c>
      <c r="M1507" s="123">
        <f>L1507*I1507</f>
        <v/>
      </c>
      <c r="N1507" s="124" t="inlineStr">
        <is>
          <t xml:space="preserve">50-90 шт - </t>
        </is>
      </c>
      <c r="O1507" s="47" t="inlineStr">
        <is>
          <t xml:space="preserve"> руб / шт с НДС</t>
        </is>
      </c>
      <c r="P1507" s="125">
        <f>ROUND(K1507,2)</f>
        <v/>
      </c>
      <c r="Q1507" s="207">
        <f>CONCATENATE(N1507,P1507,O1507,)</f>
        <v/>
      </c>
      <c r="R1507" s="235">
        <f>INDIRECT("'Закуп'!k" &amp; A1507)</f>
        <v/>
      </c>
      <c r="S1507" s="239">
        <f>INDIRECT("'Закуп'!o" &amp; A1507)</f>
        <v/>
      </c>
      <c r="T1507" s="226">
        <f>INDIRECT("'Закуп'!p" &amp; A1507)</f>
        <v/>
      </c>
      <c r="U1507" s="235">
        <f>INDIRECT("'Закуп'!v" &amp; A1507)</f>
        <v/>
      </c>
      <c r="V1507" s="222">
        <f>INDIRECT("'Закуп'!w" &amp; A1507)</f>
        <v/>
      </c>
      <c r="W1507" s="229">
        <f>INDIRECT("'Закуп'!H" &amp; A1507)</f>
        <v/>
      </c>
      <c r="X1507" s="237">
        <f>INDIRECT("'Закуп'!g" &amp; A1507)</f>
        <v/>
      </c>
      <c r="Y1507" s="229">
        <f>INDIRECT("'Закуп'!i" &amp; A1507)</f>
        <v/>
      </c>
      <c r="Z1507" s="236">
        <f>INDIRECT("'Закуп'!x" &amp; A1507)</f>
        <v/>
      </c>
      <c r="AA1507" s="237">
        <f>INDIRECT("'Закуп'!y" &amp; A1507)</f>
        <v/>
      </c>
      <c r="AB1507" s="238">
        <f>INDIRECT("'Закуп'!z" &amp; A1507)</f>
        <v/>
      </c>
      <c r="AC1507" s="223">
        <f>SUBSTITUTE(INDEX(F:F, ROUNDUP((ROW(A1506))/5,0)*5 - 3), "х", "x")</f>
        <v/>
      </c>
      <c r="AD1507" s="222">
        <f>SUBSTITUTE(INDEX(F:F, ROUNDUP((ROW(A1506))/5,0)*5 - 3), "х", "x") &amp; " - " &amp; SUBSTITUTE(SUBSTITUTE(INDEX(F:F, ROUNDUP((ROW(A1506))/5,0)*5 - 3), "х", "*"), "x", "*") &amp; " мм"</f>
        <v/>
      </c>
    </row>
    <row r="1508">
      <c r="B1508" s="42" t="n">
        <v>303</v>
      </c>
      <c r="C1508" s="118">
        <f>INDIRECT("'Закуп'!A" &amp; B1508)</f>
        <v/>
      </c>
      <c r="D1508" s="119">
        <f>C1508*1.2</f>
        <v/>
      </c>
      <c r="G1508" s="172">
        <f>IF(INDIRECT("'Закуп'!L" &amp; B1508)="Sale","Sale","")</f>
        <v/>
      </c>
      <c r="H1508" s="158">
        <f>IF(INDIRECT("'Закуп'!F" &amp; B1508)=0,"",INDIRECT("'Закуп'!F" &amp; B1508))</f>
        <v/>
      </c>
      <c r="I1508" s="120" t="n">
        <v>100</v>
      </c>
      <c r="J1508" s="121">
        <f>K1508/1.2</f>
        <v/>
      </c>
      <c r="K1508" s="70" t="n">
        <v>0.92</v>
      </c>
      <c r="L1508" s="122">
        <f>J1508-C1508-(J1508-C1508)*0.2</f>
        <v/>
      </c>
      <c r="M1508" s="123">
        <f>L1508*I1508</f>
        <v/>
      </c>
      <c r="N1508" s="124" t="inlineStr">
        <is>
          <t xml:space="preserve">100-290 шт - </t>
        </is>
      </c>
      <c r="O1508" s="47" t="inlineStr">
        <is>
          <t xml:space="preserve"> руб / шт с НДС</t>
        </is>
      </c>
      <c r="P1508" s="125">
        <f>ROUND(K1508,2)</f>
        <v/>
      </c>
      <c r="Q1508" s="207">
        <f>CONCATENATE(N1508,P1508,O1508,)</f>
        <v/>
      </c>
      <c r="R1508" s="240" t="n"/>
      <c r="T1508" s="241" t="n"/>
      <c r="U1508" s="240" t="n"/>
      <c r="V1508" s="241" t="n"/>
      <c r="Z1508" s="240" t="n"/>
      <c r="AB1508" s="241" t="n"/>
      <c r="AC1508" s="240" t="n"/>
      <c r="AD1508" s="241" t="n"/>
    </row>
    <row r="1509">
      <c r="B1509" s="42" t="n">
        <v>303</v>
      </c>
      <c r="C1509" s="118">
        <f>INDIRECT("'Закуп'!A" &amp; B1509)</f>
        <v/>
      </c>
      <c r="D1509" s="119">
        <f>C1509*1.2</f>
        <v/>
      </c>
      <c r="G1509" s="172">
        <f>IF(INDIRECT("'Закуп'!L" &amp; B1509)="Sale","Sale","")</f>
        <v/>
      </c>
      <c r="H1509" s="158">
        <f>IF(INDIRECT("'Закуп'!F" &amp; B1509)=0,"",INDIRECT("'Закуп'!F" &amp; B1509))</f>
        <v/>
      </c>
      <c r="I1509" s="120" t="n">
        <v>300</v>
      </c>
      <c r="J1509" s="121">
        <f>K1509/1.2</f>
        <v/>
      </c>
      <c r="K1509" s="70" t="n">
        <v>0.85</v>
      </c>
      <c r="L1509" s="122">
        <f>J1509-C1509-(J1509-C1509)*0.2</f>
        <v/>
      </c>
      <c r="M1509" s="123">
        <f>L1509*I1509</f>
        <v/>
      </c>
      <c r="N1509" s="124" t="inlineStr">
        <is>
          <t xml:space="preserve">300-490 шт - </t>
        </is>
      </c>
      <c r="O1509" s="47" t="inlineStr">
        <is>
          <t xml:space="preserve"> руб / шт с НДС</t>
        </is>
      </c>
      <c r="P1509" s="125">
        <f>ROUND(K1509,2)</f>
        <v/>
      </c>
      <c r="Q1509" s="207">
        <f>CONCATENATE(N1509,P1509,O1509,)</f>
        <v/>
      </c>
      <c r="R1509" s="240" t="n"/>
      <c r="T1509" s="241" t="n"/>
      <c r="U1509" s="240" t="n"/>
      <c r="V1509" s="241" t="n"/>
      <c r="Z1509" s="240" t="n"/>
      <c r="AB1509" s="241" t="n"/>
      <c r="AC1509" s="240" t="n"/>
      <c r="AD1509" s="241" t="n"/>
    </row>
    <row r="1510">
      <c r="B1510" s="42" t="n">
        <v>303</v>
      </c>
      <c r="C1510" s="118">
        <f>INDIRECT("'Закуп'!A" &amp; B1510)</f>
        <v/>
      </c>
      <c r="D1510" s="119">
        <f>C1510*1.2</f>
        <v/>
      </c>
      <c r="G1510" s="172">
        <f>IF(INDIRECT("'Закуп'!L" &amp; B1510)="Sale","Sale","")</f>
        <v/>
      </c>
      <c r="H1510" s="158">
        <f>IF(INDIRECT("'Закуп'!F" &amp; B1510)=0,"",INDIRECT("'Закуп'!F" &amp; B1510))</f>
        <v/>
      </c>
      <c r="I1510" s="120" t="n">
        <v>500</v>
      </c>
      <c r="J1510" s="121">
        <f>K1510/1.2</f>
        <v/>
      </c>
      <c r="K1510" s="70" t="n">
        <v>0.77</v>
      </c>
      <c r="L1510" s="122">
        <f>J1510-C1510-(J1510-C1510)*0.2</f>
        <v/>
      </c>
      <c r="M1510" s="123">
        <f>L1510*I1510</f>
        <v/>
      </c>
      <c r="N1510" s="124" t="inlineStr">
        <is>
          <t xml:space="preserve">500-990 шт - </t>
        </is>
      </c>
      <c r="O1510" s="47" t="inlineStr">
        <is>
          <t xml:space="preserve"> руб / шт с НДС</t>
        </is>
      </c>
      <c r="P1510" s="125">
        <f>ROUND(K1510,2)</f>
        <v/>
      </c>
      <c r="Q1510" s="207">
        <f>CONCATENATE(N1510,P1510,O1510,)</f>
        <v/>
      </c>
      <c r="R1510" s="240" t="n"/>
      <c r="T1510" s="241" t="n"/>
      <c r="U1510" s="240" t="n"/>
      <c r="V1510" s="241" t="n"/>
      <c r="Z1510" s="240" t="n"/>
      <c r="AB1510" s="241" t="n"/>
      <c r="AC1510" s="240" t="n"/>
      <c r="AD1510" s="241" t="n"/>
    </row>
    <row r="1511">
      <c r="B1511" s="42" t="n">
        <v>303</v>
      </c>
      <c r="C1511" s="118">
        <f>INDIRECT("'Закуп'!A" &amp; B1511)</f>
        <v/>
      </c>
      <c r="D1511" s="119">
        <f>C1511*1.2</f>
        <v/>
      </c>
      <c r="G1511" s="172">
        <f>IF(INDIRECT("'Закуп'!L" &amp; B1511)="Sale","Sale","")</f>
        <v/>
      </c>
      <c r="H1511" s="158">
        <f>IF(INDIRECT("'Закуп'!F" &amp; B1511)=0,"",INDIRECT("'Закуп'!F" &amp; B1511))</f>
        <v/>
      </c>
      <c r="I1511" s="120" t="n">
        <v>1000</v>
      </c>
      <c r="J1511" s="121">
        <f>K1511/1.2</f>
        <v/>
      </c>
      <c r="K1511" s="70" t="n">
        <v>0.72</v>
      </c>
      <c r="L1511" s="122">
        <f>J1511-C1511-(J1511-C1511)*0.2</f>
        <v/>
      </c>
      <c r="M1511" s="123">
        <f>L1511*I1511</f>
        <v/>
      </c>
      <c r="N1511" s="124" t="inlineStr">
        <is>
          <t xml:space="preserve">1000 + шт - </t>
        </is>
      </c>
      <c r="O1511" s="47" t="inlineStr">
        <is>
          <t xml:space="preserve"> руб / шт с НДС</t>
        </is>
      </c>
      <c r="P1511" s="125">
        <f>ROUND(K1511,2)</f>
        <v/>
      </c>
      <c r="Q1511" s="207">
        <f>CONCATENATE(N1511,P1511,O1511,)</f>
        <v/>
      </c>
      <c r="R1511" s="240" t="n"/>
      <c r="T1511" s="241" t="n"/>
      <c r="U1511" s="240" t="n"/>
      <c r="V1511" s="241" t="n"/>
      <c r="Z1511" s="240" t="n"/>
      <c r="AB1511" s="241" t="n"/>
      <c r="AC1511" s="240" t="n"/>
      <c r="AD1511" s="241" t="n"/>
    </row>
    <row r="1512">
      <c r="A1512" s="232" t="n">
        <v>304</v>
      </c>
      <c r="B1512" s="42" t="n">
        <v>304</v>
      </c>
      <c r="C1512" s="118">
        <f>INDIRECT("'Закуп'!A" &amp; B1512)</f>
        <v/>
      </c>
      <c r="D1512" s="119">
        <f>C1512*1.2</f>
        <v/>
      </c>
      <c r="E1512" s="225">
        <f>INDIRECT("'Закуп'!D" &amp; A1512)</f>
        <v/>
      </c>
      <c r="F1512" s="231">
        <f>INDIRECT("'Закуп'!E" &amp; B1512)</f>
        <v/>
      </c>
      <c r="G1512" s="172">
        <f>IF(INDIRECT("'Закуп'!L" &amp; B1512)="Sale","Sale","")</f>
        <v/>
      </c>
      <c r="H1512" s="158">
        <f>IF(INDIRECT("'Закуп'!F" &amp; B1512)=0,"",INDIRECT("'Закуп'!F" &amp; B1512))</f>
        <v/>
      </c>
      <c r="I1512" s="120" t="n">
        <v>50</v>
      </c>
      <c r="J1512" s="121">
        <f>K1512/1.2</f>
        <v/>
      </c>
      <c r="K1512" s="70" t="n">
        <v>0.98</v>
      </c>
      <c r="L1512" s="122">
        <f>J1512-C1512-(J1512-C1512)*0.2</f>
        <v/>
      </c>
      <c r="M1512" s="123">
        <f>L1512*I1512</f>
        <v/>
      </c>
      <c r="N1512" s="124" t="inlineStr">
        <is>
          <t xml:space="preserve">50-90 шт - </t>
        </is>
      </c>
      <c r="O1512" s="47" t="inlineStr">
        <is>
          <t xml:space="preserve"> руб / шт с НДС</t>
        </is>
      </c>
      <c r="P1512" s="125">
        <f>ROUND(K1512,2)</f>
        <v/>
      </c>
      <c r="Q1512" s="207">
        <f>CONCATENATE(N1512,P1512,O1512,)</f>
        <v/>
      </c>
      <c r="R1512" s="235">
        <f>INDIRECT("'Закуп'!k" &amp; A1512)</f>
        <v/>
      </c>
      <c r="S1512" s="239">
        <f>INDIRECT("'Закуп'!o" &amp; A1512)</f>
        <v/>
      </c>
      <c r="T1512" s="226">
        <f>INDIRECT("'Закуп'!p" &amp; A1512)</f>
        <v/>
      </c>
      <c r="U1512" s="235">
        <f>INDIRECT("'Закуп'!v" &amp; A1512)</f>
        <v/>
      </c>
      <c r="V1512" s="222">
        <f>INDIRECT("'Закуп'!w" &amp; A1512)</f>
        <v/>
      </c>
      <c r="W1512" s="229">
        <f>INDIRECT("'Закуп'!H" &amp; A1512)</f>
        <v/>
      </c>
      <c r="X1512" s="237">
        <f>INDIRECT("'Закуп'!g" &amp; A1512)</f>
        <v/>
      </c>
      <c r="Y1512" s="229">
        <f>INDIRECT("'Закуп'!i" &amp; A1512)</f>
        <v/>
      </c>
      <c r="Z1512" s="236">
        <f>INDIRECT("'Закуп'!x" &amp; A1512)</f>
        <v/>
      </c>
      <c r="AA1512" s="237">
        <f>INDIRECT("'Закуп'!y" &amp; A1512)</f>
        <v/>
      </c>
      <c r="AB1512" s="238">
        <f>INDIRECT("'Закуп'!z" &amp; A1512)</f>
        <v/>
      </c>
      <c r="AC1512" s="223">
        <f>SUBSTITUTE(INDEX(F:F, ROUNDUP((ROW(A1511))/5,0)*5 - 3), "х", "x")</f>
        <v/>
      </c>
      <c r="AD1512" s="222">
        <f>SUBSTITUTE(INDEX(F:F, ROUNDUP((ROW(A1511))/5,0)*5 - 3), "х", "x") &amp; " - " &amp; SUBSTITUTE(SUBSTITUTE(INDEX(F:F, ROUNDUP((ROW(A1511))/5,0)*5 - 3), "х", "*"), "x", "*") &amp; " мм"</f>
        <v/>
      </c>
    </row>
    <row r="1513">
      <c r="B1513" s="42" t="n">
        <v>304</v>
      </c>
      <c r="C1513" s="118">
        <f>INDIRECT("'Закуп'!A" &amp; B1513)</f>
        <v/>
      </c>
      <c r="D1513" s="119">
        <f>C1513*1.2</f>
        <v/>
      </c>
      <c r="G1513" s="172">
        <f>IF(INDIRECT("'Закуп'!L" &amp; B1513)="Sale","Sale","")</f>
        <v/>
      </c>
      <c r="H1513" s="158">
        <f>IF(INDIRECT("'Закуп'!F" &amp; B1513)=0,"",INDIRECT("'Закуп'!F" &amp; B1513))</f>
        <v/>
      </c>
      <c r="I1513" s="120" t="n">
        <v>100</v>
      </c>
      <c r="J1513" s="121">
        <f>K1513/1.2</f>
        <v/>
      </c>
      <c r="K1513" s="70" t="n">
        <v>0.83</v>
      </c>
      <c r="L1513" s="122">
        <f>J1513-C1513-(J1513-C1513)*0.2</f>
        <v/>
      </c>
      <c r="M1513" s="123">
        <f>L1513*I1513</f>
        <v/>
      </c>
      <c r="N1513" s="124" t="inlineStr">
        <is>
          <t xml:space="preserve">100-290 шт - </t>
        </is>
      </c>
      <c r="O1513" s="47" t="inlineStr">
        <is>
          <t xml:space="preserve"> руб / шт с НДС</t>
        </is>
      </c>
      <c r="P1513" s="125">
        <f>ROUND(K1513,2)</f>
        <v/>
      </c>
      <c r="Q1513" s="207">
        <f>CONCATENATE(N1513,P1513,O1513,)</f>
        <v/>
      </c>
      <c r="R1513" s="240" t="n"/>
      <c r="T1513" s="241" t="n"/>
      <c r="U1513" s="240" t="n"/>
      <c r="V1513" s="241" t="n"/>
      <c r="Z1513" s="240" t="n"/>
      <c r="AB1513" s="241" t="n"/>
      <c r="AC1513" s="240" t="n"/>
      <c r="AD1513" s="241" t="n"/>
    </row>
    <row r="1514">
      <c r="B1514" s="42" t="n">
        <v>304</v>
      </c>
      <c r="C1514" s="118">
        <f>INDIRECT("'Закуп'!A" &amp; B1514)</f>
        <v/>
      </c>
      <c r="D1514" s="119">
        <f>C1514*1.2</f>
        <v/>
      </c>
      <c r="G1514" s="172">
        <f>IF(INDIRECT("'Закуп'!L" &amp; B1514)="Sale","Sale","")</f>
        <v/>
      </c>
      <c r="H1514" s="158">
        <f>IF(INDIRECT("'Закуп'!F" &amp; B1514)=0,"",INDIRECT("'Закуп'!F" &amp; B1514))</f>
        <v/>
      </c>
      <c r="I1514" s="120" t="n">
        <v>300</v>
      </c>
      <c r="J1514" s="121">
        <f>K1514/1.2</f>
        <v/>
      </c>
      <c r="K1514" s="70" t="n">
        <v>0.68</v>
      </c>
      <c r="L1514" s="122">
        <f>J1514-C1514-(J1514-C1514)*0.2</f>
        <v/>
      </c>
      <c r="M1514" s="123">
        <f>L1514*I1514</f>
        <v/>
      </c>
      <c r="N1514" s="124" t="inlineStr">
        <is>
          <t xml:space="preserve">300-490 шт - </t>
        </is>
      </c>
      <c r="O1514" s="47" t="inlineStr">
        <is>
          <t xml:space="preserve"> руб / шт с НДС</t>
        </is>
      </c>
      <c r="P1514" s="125">
        <f>ROUND(K1514,2)</f>
        <v/>
      </c>
      <c r="Q1514" s="207">
        <f>CONCATENATE(N1514,P1514,O1514,)</f>
        <v/>
      </c>
      <c r="R1514" s="240" t="n"/>
      <c r="T1514" s="241" t="n"/>
      <c r="U1514" s="240" t="n"/>
      <c r="V1514" s="241" t="n"/>
      <c r="Z1514" s="240" t="n"/>
      <c r="AB1514" s="241" t="n"/>
      <c r="AC1514" s="240" t="n"/>
      <c r="AD1514" s="241" t="n"/>
    </row>
    <row r="1515">
      <c r="B1515" s="42" t="n">
        <v>304</v>
      </c>
      <c r="C1515" s="118">
        <f>INDIRECT("'Закуп'!A" &amp; B1515)</f>
        <v/>
      </c>
      <c r="D1515" s="119">
        <f>C1515*1.2</f>
        <v/>
      </c>
      <c r="G1515" s="172">
        <f>IF(INDIRECT("'Закуп'!L" &amp; B1515)="Sale","Sale","")</f>
        <v/>
      </c>
      <c r="H1515" s="158">
        <f>IF(INDIRECT("'Закуп'!F" &amp; B1515)=0,"",INDIRECT("'Закуп'!F" &amp; B1515))</f>
        <v/>
      </c>
      <c r="I1515" s="120" t="n">
        <v>500</v>
      </c>
      <c r="J1515" s="121">
        <f>K1515/1.2</f>
        <v/>
      </c>
      <c r="K1515" s="70" t="n">
        <v>0.58</v>
      </c>
      <c r="L1515" s="122">
        <f>J1515-C1515-(J1515-C1515)*0.2</f>
        <v/>
      </c>
      <c r="M1515" s="123">
        <f>L1515*I1515</f>
        <v/>
      </c>
      <c r="N1515" s="124" t="inlineStr">
        <is>
          <t xml:space="preserve">500-990 шт - </t>
        </is>
      </c>
      <c r="O1515" s="47" t="inlineStr">
        <is>
          <t xml:space="preserve"> руб / шт с НДС</t>
        </is>
      </c>
      <c r="P1515" s="125">
        <f>ROUND(K1515,2)</f>
        <v/>
      </c>
      <c r="Q1515" s="207">
        <f>CONCATENATE(N1515,P1515,O1515,)</f>
        <v/>
      </c>
      <c r="R1515" s="240" t="n"/>
      <c r="T1515" s="241" t="n"/>
      <c r="U1515" s="240" t="n"/>
      <c r="V1515" s="241" t="n"/>
      <c r="Z1515" s="240" t="n"/>
      <c r="AB1515" s="241" t="n"/>
      <c r="AC1515" s="240" t="n"/>
      <c r="AD1515" s="241" t="n"/>
    </row>
    <row r="1516">
      <c r="B1516" s="42" t="n">
        <v>304</v>
      </c>
      <c r="C1516" s="118">
        <f>INDIRECT("'Закуп'!A" &amp; B1516)</f>
        <v/>
      </c>
      <c r="D1516" s="119">
        <f>C1516*1.2</f>
        <v/>
      </c>
      <c r="G1516" s="172">
        <f>IF(INDIRECT("'Закуп'!L" &amp; B1516)="Sale","Sale","")</f>
        <v/>
      </c>
      <c r="H1516" s="158">
        <f>IF(INDIRECT("'Закуп'!F" &amp; B1516)=0,"",INDIRECT("'Закуп'!F" &amp; B1516))</f>
        <v/>
      </c>
      <c r="I1516" s="120" t="n">
        <v>1000</v>
      </c>
      <c r="J1516" s="121">
        <f>K1516/1.2</f>
        <v/>
      </c>
      <c r="K1516" s="70" t="n">
        <v>0.48</v>
      </c>
      <c r="L1516" s="122">
        <f>J1516-C1516-(J1516-C1516)*0.2</f>
        <v/>
      </c>
      <c r="M1516" s="123">
        <f>L1516*I1516</f>
        <v/>
      </c>
      <c r="N1516" s="124" t="inlineStr">
        <is>
          <t xml:space="preserve">1000 + шт - </t>
        </is>
      </c>
      <c r="O1516" s="47" t="inlineStr">
        <is>
          <t xml:space="preserve"> руб / шт с НДС</t>
        </is>
      </c>
      <c r="P1516" s="125">
        <f>ROUND(K1516,2)</f>
        <v/>
      </c>
      <c r="Q1516" s="207">
        <f>CONCATENATE(N1516,P1516,O1516,)</f>
        <v/>
      </c>
      <c r="R1516" s="240" t="n"/>
      <c r="T1516" s="241" t="n"/>
      <c r="U1516" s="240" t="n"/>
      <c r="V1516" s="241" t="n"/>
      <c r="Z1516" s="240" t="n"/>
      <c r="AB1516" s="241" t="n"/>
      <c r="AC1516" s="240" t="n"/>
      <c r="AD1516" s="241" t="n"/>
    </row>
    <row r="1517">
      <c r="A1517" s="232" t="n">
        <v>305</v>
      </c>
      <c r="B1517" s="42" t="n">
        <v>305</v>
      </c>
      <c r="C1517" s="118">
        <f>INDIRECT("'Закуп'!A" &amp; B1517)</f>
        <v/>
      </c>
      <c r="D1517" s="119">
        <f>C1517*1.2</f>
        <v/>
      </c>
      <c r="E1517" s="225">
        <f>INDIRECT("'Закуп'!D" &amp; A1517)</f>
        <v/>
      </c>
      <c r="F1517" s="231">
        <f>INDIRECT("'Закуп'!E" &amp; B1517)</f>
        <v/>
      </c>
      <c r="G1517" s="172">
        <f>IF(INDIRECT("'Закуп'!L" &amp; B1517)="Sale","Sale","")</f>
        <v/>
      </c>
      <c r="H1517" s="158">
        <f>IF(INDIRECT("'Закуп'!F" &amp; B1517)=0,"",INDIRECT("'Закуп'!F" &amp; B1517))</f>
        <v/>
      </c>
      <c r="I1517" s="120" t="n">
        <v>50</v>
      </c>
      <c r="J1517" s="121">
        <f>K1517/1.2</f>
        <v/>
      </c>
      <c r="K1517" s="70" t="n">
        <v>0.98</v>
      </c>
      <c r="L1517" s="122">
        <f>J1517-C1517-(J1517-C1517)*0.2</f>
        <v/>
      </c>
      <c r="M1517" s="123">
        <f>L1517*I1517</f>
        <v/>
      </c>
      <c r="N1517" s="124" t="inlineStr">
        <is>
          <t xml:space="preserve">50-90 шт - </t>
        </is>
      </c>
      <c r="O1517" s="47" t="inlineStr">
        <is>
          <t xml:space="preserve"> руб / шт с НДС</t>
        </is>
      </c>
      <c r="P1517" s="125">
        <f>ROUND(K1517,2)</f>
        <v/>
      </c>
      <c r="Q1517" s="207">
        <f>CONCATENATE(N1517,P1517,O1517,)</f>
        <v/>
      </c>
      <c r="R1517" s="235">
        <f>INDIRECT("'Закуп'!k" &amp; A1517)</f>
        <v/>
      </c>
      <c r="S1517" s="239">
        <f>INDIRECT("'Закуп'!o" &amp; A1517)</f>
        <v/>
      </c>
      <c r="T1517" s="226">
        <f>INDIRECT("'Закуп'!p" &amp; A1517)</f>
        <v/>
      </c>
      <c r="U1517" s="235">
        <f>INDIRECT("'Закуп'!v" &amp; A1517)</f>
        <v/>
      </c>
      <c r="V1517" s="222">
        <f>INDIRECT("'Закуп'!w" &amp; A1517)</f>
        <v/>
      </c>
      <c r="W1517" s="229">
        <f>INDIRECT("'Закуп'!H" &amp; A1517)</f>
        <v/>
      </c>
      <c r="X1517" s="237">
        <f>INDIRECT("'Закуп'!g" &amp; A1517)</f>
        <v/>
      </c>
      <c r="Y1517" s="229">
        <f>INDIRECT("'Закуп'!i" &amp; A1517)</f>
        <v/>
      </c>
      <c r="Z1517" s="236">
        <f>INDIRECT("'Закуп'!x" &amp; A1517)</f>
        <v/>
      </c>
      <c r="AA1517" s="237">
        <f>INDIRECT("'Закуп'!y" &amp; A1517)</f>
        <v/>
      </c>
      <c r="AB1517" s="238">
        <f>INDIRECT("'Закуп'!z" &amp; A1517)</f>
        <v/>
      </c>
      <c r="AC1517" s="223">
        <f>SUBSTITUTE(INDEX(F:F, ROUNDUP((ROW(A1516))/5,0)*5 - 3), "х", "x")</f>
        <v/>
      </c>
      <c r="AD1517" s="222">
        <f>SUBSTITUTE(INDEX(F:F, ROUNDUP((ROW(A1516))/5,0)*5 - 3), "х", "x") &amp; " - " &amp; SUBSTITUTE(SUBSTITUTE(INDEX(F:F, ROUNDUP((ROW(A1516))/5,0)*5 - 3), "х", "*"), "x", "*") &amp; " мм"</f>
        <v/>
      </c>
    </row>
    <row r="1518">
      <c r="B1518" s="42" t="n">
        <v>305</v>
      </c>
      <c r="C1518" s="118">
        <f>INDIRECT("'Закуп'!A" &amp; B1518)</f>
        <v/>
      </c>
      <c r="D1518" s="119">
        <f>C1518*1.2</f>
        <v/>
      </c>
      <c r="G1518" s="172">
        <f>IF(INDIRECT("'Закуп'!L" &amp; B1518)="Sale","Sale","")</f>
        <v/>
      </c>
      <c r="H1518" s="158">
        <f>IF(INDIRECT("'Закуп'!F" &amp; B1518)=0,"",INDIRECT("'Закуп'!F" &amp; B1518))</f>
        <v/>
      </c>
      <c r="I1518" s="120" t="n">
        <v>100</v>
      </c>
      <c r="J1518" s="121">
        <f>K1518/1.2</f>
        <v/>
      </c>
      <c r="K1518" s="70" t="n">
        <v>0.83</v>
      </c>
      <c r="L1518" s="122">
        <f>J1518-C1518-(J1518-C1518)*0.2</f>
        <v/>
      </c>
      <c r="M1518" s="123">
        <f>L1518*I1518</f>
        <v/>
      </c>
      <c r="N1518" s="124" t="inlineStr">
        <is>
          <t xml:space="preserve">100-290 шт - </t>
        </is>
      </c>
      <c r="O1518" s="47" t="inlineStr">
        <is>
          <t xml:space="preserve"> руб / шт с НДС</t>
        </is>
      </c>
      <c r="P1518" s="125">
        <f>ROUND(K1518,2)</f>
        <v/>
      </c>
      <c r="Q1518" s="207">
        <f>CONCATENATE(N1518,P1518,O1518,)</f>
        <v/>
      </c>
      <c r="R1518" s="240" t="n"/>
      <c r="T1518" s="241" t="n"/>
      <c r="U1518" s="240" t="n"/>
      <c r="V1518" s="241" t="n"/>
      <c r="Z1518" s="240" t="n"/>
      <c r="AB1518" s="241" t="n"/>
      <c r="AC1518" s="240" t="n"/>
      <c r="AD1518" s="241" t="n"/>
    </row>
    <row r="1519">
      <c r="B1519" s="42" t="n">
        <v>305</v>
      </c>
      <c r="C1519" s="118">
        <f>INDIRECT("'Закуп'!A" &amp; B1519)</f>
        <v/>
      </c>
      <c r="D1519" s="119">
        <f>C1519*1.2</f>
        <v/>
      </c>
      <c r="G1519" s="172">
        <f>IF(INDIRECT("'Закуп'!L" &amp; B1519)="Sale","Sale","")</f>
        <v/>
      </c>
      <c r="H1519" s="158">
        <f>IF(INDIRECT("'Закуп'!F" &amp; B1519)=0,"",INDIRECT("'Закуп'!F" &amp; B1519))</f>
        <v/>
      </c>
      <c r="I1519" s="120" t="n">
        <v>300</v>
      </c>
      <c r="J1519" s="121">
        <f>K1519/1.2</f>
        <v/>
      </c>
      <c r="K1519" s="70" t="n">
        <v>0.68</v>
      </c>
      <c r="L1519" s="122">
        <f>J1519-C1519-(J1519-C1519)*0.2</f>
        <v/>
      </c>
      <c r="M1519" s="123">
        <f>L1519*I1519</f>
        <v/>
      </c>
      <c r="N1519" s="124" t="inlineStr">
        <is>
          <t xml:space="preserve">300-490 шт - </t>
        </is>
      </c>
      <c r="O1519" s="47" t="inlineStr">
        <is>
          <t xml:space="preserve"> руб / шт с НДС</t>
        </is>
      </c>
      <c r="P1519" s="125">
        <f>ROUND(K1519,2)</f>
        <v/>
      </c>
      <c r="Q1519" s="207">
        <f>CONCATENATE(N1519,P1519,O1519,)</f>
        <v/>
      </c>
      <c r="R1519" s="240" t="n"/>
      <c r="T1519" s="241" t="n"/>
      <c r="U1519" s="240" t="n"/>
      <c r="V1519" s="241" t="n"/>
      <c r="Z1519" s="240" t="n"/>
      <c r="AB1519" s="241" t="n"/>
      <c r="AC1519" s="240" t="n"/>
      <c r="AD1519" s="241" t="n"/>
    </row>
    <row r="1520">
      <c r="B1520" s="42" t="n">
        <v>305</v>
      </c>
      <c r="C1520" s="118">
        <f>INDIRECT("'Закуп'!A" &amp; B1520)</f>
        <v/>
      </c>
      <c r="D1520" s="119">
        <f>C1520*1.2</f>
        <v/>
      </c>
      <c r="G1520" s="172">
        <f>IF(INDIRECT("'Закуп'!L" &amp; B1520)="Sale","Sale","")</f>
        <v/>
      </c>
      <c r="H1520" s="158">
        <f>IF(INDIRECT("'Закуп'!F" &amp; B1520)=0,"",INDIRECT("'Закуп'!F" &amp; B1520))</f>
        <v/>
      </c>
      <c r="I1520" s="120" t="n">
        <v>500</v>
      </c>
      <c r="J1520" s="121">
        <f>K1520/1.2</f>
        <v/>
      </c>
      <c r="K1520" s="70" t="n">
        <v>0.58</v>
      </c>
      <c r="L1520" s="122">
        <f>J1520-C1520-(J1520-C1520)*0.2</f>
        <v/>
      </c>
      <c r="M1520" s="123">
        <f>L1520*I1520</f>
        <v/>
      </c>
      <c r="N1520" s="124" t="inlineStr">
        <is>
          <t xml:space="preserve">500-990 шт - </t>
        </is>
      </c>
      <c r="O1520" s="47" t="inlineStr">
        <is>
          <t xml:space="preserve"> руб / шт с НДС</t>
        </is>
      </c>
      <c r="P1520" s="125">
        <f>ROUND(K1520,2)</f>
        <v/>
      </c>
      <c r="Q1520" s="207">
        <f>CONCATENATE(N1520,P1520,O1520,)</f>
        <v/>
      </c>
      <c r="R1520" s="240" t="n"/>
      <c r="T1520" s="241" t="n"/>
      <c r="U1520" s="240" t="n"/>
      <c r="V1520" s="241" t="n"/>
      <c r="Z1520" s="240" t="n"/>
      <c r="AB1520" s="241" t="n"/>
      <c r="AC1520" s="240" t="n"/>
      <c r="AD1520" s="241" t="n"/>
    </row>
    <row r="1521">
      <c r="B1521" s="42" t="n">
        <v>305</v>
      </c>
      <c r="C1521" s="118">
        <f>INDIRECT("'Закуп'!A" &amp; B1521)</f>
        <v/>
      </c>
      <c r="D1521" s="119">
        <f>C1521*1.2</f>
        <v/>
      </c>
      <c r="G1521" s="172">
        <f>IF(INDIRECT("'Закуп'!L" &amp; B1521)="Sale","Sale","")</f>
        <v/>
      </c>
      <c r="H1521" s="158">
        <f>IF(INDIRECT("'Закуп'!F" &amp; B1521)=0,"",INDIRECT("'Закуп'!F" &amp; B1521))</f>
        <v/>
      </c>
      <c r="I1521" s="120" t="n">
        <v>1000</v>
      </c>
      <c r="J1521" s="121">
        <f>K1521/1.2</f>
        <v/>
      </c>
      <c r="K1521" s="70" t="n">
        <v>0.48</v>
      </c>
      <c r="L1521" s="122">
        <f>J1521-C1521-(J1521-C1521)*0.2</f>
        <v/>
      </c>
      <c r="M1521" s="123">
        <f>L1521*I1521</f>
        <v/>
      </c>
      <c r="N1521" s="124" t="inlineStr">
        <is>
          <t xml:space="preserve">1000 + шт - </t>
        </is>
      </c>
      <c r="O1521" s="47" t="inlineStr">
        <is>
          <t xml:space="preserve"> руб / шт с НДС</t>
        </is>
      </c>
      <c r="P1521" s="125">
        <f>ROUND(K1521,2)</f>
        <v/>
      </c>
      <c r="Q1521" s="207">
        <f>CONCATENATE(N1521,P1521,O1521,)</f>
        <v/>
      </c>
      <c r="R1521" s="240" t="n"/>
      <c r="T1521" s="241" t="n"/>
      <c r="U1521" s="240" t="n"/>
      <c r="V1521" s="241" t="n"/>
      <c r="Z1521" s="240" t="n"/>
      <c r="AB1521" s="241" t="n"/>
      <c r="AC1521" s="240" t="n"/>
      <c r="AD1521" s="241" t="n"/>
    </row>
    <row r="1522">
      <c r="A1522" s="232" t="n">
        <v>306</v>
      </c>
      <c r="B1522" s="42" t="n">
        <v>306</v>
      </c>
      <c r="C1522" s="118">
        <f>INDIRECT("'Закуп'!A" &amp; B1522)</f>
        <v/>
      </c>
      <c r="D1522" s="119">
        <f>C1522*1.2</f>
        <v/>
      </c>
      <c r="E1522" s="225">
        <f>INDIRECT("'Закуп'!D" &amp; A1522)</f>
        <v/>
      </c>
      <c r="F1522" s="231">
        <f>INDIRECT("'Закуп'!E" &amp; B1522)</f>
        <v/>
      </c>
      <c r="G1522" s="172">
        <f>IF(INDIRECT("'Закуп'!L" &amp; B1522)="Sale","Sale","")</f>
        <v/>
      </c>
      <c r="H1522" s="158">
        <f>IF(INDIRECT("'Закуп'!F" &amp; B1522)=0,"",INDIRECT("'Закуп'!F" &amp; B1522))</f>
        <v/>
      </c>
      <c r="I1522" s="120" t="n">
        <v>50</v>
      </c>
      <c r="J1522" s="121">
        <f>K1522/1.2</f>
        <v/>
      </c>
      <c r="K1522" s="70" t="n">
        <v>0.98</v>
      </c>
      <c r="L1522" s="122">
        <f>J1522-C1522-(J1522-C1522)*0.2</f>
        <v/>
      </c>
      <c r="M1522" s="123">
        <f>L1522*I1522</f>
        <v/>
      </c>
      <c r="N1522" s="124" t="inlineStr">
        <is>
          <t xml:space="preserve">50-90 шт - </t>
        </is>
      </c>
      <c r="O1522" s="47" t="inlineStr">
        <is>
          <t xml:space="preserve"> руб / шт с НДС</t>
        </is>
      </c>
      <c r="P1522" s="125">
        <f>ROUND(K1522,2)</f>
        <v/>
      </c>
      <c r="Q1522" s="207">
        <f>CONCATENATE(N1522,P1522,O1522,)</f>
        <v/>
      </c>
      <c r="R1522" s="235">
        <f>INDIRECT("'Закуп'!k" &amp; A1522)</f>
        <v/>
      </c>
      <c r="S1522" s="239">
        <f>INDIRECT("'Закуп'!o" &amp; A1522)</f>
        <v/>
      </c>
      <c r="T1522" s="226">
        <f>INDIRECT("'Закуп'!p" &amp; A1522)</f>
        <v/>
      </c>
      <c r="U1522" s="235">
        <f>INDIRECT("'Закуп'!v" &amp; A1522)</f>
        <v/>
      </c>
      <c r="V1522" s="222">
        <f>INDIRECT("'Закуп'!w" &amp; A1522)</f>
        <v/>
      </c>
      <c r="W1522" s="229">
        <f>INDIRECT("'Закуп'!H" &amp; A1522)</f>
        <v/>
      </c>
      <c r="X1522" s="237">
        <f>INDIRECT("'Закуп'!g" &amp; A1522)</f>
        <v/>
      </c>
      <c r="Y1522" s="229">
        <f>INDIRECT("'Закуп'!i" &amp; A1522)</f>
        <v/>
      </c>
      <c r="Z1522" s="236">
        <f>INDIRECT("'Закуп'!x" &amp; A1522)</f>
        <v/>
      </c>
      <c r="AA1522" s="237">
        <f>INDIRECT("'Закуп'!y" &amp; A1522)</f>
        <v/>
      </c>
      <c r="AB1522" s="238">
        <f>INDIRECT("'Закуп'!z" &amp; A1522)</f>
        <v/>
      </c>
      <c r="AC1522" s="223">
        <f>SUBSTITUTE(INDEX(F:F, ROUNDUP((ROW(A1521))/5,0)*5 - 3), "х", "x")</f>
        <v/>
      </c>
      <c r="AD1522" s="222">
        <f>SUBSTITUTE(INDEX(F:F, ROUNDUP((ROW(A1521))/5,0)*5 - 3), "х", "x") &amp; " - " &amp; SUBSTITUTE(SUBSTITUTE(INDEX(F:F, ROUNDUP((ROW(A1521))/5,0)*5 - 3), "х", "*"), "x", "*") &amp; " мм"</f>
        <v/>
      </c>
    </row>
    <row r="1523">
      <c r="B1523" s="42" t="n">
        <v>306</v>
      </c>
      <c r="C1523" s="118">
        <f>INDIRECT("'Закуп'!A" &amp; B1523)</f>
        <v/>
      </c>
      <c r="D1523" s="119">
        <f>C1523*1.2</f>
        <v/>
      </c>
      <c r="G1523" s="172">
        <f>IF(INDIRECT("'Закуп'!L" &amp; B1523)="Sale","Sale","")</f>
        <v/>
      </c>
      <c r="H1523" s="158">
        <f>IF(INDIRECT("'Закуп'!F" &amp; B1523)=0,"",INDIRECT("'Закуп'!F" &amp; B1523))</f>
        <v/>
      </c>
      <c r="I1523" s="120" t="n">
        <v>100</v>
      </c>
      <c r="J1523" s="121">
        <f>K1523/1.2</f>
        <v/>
      </c>
      <c r="K1523" s="70" t="n">
        <v>0.83</v>
      </c>
      <c r="L1523" s="122">
        <f>J1523-C1523-(J1523-C1523)*0.2</f>
        <v/>
      </c>
      <c r="M1523" s="123">
        <f>L1523*I1523</f>
        <v/>
      </c>
      <c r="N1523" s="124" t="inlineStr">
        <is>
          <t xml:space="preserve">100-290 шт - </t>
        </is>
      </c>
      <c r="O1523" s="47" t="inlineStr">
        <is>
          <t xml:space="preserve"> руб / шт с НДС</t>
        </is>
      </c>
      <c r="P1523" s="125">
        <f>ROUND(K1523,2)</f>
        <v/>
      </c>
      <c r="Q1523" s="207">
        <f>CONCATENATE(N1523,P1523,O1523,)</f>
        <v/>
      </c>
      <c r="R1523" s="240" t="n"/>
      <c r="T1523" s="241" t="n"/>
      <c r="U1523" s="240" t="n"/>
      <c r="V1523" s="241" t="n"/>
      <c r="Z1523" s="240" t="n"/>
      <c r="AB1523" s="241" t="n"/>
      <c r="AC1523" s="240" t="n"/>
      <c r="AD1523" s="241" t="n"/>
    </row>
    <row r="1524">
      <c r="B1524" s="42" t="n">
        <v>306</v>
      </c>
      <c r="C1524" s="118">
        <f>INDIRECT("'Закуп'!A" &amp; B1524)</f>
        <v/>
      </c>
      <c r="D1524" s="119">
        <f>C1524*1.2</f>
        <v/>
      </c>
      <c r="G1524" s="172">
        <f>IF(INDIRECT("'Закуп'!L" &amp; B1524)="Sale","Sale","")</f>
        <v/>
      </c>
      <c r="H1524" s="158">
        <f>IF(INDIRECT("'Закуп'!F" &amp; B1524)=0,"",INDIRECT("'Закуп'!F" &amp; B1524))</f>
        <v/>
      </c>
      <c r="I1524" s="120" t="n">
        <v>300</v>
      </c>
      <c r="J1524" s="121">
        <f>K1524/1.2</f>
        <v/>
      </c>
      <c r="K1524" s="70" t="n">
        <v>0.68</v>
      </c>
      <c r="L1524" s="122">
        <f>J1524-C1524-(J1524-C1524)*0.2</f>
        <v/>
      </c>
      <c r="M1524" s="123">
        <f>L1524*I1524</f>
        <v/>
      </c>
      <c r="N1524" s="124" t="inlineStr">
        <is>
          <t xml:space="preserve">300-490 шт - </t>
        </is>
      </c>
      <c r="O1524" s="47" t="inlineStr">
        <is>
          <t xml:space="preserve"> руб / шт с НДС</t>
        </is>
      </c>
      <c r="P1524" s="125">
        <f>ROUND(K1524,2)</f>
        <v/>
      </c>
      <c r="Q1524" s="207">
        <f>CONCATENATE(N1524,P1524,O1524,)</f>
        <v/>
      </c>
      <c r="R1524" s="240" t="n"/>
      <c r="T1524" s="241" t="n"/>
      <c r="U1524" s="240" t="n"/>
      <c r="V1524" s="241" t="n"/>
      <c r="Z1524" s="240" t="n"/>
      <c r="AB1524" s="241" t="n"/>
      <c r="AC1524" s="240" t="n"/>
      <c r="AD1524" s="241" t="n"/>
    </row>
    <row r="1525">
      <c r="B1525" s="42" t="n">
        <v>306</v>
      </c>
      <c r="C1525" s="118">
        <f>INDIRECT("'Закуп'!A" &amp; B1525)</f>
        <v/>
      </c>
      <c r="D1525" s="119">
        <f>C1525*1.2</f>
        <v/>
      </c>
      <c r="G1525" s="172">
        <f>IF(INDIRECT("'Закуп'!L" &amp; B1525)="Sale","Sale","")</f>
        <v/>
      </c>
      <c r="H1525" s="158">
        <f>IF(INDIRECT("'Закуп'!F" &amp; B1525)=0,"",INDIRECT("'Закуп'!F" &amp; B1525))</f>
        <v/>
      </c>
      <c r="I1525" s="120" t="n">
        <v>500</v>
      </c>
      <c r="J1525" s="121">
        <f>K1525/1.2</f>
        <v/>
      </c>
      <c r="K1525" s="70" t="n">
        <v>0.58</v>
      </c>
      <c r="L1525" s="122">
        <f>J1525-C1525-(J1525-C1525)*0.2</f>
        <v/>
      </c>
      <c r="M1525" s="123">
        <f>L1525*I1525</f>
        <v/>
      </c>
      <c r="N1525" s="124" t="inlineStr">
        <is>
          <t xml:space="preserve">500-990 шт - </t>
        </is>
      </c>
      <c r="O1525" s="47" t="inlineStr">
        <is>
          <t xml:space="preserve"> руб / шт с НДС</t>
        </is>
      </c>
      <c r="P1525" s="125">
        <f>ROUND(K1525,2)</f>
        <v/>
      </c>
      <c r="Q1525" s="207">
        <f>CONCATENATE(N1525,P1525,O1525,)</f>
        <v/>
      </c>
      <c r="R1525" s="240" t="n"/>
      <c r="T1525" s="241" t="n"/>
      <c r="U1525" s="240" t="n"/>
      <c r="V1525" s="241" t="n"/>
      <c r="Z1525" s="240" t="n"/>
      <c r="AB1525" s="241" t="n"/>
      <c r="AC1525" s="240" t="n"/>
      <c r="AD1525" s="241" t="n"/>
    </row>
    <row r="1526">
      <c r="B1526" s="42" t="n">
        <v>306</v>
      </c>
      <c r="C1526" s="118">
        <f>INDIRECT("'Закуп'!A" &amp; B1526)</f>
        <v/>
      </c>
      <c r="D1526" s="119">
        <f>C1526*1.2</f>
        <v/>
      </c>
      <c r="G1526" s="172">
        <f>IF(INDIRECT("'Закуп'!L" &amp; B1526)="Sale","Sale","")</f>
        <v/>
      </c>
      <c r="H1526" s="158">
        <f>IF(INDIRECT("'Закуп'!F" &amp; B1526)=0,"",INDIRECT("'Закуп'!F" &amp; B1526))</f>
        <v/>
      </c>
      <c r="I1526" s="120" t="n">
        <v>1000</v>
      </c>
      <c r="J1526" s="121">
        <f>K1526/1.2</f>
        <v/>
      </c>
      <c r="K1526" s="70" t="n">
        <v>0.48</v>
      </c>
      <c r="L1526" s="122">
        <f>J1526-C1526-(J1526-C1526)*0.2</f>
        <v/>
      </c>
      <c r="M1526" s="123">
        <f>L1526*I1526</f>
        <v/>
      </c>
      <c r="N1526" s="124" t="inlineStr">
        <is>
          <t xml:space="preserve">1000 + шт - </t>
        </is>
      </c>
      <c r="O1526" s="47" t="inlineStr">
        <is>
          <t xml:space="preserve"> руб / шт с НДС</t>
        </is>
      </c>
      <c r="P1526" s="125">
        <f>ROUND(K1526,2)</f>
        <v/>
      </c>
      <c r="Q1526" s="207">
        <f>CONCATENATE(N1526,P1526,O1526,)</f>
        <v/>
      </c>
      <c r="R1526" s="240" t="n"/>
      <c r="T1526" s="241" t="n"/>
      <c r="U1526" s="240" t="n"/>
      <c r="V1526" s="241" t="n"/>
      <c r="Z1526" s="240" t="n"/>
      <c r="AB1526" s="241" t="n"/>
      <c r="AC1526" s="240" t="n"/>
      <c r="AD1526" s="241" t="n"/>
    </row>
    <row r="1527">
      <c r="A1527" s="232" t="n">
        <v>307</v>
      </c>
      <c r="B1527" s="42" t="n">
        <v>307</v>
      </c>
      <c r="C1527" s="118">
        <f>INDIRECT("'Закуп'!A" &amp; B1527)</f>
        <v/>
      </c>
      <c r="D1527" s="119">
        <f>C1527*1.2</f>
        <v/>
      </c>
      <c r="E1527" s="225">
        <f>INDIRECT("'Закуп'!D" &amp; A1527)</f>
        <v/>
      </c>
      <c r="F1527" s="231">
        <f>INDIRECT("'Закуп'!E" &amp; B1527)</f>
        <v/>
      </c>
      <c r="G1527" s="172">
        <f>IF(INDIRECT("'Закуп'!L" &amp; B1527)="Sale","Sale","")</f>
        <v/>
      </c>
      <c r="H1527" s="158">
        <f>IF(INDIRECT("'Закуп'!F" &amp; B1527)=0,"",INDIRECT("'Закуп'!F" &amp; B1527))</f>
        <v/>
      </c>
      <c r="I1527" s="120" t="n">
        <v>50</v>
      </c>
      <c r="J1527" s="121">
        <f>K1527/1.2</f>
        <v/>
      </c>
      <c r="K1527" s="70" t="n">
        <v>1.15</v>
      </c>
      <c r="L1527" s="122">
        <f>J1527-C1527-(J1527-C1527)*0.2</f>
        <v/>
      </c>
      <c r="M1527" s="123">
        <f>L1527*I1527</f>
        <v/>
      </c>
      <c r="N1527" s="124" t="inlineStr">
        <is>
          <t xml:space="preserve">50-90 шт - </t>
        </is>
      </c>
      <c r="O1527" s="47" t="inlineStr">
        <is>
          <t xml:space="preserve"> руб / шт с НДС</t>
        </is>
      </c>
      <c r="P1527" s="125">
        <f>ROUND(K1527,2)</f>
        <v/>
      </c>
      <c r="Q1527" s="207">
        <f>CONCATENATE(N1527,P1527,O1527,)</f>
        <v/>
      </c>
      <c r="R1527" s="235">
        <f>INDIRECT("'Закуп'!k" &amp; A1527)</f>
        <v/>
      </c>
      <c r="S1527" s="239">
        <f>INDIRECT("'Закуп'!o" &amp; A1527)</f>
        <v/>
      </c>
      <c r="T1527" s="226">
        <f>INDIRECT("'Закуп'!p" &amp; A1527)</f>
        <v/>
      </c>
      <c r="U1527" s="235">
        <f>INDIRECT("'Закуп'!v" &amp; A1527)</f>
        <v/>
      </c>
      <c r="V1527" s="222">
        <f>INDIRECT("'Закуп'!w" &amp; A1527)</f>
        <v/>
      </c>
      <c r="W1527" s="229">
        <f>INDIRECT("'Закуп'!H" &amp; A1527)</f>
        <v/>
      </c>
      <c r="X1527" s="237">
        <f>INDIRECT("'Закуп'!g" &amp; A1527)</f>
        <v/>
      </c>
      <c r="Y1527" s="229">
        <f>INDIRECT("'Закуп'!i" &amp; A1527)</f>
        <v/>
      </c>
      <c r="Z1527" s="236">
        <f>INDIRECT("'Закуп'!x" &amp; A1527)</f>
        <v/>
      </c>
      <c r="AA1527" s="237">
        <f>INDIRECT("'Закуп'!y" &amp; A1527)</f>
        <v/>
      </c>
      <c r="AB1527" s="238">
        <f>INDIRECT("'Закуп'!z" &amp; A1527)</f>
        <v/>
      </c>
      <c r="AC1527" s="223">
        <f>SUBSTITUTE(INDEX(F:F, ROUNDUP((ROW(A1526))/5,0)*5 - 3), "х", "x")</f>
        <v/>
      </c>
      <c r="AD1527" s="222">
        <f>SUBSTITUTE(INDEX(F:F, ROUNDUP((ROW(A1526))/5,0)*5 - 3), "х", "x") &amp; " - " &amp; SUBSTITUTE(SUBSTITUTE(INDEX(F:F, ROUNDUP((ROW(A1526))/5,0)*5 - 3), "х", "*"), "x", "*") &amp; " мм"</f>
        <v/>
      </c>
    </row>
    <row r="1528">
      <c r="B1528" s="42" t="n">
        <v>307</v>
      </c>
      <c r="C1528" s="118">
        <f>INDIRECT("'Закуп'!A" &amp; B1528)</f>
        <v/>
      </c>
      <c r="D1528" s="119">
        <f>C1528*1.2</f>
        <v/>
      </c>
      <c r="G1528" s="172">
        <f>IF(INDIRECT("'Закуп'!L" &amp; B1528)="Sale","Sale","")</f>
        <v/>
      </c>
      <c r="H1528" s="158">
        <f>IF(INDIRECT("'Закуп'!F" &amp; B1528)=0,"",INDIRECT("'Закуп'!F" &amp; B1528))</f>
        <v/>
      </c>
      <c r="I1528" s="120" t="n">
        <v>100</v>
      </c>
      <c r="J1528" s="121">
        <f>K1528/1.2</f>
        <v/>
      </c>
      <c r="K1528" s="70" t="n">
        <v>1</v>
      </c>
      <c r="L1528" s="122">
        <f>J1528-C1528-(J1528-C1528)*0.2</f>
        <v/>
      </c>
      <c r="M1528" s="123">
        <f>L1528*I1528</f>
        <v/>
      </c>
      <c r="N1528" s="124" t="inlineStr">
        <is>
          <t xml:space="preserve">100-290 шт - </t>
        </is>
      </c>
      <c r="O1528" s="47" t="inlineStr">
        <is>
          <t xml:space="preserve"> руб / шт с НДС</t>
        </is>
      </c>
      <c r="P1528" s="125">
        <f>ROUND(K1528,2)</f>
        <v/>
      </c>
      <c r="Q1528" s="207">
        <f>CONCATENATE(N1528,P1528,O1528,)</f>
        <v/>
      </c>
      <c r="R1528" s="240" t="n"/>
      <c r="T1528" s="241" t="n"/>
      <c r="U1528" s="240" t="n"/>
      <c r="V1528" s="241" t="n"/>
      <c r="Z1528" s="240" t="n"/>
      <c r="AB1528" s="241" t="n"/>
      <c r="AC1528" s="240" t="n"/>
      <c r="AD1528" s="241" t="n"/>
    </row>
    <row r="1529">
      <c r="B1529" s="42" t="n">
        <v>307</v>
      </c>
      <c r="C1529" s="118">
        <f>INDIRECT("'Закуп'!A" &amp; B1529)</f>
        <v/>
      </c>
      <c r="D1529" s="119">
        <f>C1529*1.2</f>
        <v/>
      </c>
      <c r="G1529" s="172">
        <f>IF(INDIRECT("'Закуп'!L" &amp; B1529)="Sale","Sale","")</f>
        <v/>
      </c>
      <c r="H1529" s="158">
        <f>IF(INDIRECT("'Закуп'!F" &amp; B1529)=0,"",INDIRECT("'Закуп'!F" &amp; B1529))</f>
        <v/>
      </c>
      <c r="I1529" s="120" t="n">
        <v>300</v>
      </c>
      <c r="J1529" s="121">
        <f>K1529/1.2</f>
        <v/>
      </c>
      <c r="K1529" s="70" t="n">
        <v>0.85</v>
      </c>
      <c r="L1529" s="122">
        <f>J1529-C1529-(J1529-C1529)*0.2</f>
        <v/>
      </c>
      <c r="M1529" s="123">
        <f>L1529*I1529</f>
        <v/>
      </c>
      <c r="N1529" s="124" t="inlineStr">
        <is>
          <t xml:space="preserve">300-490 шт - </t>
        </is>
      </c>
      <c r="O1529" s="47" t="inlineStr">
        <is>
          <t xml:space="preserve"> руб / шт с НДС</t>
        </is>
      </c>
      <c r="P1529" s="125">
        <f>ROUND(K1529,2)</f>
        <v/>
      </c>
      <c r="Q1529" s="207">
        <f>CONCATENATE(N1529,P1529,O1529,)</f>
        <v/>
      </c>
      <c r="R1529" s="240" t="n"/>
      <c r="T1529" s="241" t="n"/>
      <c r="U1529" s="240" t="n"/>
      <c r="V1529" s="241" t="n"/>
      <c r="Z1529" s="240" t="n"/>
      <c r="AB1529" s="241" t="n"/>
      <c r="AC1529" s="240" t="n"/>
      <c r="AD1529" s="241" t="n"/>
    </row>
    <row r="1530">
      <c r="B1530" s="42" t="n">
        <v>307</v>
      </c>
      <c r="C1530" s="118">
        <f>INDIRECT("'Закуп'!A" &amp; B1530)</f>
        <v/>
      </c>
      <c r="D1530" s="119">
        <f>C1530*1.2</f>
        <v/>
      </c>
      <c r="G1530" s="172">
        <f>IF(INDIRECT("'Закуп'!L" &amp; B1530)="Sale","Sale","")</f>
        <v/>
      </c>
      <c r="H1530" s="158">
        <f>IF(INDIRECT("'Закуп'!F" &amp; B1530)=0,"",INDIRECT("'Закуп'!F" &amp; B1530))</f>
        <v/>
      </c>
      <c r="I1530" s="120" t="n">
        <v>500</v>
      </c>
      <c r="J1530" s="121">
        <f>K1530/1.2</f>
        <v/>
      </c>
      <c r="K1530" s="70" t="n">
        <v>0.75</v>
      </c>
      <c r="L1530" s="122">
        <f>J1530-C1530-(J1530-C1530)*0.2</f>
        <v/>
      </c>
      <c r="M1530" s="123">
        <f>L1530*I1530</f>
        <v/>
      </c>
      <c r="N1530" s="124" t="inlineStr">
        <is>
          <t xml:space="preserve">500-990 шт - </t>
        </is>
      </c>
      <c r="O1530" s="47" t="inlineStr">
        <is>
          <t xml:space="preserve"> руб / шт с НДС</t>
        </is>
      </c>
      <c r="P1530" s="125">
        <f>ROUND(K1530,2)</f>
        <v/>
      </c>
      <c r="Q1530" s="207">
        <f>CONCATENATE(N1530,P1530,O1530,)</f>
        <v/>
      </c>
      <c r="R1530" s="240" t="n"/>
      <c r="T1530" s="241" t="n"/>
      <c r="U1530" s="240" t="n"/>
      <c r="V1530" s="241" t="n"/>
      <c r="Z1530" s="240" t="n"/>
      <c r="AB1530" s="241" t="n"/>
      <c r="AC1530" s="240" t="n"/>
      <c r="AD1530" s="241" t="n"/>
    </row>
    <row r="1531">
      <c r="B1531" s="42" t="n">
        <v>307</v>
      </c>
      <c r="C1531" s="118">
        <f>INDIRECT("'Закуп'!A" &amp; B1531)</f>
        <v/>
      </c>
      <c r="D1531" s="119">
        <f>C1531*1.2</f>
        <v/>
      </c>
      <c r="G1531" s="172">
        <f>IF(INDIRECT("'Закуп'!L" &amp; B1531)="Sale","Sale","")</f>
        <v/>
      </c>
      <c r="H1531" s="158">
        <f>IF(INDIRECT("'Закуп'!F" &amp; B1531)=0,"",INDIRECT("'Закуп'!F" &amp; B1531))</f>
        <v/>
      </c>
      <c r="I1531" s="120" t="n">
        <v>1000</v>
      </c>
      <c r="J1531" s="121">
        <f>K1531/1.2</f>
        <v/>
      </c>
      <c r="K1531" s="70" t="n">
        <v>0.65</v>
      </c>
      <c r="L1531" s="122">
        <f>J1531-C1531-(J1531-C1531)*0.2</f>
        <v/>
      </c>
      <c r="M1531" s="123">
        <f>L1531*I1531</f>
        <v/>
      </c>
      <c r="N1531" s="124" t="inlineStr">
        <is>
          <t xml:space="preserve">1000 + шт - </t>
        </is>
      </c>
      <c r="O1531" s="47" t="inlineStr">
        <is>
          <t xml:space="preserve"> руб / шт с НДС</t>
        </is>
      </c>
      <c r="P1531" s="125">
        <f>ROUND(K1531,2)</f>
        <v/>
      </c>
      <c r="Q1531" s="207">
        <f>CONCATENATE(N1531,P1531,O1531,)</f>
        <v/>
      </c>
      <c r="R1531" s="240" t="n"/>
      <c r="T1531" s="241" t="n"/>
      <c r="U1531" s="240" t="n"/>
      <c r="V1531" s="241" t="n"/>
      <c r="Z1531" s="240" t="n"/>
      <c r="AB1531" s="241" t="n"/>
      <c r="AC1531" s="240" t="n"/>
      <c r="AD1531" s="241" t="n"/>
    </row>
    <row r="1532">
      <c r="A1532" s="232" t="n">
        <v>308</v>
      </c>
      <c r="B1532" s="42" t="n">
        <v>308</v>
      </c>
      <c r="C1532" s="118">
        <f>INDIRECT("'Закуп'!A" &amp; B1532)</f>
        <v/>
      </c>
      <c r="D1532" s="119">
        <f>C1532*1.2</f>
        <v/>
      </c>
      <c r="E1532" s="225">
        <f>INDIRECT("'Закуп'!D" &amp; A1532)</f>
        <v/>
      </c>
      <c r="F1532" s="231">
        <f>INDIRECT("'Закуп'!E" &amp; B1532)</f>
        <v/>
      </c>
      <c r="G1532" s="172">
        <f>IF(INDIRECT("'Закуп'!L" &amp; B1532)="Sale","Sale","")</f>
        <v/>
      </c>
      <c r="H1532" s="158">
        <f>IF(INDIRECT("'Закуп'!F" &amp; B1532)=0,"",INDIRECT("'Закуп'!F" &amp; B1532))</f>
        <v/>
      </c>
      <c r="I1532" s="120" t="n">
        <v>50</v>
      </c>
      <c r="J1532" s="121">
        <f>K1532/1.2</f>
        <v/>
      </c>
      <c r="K1532" s="70" t="n">
        <v>1.1</v>
      </c>
      <c r="L1532" s="122">
        <f>J1532-C1532-(J1532-C1532)*0.2</f>
        <v/>
      </c>
      <c r="M1532" s="123">
        <f>L1532*I1532</f>
        <v/>
      </c>
      <c r="N1532" s="124" t="inlineStr">
        <is>
          <t xml:space="preserve">50-90 шт - </t>
        </is>
      </c>
      <c r="O1532" s="47" t="inlineStr">
        <is>
          <t xml:space="preserve"> руб / шт с НДС</t>
        </is>
      </c>
      <c r="P1532" s="125">
        <f>ROUND(K1532,2)</f>
        <v/>
      </c>
      <c r="Q1532" s="207">
        <f>CONCATENATE(N1532,P1532,O1532,)</f>
        <v/>
      </c>
      <c r="R1532" s="235">
        <f>INDIRECT("'Закуп'!k" &amp; A1532)</f>
        <v/>
      </c>
      <c r="S1532" s="239">
        <f>INDIRECT("'Закуп'!o" &amp; A1532)</f>
        <v/>
      </c>
      <c r="T1532" s="226">
        <f>INDIRECT("'Закуп'!p" &amp; A1532)</f>
        <v/>
      </c>
      <c r="U1532" s="235">
        <f>INDIRECT("'Закуп'!v" &amp; A1532)</f>
        <v/>
      </c>
      <c r="V1532" s="222">
        <f>INDIRECT("'Закуп'!w" &amp; A1532)</f>
        <v/>
      </c>
      <c r="W1532" s="229">
        <f>INDIRECT("'Закуп'!H" &amp; A1532)</f>
        <v/>
      </c>
      <c r="X1532" s="237">
        <f>INDIRECT("'Закуп'!g" &amp; A1532)</f>
        <v/>
      </c>
      <c r="Y1532" s="229">
        <f>INDIRECT("'Закуп'!i" &amp; A1532)</f>
        <v/>
      </c>
      <c r="Z1532" s="236">
        <f>INDIRECT("'Закуп'!x" &amp; A1532)</f>
        <v/>
      </c>
      <c r="AA1532" s="237">
        <f>INDIRECT("'Закуп'!y" &amp; A1532)</f>
        <v/>
      </c>
      <c r="AB1532" s="238">
        <f>INDIRECT("'Закуп'!z" &amp; A1532)</f>
        <v/>
      </c>
      <c r="AC1532" s="223">
        <f>SUBSTITUTE(INDEX(F:F, ROUNDUP((ROW(A1531))/5,0)*5 - 3), "х", "x")</f>
        <v/>
      </c>
      <c r="AD1532" s="222">
        <f>SUBSTITUTE(INDEX(F:F, ROUNDUP((ROW(A1531))/5,0)*5 - 3), "х", "x") &amp; " - " &amp; SUBSTITUTE(SUBSTITUTE(INDEX(F:F, ROUNDUP((ROW(A1531))/5,0)*5 - 3), "х", "*"), "x", "*") &amp; " мм"</f>
        <v/>
      </c>
    </row>
    <row r="1533">
      <c r="B1533" s="42" t="n">
        <v>308</v>
      </c>
      <c r="C1533" s="118">
        <f>INDIRECT("'Закуп'!A" &amp; B1533)</f>
        <v/>
      </c>
      <c r="D1533" s="119">
        <f>C1533*1.2</f>
        <v/>
      </c>
      <c r="G1533" s="172">
        <f>IF(INDIRECT("'Закуп'!L" &amp; B1533)="Sale","Sale","")</f>
        <v/>
      </c>
      <c r="H1533" s="158">
        <f>IF(INDIRECT("'Закуп'!F" &amp; B1533)=0,"",INDIRECT("'Закуп'!F" &amp; B1533))</f>
        <v/>
      </c>
      <c r="I1533" s="120" t="n">
        <v>100</v>
      </c>
      <c r="J1533" s="121">
        <f>K1533/1.2</f>
        <v/>
      </c>
      <c r="K1533" s="70" t="n">
        <v>1</v>
      </c>
      <c r="L1533" s="122">
        <f>J1533-C1533-(J1533-C1533)*0.2</f>
        <v/>
      </c>
      <c r="M1533" s="123">
        <f>L1533*I1533</f>
        <v/>
      </c>
      <c r="N1533" s="124" t="inlineStr">
        <is>
          <t xml:space="preserve">100-290 шт - </t>
        </is>
      </c>
      <c r="O1533" s="47" t="inlineStr">
        <is>
          <t xml:space="preserve"> руб / шт с НДС</t>
        </is>
      </c>
      <c r="P1533" s="125">
        <f>ROUND(K1533,2)</f>
        <v/>
      </c>
      <c r="Q1533" s="207">
        <f>CONCATENATE(N1533,P1533,O1533,)</f>
        <v/>
      </c>
      <c r="R1533" s="240" t="n"/>
      <c r="T1533" s="241" t="n"/>
      <c r="U1533" s="240" t="n"/>
      <c r="V1533" s="241" t="n"/>
      <c r="Z1533" s="240" t="n"/>
      <c r="AB1533" s="241" t="n"/>
      <c r="AC1533" s="240" t="n"/>
      <c r="AD1533" s="241" t="n"/>
    </row>
    <row r="1534">
      <c r="B1534" s="42" t="n">
        <v>308</v>
      </c>
      <c r="C1534" s="118">
        <f>INDIRECT("'Закуп'!A" &amp; B1534)</f>
        <v/>
      </c>
      <c r="D1534" s="119">
        <f>C1534*1.2</f>
        <v/>
      </c>
      <c r="G1534" s="172">
        <f>IF(INDIRECT("'Закуп'!L" &amp; B1534)="Sale","Sale","")</f>
        <v/>
      </c>
      <c r="H1534" s="158">
        <f>IF(INDIRECT("'Закуп'!F" &amp; B1534)=0,"",INDIRECT("'Закуп'!F" &amp; B1534))</f>
        <v/>
      </c>
      <c r="I1534" s="120" t="n">
        <v>300</v>
      </c>
      <c r="J1534" s="121">
        <f>K1534/1.2</f>
        <v/>
      </c>
      <c r="K1534" s="70" t="n">
        <v>0.9</v>
      </c>
      <c r="L1534" s="122">
        <f>J1534-C1534-(J1534-C1534)*0.2</f>
        <v/>
      </c>
      <c r="M1534" s="123">
        <f>L1534*I1534</f>
        <v/>
      </c>
      <c r="N1534" s="124" t="inlineStr">
        <is>
          <t xml:space="preserve">300-490 шт - </t>
        </is>
      </c>
      <c r="O1534" s="47" t="inlineStr">
        <is>
          <t xml:space="preserve"> руб / шт с НДС</t>
        </is>
      </c>
      <c r="P1534" s="125">
        <f>ROUND(K1534,2)</f>
        <v/>
      </c>
      <c r="Q1534" s="207">
        <f>CONCATENATE(N1534,P1534,O1534,)</f>
        <v/>
      </c>
      <c r="R1534" s="240" t="n"/>
      <c r="T1534" s="241" t="n"/>
      <c r="U1534" s="240" t="n"/>
      <c r="V1534" s="241" t="n"/>
      <c r="Z1534" s="240" t="n"/>
      <c r="AB1534" s="241" t="n"/>
      <c r="AC1534" s="240" t="n"/>
      <c r="AD1534" s="241" t="n"/>
    </row>
    <row r="1535">
      <c r="B1535" s="42" t="n">
        <v>308</v>
      </c>
      <c r="C1535" s="118">
        <f>INDIRECT("'Закуп'!A" &amp; B1535)</f>
        <v/>
      </c>
      <c r="D1535" s="119">
        <f>C1535*1.2</f>
        <v/>
      </c>
      <c r="G1535" s="172">
        <f>IF(INDIRECT("'Закуп'!L" &amp; B1535)="Sale","Sale","")</f>
        <v/>
      </c>
      <c r="H1535" s="158">
        <f>IF(INDIRECT("'Закуп'!F" &amp; B1535)=0,"",INDIRECT("'Закуп'!F" &amp; B1535))</f>
        <v/>
      </c>
      <c r="I1535" s="120" t="n">
        <v>500</v>
      </c>
      <c r="J1535" s="121">
        <f>K1535/1.2</f>
        <v/>
      </c>
      <c r="K1535" s="70" t="n">
        <v>0.8</v>
      </c>
      <c r="L1535" s="122">
        <f>J1535-C1535-(J1535-C1535)*0.2</f>
        <v/>
      </c>
      <c r="M1535" s="123">
        <f>L1535*I1535</f>
        <v/>
      </c>
      <c r="N1535" s="124" t="inlineStr">
        <is>
          <t xml:space="preserve">500-990 шт - </t>
        </is>
      </c>
      <c r="O1535" s="47" t="inlineStr">
        <is>
          <t xml:space="preserve"> руб / шт с НДС</t>
        </is>
      </c>
      <c r="P1535" s="125">
        <f>ROUND(K1535,2)</f>
        <v/>
      </c>
      <c r="Q1535" s="207">
        <f>CONCATENATE(N1535,P1535,O1535,)</f>
        <v/>
      </c>
      <c r="R1535" s="240" t="n"/>
      <c r="T1535" s="241" t="n"/>
      <c r="U1535" s="240" t="n"/>
      <c r="V1535" s="241" t="n"/>
      <c r="Z1535" s="240" t="n"/>
      <c r="AB1535" s="241" t="n"/>
      <c r="AC1535" s="240" t="n"/>
      <c r="AD1535" s="241" t="n"/>
    </row>
    <row r="1536">
      <c r="B1536" s="42" t="n">
        <v>308</v>
      </c>
      <c r="C1536" s="118">
        <f>INDIRECT("'Закуп'!A" &amp; B1536)</f>
        <v/>
      </c>
      <c r="D1536" s="119">
        <f>C1536*1.2</f>
        <v/>
      </c>
      <c r="G1536" s="172">
        <f>IF(INDIRECT("'Закуп'!L" &amp; B1536)="Sale","Sale","")</f>
        <v/>
      </c>
      <c r="H1536" s="158">
        <f>IF(INDIRECT("'Закуп'!F" &amp; B1536)=0,"",INDIRECT("'Закуп'!F" &amp; B1536))</f>
        <v/>
      </c>
      <c r="I1536" s="120" t="n">
        <v>1000</v>
      </c>
      <c r="J1536" s="121">
        <f>K1536/1.2</f>
        <v/>
      </c>
      <c r="K1536" s="70" t="n">
        <v>0.7</v>
      </c>
      <c r="L1536" s="122">
        <f>J1536-C1536-(J1536-C1536)*0.2</f>
        <v/>
      </c>
      <c r="M1536" s="123">
        <f>L1536*I1536</f>
        <v/>
      </c>
      <c r="N1536" s="124" t="inlineStr">
        <is>
          <t xml:space="preserve">1000 + шт - </t>
        </is>
      </c>
      <c r="O1536" s="47" t="inlineStr">
        <is>
          <t xml:space="preserve"> руб / шт с НДС</t>
        </is>
      </c>
      <c r="P1536" s="125">
        <f>ROUND(K1536,2)</f>
        <v/>
      </c>
      <c r="Q1536" s="207">
        <f>CONCATENATE(N1536,P1536,O1536,)</f>
        <v/>
      </c>
      <c r="R1536" s="240" t="n"/>
      <c r="T1536" s="241" t="n"/>
      <c r="U1536" s="240" t="n"/>
      <c r="V1536" s="241" t="n"/>
      <c r="Z1536" s="240" t="n"/>
      <c r="AB1536" s="241" t="n"/>
      <c r="AC1536" s="240" t="n"/>
      <c r="AD1536" s="241" t="n"/>
    </row>
    <row r="1537">
      <c r="A1537" s="232" t="n">
        <v>309</v>
      </c>
      <c r="B1537" s="42" t="n">
        <v>309</v>
      </c>
      <c r="C1537" s="118">
        <f>INDIRECT("'Закуп'!A" &amp; B1537)</f>
        <v/>
      </c>
      <c r="D1537" s="119">
        <f>C1537*1.2</f>
        <v/>
      </c>
      <c r="E1537" s="225">
        <f>INDIRECT("'Закуп'!D" &amp; A1537)</f>
        <v/>
      </c>
      <c r="F1537" s="231">
        <f>INDIRECT("'Закуп'!E" &amp; B1537)</f>
        <v/>
      </c>
      <c r="G1537" s="172">
        <f>IF(INDIRECT("'Закуп'!L" &amp; B1537)="Sale","Sale","")</f>
        <v/>
      </c>
      <c r="H1537" s="158">
        <f>IF(INDIRECT("'Закуп'!F" &amp; B1537)=0,"",INDIRECT("'Закуп'!F" &amp; B1537))</f>
        <v/>
      </c>
      <c r="I1537" s="120" t="n">
        <v>50</v>
      </c>
      <c r="J1537" s="121">
        <f>K1537/1.2</f>
        <v/>
      </c>
      <c r="K1537" s="70" t="n">
        <v>1.15</v>
      </c>
      <c r="L1537" s="122">
        <f>J1537-C1537-(J1537-C1537)*0.2</f>
        <v/>
      </c>
      <c r="M1537" s="123">
        <f>L1537*I1537</f>
        <v/>
      </c>
      <c r="N1537" s="124" t="inlineStr">
        <is>
          <t xml:space="preserve">50-90 шт - </t>
        </is>
      </c>
      <c r="O1537" s="47" t="inlineStr">
        <is>
          <t xml:space="preserve"> руб / шт с НДС</t>
        </is>
      </c>
      <c r="P1537" s="125">
        <f>ROUND(K1537,2)</f>
        <v/>
      </c>
      <c r="Q1537" s="207">
        <f>CONCATENATE(N1537,P1537,O1537,)</f>
        <v/>
      </c>
      <c r="R1537" s="235">
        <f>INDIRECT("'Закуп'!k" &amp; A1537)</f>
        <v/>
      </c>
      <c r="S1537" s="239">
        <f>INDIRECT("'Закуп'!o" &amp; A1537)</f>
        <v/>
      </c>
      <c r="T1537" s="226">
        <f>INDIRECT("'Закуп'!p" &amp; A1537)</f>
        <v/>
      </c>
      <c r="U1537" s="235">
        <f>INDIRECT("'Закуп'!v" &amp; A1537)</f>
        <v/>
      </c>
      <c r="V1537" s="222">
        <f>INDIRECT("'Закуп'!w" &amp; A1537)</f>
        <v/>
      </c>
      <c r="W1537" s="229">
        <f>INDIRECT("'Закуп'!H" &amp; A1537)</f>
        <v/>
      </c>
      <c r="X1537" s="237">
        <f>INDIRECT("'Закуп'!g" &amp; A1537)</f>
        <v/>
      </c>
      <c r="Y1537" s="229">
        <f>INDIRECT("'Закуп'!i" &amp; A1537)</f>
        <v/>
      </c>
      <c r="Z1537" s="236">
        <f>INDIRECT("'Закуп'!x" &amp; A1537)</f>
        <v/>
      </c>
      <c r="AA1537" s="237">
        <f>INDIRECT("'Закуп'!y" &amp; A1537)</f>
        <v/>
      </c>
      <c r="AB1537" s="238">
        <f>INDIRECT("'Закуп'!z" &amp; A1537)</f>
        <v/>
      </c>
      <c r="AC1537" s="223">
        <f>SUBSTITUTE(INDEX(F:F, ROUNDUP((ROW(A1536))/5,0)*5 - 3), "х", "x")</f>
        <v/>
      </c>
      <c r="AD1537" s="222">
        <f>SUBSTITUTE(INDEX(F:F, ROUNDUP((ROW(A1536))/5,0)*5 - 3), "х", "x") &amp; " - " &amp; SUBSTITUTE(SUBSTITUTE(INDEX(F:F, ROUNDUP((ROW(A1536))/5,0)*5 - 3), "х", "*"), "x", "*") &amp; " мм"</f>
        <v/>
      </c>
    </row>
    <row r="1538">
      <c r="B1538" s="42" t="n">
        <v>309</v>
      </c>
      <c r="C1538" s="118">
        <f>INDIRECT("'Закуп'!A" &amp; B1538)</f>
        <v/>
      </c>
      <c r="D1538" s="119">
        <f>C1538*1.2</f>
        <v/>
      </c>
      <c r="G1538" s="172">
        <f>IF(INDIRECT("'Закуп'!L" &amp; B1538)="Sale","Sale","")</f>
        <v/>
      </c>
      <c r="H1538" s="158">
        <f>IF(INDIRECT("'Закуп'!F" &amp; B1538)=0,"",INDIRECT("'Закуп'!F" &amp; B1538))</f>
        <v/>
      </c>
      <c r="I1538" s="120" t="n">
        <v>100</v>
      </c>
      <c r="J1538" s="121">
        <f>K1538/1.2</f>
        <v/>
      </c>
      <c r="K1538" s="70" t="n">
        <v>1</v>
      </c>
      <c r="L1538" s="122">
        <f>J1538-C1538-(J1538-C1538)*0.2</f>
        <v/>
      </c>
      <c r="M1538" s="123">
        <f>L1538*I1538</f>
        <v/>
      </c>
      <c r="N1538" s="124" t="inlineStr">
        <is>
          <t xml:space="preserve">100-290 шт - </t>
        </is>
      </c>
      <c r="O1538" s="47" t="inlineStr">
        <is>
          <t xml:space="preserve"> руб / шт с НДС</t>
        </is>
      </c>
      <c r="P1538" s="125">
        <f>ROUND(K1538,2)</f>
        <v/>
      </c>
      <c r="Q1538" s="207">
        <f>CONCATENATE(N1538,P1538,O1538,)</f>
        <v/>
      </c>
      <c r="R1538" s="240" t="n"/>
      <c r="T1538" s="241" t="n"/>
      <c r="U1538" s="240" t="n"/>
      <c r="V1538" s="241" t="n"/>
      <c r="Z1538" s="240" t="n"/>
      <c r="AB1538" s="241" t="n"/>
      <c r="AC1538" s="240" t="n"/>
      <c r="AD1538" s="241" t="n"/>
    </row>
    <row r="1539">
      <c r="B1539" s="42" t="n">
        <v>309</v>
      </c>
      <c r="C1539" s="118">
        <f>INDIRECT("'Закуп'!A" &amp; B1539)</f>
        <v/>
      </c>
      <c r="D1539" s="119">
        <f>C1539*1.2</f>
        <v/>
      </c>
      <c r="G1539" s="172">
        <f>IF(INDIRECT("'Закуп'!L" &amp; B1539)="Sale","Sale","")</f>
        <v/>
      </c>
      <c r="H1539" s="158">
        <f>IF(INDIRECT("'Закуп'!F" &amp; B1539)=0,"",INDIRECT("'Закуп'!F" &amp; B1539))</f>
        <v/>
      </c>
      <c r="I1539" s="120" t="n">
        <v>300</v>
      </c>
      <c r="J1539" s="121">
        <f>K1539/1.2</f>
        <v/>
      </c>
      <c r="K1539" s="70" t="n">
        <v>0.9</v>
      </c>
      <c r="L1539" s="122">
        <f>J1539-C1539-(J1539-C1539)*0.2</f>
        <v/>
      </c>
      <c r="M1539" s="123">
        <f>L1539*I1539</f>
        <v/>
      </c>
      <c r="N1539" s="124" t="inlineStr">
        <is>
          <t xml:space="preserve">300-490 шт - </t>
        </is>
      </c>
      <c r="O1539" s="47" t="inlineStr">
        <is>
          <t xml:space="preserve"> руб / шт с НДС</t>
        </is>
      </c>
      <c r="P1539" s="125">
        <f>ROUND(K1539,2)</f>
        <v/>
      </c>
      <c r="Q1539" s="207">
        <f>CONCATENATE(N1539,P1539,O1539,)</f>
        <v/>
      </c>
      <c r="R1539" s="240" t="n"/>
      <c r="T1539" s="241" t="n"/>
      <c r="U1539" s="240" t="n"/>
      <c r="V1539" s="241" t="n"/>
      <c r="Z1539" s="240" t="n"/>
      <c r="AB1539" s="241" t="n"/>
      <c r="AC1539" s="240" t="n"/>
      <c r="AD1539" s="241" t="n"/>
    </row>
    <row r="1540">
      <c r="B1540" s="42" t="n">
        <v>309</v>
      </c>
      <c r="C1540" s="118">
        <f>INDIRECT("'Закуп'!A" &amp; B1540)</f>
        <v/>
      </c>
      <c r="D1540" s="119">
        <f>C1540*1.2</f>
        <v/>
      </c>
      <c r="G1540" s="172">
        <f>IF(INDIRECT("'Закуп'!L" &amp; B1540)="Sale","Sale","")</f>
        <v/>
      </c>
      <c r="H1540" s="158">
        <f>IF(INDIRECT("'Закуп'!F" &amp; B1540)=0,"",INDIRECT("'Закуп'!F" &amp; B1540))</f>
        <v/>
      </c>
      <c r="I1540" s="120" t="n">
        <v>500</v>
      </c>
      <c r="J1540" s="121">
        <f>K1540/1.2</f>
        <v/>
      </c>
      <c r="K1540" s="70" t="n">
        <v>0.8</v>
      </c>
      <c r="L1540" s="122">
        <f>J1540-C1540-(J1540-C1540)*0.2</f>
        <v/>
      </c>
      <c r="M1540" s="123">
        <f>L1540*I1540</f>
        <v/>
      </c>
      <c r="N1540" s="124" t="inlineStr">
        <is>
          <t xml:space="preserve">500-990 шт - </t>
        </is>
      </c>
      <c r="O1540" s="47" t="inlineStr">
        <is>
          <t xml:space="preserve"> руб / шт с НДС</t>
        </is>
      </c>
      <c r="P1540" s="125">
        <f>ROUND(K1540,2)</f>
        <v/>
      </c>
      <c r="Q1540" s="207">
        <f>CONCATENATE(N1540,P1540,O1540,)</f>
        <v/>
      </c>
      <c r="R1540" s="240" t="n"/>
      <c r="T1540" s="241" t="n"/>
      <c r="U1540" s="240" t="n"/>
      <c r="V1540" s="241" t="n"/>
      <c r="Z1540" s="240" t="n"/>
      <c r="AB1540" s="241" t="n"/>
      <c r="AC1540" s="240" t="n"/>
      <c r="AD1540" s="241" t="n"/>
    </row>
    <row r="1541">
      <c r="B1541" s="42" t="n">
        <v>309</v>
      </c>
      <c r="C1541" s="118">
        <f>INDIRECT("'Закуп'!A" &amp; B1541)</f>
        <v/>
      </c>
      <c r="D1541" s="119">
        <f>C1541*1.2</f>
        <v/>
      </c>
      <c r="G1541" s="172">
        <f>IF(INDIRECT("'Закуп'!L" &amp; B1541)="Sale","Sale","")</f>
        <v/>
      </c>
      <c r="H1541" s="158">
        <f>IF(INDIRECT("'Закуп'!F" &amp; B1541)=0,"",INDIRECT("'Закуп'!F" &amp; B1541))</f>
        <v/>
      </c>
      <c r="I1541" s="120" t="n">
        <v>1000</v>
      </c>
      <c r="J1541" s="121">
        <f>K1541/1.2</f>
        <v/>
      </c>
      <c r="K1541" s="70" t="n">
        <v>0.7</v>
      </c>
      <c r="L1541" s="122">
        <f>J1541-C1541-(J1541-C1541)*0.2</f>
        <v/>
      </c>
      <c r="M1541" s="123">
        <f>L1541*I1541</f>
        <v/>
      </c>
      <c r="N1541" s="124" t="inlineStr">
        <is>
          <t xml:space="preserve">1000 + шт - </t>
        </is>
      </c>
      <c r="O1541" s="47" t="inlineStr">
        <is>
          <t xml:space="preserve"> руб / шт с НДС</t>
        </is>
      </c>
      <c r="P1541" s="125">
        <f>ROUND(K1541,2)</f>
        <v/>
      </c>
      <c r="Q1541" s="207">
        <f>CONCATENATE(N1541,P1541,O1541,)</f>
        <v/>
      </c>
      <c r="R1541" s="240" t="n"/>
      <c r="T1541" s="241" t="n"/>
      <c r="U1541" s="240" t="n"/>
      <c r="V1541" s="241" t="n"/>
      <c r="Z1541" s="240" t="n"/>
      <c r="AB1541" s="241" t="n"/>
      <c r="AC1541" s="240" t="n"/>
      <c r="AD1541" s="241" t="n"/>
    </row>
    <row r="1542">
      <c r="A1542" s="232" t="n">
        <v>310</v>
      </c>
      <c r="B1542" s="42" t="n">
        <v>310</v>
      </c>
      <c r="C1542" s="118">
        <f>INDIRECT("'Закуп'!A" &amp; B1542)</f>
        <v/>
      </c>
      <c r="D1542" s="119">
        <f>C1542*1.2</f>
        <v/>
      </c>
      <c r="E1542" s="224">
        <f>INDIRECT("'Закуп'!D" &amp; A1542)</f>
        <v/>
      </c>
      <c r="F1542" s="231">
        <f>INDIRECT("'Закуп'!E" &amp; B1542)</f>
        <v/>
      </c>
      <c r="G1542" s="172">
        <f>IF(INDIRECT("'Закуп'!L" &amp; B1542)="Sale","Sale","")</f>
        <v/>
      </c>
      <c r="H1542" s="158">
        <f>IF(INDIRECT("'Закуп'!F" &amp; B1542)=0,"",INDIRECT("'Закуп'!F" &amp; B1542))</f>
        <v/>
      </c>
      <c r="I1542" s="120" t="n">
        <v>50</v>
      </c>
      <c r="J1542" s="121">
        <f>K1542/1.2</f>
        <v/>
      </c>
      <c r="K1542" s="70" t="n">
        <v>0.95</v>
      </c>
      <c r="L1542" s="122">
        <f>J1542-C1542-(J1542-C1542)*0.2</f>
        <v/>
      </c>
      <c r="M1542" s="123">
        <f>L1542*I1542</f>
        <v/>
      </c>
      <c r="N1542" s="124" t="inlineStr">
        <is>
          <t xml:space="preserve">50-90 шт - </t>
        </is>
      </c>
      <c r="O1542" s="47" t="inlineStr">
        <is>
          <t xml:space="preserve"> руб / шт с НДС</t>
        </is>
      </c>
      <c r="P1542" s="125">
        <f>ROUND(K1542,2)</f>
        <v/>
      </c>
      <c r="Q1542" s="207">
        <f>CONCATENATE(N1542,P1542,O1542,)</f>
        <v/>
      </c>
      <c r="R1542" s="235">
        <f>INDIRECT("'Закуп'!k" &amp; A1542)</f>
        <v/>
      </c>
      <c r="S1542" s="239">
        <f>INDIRECT("'Закуп'!o" &amp; A1542)</f>
        <v/>
      </c>
      <c r="T1542" s="226">
        <f>INDIRECT("'Закуп'!p" &amp; A1542)</f>
        <v/>
      </c>
      <c r="U1542" s="235">
        <f>INDIRECT("'Закуп'!v" &amp; A1542)</f>
        <v/>
      </c>
      <c r="V1542" s="222">
        <f>INDIRECT("'Закуп'!w" &amp; A1542)</f>
        <v/>
      </c>
      <c r="W1542" s="229">
        <f>INDIRECT("'Закуп'!H" &amp; A1542)</f>
        <v/>
      </c>
      <c r="X1542" s="237">
        <f>INDIRECT("'Закуп'!g" &amp; A1542)</f>
        <v/>
      </c>
      <c r="Y1542" s="229">
        <f>INDIRECT("'Закуп'!i" &amp; A1542)</f>
        <v/>
      </c>
      <c r="Z1542" s="236">
        <f>INDIRECT("'Закуп'!x" &amp; A1542)</f>
        <v/>
      </c>
      <c r="AA1542" s="237">
        <f>INDIRECT("'Закуп'!y" &amp; A1542)</f>
        <v/>
      </c>
      <c r="AB1542" s="238">
        <f>INDIRECT("'Закуп'!z" &amp; A1542)</f>
        <v/>
      </c>
      <c r="AC1542" s="223">
        <f>SUBSTITUTE(INDEX(F:F, ROUNDUP((ROW(A1541))/5,0)*5 - 3), "х", "x")</f>
        <v/>
      </c>
      <c r="AD1542" s="222">
        <f>SUBSTITUTE(INDEX(F:F, ROUNDUP((ROW(A1541))/5,0)*5 - 3), "х", "x") &amp; " - " &amp; SUBSTITUTE(SUBSTITUTE(INDEX(F:F, ROUNDUP((ROW(A1541))/5,0)*5 - 3), "х", "*"), "x", "*") &amp; " мм"</f>
        <v/>
      </c>
    </row>
    <row r="1543">
      <c r="B1543" s="42" t="n">
        <v>310</v>
      </c>
      <c r="C1543" s="118">
        <f>INDIRECT("'Закуп'!A" &amp; B1543)</f>
        <v/>
      </c>
      <c r="D1543" s="119">
        <f>C1543*1.2</f>
        <v/>
      </c>
      <c r="G1543" s="172">
        <f>IF(INDIRECT("'Закуп'!L" &amp; B1543)="Sale","Sale","")</f>
        <v/>
      </c>
      <c r="H1543" s="158">
        <f>IF(INDIRECT("'Закуп'!F" &amp; B1543)=0,"",INDIRECT("'Закуп'!F" &amp; B1543))</f>
        <v/>
      </c>
      <c r="I1543" s="120" t="n">
        <v>100</v>
      </c>
      <c r="J1543" s="121">
        <f>K1543/1.2</f>
        <v/>
      </c>
      <c r="K1543" s="70" t="n">
        <v>0.85</v>
      </c>
      <c r="L1543" s="122">
        <f>J1543-C1543-(J1543-C1543)*0.2</f>
        <v/>
      </c>
      <c r="M1543" s="123">
        <f>L1543*I1543</f>
        <v/>
      </c>
      <c r="N1543" s="124" t="inlineStr">
        <is>
          <t xml:space="preserve">100-290 шт - </t>
        </is>
      </c>
      <c r="O1543" s="47" t="inlineStr">
        <is>
          <t xml:space="preserve"> руб / шт с НДС</t>
        </is>
      </c>
      <c r="P1543" s="125">
        <f>ROUND(K1543,2)</f>
        <v/>
      </c>
      <c r="Q1543" s="207">
        <f>CONCATENATE(N1543,P1543,O1543,)</f>
        <v/>
      </c>
      <c r="R1543" s="240" t="n"/>
      <c r="T1543" s="241" t="n"/>
      <c r="U1543" s="240" t="n"/>
      <c r="V1543" s="241" t="n"/>
      <c r="Z1543" s="240" t="n"/>
      <c r="AB1543" s="241" t="n"/>
      <c r="AC1543" s="240" t="n"/>
      <c r="AD1543" s="241" t="n"/>
    </row>
    <row r="1544">
      <c r="B1544" s="42" t="n">
        <v>310</v>
      </c>
      <c r="C1544" s="118">
        <f>INDIRECT("'Закуп'!A" &amp; B1544)</f>
        <v/>
      </c>
      <c r="D1544" s="119">
        <f>C1544*1.2</f>
        <v/>
      </c>
      <c r="G1544" s="172">
        <f>IF(INDIRECT("'Закуп'!L" &amp; B1544)="Sale","Sale","")</f>
        <v/>
      </c>
      <c r="H1544" s="158">
        <f>IF(INDIRECT("'Закуп'!F" &amp; B1544)=0,"",INDIRECT("'Закуп'!F" &amp; B1544))</f>
        <v/>
      </c>
      <c r="I1544" s="120" t="n">
        <v>300</v>
      </c>
      <c r="J1544" s="121">
        <f>K1544/1.2</f>
        <v/>
      </c>
      <c r="K1544" s="70" t="n">
        <v>0.7</v>
      </c>
      <c r="L1544" s="122">
        <f>J1544-C1544-(J1544-C1544)*0.2</f>
        <v/>
      </c>
      <c r="M1544" s="123">
        <f>L1544*I1544</f>
        <v/>
      </c>
      <c r="N1544" s="124" t="inlineStr">
        <is>
          <t xml:space="preserve">300-490 шт - </t>
        </is>
      </c>
      <c r="O1544" s="47" t="inlineStr">
        <is>
          <t xml:space="preserve"> руб / шт с НДС</t>
        </is>
      </c>
      <c r="P1544" s="125">
        <f>ROUND(K1544,2)</f>
        <v/>
      </c>
      <c r="Q1544" s="207">
        <f>CONCATENATE(N1544,P1544,O1544,)</f>
        <v/>
      </c>
      <c r="R1544" s="240" t="n"/>
      <c r="T1544" s="241" t="n"/>
      <c r="U1544" s="240" t="n"/>
      <c r="V1544" s="241" t="n"/>
      <c r="Z1544" s="240" t="n"/>
      <c r="AB1544" s="241" t="n"/>
      <c r="AC1544" s="240" t="n"/>
      <c r="AD1544" s="241" t="n"/>
    </row>
    <row r="1545">
      <c r="B1545" s="42" t="n">
        <v>310</v>
      </c>
      <c r="C1545" s="118">
        <f>INDIRECT("'Закуп'!A" &amp; B1545)</f>
        <v/>
      </c>
      <c r="D1545" s="119">
        <f>C1545*1.2</f>
        <v/>
      </c>
      <c r="G1545" s="172">
        <f>IF(INDIRECT("'Закуп'!L" &amp; B1545)="Sale","Sale","")</f>
        <v/>
      </c>
      <c r="H1545" s="158">
        <f>IF(INDIRECT("'Закуп'!F" &amp; B1545)=0,"",INDIRECT("'Закуп'!F" &amp; B1545))</f>
        <v/>
      </c>
      <c r="I1545" s="120" t="n">
        <v>500</v>
      </c>
      <c r="J1545" s="121">
        <f>K1545/1.2</f>
        <v/>
      </c>
      <c r="K1545" s="70" t="n">
        <v>0.55</v>
      </c>
      <c r="L1545" s="122">
        <f>J1545-C1545-(J1545-C1545)*0.2</f>
        <v/>
      </c>
      <c r="M1545" s="123">
        <f>L1545*I1545</f>
        <v/>
      </c>
      <c r="N1545" s="124" t="inlineStr">
        <is>
          <t xml:space="preserve">500-990 шт - </t>
        </is>
      </c>
      <c r="O1545" s="47" t="inlineStr">
        <is>
          <t xml:space="preserve"> руб / шт с НДС</t>
        </is>
      </c>
      <c r="P1545" s="125">
        <f>ROUND(K1545,2)</f>
        <v/>
      </c>
      <c r="Q1545" s="207">
        <f>CONCATENATE(N1545,P1545,O1545,)</f>
        <v/>
      </c>
      <c r="R1545" s="240" t="n"/>
      <c r="T1545" s="241" t="n"/>
      <c r="U1545" s="240" t="n"/>
      <c r="V1545" s="241" t="n"/>
      <c r="Z1545" s="240" t="n"/>
      <c r="AB1545" s="241" t="n"/>
      <c r="AC1545" s="240" t="n"/>
      <c r="AD1545" s="241" t="n"/>
    </row>
    <row r="1546">
      <c r="B1546" s="42" t="n">
        <v>310</v>
      </c>
      <c r="C1546" s="118">
        <f>INDIRECT("'Закуп'!A" &amp; B1546)</f>
        <v/>
      </c>
      <c r="D1546" s="119">
        <f>C1546*1.2</f>
        <v/>
      </c>
      <c r="G1546" s="172">
        <f>IF(INDIRECT("'Закуп'!L" &amp; B1546)="Sale","Sale","")</f>
        <v/>
      </c>
      <c r="H1546" s="158">
        <f>IF(INDIRECT("'Закуп'!F" &amp; B1546)=0,"",INDIRECT("'Закуп'!F" &amp; B1546))</f>
        <v/>
      </c>
      <c r="I1546" s="120" t="n">
        <v>1000</v>
      </c>
      <c r="J1546" s="121">
        <f>K1546/1.2</f>
        <v/>
      </c>
      <c r="K1546" s="70" t="n">
        <v>0.45</v>
      </c>
      <c r="L1546" s="122">
        <f>J1546-C1546-(J1546-C1546)*0.2</f>
        <v/>
      </c>
      <c r="M1546" s="123">
        <f>L1546*I1546</f>
        <v/>
      </c>
      <c r="N1546" s="124" t="inlineStr">
        <is>
          <t xml:space="preserve">1000 + шт - </t>
        </is>
      </c>
      <c r="O1546" s="47" t="inlineStr">
        <is>
          <t xml:space="preserve"> руб / шт с НДС</t>
        </is>
      </c>
      <c r="P1546" s="125">
        <f>ROUND(K1546,2)</f>
        <v/>
      </c>
      <c r="Q1546" s="207">
        <f>CONCATENATE(N1546,P1546,O1546,)</f>
        <v/>
      </c>
      <c r="R1546" s="240" t="n"/>
      <c r="T1546" s="241" t="n"/>
      <c r="U1546" s="240" t="n"/>
      <c r="V1546" s="241" t="n"/>
      <c r="Z1546" s="240" t="n"/>
      <c r="AB1546" s="241" t="n"/>
      <c r="AC1546" s="240" t="n"/>
      <c r="AD1546" s="241" t="n"/>
    </row>
    <row r="1547">
      <c r="A1547" s="232" t="n">
        <v>311</v>
      </c>
      <c r="B1547" s="42" t="n">
        <v>311</v>
      </c>
      <c r="C1547" s="118">
        <f>INDIRECT("'Закуп'!A" &amp; B1547)</f>
        <v/>
      </c>
      <c r="D1547" s="119">
        <f>C1547*1.2</f>
        <v/>
      </c>
      <c r="E1547" s="224">
        <f>INDIRECT("'Закуп'!D" &amp; A1547)</f>
        <v/>
      </c>
      <c r="F1547" s="231">
        <f>INDIRECT("'Закуп'!E" &amp; B1547)</f>
        <v/>
      </c>
      <c r="G1547" s="172">
        <f>IF(INDIRECT("'Закуп'!L" &amp; B1547)="Sale","Sale","")</f>
        <v/>
      </c>
      <c r="H1547" s="158">
        <f>IF(INDIRECT("'Закуп'!F" &amp; B1547)=0,"",INDIRECT("'Закуп'!F" &amp; B1547))</f>
        <v/>
      </c>
      <c r="I1547" s="120" t="n">
        <v>50</v>
      </c>
      <c r="J1547" s="121">
        <f>K1547/1.2</f>
        <v/>
      </c>
      <c r="K1547" s="242" t="n">
        <v>1.41</v>
      </c>
      <c r="L1547" s="122">
        <f>J1547-C1547-(J1547-C1547)*0.2</f>
        <v/>
      </c>
      <c r="M1547" s="123">
        <f>L1547*I1547</f>
        <v/>
      </c>
      <c r="N1547" s="124" t="inlineStr">
        <is>
          <t xml:space="preserve">50-90 шт - </t>
        </is>
      </c>
      <c r="O1547" s="47" t="inlineStr">
        <is>
          <t xml:space="preserve"> руб / шт с НДС</t>
        </is>
      </c>
      <c r="P1547" s="125">
        <f>ROUND(K1547,2)</f>
        <v/>
      </c>
      <c r="Q1547" s="207">
        <f>CONCATENATE(N1547,P1547,O1547,)</f>
        <v/>
      </c>
      <c r="R1547" s="235">
        <f>INDIRECT("'Закуп'!k" &amp; A1547)</f>
        <v/>
      </c>
      <c r="S1547" s="239">
        <f>INDIRECT("'Закуп'!o" &amp; A1547)</f>
        <v/>
      </c>
      <c r="T1547" s="226">
        <f>INDIRECT("'Закуп'!p" &amp; A1547)</f>
        <v/>
      </c>
      <c r="U1547" s="235">
        <f>INDIRECT("'Закуп'!v" &amp; A1547)</f>
        <v/>
      </c>
      <c r="V1547" s="222">
        <f>INDIRECT("'Закуп'!w" &amp; A1547)</f>
        <v/>
      </c>
      <c r="W1547" s="229">
        <f>INDIRECT("'Закуп'!H" &amp; A1547)</f>
        <v/>
      </c>
      <c r="X1547" s="237">
        <f>INDIRECT("'Закуп'!g" &amp; A1547)</f>
        <v/>
      </c>
      <c r="Y1547" s="229">
        <f>INDIRECT("'Закуп'!i" &amp; A1547)</f>
        <v/>
      </c>
      <c r="Z1547" s="236">
        <f>INDIRECT("'Закуп'!x" &amp; A1547)</f>
        <v/>
      </c>
      <c r="AA1547" s="237">
        <f>INDIRECT("'Закуп'!y" &amp; A1547)</f>
        <v/>
      </c>
      <c r="AB1547" s="238">
        <f>INDIRECT("'Закуп'!z" &amp; A1547)</f>
        <v/>
      </c>
      <c r="AC1547" s="223">
        <f>SUBSTITUTE(INDEX(F:F, ROUNDUP((ROW(A1546))/5,0)*5 - 3), "х", "x")</f>
        <v/>
      </c>
      <c r="AD1547" s="222">
        <f>SUBSTITUTE(INDEX(F:F, ROUNDUP((ROW(A1546))/5,0)*5 - 3), "х", "x") &amp; " - " &amp; SUBSTITUTE(SUBSTITUTE(INDEX(F:F, ROUNDUP((ROW(A1546))/5,0)*5 - 3), "х", "*"), "x", "*") &amp; " мм"</f>
        <v/>
      </c>
      <c r="AE1547" t="n">
        <v>1.05</v>
      </c>
    </row>
    <row r="1548">
      <c r="B1548" s="42" t="n">
        <v>311</v>
      </c>
      <c r="C1548" s="118">
        <f>INDIRECT("'Закуп'!A" &amp; B1548)</f>
        <v/>
      </c>
      <c r="D1548" s="119">
        <f>C1548*1.2</f>
        <v/>
      </c>
      <c r="G1548" s="172">
        <f>IF(INDIRECT("'Закуп'!L" &amp; B1548)="Sale","Sale","")</f>
        <v/>
      </c>
      <c r="H1548" s="158">
        <f>IF(INDIRECT("'Закуп'!F" &amp; B1548)=0,"",INDIRECT("'Закуп'!F" &amp; B1548))</f>
        <v/>
      </c>
      <c r="I1548" s="120" t="n">
        <v>100</v>
      </c>
      <c r="J1548" s="121">
        <f>K1548/1.2</f>
        <v/>
      </c>
      <c r="K1548" s="242" t="n">
        <v>1.25</v>
      </c>
      <c r="L1548" s="122">
        <f>J1548-C1548-(J1548-C1548)*0.2</f>
        <v/>
      </c>
      <c r="M1548" s="123">
        <f>L1548*I1548</f>
        <v/>
      </c>
      <c r="N1548" s="124" t="inlineStr">
        <is>
          <t xml:space="preserve">100-290 шт - </t>
        </is>
      </c>
      <c r="O1548" s="47" t="inlineStr">
        <is>
          <t xml:space="preserve"> руб / шт с НДС</t>
        </is>
      </c>
      <c r="P1548" s="125">
        <f>ROUND(K1548,2)</f>
        <v/>
      </c>
      <c r="Q1548" s="207">
        <f>CONCATENATE(N1548,P1548,O1548,)</f>
        <v/>
      </c>
      <c r="R1548" s="240" t="n"/>
      <c r="T1548" s="241" t="n"/>
      <c r="U1548" s="240" t="n"/>
      <c r="V1548" s="241" t="n"/>
      <c r="Z1548" s="240" t="n"/>
      <c r="AB1548" s="241" t="n"/>
      <c r="AC1548" s="240" t="n"/>
      <c r="AD1548" s="241" t="n"/>
      <c r="AE1548" t="n">
        <v>0.92</v>
      </c>
    </row>
    <row r="1549">
      <c r="B1549" s="42" t="n">
        <v>311</v>
      </c>
      <c r="C1549" s="118">
        <f>INDIRECT("'Закуп'!A" &amp; B1549)</f>
        <v/>
      </c>
      <c r="D1549" s="119">
        <f>C1549*1.2</f>
        <v/>
      </c>
      <c r="G1549" s="172">
        <f>IF(INDIRECT("'Закуп'!L" &amp; B1549)="Sale","Sale","")</f>
        <v/>
      </c>
      <c r="H1549" s="158">
        <f>IF(INDIRECT("'Закуп'!F" &amp; B1549)=0,"",INDIRECT("'Закуп'!F" &amp; B1549))</f>
        <v/>
      </c>
      <c r="I1549" s="120" t="n">
        <v>300</v>
      </c>
      <c r="J1549" s="121">
        <f>K1549/1.2</f>
        <v/>
      </c>
      <c r="K1549" s="242" t="n">
        <v>1.08</v>
      </c>
      <c r="L1549" s="122">
        <f>J1549-C1549-(J1549-C1549)*0.2</f>
        <v/>
      </c>
      <c r="M1549" s="123">
        <f>L1549*I1549</f>
        <v/>
      </c>
      <c r="N1549" s="124" t="inlineStr">
        <is>
          <t xml:space="preserve">300-490 шт - </t>
        </is>
      </c>
      <c r="O1549" s="47" t="inlineStr">
        <is>
          <t xml:space="preserve"> руб / шт с НДС</t>
        </is>
      </c>
      <c r="P1549" s="125">
        <f>ROUND(K1549,2)</f>
        <v/>
      </c>
      <c r="Q1549" s="207">
        <f>CONCATENATE(N1549,P1549,O1549,)</f>
        <v/>
      </c>
      <c r="R1549" s="240" t="n"/>
      <c r="T1549" s="241" t="n"/>
      <c r="U1549" s="240" t="n"/>
      <c r="V1549" s="241" t="n"/>
      <c r="Z1549" s="240" t="n"/>
      <c r="AB1549" s="241" t="n"/>
      <c r="AC1549" s="240" t="n"/>
      <c r="AD1549" s="241" t="n"/>
      <c r="AE1549" t="n">
        <v>0.82</v>
      </c>
    </row>
    <row r="1550">
      <c r="B1550" s="42" t="n">
        <v>311</v>
      </c>
      <c r="C1550" s="118">
        <f>INDIRECT("'Закуп'!A" &amp; B1550)</f>
        <v/>
      </c>
      <c r="D1550" s="119">
        <f>C1550*1.2</f>
        <v/>
      </c>
      <c r="G1550" s="172">
        <f>IF(INDIRECT("'Закуп'!L" &amp; B1550)="Sale","Sale","")</f>
        <v/>
      </c>
      <c r="H1550" s="158">
        <f>IF(INDIRECT("'Закуп'!F" &amp; B1550)=0,"",INDIRECT("'Закуп'!F" &amp; B1550))</f>
        <v/>
      </c>
      <c r="I1550" s="120" t="n">
        <v>500</v>
      </c>
      <c r="J1550" s="121">
        <f>K1550/1.2</f>
        <v/>
      </c>
      <c r="K1550" s="242" t="n">
        <v>1</v>
      </c>
      <c r="L1550" s="122">
        <f>J1550-C1550-(J1550-C1550)*0.2</f>
        <v/>
      </c>
      <c r="M1550" s="123">
        <f>L1550*I1550</f>
        <v/>
      </c>
      <c r="N1550" s="124" t="inlineStr">
        <is>
          <t xml:space="preserve">500-990 шт - </t>
        </is>
      </c>
      <c r="O1550" s="47" t="inlineStr">
        <is>
          <t xml:space="preserve"> руб / шт с НДС</t>
        </is>
      </c>
      <c r="P1550" s="125">
        <f>ROUND(K1550,2)</f>
        <v/>
      </c>
      <c r="Q1550" s="207">
        <f>CONCATENATE(N1550,P1550,O1550,)</f>
        <v/>
      </c>
      <c r="R1550" s="240" t="n"/>
      <c r="T1550" s="241" t="n"/>
      <c r="U1550" s="240" t="n"/>
      <c r="V1550" s="241" t="n"/>
      <c r="Z1550" s="240" t="n"/>
      <c r="AB1550" s="241" t="n"/>
      <c r="AC1550" s="240" t="n"/>
      <c r="AD1550" s="241" t="n"/>
      <c r="AE1550" t="n">
        <v>0.72</v>
      </c>
    </row>
    <row r="1551">
      <c r="B1551" s="42" t="n">
        <v>311</v>
      </c>
      <c r="C1551" s="118">
        <f>INDIRECT("'Закуп'!A" &amp; B1551)</f>
        <v/>
      </c>
      <c r="D1551" s="119">
        <f>C1551*1.2</f>
        <v/>
      </c>
      <c r="G1551" s="172">
        <f>IF(INDIRECT("'Закуп'!L" &amp; B1551)="Sale","Sale","")</f>
        <v/>
      </c>
      <c r="H1551" s="158">
        <f>IF(INDIRECT("'Закуп'!F" &amp; B1551)=0,"",INDIRECT("'Закуп'!F" &amp; B1551))</f>
        <v/>
      </c>
      <c r="I1551" s="120" t="n">
        <v>1000</v>
      </c>
      <c r="J1551" s="121">
        <f>K1551/1.2</f>
        <v/>
      </c>
      <c r="K1551" s="242" t="n">
        <v>0.83</v>
      </c>
      <c r="L1551" s="122">
        <f>J1551-C1551-(J1551-C1551)*0.2</f>
        <v/>
      </c>
      <c r="M1551" s="123">
        <f>L1551*I1551</f>
        <v/>
      </c>
      <c r="N1551" s="124" t="inlineStr">
        <is>
          <t xml:space="preserve">1000 + шт - </t>
        </is>
      </c>
      <c r="O1551" s="47" t="inlineStr">
        <is>
          <t xml:space="preserve"> руб / шт с НДС</t>
        </is>
      </c>
      <c r="P1551" s="125">
        <f>ROUND(K1551,2)</f>
        <v/>
      </c>
      <c r="Q1551" s="207">
        <f>CONCATENATE(N1551,P1551,O1551,)</f>
        <v/>
      </c>
      <c r="R1551" s="240" t="n"/>
      <c r="T1551" s="241" t="n"/>
      <c r="U1551" s="240" t="n"/>
      <c r="V1551" s="241" t="n"/>
      <c r="Z1551" s="240" t="n"/>
      <c r="AB1551" s="241" t="n"/>
      <c r="AC1551" s="240" t="n"/>
      <c r="AD1551" s="241" t="n"/>
      <c r="AE1551" t="n">
        <v>0.62</v>
      </c>
    </row>
    <row r="1552">
      <c r="A1552" s="232" t="n">
        <v>312</v>
      </c>
      <c r="B1552" s="42" t="n">
        <v>312</v>
      </c>
      <c r="C1552" s="118">
        <f>INDIRECT("'Закуп'!A" &amp; B1552)</f>
        <v/>
      </c>
      <c r="D1552" s="119">
        <f>C1552*1.2</f>
        <v/>
      </c>
      <c r="E1552" s="233">
        <f>INDIRECT("'Закуп'!D" &amp; A1552)</f>
        <v/>
      </c>
      <c r="F1552" s="231">
        <f>INDIRECT("'Закуп'!E" &amp; B1552)</f>
        <v/>
      </c>
      <c r="G1552" s="172">
        <f>IF(INDIRECT("'Закуп'!L" &amp; B1552)="Sale","Sale","")</f>
        <v/>
      </c>
      <c r="H1552" s="158">
        <f>IF(INDIRECT("'Закуп'!F" &amp; B1552)=0,"",INDIRECT("'Закуп'!F" &amp; B1552))</f>
        <v/>
      </c>
      <c r="I1552" s="120" t="n">
        <v>50</v>
      </c>
      <c r="J1552" s="121">
        <f>K1552/1.2</f>
        <v/>
      </c>
      <c r="K1552" s="70" t="n">
        <v>1.68</v>
      </c>
      <c r="L1552" s="122">
        <f>J1552-C1552-(J1552-C1552)*0.2</f>
        <v/>
      </c>
      <c r="M1552" s="123">
        <f>L1552*I1552</f>
        <v/>
      </c>
      <c r="N1552" s="124" t="inlineStr">
        <is>
          <t xml:space="preserve">50-90 шт - </t>
        </is>
      </c>
      <c r="O1552" s="47" t="inlineStr">
        <is>
          <t xml:space="preserve"> руб / шт с НДС</t>
        </is>
      </c>
      <c r="P1552" s="125">
        <f>ROUND(K1552,2)</f>
        <v/>
      </c>
      <c r="Q1552" s="207">
        <f>CONCATENATE(N1552,P1552,O1552,)</f>
        <v/>
      </c>
      <c r="R1552" s="235">
        <f>INDIRECT("'Закуп'!k" &amp; A1552)</f>
        <v/>
      </c>
      <c r="S1552" s="239">
        <f>INDIRECT("'Закуп'!o" &amp; A1552)</f>
        <v/>
      </c>
      <c r="T1552" s="234">
        <f>INDIRECT("'Закуп'!p" &amp; A1552)</f>
        <v/>
      </c>
      <c r="U1552" s="235">
        <f>INDIRECT("'Закуп'!v" &amp; A1552)</f>
        <v/>
      </c>
      <c r="V1552" s="222">
        <f>INDIRECT("'Закуп'!w" &amp; A1552)</f>
        <v/>
      </c>
      <c r="W1552" s="229">
        <f>INDIRECT("'Закуп'!H" &amp; A1552)</f>
        <v/>
      </c>
      <c r="X1552" s="237">
        <f>INDIRECT("'Закуп'!g" &amp; A1552)</f>
        <v/>
      </c>
      <c r="Y1552" s="229">
        <f>INDIRECT("'Закуп'!i" &amp; A1552)</f>
        <v/>
      </c>
      <c r="Z1552" s="236">
        <f>INDIRECT("'Закуп'!x" &amp; A1552)</f>
        <v/>
      </c>
      <c r="AA1552" s="237">
        <f>INDIRECT("'Закуп'!y" &amp; A1552)</f>
        <v/>
      </c>
      <c r="AB1552" s="238">
        <f>INDIRECT("'Закуп'!z" &amp; A1552)</f>
        <v/>
      </c>
      <c r="AC1552" s="223">
        <f>SUBSTITUTE(INDEX(F:F, ROUNDUP((ROW(A1551))/5,0)*5 - 3), "х", "x")</f>
        <v/>
      </c>
      <c r="AD1552" s="222">
        <f>SUBSTITUTE(INDEX(F:F, ROUNDUP((ROW(A1551))/5,0)*5 - 3), "х", "x") &amp; " - " &amp; SUBSTITUTE(SUBSTITUTE(INDEX(F:F, ROUNDUP((ROW(A1551))/5,0)*5 - 3), "х", "*"), "x", "*") &amp; " мм"</f>
        <v/>
      </c>
    </row>
    <row r="1553">
      <c r="B1553" s="42" t="n">
        <v>312</v>
      </c>
      <c r="C1553" s="118">
        <f>INDIRECT("'Закуп'!A" &amp; B1553)</f>
        <v/>
      </c>
      <c r="D1553" s="119">
        <f>C1553*1.2</f>
        <v/>
      </c>
      <c r="G1553" s="172">
        <f>IF(INDIRECT("'Закуп'!L" &amp; B1553)="Sale","Sale","")</f>
        <v/>
      </c>
      <c r="H1553" s="158">
        <f>IF(INDIRECT("'Закуп'!F" &amp; B1553)=0,"",INDIRECT("'Закуп'!F" &amp; B1553))</f>
        <v/>
      </c>
      <c r="I1553" s="120" t="n">
        <v>100</v>
      </c>
      <c r="J1553" s="121">
        <f>K1553/1.2</f>
        <v/>
      </c>
      <c r="K1553" s="70" t="n">
        <v>1.42</v>
      </c>
      <c r="L1553" s="122">
        <f>J1553-C1553-(J1553-C1553)*0.2</f>
        <v/>
      </c>
      <c r="M1553" s="123">
        <f>L1553*I1553</f>
        <v/>
      </c>
      <c r="N1553" s="124" t="inlineStr">
        <is>
          <t xml:space="preserve">100-290 шт - </t>
        </is>
      </c>
      <c r="O1553" s="47" t="inlineStr">
        <is>
          <t xml:space="preserve"> руб / шт с НДС</t>
        </is>
      </c>
      <c r="P1553" s="125">
        <f>ROUND(K1553,2)</f>
        <v/>
      </c>
      <c r="Q1553" s="207">
        <f>CONCATENATE(N1553,P1553,O1553,)</f>
        <v/>
      </c>
      <c r="R1553" s="240" t="n"/>
      <c r="T1553" s="241" t="n"/>
      <c r="U1553" s="240" t="n"/>
      <c r="V1553" s="241" t="n"/>
      <c r="Z1553" s="240" t="n"/>
      <c r="AB1553" s="241" t="n"/>
      <c r="AC1553" s="240" t="n"/>
      <c r="AD1553" s="241" t="n"/>
    </row>
    <row r="1554">
      <c r="B1554" s="42" t="n">
        <v>312</v>
      </c>
      <c r="C1554" s="118">
        <f>INDIRECT("'Закуп'!A" &amp; B1554)</f>
        <v/>
      </c>
      <c r="D1554" s="119">
        <f>C1554*1.2</f>
        <v/>
      </c>
      <c r="G1554" s="172">
        <f>IF(INDIRECT("'Закуп'!L" &amp; B1554)="Sale","Sale","")</f>
        <v/>
      </c>
      <c r="H1554" s="158">
        <f>IF(INDIRECT("'Закуп'!F" &amp; B1554)=0,"",INDIRECT("'Закуп'!F" &amp; B1554))</f>
        <v/>
      </c>
      <c r="I1554" s="120" t="n">
        <v>300</v>
      </c>
      <c r="J1554" s="121">
        <f>K1554/1.2</f>
        <v/>
      </c>
      <c r="K1554" s="70" t="n">
        <v>1.37</v>
      </c>
      <c r="L1554" s="122">
        <f>J1554-C1554-(J1554-C1554)*0.2</f>
        <v/>
      </c>
      <c r="M1554" s="123">
        <f>L1554*I1554</f>
        <v/>
      </c>
      <c r="N1554" s="124" t="inlineStr">
        <is>
          <t xml:space="preserve">300-490 шт - </t>
        </is>
      </c>
      <c r="O1554" s="47" t="inlineStr">
        <is>
          <t xml:space="preserve"> руб / шт с НДС</t>
        </is>
      </c>
      <c r="P1554" s="125">
        <f>ROUND(K1554,2)</f>
        <v/>
      </c>
      <c r="Q1554" s="207">
        <f>CONCATENATE(N1554,P1554,O1554,)</f>
        <v/>
      </c>
      <c r="R1554" s="240" t="n"/>
      <c r="T1554" s="241" t="n"/>
      <c r="U1554" s="240" t="n"/>
      <c r="V1554" s="241" t="n"/>
      <c r="Z1554" s="240" t="n"/>
      <c r="AB1554" s="241" t="n"/>
      <c r="AC1554" s="240" t="n"/>
      <c r="AD1554" s="241" t="n"/>
    </row>
    <row r="1555">
      <c r="B1555" s="42" t="n">
        <v>312</v>
      </c>
      <c r="C1555" s="118">
        <f>INDIRECT("'Закуп'!A" &amp; B1555)</f>
        <v/>
      </c>
      <c r="D1555" s="119">
        <f>C1555*1.2</f>
        <v/>
      </c>
      <c r="G1555" s="172">
        <f>IF(INDIRECT("'Закуп'!L" &amp; B1555)="Sale","Sale","")</f>
        <v/>
      </c>
      <c r="H1555" s="158">
        <f>IF(INDIRECT("'Закуп'!F" &amp; B1555)=0,"",INDIRECT("'Закуп'!F" &amp; B1555))</f>
        <v/>
      </c>
      <c r="I1555" s="120" t="n">
        <v>500</v>
      </c>
      <c r="J1555" s="121">
        <f>K1555/1.2</f>
        <v/>
      </c>
      <c r="K1555" s="70" t="n">
        <v>1.28</v>
      </c>
      <c r="L1555" s="122">
        <f>J1555-C1555-(J1555-C1555)*0.2</f>
        <v/>
      </c>
      <c r="M1555" s="123">
        <f>L1555*I1555</f>
        <v/>
      </c>
      <c r="N1555" s="124" t="inlineStr">
        <is>
          <t xml:space="preserve">500-990 шт - </t>
        </is>
      </c>
      <c r="O1555" s="47" t="inlineStr">
        <is>
          <t xml:space="preserve"> руб / шт с НДС</t>
        </is>
      </c>
      <c r="P1555" s="125">
        <f>ROUND(K1555,2)</f>
        <v/>
      </c>
      <c r="Q1555" s="207">
        <f>CONCATENATE(N1555,P1555,O1555,)</f>
        <v/>
      </c>
      <c r="R1555" s="240" t="n"/>
      <c r="T1555" s="241" t="n"/>
      <c r="U1555" s="240" t="n"/>
      <c r="V1555" s="241" t="n"/>
      <c r="Z1555" s="240" t="n"/>
      <c r="AB1555" s="241" t="n"/>
      <c r="AC1555" s="240" t="n"/>
      <c r="AD1555" s="241" t="n"/>
    </row>
    <row r="1556">
      <c r="B1556" s="42" t="n">
        <v>312</v>
      </c>
      <c r="C1556" s="118">
        <f>INDIRECT("'Закуп'!A" &amp; B1556)</f>
        <v/>
      </c>
      <c r="D1556" s="119">
        <f>C1556*1.2</f>
        <v/>
      </c>
      <c r="G1556" s="172">
        <f>IF(INDIRECT("'Закуп'!L" &amp; B1556)="Sale","Sale","")</f>
        <v/>
      </c>
      <c r="H1556" s="158">
        <f>IF(INDIRECT("'Закуп'!F" &amp; B1556)=0,"",INDIRECT("'Закуп'!F" &amp; B1556))</f>
        <v/>
      </c>
      <c r="I1556" s="120" t="n">
        <v>1000</v>
      </c>
      <c r="J1556" s="121">
        <f>K1556/1.2</f>
        <v/>
      </c>
      <c r="K1556" s="70" t="n">
        <v>1.2</v>
      </c>
      <c r="L1556" s="122">
        <f>J1556-C1556-(J1556-C1556)*0.2</f>
        <v/>
      </c>
      <c r="M1556" s="123">
        <f>L1556*I1556</f>
        <v/>
      </c>
      <c r="N1556" s="124" t="inlineStr">
        <is>
          <t xml:space="preserve">1000 + шт - </t>
        </is>
      </c>
      <c r="O1556" s="47" t="inlineStr">
        <is>
          <t xml:space="preserve"> руб / шт с НДС</t>
        </is>
      </c>
      <c r="P1556" s="125">
        <f>ROUND(K1556,2)</f>
        <v/>
      </c>
      <c r="Q1556" s="207">
        <f>CONCATENATE(N1556,P1556,O1556,)</f>
        <v/>
      </c>
      <c r="R1556" s="240" t="n"/>
      <c r="T1556" s="241" t="n"/>
      <c r="U1556" s="240" t="n"/>
      <c r="V1556" s="241" t="n"/>
      <c r="Z1556" s="240" t="n"/>
      <c r="AB1556" s="241" t="n"/>
      <c r="AC1556" s="240" t="n"/>
      <c r="AD1556" s="241" t="n"/>
    </row>
    <row r="1557">
      <c r="A1557" s="232" t="n">
        <v>313</v>
      </c>
      <c r="B1557" s="42" t="n">
        <v>313</v>
      </c>
      <c r="C1557" s="118">
        <f>INDIRECT("'Закуп'!A" &amp; B1557)</f>
        <v/>
      </c>
      <c r="D1557" s="119">
        <f>C1557*1.2</f>
        <v/>
      </c>
      <c r="E1557" s="233">
        <f>INDIRECT("'Закуп'!D" &amp; A1557)</f>
        <v/>
      </c>
      <c r="F1557" s="231">
        <f>INDIRECT("'Закуп'!E" &amp; B1557)</f>
        <v/>
      </c>
      <c r="G1557" s="172">
        <f>IF(INDIRECT("'Закуп'!L" &amp; B1557)="Sale","Sale","")</f>
        <v/>
      </c>
      <c r="H1557" s="158">
        <f>IF(INDIRECT("'Закуп'!F" &amp; B1557)=0,"",INDIRECT("'Закуп'!F" &amp; B1557))</f>
        <v/>
      </c>
      <c r="I1557" s="120" t="n">
        <v>50</v>
      </c>
      <c r="J1557" s="121">
        <f>K1557/1.2</f>
        <v/>
      </c>
      <c r="K1557" s="70" t="n">
        <v>2.05</v>
      </c>
      <c r="L1557" s="122">
        <f>J1557-C1557-(J1557-C1557)*0.2</f>
        <v/>
      </c>
      <c r="M1557" s="123">
        <f>L1557*I1557</f>
        <v/>
      </c>
      <c r="N1557" s="124" t="inlineStr">
        <is>
          <t xml:space="preserve">50-90 шт - </t>
        </is>
      </c>
      <c r="O1557" s="47" t="inlineStr">
        <is>
          <t xml:space="preserve"> руб / шт с НДС</t>
        </is>
      </c>
      <c r="P1557" s="125">
        <f>ROUND(K1557,2)</f>
        <v/>
      </c>
      <c r="Q1557" s="207">
        <f>CONCATENATE(N1557,P1557,O1557,)</f>
        <v/>
      </c>
      <c r="R1557" s="235">
        <f>INDIRECT("'Закуп'!k" &amp; A1557)</f>
        <v/>
      </c>
      <c r="S1557" s="239">
        <f>INDIRECT("'Закуп'!o" &amp; A1557)</f>
        <v/>
      </c>
      <c r="T1557" s="226">
        <f>INDIRECT("'Закуп'!p" &amp; A1557)</f>
        <v/>
      </c>
      <c r="U1557" s="235">
        <f>INDIRECT("'Закуп'!v" &amp; A1557)</f>
        <v/>
      </c>
      <c r="V1557" s="222">
        <f>INDIRECT("'Закуп'!w" &amp; A1557)</f>
        <v/>
      </c>
      <c r="W1557" s="229">
        <f>INDIRECT("'Закуп'!H" &amp; A1557)</f>
        <v/>
      </c>
      <c r="X1557" s="237">
        <f>INDIRECT("'Закуп'!g" &amp; A1557)</f>
        <v/>
      </c>
      <c r="Y1557" s="229">
        <f>INDIRECT("'Закуп'!i" &amp; A1557)</f>
        <v/>
      </c>
      <c r="Z1557" s="236">
        <f>INDIRECT("'Закуп'!x" &amp; A1557)</f>
        <v/>
      </c>
      <c r="AA1557" s="237">
        <f>INDIRECT("'Закуп'!y" &amp; A1557)</f>
        <v/>
      </c>
      <c r="AB1557" s="238">
        <f>INDIRECT("'Закуп'!z" &amp; A1557)</f>
        <v/>
      </c>
      <c r="AC1557" s="223">
        <f>SUBSTITUTE(INDEX(F:F, ROUNDUP((ROW(A1556))/5,0)*5 - 3), "х", "x")</f>
        <v/>
      </c>
      <c r="AD1557" s="222">
        <f>SUBSTITUTE(INDEX(F:F, ROUNDUP((ROW(A1556))/5,0)*5 - 3), "х", "x") &amp; " - " &amp; SUBSTITUTE(SUBSTITUTE(INDEX(F:F, ROUNDUP((ROW(A1556))/5,0)*5 - 3), "х", "*"), "x", "*") &amp; " мм"</f>
        <v/>
      </c>
    </row>
    <row r="1558">
      <c r="B1558" s="42" t="n">
        <v>313</v>
      </c>
      <c r="C1558" s="118">
        <f>INDIRECT("'Закуп'!A" &amp; B1558)</f>
        <v/>
      </c>
      <c r="D1558" s="119">
        <f>C1558*1.2</f>
        <v/>
      </c>
      <c r="G1558" s="172">
        <f>IF(INDIRECT("'Закуп'!L" &amp; B1558)="Sale","Sale","")</f>
        <v/>
      </c>
      <c r="H1558" s="158">
        <f>IF(INDIRECT("'Закуп'!F" &amp; B1558)=0,"",INDIRECT("'Закуп'!F" &amp; B1558))</f>
        <v/>
      </c>
      <c r="I1558" s="120" t="n">
        <v>100</v>
      </c>
      <c r="J1558" s="121">
        <f>K1558/1.2</f>
        <v/>
      </c>
      <c r="K1558" s="70" t="n">
        <v>2.05</v>
      </c>
      <c r="L1558" s="122">
        <f>J1558-C1558-(J1558-C1558)*0.2</f>
        <v/>
      </c>
      <c r="M1558" s="123">
        <f>L1558*I1558</f>
        <v/>
      </c>
      <c r="N1558" s="124" t="inlineStr">
        <is>
          <t xml:space="preserve">100-290 шт - </t>
        </is>
      </c>
      <c r="O1558" s="47" t="inlineStr">
        <is>
          <t xml:space="preserve"> руб / шт с НДС</t>
        </is>
      </c>
      <c r="P1558" s="125">
        <f>ROUND(K1558,2)</f>
        <v/>
      </c>
      <c r="Q1558" s="207">
        <f>CONCATENATE(N1558,P1558,O1558,)</f>
        <v/>
      </c>
      <c r="R1558" s="240" t="n"/>
      <c r="T1558" s="241" t="n"/>
      <c r="U1558" s="240" t="n"/>
      <c r="V1558" s="241" t="n"/>
      <c r="Z1558" s="240" t="n"/>
      <c r="AB1558" s="241" t="n"/>
      <c r="AC1558" s="240" t="n"/>
      <c r="AD1558" s="241" t="n"/>
    </row>
    <row r="1559">
      <c r="B1559" s="42" t="n">
        <v>313</v>
      </c>
      <c r="C1559" s="118">
        <f>INDIRECT("'Закуп'!A" &amp; B1559)</f>
        <v/>
      </c>
      <c r="D1559" s="119">
        <f>C1559*1.2</f>
        <v/>
      </c>
      <c r="G1559" s="172">
        <f>IF(INDIRECT("'Закуп'!L" &amp; B1559)="Sale","Sale","")</f>
        <v/>
      </c>
      <c r="H1559" s="158">
        <f>IF(INDIRECT("'Закуп'!F" &amp; B1559)=0,"",INDIRECT("'Закуп'!F" &amp; B1559))</f>
        <v/>
      </c>
      <c r="I1559" s="120" t="n">
        <v>300</v>
      </c>
      <c r="J1559" s="121">
        <f>K1559/1.2</f>
        <v/>
      </c>
      <c r="K1559" s="70" t="n">
        <v>2.05</v>
      </c>
      <c r="L1559" s="122">
        <f>J1559-C1559-(J1559-C1559)*0.2</f>
        <v/>
      </c>
      <c r="M1559" s="123">
        <f>L1559*I1559</f>
        <v/>
      </c>
      <c r="N1559" s="124" t="inlineStr">
        <is>
          <t xml:space="preserve">300-490 шт - </t>
        </is>
      </c>
      <c r="O1559" s="47" t="inlineStr">
        <is>
          <t xml:space="preserve"> руб / шт с НДС</t>
        </is>
      </c>
      <c r="P1559" s="125">
        <f>ROUND(K1559,2)</f>
        <v/>
      </c>
      <c r="Q1559" s="207">
        <f>CONCATENATE(N1559,P1559,O1559,)</f>
        <v/>
      </c>
      <c r="R1559" s="240" t="n"/>
      <c r="T1559" s="241" t="n"/>
      <c r="U1559" s="240" t="n"/>
      <c r="V1559" s="241" t="n"/>
      <c r="Z1559" s="240" t="n"/>
      <c r="AB1559" s="241" t="n"/>
      <c r="AC1559" s="240" t="n"/>
      <c r="AD1559" s="241" t="n"/>
    </row>
    <row r="1560">
      <c r="B1560" s="42" t="n">
        <v>313</v>
      </c>
      <c r="C1560" s="118">
        <f>INDIRECT("'Закуп'!A" &amp; B1560)</f>
        <v/>
      </c>
      <c r="D1560" s="119">
        <f>C1560*1.2</f>
        <v/>
      </c>
      <c r="G1560" s="172">
        <f>IF(INDIRECT("'Закуп'!L" &amp; B1560)="Sale","Sale","")</f>
        <v/>
      </c>
      <c r="H1560" s="158">
        <f>IF(INDIRECT("'Закуп'!F" &amp; B1560)=0,"",INDIRECT("'Закуп'!F" &amp; B1560))</f>
        <v/>
      </c>
      <c r="I1560" s="120" t="n">
        <v>500</v>
      </c>
      <c r="J1560" s="121">
        <f>K1560/1.2</f>
        <v/>
      </c>
      <c r="K1560" s="70" t="n">
        <v>2.05</v>
      </c>
      <c r="L1560" s="122">
        <f>J1560-C1560-(J1560-C1560)*0.2</f>
        <v/>
      </c>
      <c r="M1560" s="123">
        <f>L1560*I1560</f>
        <v/>
      </c>
      <c r="N1560" s="124" t="inlineStr">
        <is>
          <t xml:space="preserve">500-990 шт - </t>
        </is>
      </c>
      <c r="O1560" s="47" t="inlineStr">
        <is>
          <t xml:space="preserve"> руб / шт с НДС</t>
        </is>
      </c>
      <c r="P1560" s="125">
        <f>ROUND(K1560,2)</f>
        <v/>
      </c>
      <c r="Q1560" s="207">
        <f>CONCATENATE(N1560,P1560,O1560,)</f>
        <v/>
      </c>
      <c r="R1560" s="240" t="n"/>
      <c r="T1560" s="241" t="n"/>
      <c r="U1560" s="240" t="n"/>
      <c r="V1560" s="241" t="n"/>
      <c r="Z1560" s="240" t="n"/>
      <c r="AB1560" s="241" t="n"/>
      <c r="AC1560" s="240" t="n"/>
      <c r="AD1560" s="241" t="n"/>
    </row>
    <row r="1561">
      <c r="B1561" s="42" t="n">
        <v>313</v>
      </c>
      <c r="C1561" s="118">
        <f>INDIRECT("'Закуп'!A" &amp; B1561)</f>
        <v/>
      </c>
      <c r="D1561" s="119">
        <f>C1561*1.2</f>
        <v/>
      </c>
      <c r="G1561" s="172">
        <f>IF(INDIRECT("'Закуп'!L" &amp; B1561)="Sale","Sale","")</f>
        <v/>
      </c>
      <c r="H1561" s="158">
        <f>IF(INDIRECT("'Закуп'!F" &amp; B1561)=0,"",INDIRECT("'Закуп'!F" &amp; B1561))</f>
        <v/>
      </c>
      <c r="I1561" s="120" t="n">
        <v>1000</v>
      </c>
      <c r="J1561" s="121">
        <f>K1561/1.2</f>
        <v/>
      </c>
      <c r="K1561" s="70" t="n">
        <v>2.05</v>
      </c>
      <c r="L1561" s="122">
        <f>J1561-C1561-(J1561-C1561)*0.2</f>
        <v/>
      </c>
      <c r="M1561" s="123">
        <f>L1561*I1561</f>
        <v/>
      </c>
      <c r="N1561" s="124" t="inlineStr">
        <is>
          <t xml:space="preserve">1000 + шт - </t>
        </is>
      </c>
      <c r="O1561" s="47" t="inlineStr">
        <is>
          <t xml:space="preserve"> руб / шт с НДС</t>
        </is>
      </c>
      <c r="P1561" s="125">
        <f>ROUND(K1561,2)</f>
        <v/>
      </c>
      <c r="Q1561" s="207">
        <f>CONCATENATE(N1561,P1561,O1561,)</f>
        <v/>
      </c>
      <c r="R1561" s="240" t="n"/>
      <c r="T1561" s="241" t="n"/>
      <c r="U1561" s="240" t="n"/>
      <c r="V1561" s="241" t="n"/>
      <c r="Z1561" s="240" t="n"/>
      <c r="AB1561" s="241" t="n"/>
      <c r="AC1561" s="240" t="n"/>
      <c r="AD1561" s="241" t="n"/>
    </row>
    <row r="1562">
      <c r="A1562" s="232" t="n">
        <v>314</v>
      </c>
      <c r="B1562" s="42" t="n">
        <v>314</v>
      </c>
      <c r="C1562" s="118">
        <f>INDIRECT("'Закуп'!A" &amp; B1562)</f>
        <v/>
      </c>
      <c r="D1562" s="119">
        <f>C1562*1.2</f>
        <v/>
      </c>
      <c r="E1562" s="233">
        <f>INDIRECT("'Закуп'!D" &amp; A1562)</f>
        <v/>
      </c>
      <c r="F1562" s="231">
        <f>INDIRECT("'Закуп'!E" &amp; B1562)</f>
        <v/>
      </c>
      <c r="G1562" s="172">
        <f>IF(INDIRECT("'Закуп'!L" &amp; B1562)="Sale","Sale","")</f>
        <v/>
      </c>
      <c r="H1562" s="158">
        <f>IF(INDIRECT("'Закуп'!F" &amp; B1562)=0,"",INDIRECT("'Закуп'!F" &amp; B1562))</f>
        <v/>
      </c>
      <c r="I1562" s="120" t="n">
        <v>50</v>
      </c>
      <c r="J1562" s="121">
        <f>K1562/1.2</f>
        <v/>
      </c>
      <c r="K1562" s="70" t="n">
        <v>0.5</v>
      </c>
      <c r="L1562" s="122">
        <f>J1562-C1562-(J1562-C1562)*0.2</f>
        <v/>
      </c>
      <c r="M1562" s="123">
        <f>L1562*I1562</f>
        <v/>
      </c>
      <c r="N1562" s="124" t="inlineStr">
        <is>
          <t xml:space="preserve">50-90 шт - </t>
        </is>
      </c>
      <c r="O1562" s="47" t="inlineStr">
        <is>
          <t xml:space="preserve"> руб / шт с НДС</t>
        </is>
      </c>
      <c r="P1562" s="125">
        <f>ROUND(K1562,2)</f>
        <v/>
      </c>
      <c r="Q1562" s="207">
        <f>CONCATENATE(N1562,P1562,O1562,)</f>
        <v/>
      </c>
      <c r="R1562" s="235">
        <f>INDIRECT("'Закуп'!k" &amp; A1562)</f>
        <v/>
      </c>
      <c r="S1562" s="239">
        <f>INDIRECT("'Закуп'!o" &amp; A1562)</f>
        <v/>
      </c>
      <c r="T1562" s="234">
        <f>INDIRECT("'Закуп'!p" &amp; A1562)</f>
        <v/>
      </c>
      <c r="U1562" s="235">
        <f>INDIRECT("'Закуп'!v" &amp; A1562)</f>
        <v/>
      </c>
      <c r="V1562" s="222">
        <f>INDIRECT("'Закуп'!w" &amp; A1562)</f>
        <v/>
      </c>
      <c r="W1562" s="229">
        <f>INDIRECT("'Закуп'!H" &amp; A1562)</f>
        <v/>
      </c>
      <c r="X1562" s="237">
        <f>INDIRECT("'Закуп'!g" &amp; A1562)</f>
        <v/>
      </c>
      <c r="Y1562" s="229">
        <f>INDIRECT("'Закуп'!i" &amp; A1562)</f>
        <v/>
      </c>
      <c r="Z1562" s="236">
        <f>INDIRECT("'Закуп'!x" &amp; A1562)</f>
        <v/>
      </c>
      <c r="AA1562" s="237">
        <f>INDIRECT("'Закуп'!y" &amp; A1562)</f>
        <v/>
      </c>
      <c r="AB1562" s="238">
        <f>INDIRECT("'Закуп'!z" &amp; A1562)</f>
        <v/>
      </c>
      <c r="AC1562" s="223">
        <f>SUBSTITUTE(INDEX(F:F, ROUNDUP((ROW(A1561))/5,0)*5 - 3), "х", "x")</f>
        <v/>
      </c>
      <c r="AD1562" s="222">
        <f>SUBSTITUTE(INDEX(F:F, ROUNDUP((ROW(A1561))/5,0)*5 - 3), "х", "x") &amp; " - " &amp; SUBSTITUTE(SUBSTITUTE(INDEX(F:F, ROUNDUP((ROW(A1561))/5,0)*5 - 3), "х", "*"), "x", "*") &amp; " мм"</f>
        <v/>
      </c>
    </row>
    <row r="1563">
      <c r="B1563" s="42" t="n">
        <v>314</v>
      </c>
      <c r="C1563" s="118">
        <f>INDIRECT("'Закуп'!A" &amp; B1563)</f>
        <v/>
      </c>
      <c r="D1563" s="119">
        <f>C1563*1.2</f>
        <v/>
      </c>
      <c r="G1563" s="172">
        <f>IF(INDIRECT("'Закуп'!L" &amp; B1563)="Sale","Sale","")</f>
        <v/>
      </c>
      <c r="H1563" s="158">
        <f>IF(INDIRECT("'Закуп'!F" &amp; B1563)=0,"",INDIRECT("'Закуп'!F" &amp; B1563))</f>
        <v/>
      </c>
      <c r="I1563" s="120" t="n">
        <v>100</v>
      </c>
      <c r="J1563" s="121">
        <f>K1563/1.2</f>
        <v/>
      </c>
      <c r="K1563" s="70" t="n">
        <v>0.5</v>
      </c>
      <c r="L1563" s="122">
        <f>J1563-C1563-(J1563-C1563)*0.2</f>
        <v/>
      </c>
      <c r="M1563" s="123">
        <f>L1563*I1563</f>
        <v/>
      </c>
      <c r="N1563" s="124" t="inlineStr">
        <is>
          <t xml:space="preserve">100-290 шт - </t>
        </is>
      </c>
      <c r="O1563" s="47" t="inlineStr">
        <is>
          <t xml:space="preserve"> руб / шт с НДС</t>
        </is>
      </c>
      <c r="P1563" s="125">
        <f>ROUND(K1563,2)</f>
        <v/>
      </c>
      <c r="Q1563" s="207">
        <f>CONCATENATE(N1563,P1563,O1563,)</f>
        <v/>
      </c>
      <c r="R1563" s="240" t="n"/>
      <c r="T1563" s="241" t="n"/>
      <c r="U1563" s="240" t="n"/>
      <c r="V1563" s="241" t="n"/>
      <c r="Z1563" s="240" t="n"/>
      <c r="AB1563" s="241" t="n"/>
      <c r="AC1563" s="240" t="n"/>
      <c r="AD1563" s="241" t="n"/>
    </row>
    <row r="1564">
      <c r="B1564" s="42" t="n">
        <v>314</v>
      </c>
      <c r="C1564" s="118">
        <f>INDIRECT("'Закуп'!A" &amp; B1564)</f>
        <v/>
      </c>
      <c r="D1564" s="119">
        <f>C1564*1.2</f>
        <v/>
      </c>
      <c r="G1564" s="172">
        <f>IF(INDIRECT("'Закуп'!L" &amp; B1564)="Sale","Sale","")</f>
        <v/>
      </c>
      <c r="H1564" s="158">
        <f>IF(INDIRECT("'Закуп'!F" &amp; B1564)=0,"",INDIRECT("'Закуп'!F" &amp; B1564))</f>
        <v/>
      </c>
      <c r="I1564" s="120" t="n">
        <v>300</v>
      </c>
      <c r="J1564" s="121">
        <f>K1564/1.2</f>
        <v/>
      </c>
      <c r="K1564" s="70" t="n">
        <v>0.5</v>
      </c>
      <c r="L1564" s="122">
        <f>J1564-C1564-(J1564-C1564)*0.2</f>
        <v/>
      </c>
      <c r="M1564" s="123">
        <f>L1564*I1564</f>
        <v/>
      </c>
      <c r="N1564" s="124" t="inlineStr">
        <is>
          <t xml:space="preserve">300-490 шт - </t>
        </is>
      </c>
      <c r="O1564" s="47" t="inlineStr">
        <is>
          <t xml:space="preserve"> руб / шт с НДС</t>
        </is>
      </c>
      <c r="P1564" s="125">
        <f>ROUND(K1564,2)</f>
        <v/>
      </c>
      <c r="Q1564" s="207">
        <f>CONCATENATE(N1564,P1564,O1564,)</f>
        <v/>
      </c>
      <c r="R1564" s="240" t="n"/>
      <c r="T1564" s="241" t="n"/>
      <c r="U1564" s="240" t="n"/>
      <c r="V1564" s="241" t="n"/>
      <c r="Z1564" s="240" t="n"/>
      <c r="AB1564" s="241" t="n"/>
      <c r="AC1564" s="240" t="n"/>
      <c r="AD1564" s="241" t="n"/>
    </row>
    <row r="1565">
      <c r="B1565" s="42" t="n">
        <v>314</v>
      </c>
      <c r="C1565" s="118">
        <f>INDIRECT("'Закуп'!A" &amp; B1565)</f>
        <v/>
      </c>
      <c r="D1565" s="119">
        <f>C1565*1.2</f>
        <v/>
      </c>
      <c r="G1565" s="172">
        <f>IF(INDIRECT("'Закуп'!L" &amp; B1565)="Sale","Sale","")</f>
        <v/>
      </c>
      <c r="H1565" s="158">
        <f>IF(INDIRECT("'Закуп'!F" &amp; B1565)=0,"",INDIRECT("'Закуп'!F" &amp; B1565))</f>
        <v/>
      </c>
      <c r="I1565" s="120" t="n">
        <v>500</v>
      </c>
      <c r="J1565" s="121">
        <f>K1565/1.2</f>
        <v/>
      </c>
      <c r="K1565" s="70" t="n">
        <v>0.5</v>
      </c>
      <c r="L1565" s="122">
        <f>J1565-C1565-(J1565-C1565)*0.2</f>
        <v/>
      </c>
      <c r="M1565" s="123">
        <f>L1565*I1565</f>
        <v/>
      </c>
      <c r="N1565" s="124" t="inlineStr">
        <is>
          <t xml:space="preserve">500-990 шт - </t>
        </is>
      </c>
      <c r="O1565" s="47" t="inlineStr">
        <is>
          <t xml:space="preserve"> руб / шт с НДС</t>
        </is>
      </c>
      <c r="P1565" s="125">
        <f>ROUND(K1565,2)</f>
        <v/>
      </c>
      <c r="Q1565" s="207">
        <f>CONCATENATE(N1565,P1565,O1565,)</f>
        <v/>
      </c>
      <c r="R1565" s="240" t="n"/>
      <c r="T1565" s="241" t="n"/>
      <c r="U1565" s="240" t="n"/>
      <c r="V1565" s="241" t="n"/>
      <c r="Z1565" s="240" t="n"/>
      <c r="AB1565" s="241" t="n"/>
      <c r="AC1565" s="240" t="n"/>
      <c r="AD1565" s="241" t="n"/>
    </row>
    <row r="1566">
      <c r="B1566" s="42" t="n">
        <v>314</v>
      </c>
      <c r="C1566" s="118">
        <f>INDIRECT("'Закуп'!A" &amp; B1566)</f>
        <v/>
      </c>
      <c r="D1566" s="119">
        <f>C1566*1.2</f>
        <v/>
      </c>
      <c r="G1566" s="172">
        <f>IF(INDIRECT("'Закуп'!L" &amp; B1566)="Sale","Sale","")</f>
        <v/>
      </c>
      <c r="H1566" s="158">
        <f>IF(INDIRECT("'Закуп'!F" &amp; B1566)=0,"",INDIRECT("'Закуп'!F" &amp; B1566))</f>
        <v/>
      </c>
      <c r="I1566" s="120" t="n">
        <v>1000</v>
      </c>
      <c r="J1566" s="121">
        <f>K1566/1.2</f>
        <v/>
      </c>
      <c r="K1566" s="70" t="n">
        <v>0.5</v>
      </c>
      <c r="L1566" s="122">
        <f>J1566-C1566-(J1566-C1566)*0.2</f>
        <v/>
      </c>
      <c r="M1566" s="123">
        <f>L1566*I1566</f>
        <v/>
      </c>
      <c r="N1566" s="124" t="inlineStr">
        <is>
          <t xml:space="preserve">1000 + шт - </t>
        </is>
      </c>
      <c r="O1566" s="47" t="inlineStr">
        <is>
          <t xml:space="preserve"> руб / шт с НДС</t>
        </is>
      </c>
      <c r="P1566" s="125">
        <f>ROUND(K1566,2)</f>
        <v/>
      </c>
      <c r="Q1566" s="207">
        <f>CONCATENATE(N1566,P1566,O1566,)</f>
        <v/>
      </c>
      <c r="R1566" s="240" t="n"/>
      <c r="T1566" s="241" t="n"/>
      <c r="U1566" s="240" t="n"/>
      <c r="V1566" s="241" t="n"/>
      <c r="Z1566" s="240" t="n"/>
      <c r="AB1566" s="241" t="n"/>
      <c r="AC1566" s="240" t="n"/>
      <c r="AD1566" s="241" t="n"/>
    </row>
    <row r="1567">
      <c r="A1567" s="232" t="n">
        <v>315</v>
      </c>
      <c r="B1567" s="42" t="n">
        <v>315</v>
      </c>
      <c r="C1567" s="118">
        <f>INDIRECT("'Закуп'!A" &amp; B1567)</f>
        <v/>
      </c>
      <c r="D1567" s="119">
        <f>C1567*1.2</f>
        <v/>
      </c>
      <c r="E1567" s="233">
        <f>INDIRECT("'Закуп'!D" &amp; A1567)</f>
        <v/>
      </c>
      <c r="F1567" s="231">
        <f>INDIRECT("'Закуп'!E" &amp; B1567)</f>
        <v/>
      </c>
      <c r="G1567" s="172">
        <f>IF(INDIRECT("'Закуп'!L" &amp; B1567)="Sale","Sale","")</f>
        <v/>
      </c>
      <c r="H1567" s="158">
        <f>IF(INDIRECT("'Закуп'!F" &amp; B1567)=0,"",INDIRECT("'Закуп'!F" &amp; B1567))</f>
        <v/>
      </c>
      <c r="I1567" s="120" t="n">
        <v>50</v>
      </c>
      <c r="J1567" s="121">
        <f>K1567/1.2</f>
        <v/>
      </c>
      <c r="K1567" s="70" t="n">
        <v>1.1</v>
      </c>
      <c r="L1567" s="122">
        <f>J1567-C1567-(J1567-C1567)*0.2</f>
        <v/>
      </c>
      <c r="M1567" s="123">
        <f>L1567*I1567</f>
        <v/>
      </c>
      <c r="N1567" s="124" t="inlineStr">
        <is>
          <t xml:space="preserve">50-90 шт - </t>
        </is>
      </c>
      <c r="O1567" s="47" t="inlineStr">
        <is>
          <t xml:space="preserve"> руб / шт с НДС</t>
        </is>
      </c>
      <c r="P1567" s="125">
        <f>ROUND(K1567,2)</f>
        <v/>
      </c>
      <c r="Q1567" s="207">
        <f>CONCATENATE(N1567,P1567,O1567,)</f>
        <v/>
      </c>
      <c r="R1567" s="235">
        <f>INDIRECT("'Закуп'!k" &amp; A1567)</f>
        <v/>
      </c>
      <c r="S1567" s="239">
        <f>INDIRECT("'Закуп'!o" &amp; A1567)</f>
        <v/>
      </c>
      <c r="T1567" s="234">
        <f>INDIRECT("'Закуп'!p" &amp; A1567)</f>
        <v/>
      </c>
      <c r="U1567" s="235">
        <f>INDIRECT("'Закуп'!v" &amp; A1567)</f>
        <v/>
      </c>
      <c r="V1567" s="222">
        <f>INDIRECT("'Закуп'!w" &amp; A1567)</f>
        <v/>
      </c>
      <c r="W1567" s="229">
        <f>INDIRECT("'Закуп'!H" &amp; A1567)</f>
        <v/>
      </c>
      <c r="X1567" s="237">
        <f>INDIRECT("'Закуп'!g" &amp; A1567)</f>
        <v/>
      </c>
      <c r="Y1567" s="229">
        <f>INDIRECT("'Закуп'!i" &amp; A1567)</f>
        <v/>
      </c>
      <c r="Z1567" s="236">
        <f>INDIRECT("'Закуп'!x" &amp; A1567)</f>
        <v/>
      </c>
      <c r="AA1567" s="237">
        <f>INDIRECT("'Закуп'!y" &amp; A1567)</f>
        <v/>
      </c>
      <c r="AB1567" s="238">
        <f>INDIRECT("'Закуп'!z" &amp; A1567)</f>
        <v/>
      </c>
      <c r="AC1567" s="223">
        <f>SUBSTITUTE(INDEX(F:F, ROUNDUP((ROW(A1566))/5,0)*5 - 3), "х", "x")</f>
        <v/>
      </c>
      <c r="AD1567" s="222">
        <f>SUBSTITUTE(INDEX(F:F, ROUNDUP((ROW(A1566))/5,0)*5 - 3), "х", "x") &amp; " - " &amp; SUBSTITUTE(SUBSTITUTE(INDEX(F:F, ROUNDUP((ROW(A1566))/5,0)*5 - 3), "х", "*"), "x", "*") &amp; " мм"</f>
        <v/>
      </c>
    </row>
    <row r="1568">
      <c r="B1568" s="42" t="n">
        <v>315</v>
      </c>
      <c r="C1568" s="118">
        <f>INDIRECT("'Закуп'!A" &amp; B1568)</f>
        <v/>
      </c>
      <c r="D1568" s="119">
        <f>C1568*1.2</f>
        <v/>
      </c>
      <c r="G1568" s="172">
        <f>IF(INDIRECT("'Закуп'!L" &amp; B1568)="Sale","Sale","")</f>
        <v/>
      </c>
      <c r="H1568" s="158">
        <f>IF(INDIRECT("'Закуп'!F" &amp; B1568)=0,"",INDIRECT("'Закуп'!F" &amp; B1568))</f>
        <v/>
      </c>
      <c r="I1568" s="120" t="n">
        <v>100</v>
      </c>
      <c r="J1568" s="121">
        <f>K1568/1.2</f>
        <v/>
      </c>
      <c r="K1568" s="70" t="n">
        <v>1</v>
      </c>
      <c r="L1568" s="122">
        <f>J1568-C1568-(J1568-C1568)*0.2</f>
        <v/>
      </c>
      <c r="M1568" s="123">
        <f>L1568*I1568</f>
        <v/>
      </c>
      <c r="N1568" s="124" t="inlineStr">
        <is>
          <t xml:space="preserve">100-290 шт - </t>
        </is>
      </c>
      <c r="O1568" s="47" t="inlineStr">
        <is>
          <t xml:space="preserve"> руб / шт с НДС</t>
        </is>
      </c>
      <c r="P1568" s="125">
        <f>ROUND(K1568,2)</f>
        <v/>
      </c>
      <c r="Q1568" s="207">
        <f>CONCATENATE(N1568,P1568,O1568,)</f>
        <v/>
      </c>
      <c r="R1568" s="240" t="n"/>
      <c r="T1568" s="241" t="n"/>
      <c r="U1568" s="240" t="n"/>
      <c r="V1568" s="241" t="n"/>
      <c r="Z1568" s="240" t="n"/>
      <c r="AB1568" s="241" t="n"/>
      <c r="AC1568" s="240" t="n"/>
      <c r="AD1568" s="241" t="n"/>
    </row>
    <row r="1569">
      <c r="B1569" s="42" t="n">
        <v>315</v>
      </c>
      <c r="C1569" s="118">
        <f>INDIRECT("'Закуп'!A" &amp; B1569)</f>
        <v/>
      </c>
      <c r="D1569" s="119">
        <f>C1569*1.2</f>
        <v/>
      </c>
      <c r="G1569" s="172">
        <f>IF(INDIRECT("'Закуп'!L" &amp; B1569)="Sale","Sale","")</f>
        <v/>
      </c>
      <c r="H1569" s="158">
        <f>IF(INDIRECT("'Закуп'!F" &amp; B1569)=0,"",INDIRECT("'Закуп'!F" &amp; B1569))</f>
        <v/>
      </c>
      <c r="I1569" s="120" t="n">
        <v>300</v>
      </c>
      <c r="J1569" s="121">
        <f>K1569/1.2</f>
        <v/>
      </c>
      <c r="K1569" s="70" t="n">
        <v>0.9</v>
      </c>
      <c r="L1569" s="122">
        <f>J1569-C1569-(J1569-C1569)*0.2</f>
        <v/>
      </c>
      <c r="M1569" s="123">
        <f>L1569*I1569</f>
        <v/>
      </c>
      <c r="N1569" s="124" t="inlineStr">
        <is>
          <t xml:space="preserve">300-490 шт - </t>
        </is>
      </c>
      <c r="O1569" s="47" t="inlineStr">
        <is>
          <t xml:space="preserve"> руб / шт с НДС</t>
        </is>
      </c>
      <c r="P1569" s="125">
        <f>ROUND(K1569,2)</f>
        <v/>
      </c>
      <c r="Q1569" s="207">
        <f>CONCATENATE(N1569,P1569,O1569,)</f>
        <v/>
      </c>
      <c r="R1569" s="240" t="n"/>
      <c r="T1569" s="241" t="n"/>
      <c r="U1569" s="240" t="n"/>
      <c r="V1569" s="241" t="n"/>
      <c r="Z1569" s="240" t="n"/>
      <c r="AB1569" s="241" t="n"/>
      <c r="AC1569" s="240" t="n"/>
      <c r="AD1569" s="241" t="n"/>
    </row>
    <row r="1570">
      <c r="B1570" s="42" t="n">
        <v>315</v>
      </c>
      <c r="C1570" s="118">
        <f>INDIRECT("'Закуп'!A" &amp; B1570)</f>
        <v/>
      </c>
      <c r="D1570" s="119">
        <f>C1570*1.2</f>
        <v/>
      </c>
      <c r="G1570" s="172">
        <f>IF(INDIRECT("'Закуп'!L" &amp; B1570)="Sale","Sale","")</f>
        <v/>
      </c>
      <c r="H1570" s="158">
        <f>IF(INDIRECT("'Закуп'!F" &amp; B1570)=0,"",INDIRECT("'Закуп'!F" &amp; B1570))</f>
        <v/>
      </c>
      <c r="I1570" s="120" t="n">
        <v>500</v>
      </c>
      <c r="J1570" s="121">
        <f>K1570/1.2</f>
        <v/>
      </c>
      <c r="K1570" s="70" t="n">
        <v>0.8</v>
      </c>
      <c r="L1570" s="122">
        <f>J1570-C1570-(J1570-C1570)*0.2</f>
        <v/>
      </c>
      <c r="M1570" s="123">
        <f>L1570*I1570</f>
        <v/>
      </c>
      <c r="N1570" s="124" t="inlineStr">
        <is>
          <t xml:space="preserve">500-990 шт - </t>
        </is>
      </c>
      <c r="O1570" s="47" t="inlineStr">
        <is>
          <t xml:space="preserve"> руб / шт с НДС</t>
        </is>
      </c>
      <c r="P1570" s="125">
        <f>ROUND(K1570,2)</f>
        <v/>
      </c>
      <c r="Q1570" s="207">
        <f>CONCATENATE(N1570,P1570,O1570,)</f>
        <v/>
      </c>
      <c r="R1570" s="240" t="n"/>
      <c r="T1570" s="241" t="n"/>
      <c r="U1570" s="240" t="n"/>
      <c r="V1570" s="241" t="n"/>
      <c r="Z1570" s="240" t="n"/>
      <c r="AB1570" s="241" t="n"/>
      <c r="AC1570" s="240" t="n"/>
      <c r="AD1570" s="241" t="n"/>
    </row>
    <row r="1571">
      <c r="B1571" s="42" t="n">
        <v>315</v>
      </c>
      <c r="C1571" s="118">
        <f>INDIRECT("'Закуп'!A" &amp; B1571)</f>
        <v/>
      </c>
      <c r="D1571" s="119">
        <f>C1571*1.2</f>
        <v/>
      </c>
      <c r="G1571" s="172">
        <f>IF(INDIRECT("'Закуп'!L" &amp; B1571)="Sale","Sale","")</f>
        <v/>
      </c>
      <c r="H1571" s="158">
        <f>IF(INDIRECT("'Закуп'!F" &amp; B1571)=0,"",INDIRECT("'Закуп'!F" &amp; B1571))</f>
        <v/>
      </c>
      <c r="I1571" s="120" t="n">
        <v>1000</v>
      </c>
      <c r="J1571" s="121">
        <f>K1571/1.2</f>
        <v/>
      </c>
      <c r="K1571" s="70" t="n">
        <v>0.7</v>
      </c>
      <c r="L1571" s="122">
        <f>J1571-C1571-(J1571-C1571)*0.2</f>
        <v/>
      </c>
      <c r="M1571" s="123">
        <f>L1571*I1571</f>
        <v/>
      </c>
      <c r="N1571" s="124" t="inlineStr">
        <is>
          <t xml:space="preserve">1000 + шт - </t>
        </is>
      </c>
      <c r="O1571" s="47" t="inlineStr">
        <is>
          <t xml:space="preserve"> руб / шт с НДС</t>
        </is>
      </c>
      <c r="P1571" s="125">
        <f>ROUND(K1571,2)</f>
        <v/>
      </c>
      <c r="Q1571" s="207">
        <f>CONCATENATE(N1571,P1571,O1571,)</f>
        <v/>
      </c>
      <c r="R1571" s="240" t="n"/>
      <c r="T1571" s="241" t="n"/>
      <c r="U1571" s="240" t="n"/>
      <c r="V1571" s="241" t="n"/>
      <c r="Z1571" s="240" t="n"/>
      <c r="AB1571" s="241" t="n"/>
      <c r="AC1571" s="240" t="n"/>
      <c r="AD1571" s="241" t="n"/>
    </row>
    <row r="1572">
      <c r="A1572" s="232" t="n">
        <v>316</v>
      </c>
      <c r="B1572" s="42" t="n">
        <v>316</v>
      </c>
      <c r="C1572" s="118">
        <f>INDIRECT("'Закуп'!A" &amp; B1572)</f>
        <v/>
      </c>
      <c r="D1572" s="119">
        <f>C1572*1.2</f>
        <v/>
      </c>
      <c r="E1572" s="224">
        <f>INDIRECT("'Закуп'!D" &amp; A1572)</f>
        <v/>
      </c>
      <c r="F1572" s="231">
        <f>INDIRECT("'Закуп'!E" &amp; B1572)</f>
        <v/>
      </c>
      <c r="G1572" s="172">
        <f>IF(INDIRECT("'Закуп'!L" &amp; B1572)="Sale","Sale","")</f>
        <v/>
      </c>
      <c r="H1572" s="158">
        <f>IF(INDIRECT("'Закуп'!F" &amp; B1572)=0,"",INDIRECT("'Закуп'!F" &amp; B1572))</f>
        <v/>
      </c>
      <c r="I1572" s="120" t="n">
        <v>50</v>
      </c>
      <c r="J1572" s="121">
        <f>K1572/1.2</f>
        <v/>
      </c>
      <c r="K1572" s="242" t="n">
        <v>1.51</v>
      </c>
      <c r="L1572" s="122">
        <f>J1572-C1572-(J1572-C1572)*0.2</f>
        <v/>
      </c>
      <c r="M1572" s="123">
        <f>L1572*I1572</f>
        <v/>
      </c>
      <c r="N1572" s="124" t="inlineStr">
        <is>
          <t xml:space="preserve">50-90 шт - </t>
        </is>
      </c>
      <c r="O1572" s="47" t="inlineStr">
        <is>
          <t xml:space="preserve"> руб / шт с НДС</t>
        </is>
      </c>
      <c r="P1572" s="125">
        <f>ROUND(K1572,2)</f>
        <v/>
      </c>
      <c r="Q1572" s="207">
        <f>CONCATENATE(N1572,P1572,O1572,)</f>
        <v/>
      </c>
      <c r="R1572" s="235">
        <f>INDIRECT("'Закуп'!k" &amp; A1572)</f>
        <v/>
      </c>
      <c r="S1572" s="239">
        <f>INDIRECT("'Закуп'!o" &amp; A1572)</f>
        <v/>
      </c>
      <c r="T1572" s="226">
        <f>INDIRECT("'Закуп'!p" &amp; A1572)</f>
        <v/>
      </c>
      <c r="U1572" s="235">
        <f>INDIRECT("'Закуп'!v" &amp; A1572)</f>
        <v/>
      </c>
      <c r="V1572" s="222">
        <f>INDIRECT("'Закуп'!w" &amp; A1572)</f>
        <v/>
      </c>
      <c r="W1572" s="229">
        <f>INDIRECT("'Закуп'!H" &amp; A1572)</f>
        <v/>
      </c>
      <c r="X1572" s="237">
        <f>INDIRECT("'Закуп'!g" &amp; A1572)</f>
        <v/>
      </c>
      <c r="Y1572" s="229">
        <f>INDIRECT("'Закуп'!i" &amp; A1572)</f>
        <v/>
      </c>
      <c r="Z1572" s="236">
        <f>INDIRECT("'Закуп'!x" &amp; A1572)</f>
        <v/>
      </c>
      <c r="AA1572" s="237">
        <f>INDIRECT("'Закуп'!y" &amp; A1572)</f>
        <v/>
      </c>
      <c r="AB1572" s="238">
        <f>INDIRECT("'Закуп'!z" &amp; A1572)</f>
        <v/>
      </c>
      <c r="AC1572" s="223">
        <f>SUBSTITUTE(INDEX(F:F, ROUNDUP((ROW(A1571))/5,0)*5 - 3), "х", "x")</f>
        <v/>
      </c>
      <c r="AD1572" s="222">
        <f>SUBSTITUTE(INDEX(F:F, ROUNDUP((ROW(A1571))/5,0)*5 - 3), "х", "x") &amp; " - " &amp; SUBSTITUTE(SUBSTITUTE(INDEX(F:F, ROUNDUP((ROW(A1571))/5,0)*5 - 3), "х", "*"), "x", "*") &amp; " мм"</f>
        <v/>
      </c>
      <c r="AE1572" t="n">
        <v>1.4</v>
      </c>
    </row>
    <row r="1573">
      <c r="B1573" s="42" t="n">
        <v>316</v>
      </c>
      <c r="C1573" s="118">
        <f>INDIRECT("'Закуп'!A" &amp; B1573)</f>
        <v/>
      </c>
      <c r="D1573" s="119">
        <f>C1573*1.2</f>
        <v/>
      </c>
      <c r="G1573" s="172">
        <f>IF(INDIRECT("'Закуп'!L" &amp; B1573)="Sale","Sale","")</f>
        <v/>
      </c>
      <c r="H1573" s="158">
        <f>IF(INDIRECT("'Закуп'!F" &amp; B1573)=0,"",INDIRECT("'Закуп'!F" &amp; B1573))</f>
        <v/>
      </c>
      <c r="I1573" s="120" t="n">
        <v>100</v>
      </c>
      <c r="J1573" s="121">
        <f>K1573/1.2</f>
        <v/>
      </c>
      <c r="K1573" s="242" t="n">
        <v>1.34</v>
      </c>
      <c r="L1573" s="122">
        <f>J1573-C1573-(J1573-C1573)*0.2</f>
        <v/>
      </c>
      <c r="M1573" s="123">
        <f>L1573*I1573</f>
        <v/>
      </c>
      <c r="N1573" s="124" t="inlineStr">
        <is>
          <t xml:space="preserve">100-290 шт - </t>
        </is>
      </c>
      <c r="O1573" s="47" t="inlineStr">
        <is>
          <t xml:space="preserve"> руб / шт с НДС</t>
        </is>
      </c>
      <c r="P1573" s="125">
        <f>ROUND(K1573,2)</f>
        <v/>
      </c>
      <c r="Q1573" s="207">
        <f>CONCATENATE(N1573,P1573,O1573,)</f>
        <v/>
      </c>
      <c r="R1573" s="240" t="n"/>
      <c r="T1573" s="241" t="n"/>
      <c r="U1573" s="240" t="n"/>
      <c r="V1573" s="241" t="n"/>
      <c r="Z1573" s="240" t="n"/>
      <c r="AB1573" s="241" t="n"/>
      <c r="AC1573" s="240" t="n"/>
      <c r="AD1573" s="241" t="n"/>
      <c r="AE1573" t="n">
        <v>1.35</v>
      </c>
    </row>
    <row r="1574">
      <c r="B1574" s="42" t="n">
        <v>316</v>
      </c>
      <c r="C1574" s="118">
        <f>INDIRECT("'Закуп'!A" &amp; B1574)</f>
        <v/>
      </c>
      <c r="D1574" s="119">
        <f>C1574*1.2</f>
        <v/>
      </c>
      <c r="G1574" s="172">
        <f>IF(INDIRECT("'Закуп'!L" &amp; B1574)="Sale","Sale","")</f>
        <v/>
      </c>
      <c r="H1574" s="158">
        <f>IF(INDIRECT("'Закуп'!F" &amp; B1574)=0,"",INDIRECT("'Закуп'!F" &amp; B1574))</f>
        <v/>
      </c>
      <c r="I1574" s="120" t="n">
        <v>300</v>
      </c>
      <c r="J1574" s="121">
        <f>K1574/1.2</f>
        <v/>
      </c>
      <c r="K1574" s="242" t="n">
        <v>1.16</v>
      </c>
      <c r="L1574" s="122">
        <f>J1574-C1574-(J1574-C1574)*0.2</f>
        <v/>
      </c>
      <c r="M1574" s="123">
        <f>L1574*I1574</f>
        <v/>
      </c>
      <c r="N1574" s="124" t="inlineStr">
        <is>
          <t xml:space="preserve">300-490 шт - </t>
        </is>
      </c>
      <c r="O1574" s="47" t="inlineStr">
        <is>
          <t xml:space="preserve"> руб / шт с НДС</t>
        </is>
      </c>
      <c r="P1574" s="125">
        <f>ROUND(K1574,2)</f>
        <v/>
      </c>
      <c r="Q1574" s="207">
        <f>CONCATENATE(N1574,P1574,O1574,)</f>
        <v/>
      </c>
      <c r="R1574" s="240" t="n"/>
      <c r="T1574" s="241" t="n"/>
      <c r="U1574" s="240" t="n"/>
      <c r="V1574" s="241" t="n"/>
      <c r="Z1574" s="240" t="n"/>
      <c r="AB1574" s="241" t="n"/>
      <c r="AC1574" s="240" t="n"/>
      <c r="AD1574" s="241" t="n"/>
      <c r="AE1574" t="n">
        <v>1.3</v>
      </c>
    </row>
    <row r="1575">
      <c r="B1575" s="42" t="n">
        <v>316</v>
      </c>
      <c r="C1575" s="118">
        <f>INDIRECT("'Закуп'!A" &amp; B1575)</f>
        <v/>
      </c>
      <c r="D1575" s="119">
        <f>C1575*1.2</f>
        <v/>
      </c>
      <c r="G1575" s="172">
        <f>IF(INDIRECT("'Закуп'!L" &amp; B1575)="Sale","Sale","")</f>
        <v/>
      </c>
      <c r="H1575" s="158">
        <f>IF(INDIRECT("'Закуп'!F" &amp; B1575)=0,"",INDIRECT("'Закуп'!F" &amp; B1575))</f>
        <v/>
      </c>
      <c r="I1575" s="120" t="n">
        <v>500</v>
      </c>
      <c r="J1575" s="121">
        <f>K1575/1.2</f>
        <v/>
      </c>
      <c r="K1575" s="242" t="n">
        <v>1.07</v>
      </c>
      <c r="L1575" s="122">
        <f>J1575-C1575-(J1575-C1575)*0.2</f>
        <v/>
      </c>
      <c r="M1575" s="123">
        <f>L1575*I1575</f>
        <v/>
      </c>
      <c r="N1575" s="124" t="inlineStr">
        <is>
          <t xml:space="preserve">500-990 шт - </t>
        </is>
      </c>
      <c r="O1575" s="47" t="inlineStr">
        <is>
          <t xml:space="preserve"> руб / шт с НДС</t>
        </is>
      </c>
      <c r="P1575" s="125">
        <f>ROUND(K1575,2)</f>
        <v/>
      </c>
      <c r="Q1575" s="207">
        <f>CONCATENATE(N1575,P1575,O1575,)</f>
        <v/>
      </c>
      <c r="R1575" s="240" t="n"/>
      <c r="T1575" s="241" t="n"/>
      <c r="U1575" s="240" t="n"/>
      <c r="V1575" s="241" t="n"/>
      <c r="Z1575" s="240" t="n"/>
      <c r="AB1575" s="241" t="n"/>
      <c r="AC1575" s="240" t="n"/>
      <c r="AD1575" s="241" t="n"/>
      <c r="AE1575" t="n">
        <v>1.25</v>
      </c>
    </row>
    <row r="1576">
      <c r="B1576" s="42" t="n">
        <v>316</v>
      </c>
      <c r="C1576" s="118">
        <f>INDIRECT("'Закуп'!A" &amp; B1576)</f>
        <v/>
      </c>
      <c r="D1576" s="119">
        <f>C1576*1.2</f>
        <v/>
      </c>
      <c r="G1576" s="172">
        <f>IF(INDIRECT("'Закуп'!L" &amp; B1576)="Sale","Sale","")</f>
        <v/>
      </c>
      <c r="H1576" s="158">
        <f>IF(INDIRECT("'Закуп'!F" &amp; B1576)=0,"",INDIRECT("'Закуп'!F" &amp; B1576))</f>
        <v/>
      </c>
      <c r="I1576" s="120" t="n">
        <v>1000</v>
      </c>
      <c r="J1576" s="121">
        <f>K1576/1.2</f>
        <v/>
      </c>
      <c r="K1576" s="242" t="n">
        <v>0.89</v>
      </c>
      <c r="L1576" s="122">
        <f>J1576-C1576-(J1576-C1576)*0.2</f>
        <v/>
      </c>
      <c r="M1576" s="123">
        <f>L1576*I1576</f>
        <v/>
      </c>
      <c r="N1576" s="124" t="inlineStr">
        <is>
          <t xml:space="preserve">1000 + шт - </t>
        </is>
      </c>
      <c r="O1576" s="47" t="inlineStr">
        <is>
          <t xml:space="preserve"> руб / шт с НДС</t>
        </is>
      </c>
      <c r="P1576" s="125">
        <f>ROUND(K1576,2)</f>
        <v/>
      </c>
      <c r="Q1576" s="207">
        <f>CONCATENATE(N1576,P1576,O1576,)</f>
        <v/>
      </c>
      <c r="R1576" s="240" t="n"/>
      <c r="T1576" s="241" t="n"/>
      <c r="U1576" s="240" t="n"/>
      <c r="V1576" s="241" t="n"/>
      <c r="Z1576" s="240" t="n"/>
      <c r="AB1576" s="241" t="n"/>
      <c r="AC1576" s="240" t="n"/>
      <c r="AD1576" s="241" t="n"/>
      <c r="AE1576" t="n">
        <v>1.1</v>
      </c>
    </row>
    <row r="1577">
      <c r="A1577" s="232" t="n">
        <v>317</v>
      </c>
      <c r="B1577" s="42" t="n">
        <v>317</v>
      </c>
      <c r="C1577" s="118">
        <f>INDIRECT("'Закуп'!A" &amp; B1577)</f>
        <v/>
      </c>
      <c r="D1577" s="119">
        <f>C1577*1.2</f>
        <v/>
      </c>
      <c r="E1577" s="224">
        <f>INDIRECT("'Закуп'!D" &amp; A1577)</f>
        <v/>
      </c>
      <c r="F1577" s="231">
        <f>INDIRECT("'Закуп'!E" &amp; B1577)</f>
        <v/>
      </c>
      <c r="G1577" s="172">
        <f>IF(INDIRECT("'Закуп'!L" &amp; B1577)="Sale","Sale","")</f>
        <v/>
      </c>
      <c r="H1577" s="158">
        <f>IF(INDIRECT("'Закуп'!F" &amp; B1577)=0,"",INDIRECT("'Закуп'!F" &amp; B1577))</f>
        <v/>
      </c>
      <c r="I1577" s="120" t="n">
        <v>50</v>
      </c>
      <c r="J1577" s="121">
        <f>K1577/1.2</f>
        <v/>
      </c>
      <c r="K1577" s="242" t="n">
        <v>2.21</v>
      </c>
      <c r="L1577" s="122">
        <f>J1577-C1577-(J1577-C1577)*0.2</f>
        <v/>
      </c>
      <c r="M1577" s="169">
        <f>L1577*I1577</f>
        <v/>
      </c>
      <c r="N1577" s="124" t="inlineStr">
        <is>
          <t xml:space="preserve">50-90 шт - </t>
        </is>
      </c>
      <c r="O1577" s="47" t="inlineStr">
        <is>
          <t xml:space="preserve"> руб / шт с НДС</t>
        </is>
      </c>
      <c r="P1577" s="125">
        <f>ROUND(K1577,2)</f>
        <v/>
      </c>
      <c r="Q1577" s="207">
        <f>CONCATENATE(N1577,P1577,O1577,)</f>
        <v/>
      </c>
      <c r="R1577" s="235">
        <f>INDIRECT("'Закуп'!k" &amp; A1577)</f>
        <v/>
      </c>
      <c r="S1577" s="239">
        <f>INDIRECT("'Закуп'!o" &amp; A1577)</f>
        <v/>
      </c>
      <c r="T1577" s="226">
        <f>INDIRECT("'Закуп'!p" &amp; A1577)</f>
        <v/>
      </c>
      <c r="U1577" s="235">
        <f>INDIRECT("'Закуп'!v" &amp; A1577)</f>
        <v/>
      </c>
      <c r="V1577" s="222">
        <f>INDIRECT("'Закуп'!w" &amp; A1577)</f>
        <v/>
      </c>
      <c r="W1577" s="229">
        <f>INDIRECT("'Закуп'!H" &amp; A1577)</f>
        <v/>
      </c>
      <c r="X1577" s="237">
        <f>INDIRECT("'Закуп'!g" &amp; A1577)</f>
        <v/>
      </c>
      <c r="Y1577" s="229">
        <f>INDIRECT("'Закуп'!i" &amp; A1577)</f>
        <v/>
      </c>
      <c r="Z1577" s="236">
        <f>INDIRECT("'Закуп'!x" &amp; A1577)</f>
        <v/>
      </c>
      <c r="AA1577" s="237">
        <f>INDIRECT("'Закуп'!y" &amp; A1577)</f>
        <v/>
      </c>
      <c r="AB1577" s="238">
        <f>INDIRECT("'Закуп'!z" &amp; A1577)</f>
        <v/>
      </c>
      <c r="AC1577" s="223">
        <f>SUBSTITUTE(INDEX(F:F, ROUNDUP((ROW(A1576))/5,0)*5 - 3), "х", "x")</f>
        <v/>
      </c>
      <c r="AD1577" s="222">
        <f>SUBSTITUTE(INDEX(F:F, ROUNDUP((ROW(A1576))/5,0)*5 - 3), "х", "x") &amp; " - " &amp; SUBSTITUTE(SUBSTITUTE(INDEX(F:F, ROUNDUP((ROW(A1576))/5,0)*5 - 3), "х", "*"), "x", "*") &amp; " мм"</f>
        <v/>
      </c>
      <c r="AE1577" t="n">
        <v>1.7</v>
      </c>
    </row>
    <row r="1578">
      <c r="B1578" s="42" t="n">
        <v>317</v>
      </c>
      <c r="C1578" s="118">
        <f>INDIRECT("'Закуп'!A" &amp; B1578)</f>
        <v/>
      </c>
      <c r="D1578" s="119">
        <f>C1578*1.2</f>
        <v/>
      </c>
      <c r="G1578" s="172">
        <f>IF(INDIRECT("'Закуп'!L" &amp; B1578)="Sale","Sale","")</f>
        <v/>
      </c>
      <c r="H1578" s="158">
        <f>IF(INDIRECT("'Закуп'!F" &amp; B1578)=0,"",INDIRECT("'Закуп'!F" &amp; B1578))</f>
        <v/>
      </c>
      <c r="I1578" s="120" t="n">
        <v>100</v>
      </c>
      <c r="J1578" s="121">
        <f>K1578/1.2</f>
        <v/>
      </c>
      <c r="K1578" s="242" t="n">
        <v>1.95</v>
      </c>
      <c r="L1578" s="122">
        <f>J1578-C1578-(J1578-C1578)*0.2</f>
        <v/>
      </c>
      <c r="M1578" s="169">
        <f>L1578*I1578</f>
        <v/>
      </c>
      <c r="N1578" s="124" t="inlineStr">
        <is>
          <t xml:space="preserve">100-290 шт - </t>
        </is>
      </c>
      <c r="O1578" s="47" t="inlineStr">
        <is>
          <t xml:space="preserve"> руб / шт с НДС</t>
        </is>
      </c>
      <c r="P1578" s="125">
        <f>ROUND(K1578,2)</f>
        <v/>
      </c>
      <c r="Q1578" s="207">
        <f>CONCATENATE(N1578,P1578,O1578,)</f>
        <v/>
      </c>
      <c r="R1578" s="240" t="n"/>
      <c r="T1578" s="241" t="n"/>
      <c r="U1578" s="240" t="n"/>
      <c r="V1578" s="241" t="n"/>
      <c r="Z1578" s="240" t="n"/>
      <c r="AB1578" s="241" t="n"/>
      <c r="AC1578" s="240" t="n"/>
      <c r="AD1578" s="241" t="n"/>
      <c r="AE1578" t="n">
        <v>1.62</v>
      </c>
    </row>
    <row r="1579">
      <c r="B1579" s="42" t="n">
        <v>317</v>
      </c>
      <c r="C1579" s="118">
        <f>INDIRECT("'Закуп'!A" &amp; B1579)</f>
        <v/>
      </c>
      <c r="D1579" s="119">
        <f>C1579*1.2</f>
        <v/>
      </c>
      <c r="G1579" s="172">
        <f>IF(INDIRECT("'Закуп'!L" &amp; B1579)="Sale","Sale","")</f>
        <v/>
      </c>
      <c r="H1579" s="158">
        <f>IF(INDIRECT("'Закуп'!F" &amp; B1579)=0,"",INDIRECT("'Закуп'!F" &amp; B1579))</f>
        <v/>
      </c>
      <c r="I1579" s="120" t="n">
        <v>300</v>
      </c>
      <c r="J1579" s="121">
        <f>K1579/1.2</f>
        <v/>
      </c>
      <c r="K1579" s="242" t="n">
        <v>1.69</v>
      </c>
      <c r="L1579" s="122">
        <f>J1579-C1579-(J1579-C1579)*0.2</f>
        <v/>
      </c>
      <c r="M1579" s="169">
        <f>L1579*I1579</f>
        <v/>
      </c>
      <c r="N1579" s="124" t="inlineStr">
        <is>
          <t xml:space="preserve">300-490 шт - </t>
        </is>
      </c>
      <c r="O1579" s="47" t="inlineStr">
        <is>
          <t xml:space="preserve"> руб / шт с НДС</t>
        </is>
      </c>
      <c r="P1579" s="125">
        <f>ROUND(K1579,2)</f>
        <v/>
      </c>
      <c r="Q1579" s="207">
        <f>CONCATENATE(N1579,P1579,O1579,)</f>
        <v/>
      </c>
      <c r="R1579" s="240" t="n"/>
      <c r="T1579" s="241" t="n"/>
      <c r="U1579" s="240" t="n"/>
      <c r="V1579" s="241" t="n"/>
      <c r="Z1579" s="240" t="n"/>
      <c r="AB1579" s="241" t="n"/>
      <c r="AC1579" s="240" t="n"/>
      <c r="AD1579" s="241" t="n"/>
      <c r="AE1579" t="n">
        <v>1.55</v>
      </c>
    </row>
    <row r="1580">
      <c r="B1580" s="42" t="n">
        <v>317</v>
      </c>
      <c r="C1580" s="118">
        <f>INDIRECT("'Закуп'!A" &amp; B1580)</f>
        <v/>
      </c>
      <c r="D1580" s="119">
        <f>C1580*1.2</f>
        <v/>
      </c>
      <c r="G1580" s="172">
        <f>IF(INDIRECT("'Закуп'!L" &amp; B1580)="Sale","Sale","")</f>
        <v/>
      </c>
      <c r="H1580" s="158">
        <f>IF(INDIRECT("'Закуп'!F" &amp; B1580)=0,"",INDIRECT("'Закуп'!F" &amp; B1580))</f>
        <v/>
      </c>
      <c r="I1580" s="120" t="n">
        <v>500</v>
      </c>
      <c r="J1580" s="121">
        <f>K1580/1.2</f>
        <v/>
      </c>
      <c r="K1580" s="242" t="n">
        <v>1.56</v>
      </c>
      <c r="L1580" s="122">
        <f>J1580-C1580-(J1580-C1580)*0.2</f>
        <v/>
      </c>
      <c r="M1580" s="169">
        <f>L1580*I1580</f>
        <v/>
      </c>
      <c r="N1580" s="124" t="inlineStr">
        <is>
          <t xml:space="preserve">500-990 шт - </t>
        </is>
      </c>
      <c r="O1580" s="47" t="inlineStr">
        <is>
          <t xml:space="preserve"> руб / шт с НДС</t>
        </is>
      </c>
      <c r="P1580" s="125">
        <f>ROUND(K1580,2)</f>
        <v/>
      </c>
      <c r="Q1580" s="207">
        <f>CONCATENATE(N1580,P1580,O1580,)</f>
        <v/>
      </c>
      <c r="R1580" s="240" t="n"/>
      <c r="T1580" s="241" t="n"/>
      <c r="U1580" s="240" t="n"/>
      <c r="V1580" s="241" t="n"/>
      <c r="Z1580" s="240" t="n"/>
      <c r="AB1580" s="241" t="n"/>
      <c r="AC1580" s="240" t="n"/>
      <c r="AD1580" s="241" t="n"/>
      <c r="AE1580" t="n">
        <v>1.49</v>
      </c>
    </row>
    <row r="1581">
      <c r="B1581" s="42" t="n">
        <v>317</v>
      </c>
      <c r="C1581" s="118">
        <f>INDIRECT("'Закуп'!A" &amp; B1581)</f>
        <v/>
      </c>
      <c r="D1581" s="119">
        <f>C1581*1.2</f>
        <v/>
      </c>
      <c r="G1581" s="172">
        <f>IF(INDIRECT("'Закуп'!L" &amp; B1581)="Sale","Sale","")</f>
        <v/>
      </c>
      <c r="H1581" s="158">
        <f>IF(INDIRECT("'Закуп'!F" &amp; B1581)=0,"",INDIRECT("'Закуп'!F" &amp; B1581))</f>
        <v/>
      </c>
      <c r="I1581" s="120" t="n">
        <v>1000</v>
      </c>
      <c r="J1581" s="121">
        <f>K1581/1.2</f>
        <v/>
      </c>
      <c r="K1581" s="242" t="n">
        <v>1.3</v>
      </c>
      <c r="L1581" s="122">
        <f>J1581-C1581-(J1581-C1581)*0.2</f>
        <v/>
      </c>
      <c r="M1581" s="169">
        <f>L1581*I1581</f>
        <v/>
      </c>
      <c r="N1581" s="124" t="inlineStr">
        <is>
          <t xml:space="preserve">1000 + шт - </t>
        </is>
      </c>
      <c r="O1581" s="47" t="inlineStr">
        <is>
          <t xml:space="preserve"> руб / шт с НДС</t>
        </is>
      </c>
      <c r="P1581" s="125">
        <f>ROUND(K1581,2)</f>
        <v/>
      </c>
      <c r="Q1581" s="207">
        <f>CONCATENATE(N1581,P1581,O1581,)</f>
        <v/>
      </c>
      <c r="R1581" s="240" t="n"/>
      <c r="T1581" s="241" t="n"/>
      <c r="U1581" s="240" t="n"/>
      <c r="V1581" s="241" t="n"/>
      <c r="Z1581" s="240" t="n"/>
      <c r="AB1581" s="241" t="n"/>
      <c r="AC1581" s="240" t="n"/>
      <c r="AD1581" s="241" t="n"/>
      <c r="AE1581" t="n">
        <v>1.32</v>
      </c>
    </row>
    <row r="1582">
      <c r="A1582" s="232" t="n">
        <v>318</v>
      </c>
      <c r="B1582" s="42" t="n">
        <v>318</v>
      </c>
      <c r="C1582" s="118">
        <f>INDIRECT("'Закуп'!A" &amp; B1582)</f>
        <v/>
      </c>
      <c r="D1582" s="119">
        <f>C1582*1.2</f>
        <v/>
      </c>
      <c r="E1582" s="224">
        <f>INDIRECT("'Закуп'!D" &amp; A1582)</f>
        <v/>
      </c>
      <c r="F1582" s="231">
        <f>INDIRECT("'Закуп'!E" &amp; B1582)</f>
        <v/>
      </c>
      <c r="G1582" s="172">
        <f>IF(INDIRECT("'Закуп'!L" &amp; B1582)="Sale","Sale","")</f>
        <v/>
      </c>
      <c r="H1582" s="158">
        <f>IF(INDIRECT("'Закуп'!F" &amp; B1582)=0,"",INDIRECT("'Закуп'!F" &amp; B1582))</f>
        <v/>
      </c>
      <c r="I1582" s="120" t="n">
        <v>50</v>
      </c>
      <c r="J1582" s="121">
        <f>K1582/1.2</f>
        <v/>
      </c>
      <c r="K1582" s="242" t="n">
        <v>1.55</v>
      </c>
      <c r="L1582" s="122">
        <f>J1582-C1582-(J1582-C1582)*0.2</f>
        <v/>
      </c>
      <c r="M1582" s="123">
        <f>L1582*I1582</f>
        <v/>
      </c>
      <c r="N1582" s="124" t="inlineStr">
        <is>
          <t xml:space="preserve">50-90 шт - </t>
        </is>
      </c>
      <c r="O1582" s="47" t="inlineStr">
        <is>
          <t xml:space="preserve"> руб / шт с НДС</t>
        </is>
      </c>
      <c r="P1582" s="125">
        <f>ROUND(K1582,2)</f>
        <v/>
      </c>
      <c r="Q1582" s="207">
        <f>CONCATENATE(N1582,P1582,O1582,)</f>
        <v/>
      </c>
      <c r="R1582" s="235">
        <f>INDIRECT("'Закуп'!k" &amp; A1582)</f>
        <v/>
      </c>
      <c r="S1582" s="239">
        <f>INDIRECT("'Закуп'!o" &amp; A1582)</f>
        <v/>
      </c>
      <c r="T1582" s="226">
        <f>INDIRECT("'Закуп'!p" &amp; A1582)</f>
        <v/>
      </c>
      <c r="U1582" s="235">
        <f>INDIRECT("'Закуп'!v" &amp; A1582)</f>
        <v/>
      </c>
      <c r="V1582" s="222">
        <f>INDIRECT("'Закуп'!w" &amp; A1582)</f>
        <v/>
      </c>
      <c r="W1582" s="229">
        <f>INDIRECT("'Закуп'!H" &amp; A1582)</f>
        <v/>
      </c>
      <c r="X1582" s="237">
        <f>INDIRECT("'Закуп'!g" &amp; A1582)</f>
        <v/>
      </c>
      <c r="Y1582" s="229">
        <f>INDIRECT("'Закуп'!i" &amp; A1582)</f>
        <v/>
      </c>
      <c r="Z1582" s="236">
        <f>INDIRECT("'Закуп'!x" &amp; A1582)</f>
        <v/>
      </c>
      <c r="AA1582" s="237">
        <f>INDIRECT("'Закуп'!y" &amp; A1582)</f>
        <v/>
      </c>
      <c r="AB1582" s="238">
        <f>INDIRECT("'Закуп'!z" &amp; A1582)</f>
        <v/>
      </c>
      <c r="AC1582" s="223">
        <f>SUBSTITUTE(INDEX(F:F, ROUNDUP((ROW(A1581))/5,0)*5 - 3), "х", "x")</f>
        <v/>
      </c>
      <c r="AD1582" s="222">
        <f>SUBSTITUTE(INDEX(F:F, ROUNDUP((ROW(A1581))/5,0)*5 - 3), "х", "x") &amp; " - " &amp; SUBSTITUTE(SUBSTITUTE(INDEX(F:F, ROUNDUP((ROW(A1581))/5,0)*5 - 3), "х", "*"), "x", "*") &amp; " мм"</f>
        <v/>
      </c>
      <c r="AE1582" t="n">
        <v>1.85</v>
      </c>
    </row>
    <row r="1583">
      <c r="B1583" s="42" t="n">
        <v>318</v>
      </c>
      <c r="C1583" s="118">
        <f>INDIRECT("'Закуп'!A" &amp; B1583)</f>
        <v/>
      </c>
      <c r="D1583" s="119">
        <f>C1583*1.2</f>
        <v/>
      </c>
      <c r="G1583" s="172">
        <f>IF(INDIRECT("'Закуп'!L" &amp; B1583)="Sale","Sale","")</f>
        <v/>
      </c>
      <c r="H1583" s="158">
        <f>IF(INDIRECT("'Закуп'!F" &amp; B1583)=0,"",INDIRECT("'Закуп'!F" &amp; B1583))</f>
        <v/>
      </c>
      <c r="I1583" s="120" t="n">
        <v>100</v>
      </c>
      <c r="J1583" s="121">
        <f>K1583/1.2</f>
        <v/>
      </c>
      <c r="K1583" s="242" t="n">
        <v>1.32</v>
      </c>
      <c r="L1583" s="122">
        <f>J1583-C1583-(J1583-C1583)*0.2</f>
        <v/>
      </c>
      <c r="M1583" s="123">
        <f>L1583*I1583</f>
        <v/>
      </c>
      <c r="N1583" s="124" t="inlineStr">
        <is>
          <t xml:space="preserve">100-290 шт - </t>
        </is>
      </c>
      <c r="O1583" s="47" t="inlineStr">
        <is>
          <t xml:space="preserve"> руб / шт с НДС</t>
        </is>
      </c>
      <c r="P1583" s="125">
        <f>ROUND(K1583,2)</f>
        <v/>
      </c>
      <c r="Q1583" s="207">
        <f>CONCATENATE(N1583,P1583,O1583,)</f>
        <v/>
      </c>
      <c r="R1583" s="240" t="n"/>
      <c r="T1583" s="241" t="n"/>
      <c r="U1583" s="240" t="n"/>
      <c r="V1583" s="241" t="n"/>
      <c r="Z1583" s="240" t="n"/>
      <c r="AB1583" s="241" t="n"/>
      <c r="AC1583" s="240" t="n"/>
      <c r="AD1583" s="241" t="n"/>
      <c r="AE1583" t="n">
        <v>1.77</v>
      </c>
    </row>
    <row r="1584">
      <c r="B1584" s="42" t="n">
        <v>318</v>
      </c>
      <c r="C1584" s="118">
        <f>INDIRECT("'Закуп'!A" &amp; B1584)</f>
        <v/>
      </c>
      <c r="D1584" s="119">
        <f>C1584*1.2</f>
        <v/>
      </c>
      <c r="G1584" s="172">
        <f>IF(INDIRECT("'Закуп'!L" &amp; B1584)="Sale","Sale","")</f>
        <v/>
      </c>
      <c r="H1584" s="158">
        <f>IF(INDIRECT("'Закуп'!F" &amp; B1584)=0,"",INDIRECT("'Закуп'!F" &amp; B1584))</f>
        <v/>
      </c>
      <c r="I1584" s="120" t="n">
        <v>300</v>
      </c>
      <c r="J1584" s="121">
        <f>K1584/1.2</f>
        <v/>
      </c>
      <c r="K1584" s="242" t="n">
        <v>1.24</v>
      </c>
      <c r="L1584" s="122">
        <f>J1584-C1584-(J1584-C1584)*0.2</f>
        <v/>
      </c>
      <c r="M1584" s="123">
        <f>L1584*I1584</f>
        <v/>
      </c>
      <c r="N1584" s="124" t="inlineStr">
        <is>
          <t xml:space="preserve">300-490 шт - </t>
        </is>
      </c>
      <c r="O1584" s="47" t="inlineStr">
        <is>
          <t xml:space="preserve"> руб / шт с НДС</t>
        </is>
      </c>
      <c r="P1584" s="125">
        <f>ROUND(K1584,2)</f>
        <v/>
      </c>
      <c r="Q1584" s="207">
        <f>CONCATENATE(N1584,P1584,O1584,)</f>
        <v/>
      </c>
      <c r="R1584" s="240" t="n"/>
      <c r="T1584" s="241" t="n"/>
      <c r="U1584" s="240" t="n"/>
      <c r="V1584" s="241" t="n"/>
      <c r="Z1584" s="240" t="n"/>
      <c r="AB1584" s="241" t="n"/>
      <c r="AC1584" s="240" t="n"/>
      <c r="AD1584" s="241" t="n"/>
      <c r="AE1584" t="n">
        <v>1.69</v>
      </c>
    </row>
    <row r="1585">
      <c r="B1585" s="42" t="n">
        <v>318</v>
      </c>
      <c r="C1585" s="118">
        <f>INDIRECT("'Закуп'!A" &amp; B1585)</f>
        <v/>
      </c>
      <c r="D1585" s="119">
        <f>C1585*1.2</f>
        <v/>
      </c>
      <c r="G1585" s="172">
        <f>IF(INDIRECT("'Закуп'!L" &amp; B1585)="Sale","Sale","")</f>
        <v/>
      </c>
      <c r="H1585" s="158">
        <f>IF(INDIRECT("'Закуп'!F" &amp; B1585)=0,"",INDIRECT("'Закуп'!F" &amp; B1585))</f>
        <v/>
      </c>
      <c r="I1585" s="120" t="n">
        <v>500</v>
      </c>
      <c r="J1585" s="121">
        <f>K1585/1.2</f>
        <v/>
      </c>
      <c r="K1585" s="242" t="n">
        <v>1.17</v>
      </c>
      <c r="L1585" s="122">
        <f>J1585-C1585-(J1585-C1585)*0.2</f>
        <v/>
      </c>
      <c r="M1585" s="123">
        <f>L1585*I1585</f>
        <v/>
      </c>
      <c r="N1585" s="124" t="inlineStr">
        <is>
          <t xml:space="preserve">500-990 шт - </t>
        </is>
      </c>
      <c r="O1585" s="47" t="inlineStr">
        <is>
          <t xml:space="preserve"> руб / шт с НДС</t>
        </is>
      </c>
      <c r="P1585" s="125">
        <f>ROUND(K1585,2)</f>
        <v/>
      </c>
      <c r="Q1585" s="207">
        <f>CONCATENATE(N1585,P1585,O1585,)</f>
        <v/>
      </c>
      <c r="R1585" s="240" t="n"/>
      <c r="T1585" s="241" t="n"/>
      <c r="U1585" s="240" t="n"/>
      <c r="V1585" s="241" t="n"/>
      <c r="Z1585" s="240" t="n"/>
      <c r="AB1585" s="241" t="n"/>
      <c r="AC1585" s="240" t="n"/>
      <c r="AD1585" s="241" t="n"/>
      <c r="AE1585" t="n">
        <v>1.61</v>
      </c>
    </row>
    <row r="1586">
      <c r="B1586" s="42" t="n">
        <v>318</v>
      </c>
      <c r="C1586" s="118">
        <f>INDIRECT("'Закуп'!A" &amp; B1586)</f>
        <v/>
      </c>
      <c r="D1586" s="119">
        <f>C1586*1.2</f>
        <v/>
      </c>
      <c r="G1586" s="172">
        <f>IF(INDIRECT("'Закуп'!L" &amp; B1586)="Sale","Sale","")</f>
        <v/>
      </c>
      <c r="H1586" s="158">
        <f>IF(INDIRECT("'Закуп'!F" &amp; B1586)=0,"",INDIRECT("'Закуп'!F" &amp; B1586))</f>
        <v/>
      </c>
      <c r="I1586" s="120" t="n">
        <v>1000</v>
      </c>
      <c r="J1586" s="121">
        <f>K1586/1.2</f>
        <v/>
      </c>
      <c r="K1586" s="242" t="n">
        <v>1.14</v>
      </c>
      <c r="L1586" s="122">
        <f>J1586-C1586-(J1586-C1586)*0.2</f>
        <v/>
      </c>
      <c r="M1586" s="123">
        <f>L1586*I1586</f>
        <v/>
      </c>
      <c r="N1586" s="124" t="inlineStr">
        <is>
          <t xml:space="preserve">1000 + шт - </t>
        </is>
      </c>
      <c r="O1586" s="47" t="inlineStr">
        <is>
          <t xml:space="preserve"> руб / шт с НДС</t>
        </is>
      </c>
      <c r="P1586" s="125">
        <f>ROUND(K1586,2)</f>
        <v/>
      </c>
      <c r="Q1586" s="207">
        <f>CONCATENATE(N1586,P1586,O1586,)</f>
        <v/>
      </c>
      <c r="R1586" s="240" t="n"/>
      <c r="T1586" s="241" t="n"/>
      <c r="U1586" s="240" t="n"/>
      <c r="V1586" s="241" t="n"/>
      <c r="Z1586" s="240" t="n"/>
      <c r="AB1586" s="241" t="n"/>
      <c r="AC1586" s="240" t="n"/>
      <c r="AD1586" s="241" t="n"/>
      <c r="AE1586" t="n">
        <v>1.53</v>
      </c>
    </row>
    <row r="1587">
      <c r="A1587" s="232" t="n">
        <v>319</v>
      </c>
      <c r="B1587" s="42" t="n">
        <v>319</v>
      </c>
      <c r="C1587" s="118">
        <f>INDIRECT("'Закуп'!A" &amp; B1587)</f>
        <v/>
      </c>
      <c r="D1587" s="119">
        <f>C1587*1.2</f>
        <v/>
      </c>
      <c r="E1587" s="224">
        <f>INDIRECT("'Закуп'!D" &amp; A1587)</f>
        <v/>
      </c>
      <c r="F1587" s="231">
        <f>INDIRECT("'Закуп'!E" &amp; B1587)</f>
        <v/>
      </c>
      <c r="G1587" s="172">
        <f>IF(INDIRECT("'Закуп'!L" &amp; B1587)="Sale","Sale","")</f>
        <v/>
      </c>
      <c r="H1587" s="158">
        <f>IF(INDIRECT("'Закуп'!F" &amp; B1587)=0,"",INDIRECT("'Закуп'!F" &amp; B1587))</f>
        <v/>
      </c>
      <c r="I1587" s="120" t="n">
        <v>50</v>
      </c>
      <c r="J1587" s="121">
        <f>K1587/1.2</f>
        <v/>
      </c>
      <c r="K1587" s="170" t="n">
        <v>1.4</v>
      </c>
      <c r="L1587" s="122">
        <f>J1587-C1587-(J1587-C1587)*0.2</f>
        <v/>
      </c>
      <c r="M1587" s="123">
        <f>L1587*I1587</f>
        <v/>
      </c>
      <c r="N1587" s="124" t="inlineStr">
        <is>
          <t xml:space="preserve">50-90 шт - </t>
        </is>
      </c>
      <c r="O1587" s="47" t="inlineStr">
        <is>
          <t xml:space="preserve"> руб / шт с НДС</t>
        </is>
      </c>
      <c r="P1587" s="125">
        <f>ROUND(K1587,2)</f>
        <v/>
      </c>
      <c r="Q1587" s="207">
        <f>CONCATENATE(N1587,P1587,O1587,)</f>
        <v/>
      </c>
      <c r="R1587" s="235">
        <f>INDIRECT("'Закуп'!k" &amp; A1587)</f>
        <v/>
      </c>
      <c r="S1587" s="239">
        <f>INDIRECT("'Закуп'!o" &amp; A1587)</f>
        <v/>
      </c>
      <c r="T1587" s="226">
        <f>INDIRECT("'Закуп'!p" &amp; A1587)</f>
        <v/>
      </c>
      <c r="U1587" s="235">
        <f>INDIRECT("'Закуп'!v" &amp; A1587)</f>
        <v/>
      </c>
      <c r="V1587" s="222">
        <f>INDIRECT("'Закуп'!w" &amp; A1587)</f>
        <v/>
      </c>
      <c r="W1587" s="229">
        <f>INDIRECT("'Закуп'!H" &amp; A1587)</f>
        <v/>
      </c>
      <c r="X1587" s="237">
        <f>INDIRECT("'Закуп'!g" &amp; A1587)</f>
        <v/>
      </c>
      <c r="Y1587" s="229">
        <f>INDIRECT("'Закуп'!i" &amp; A1587)</f>
        <v/>
      </c>
      <c r="Z1587" s="236">
        <f>INDIRECT("'Закуп'!x" &amp; A1587)</f>
        <v/>
      </c>
      <c r="AA1587" s="237">
        <f>INDIRECT("'Закуп'!y" &amp; A1587)</f>
        <v/>
      </c>
      <c r="AB1587" s="238">
        <f>INDIRECT("'Закуп'!z" &amp; A1587)</f>
        <v/>
      </c>
      <c r="AC1587" s="223">
        <f>SUBSTITUTE(INDEX(F:F, ROUNDUP((ROW(A1586))/5,0)*5 - 3), "х", "x")</f>
        <v/>
      </c>
      <c r="AD1587" s="222">
        <f>SUBSTITUTE(INDEX(F:F, ROUNDUP((ROW(A1586))/5,0)*5 - 3), "х", "x") &amp; " - " &amp; SUBSTITUTE(SUBSTITUTE(INDEX(F:F, ROUNDUP((ROW(A1586))/5,0)*5 - 3), "х", "*"), "x", "*") &amp; " мм"</f>
        <v/>
      </c>
    </row>
    <row r="1588">
      <c r="B1588" s="42" t="n">
        <v>319</v>
      </c>
      <c r="C1588" s="118">
        <f>INDIRECT("'Закуп'!A" &amp; B1588)</f>
        <v/>
      </c>
      <c r="D1588" s="119">
        <f>C1588*1.2</f>
        <v/>
      </c>
      <c r="G1588" s="172">
        <f>IF(INDIRECT("'Закуп'!L" &amp; B1588)="Sale","Sale","")</f>
        <v/>
      </c>
      <c r="H1588" s="158">
        <f>IF(INDIRECT("'Закуп'!F" &amp; B1588)=0,"",INDIRECT("'Закуп'!F" &amp; B1588))</f>
        <v/>
      </c>
      <c r="I1588" s="120" t="n">
        <v>100</v>
      </c>
      <c r="J1588" s="121">
        <f>K1588/1.2</f>
        <v/>
      </c>
      <c r="K1588" s="170" t="n">
        <v>1.33</v>
      </c>
      <c r="L1588" s="122">
        <f>J1588-C1588-(J1588-C1588)*0.2</f>
        <v/>
      </c>
      <c r="M1588" s="123">
        <f>L1588*I1588</f>
        <v/>
      </c>
      <c r="N1588" s="124" t="inlineStr">
        <is>
          <t xml:space="preserve">100-290 шт - </t>
        </is>
      </c>
      <c r="O1588" s="47" t="inlineStr">
        <is>
          <t xml:space="preserve"> руб / шт с НДС</t>
        </is>
      </c>
      <c r="P1588" s="125">
        <f>ROUND(K1588,2)</f>
        <v/>
      </c>
      <c r="Q1588" s="207">
        <f>CONCATENATE(N1588,P1588,O1588,)</f>
        <v/>
      </c>
      <c r="R1588" s="240" t="n"/>
      <c r="T1588" s="241" t="n"/>
      <c r="U1588" s="240" t="n"/>
      <c r="V1588" s="241" t="n"/>
      <c r="Z1588" s="240" t="n"/>
      <c r="AB1588" s="241" t="n"/>
      <c r="AC1588" s="240" t="n"/>
      <c r="AD1588" s="241" t="n"/>
    </row>
    <row r="1589">
      <c r="B1589" s="42" t="n">
        <v>319</v>
      </c>
      <c r="C1589" s="118">
        <f>INDIRECT("'Закуп'!A" &amp; B1589)</f>
        <v/>
      </c>
      <c r="D1589" s="119">
        <f>C1589*1.2</f>
        <v/>
      </c>
      <c r="G1589" s="172">
        <f>IF(INDIRECT("'Закуп'!L" &amp; B1589)="Sale","Sale","")</f>
        <v/>
      </c>
      <c r="H1589" s="158">
        <f>IF(INDIRECT("'Закуп'!F" &amp; B1589)=0,"",INDIRECT("'Закуп'!F" &amp; B1589))</f>
        <v/>
      </c>
      <c r="I1589" s="120" t="n">
        <v>300</v>
      </c>
      <c r="J1589" s="121">
        <f>K1589/1.2</f>
        <v/>
      </c>
      <c r="K1589" s="170" t="n">
        <v>1.25</v>
      </c>
      <c r="L1589" s="122">
        <f>J1589-C1589-(J1589-C1589)*0.2</f>
        <v/>
      </c>
      <c r="M1589" s="123">
        <f>L1589*I1589</f>
        <v/>
      </c>
      <c r="N1589" s="124" t="inlineStr">
        <is>
          <t xml:space="preserve">300-490 шт - </t>
        </is>
      </c>
      <c r="O1589" s="47" t="inlineStr">
        <is>
          <t xml:space="preserve"> руб / шт с НДС</t>
        </is>
      </c>
      <c r="P1589" s="125">
        <f>ROUND(K1589,2)</f>
        <v/>
      </c>
      <c r="Q1589" s="207">
        <f>CONCATENATE(N1589,P1589,O1589,)</f>
        <v/>
      </c>
      <c r="R1589" s="240" t="n"/>
      <c r="T1589" s="241" t="n"/>
      <c r="U1589" s="240" t="n"/>
      <c r="V1589" s="241" t="n"/>
      <c r="Z1589" s="240" t="n"/>
      <c r="AB1589" s="241" t="n"/>
      <c r="AC1589" s="240" t="n"/>
      <c r="AD1589" s="241" t="n"/>
    </row>
    <row r="1590">
      <c r="B1590" s="42" t="n">
        <v>319</v>
      </c>
      <c r="C1590" s="118">
        <f>INDIRECT("'Закуп'!A" &amp; B1590)</f>
        <v/>
      </c>
      <c r="D1590" s="119">
        <f>C1590*1.2</f>
        <v/>
      </c>
      <c r="G1590" s="172">
        <f>IF(INDIRECT("'Закуп'!L" &amp; B1590)="Sale","Sale","")</f>
        <v/>
      </c>
      <c r="H1590" s="158">
        <f>IF(INDIRECT("'Закуп'!F" &amp; B1590)=0,"",INDIRECT("'Закуп'!F" &amp; B1590))</f>
        <v/>
      </c>
      <c r="I1590" s="120" t="n">
        <v>500</v>
      </c>
      <c r="J1590" s="121">
        <f>K1590/1.2</f>
        <v/>
      </c>
      <c r="K1590" s="170" t="n">
        <v>1.15</v>
      </c>
      <c r="L1590" s="122">
        <f>J1590-C1590-(J1590-C1590)*0.2</f>
        <v/>
      </c>
      <c r="M1590" s="123">
        <f>L1590*I1590</f>
        <v/>
      </c>
      <c r="N1590" s="124" t="inlineStr">
        <is>
          <t xml:space="preserve">500-990 шт - </t>
        </is>
      </c>
      <c r="O1590" s="47" t="inlineStr">
        <is>
          <t xml:space="preserve"> руб / шт с НДС</t>
        </is>
      </c>
      <c r="P1590" s="125">
        <f>ROUND(K1590,2)</f>
        <v/>
      </c>
      <c r="Q1590" s="207">
        <f>CONCATENATE(N1590,P1590,O1590,)</f>
        <v/>
      </c>
      <c r="R1590" s="240" t="n"/>
      <c r="T1590" s="241" t="n"/>
      <c r="U1590" s="240" t="n"/>
      <c r="V1590" s="241" t="n"/>
      <c r="Z1590" s="240" t="n"/>
      <c r="AB1590" s="241" t="n"/>
      <c r="AC1590" s="240" t="n"/>
      <c r="AD1590" s="241" t="n"/>
    </row>
    <row r="1591">
      <c r="B1591" s="42" t="n">
        <v>319</v>
      </c>
      <c r="C1591" s="118">
        <f>INDIRECT("'Закуп'!A" &amp; B1591)</f>
        <v/>
      </c>
      <c r="D1591" s="119">
        <f>C1591*1.2</f>
        <v/>
      </c>
      <c r="G1591" s="172">
        <f>IF(INDIRECT("'Закуп'!L" &amp; B1591)="Sale","Sale","")</f>
        <v/>
      </c>
      <c r="H1591" s="158">
        <f>IF(INDIRECT("'Закуп'!F" &amp; B1591)=0,"",INDIRECT("'Закуп'!F" &amp; B1591))</f>
        <v/>
      </c>
      <c r="I1591" s="120" t="n">
        <v>1000</v>
      </c>
      <c r="J1591" s="121">
        <f>K1591/1.2</f>
        <v/>
      </c>
      <c r="K1591" s="170" t="n">
        <v>1</v>
      </c>
      <c r="L1591" s="122">
        <f>J1591-C1591-(J1591-C1591)*0.2</f>
        <v/>
      </c>
      <c r="M1591" s="123">
        <f>L1591*I1591</f>
        <v/>
      </c>
      <c r="N1591" s="124" t="inlineStr">
        <is>
          <t xml:space="preserve">1000 + шт - </t>
        </is>
      </c>
      <c r="O1591" s="47" t="inlineStr">
        <is>
          <t xml:space="preserve"> руб / шт с НДС</t>
        </is>
      </c>
      <c r="P1591" s="125">
        <f>ROUND(K1591,2)</f>
        <v/>
      </c>
      <c r="Q1591" s="207">
        <f>CONCATENATE(N1591,P1591,O1591,)</f>
        <v/>
      </c>
      <c r="R1591" s="240" t="n"/>
      <c r="T1591" s="241" t="n"/>
      <c r="U1591" s="240" t="n"/>
      <c r="V1591" s="241" t="n"/>
      <c r="Z1591" s="240" t="n"/>
      <c r="AB1591" s="241" t="n"/>
      <c r="AC1591" s="240" t="n"/>
      <c r="AD1591" s="241" t="n"/>
    </row>
    <row r="1592">
      <c r="A1592" s="232" t="n">
        <v>320</v>
      </c>
      <c r="B1592" s="42" t="n">
        <v>320</v>
      </c>
      <c r="C1592" s="118">
        <f>INDIRECT("'Закуп'!A" &amp; B1592)</f>
        <v/>
      </c>
      <c r="D1592" s="119">
        <f>C1592*1.2</f>
        <v/>
      </c>
      <c r="E1592" s="224">
        <f>INDIRECT("'Закуп'!D" &amp; A1592)</f>
        <v/>
      </c>
      <c r="F1592" s="231">
        <f>INDIRECT("'Закуп'!E" &amp; B1592)</f>
        <v/>
      </c>
      <c r="G1592" s="172">
        <f>IF(INDIRECT("'Закуп'!L" &amp; B1592)="Sale","Sale","")</f>
        <v/>
      </c>
      <c r="H1592" s="158">
        <f>IF(INDIRECT("'Закуп'!F" &amp; B1592)=0,"",INDIRECT("'Закуп'!F" &amp; B1592))</f>
        <v/>
      </c>
      <c r="I1592" s="120" t="n">
        <v>50</v>
      </c>
      <c r="J1592" s="121">
        <f>K1592/1.2</f>
        <v/>
      </c>
      <c r="K1592" s="242" t="n">
        <v>1.75</v>
      </c>
      <c r="L1592" s="122">
        <f>J1592-C1592-(J1592-C1592)*0.2</f>
        <v/>
      </c>
      <c r="M1592" s="123">
        <f>L1592*I1592</f>
        <v/>
      </c>
      <c r="N1592" s="124" t="inlineStr">
        <is>
          <t xml:space="preserve">50-90 шт - </t>
        </is>
      </c>
      <c r="O1592" s="47" t="inlineStr">
        <is>
          <t xml:space="preserve"> руб / шт с НДС</t>
        </is>
      </c>
      <c r="P1592" s="125">
        <f>ROUND(K1592,2)</f>
        <v/>
      </c>
      <c r="Q1592" s="207">
        <f>CONCATENATE(N1592,P1592,O1592,)</f>
        <v/>
      </c>
      <c r="R1592" s="235">
        <f>INDIRECT("'Закуп'!k" &amp; A1592)</f>
        <v/>
      </c>
      <c r="S1592" s="239">
        <f>INDIRECT("'Закуп'!o" &amp; A1592)</f>
        <v/>
      </c>
      <c r="T1592" s="234">
        <f>INDIRECT("'Закуп'!p" &amp; A1592)</f>
        <v/>
      </c>
      <c r="U1592" s="235">
        <f>INDIRECT("'Закуп'!v" &amp; A1592)</f>
        <v/>
      </c>
      <c r="V1592" s="222">
        <f>INDIRECT("'Закуп'!w" &amp; A1592)</f>
        <v/>
      </c>
      <c r="W1592" s="229">
        <f>INDIRECT("'Закуп'!H" &amp; A1592)</f>
        <v/>
      </c>
      <c r="X1592" s="237">
        <f>INDIRECT("'Закуп'!g" &amp; A1592)</f>
        <v/>
      </c>
      <c r="Y1592" s="229">
        <f>INDIRECT("'Закуп'!i" &amp; A1592)</f>
        <v/>
      </c>
      <c r="Z1592" s="236">
        <f>INDIRECT("'Закуп'!x" &amp; A1592)</f>
        <v/>
      </c>
      <c r="AA1592" s="237">
        <f>INDIRECT("'Закуп'!y" &amp; A1592)</f>
        <v/>
      </c>
      <c r="AB1592" s="238">
        <f>INDIRECT("'Закуп'!z" &amp; A1592)</f>
        <v/>
      </c>
      <c r="AC1592" s="223">
        <f>SUBSTITUTE(INDEX(F:F, ROUNDUP((ROW(A1591))/5,0)*5 - 3), "х", "x")</f>
        <v/>
      </c>
      <c r="AD1592" s="222">
        <f>SUBSTITUTE(INDEX(F:F, ROUNDUP((ROW(A1591))/5,0)*5 - 3), "х", "x") &amp; " - " &amp; SUBSTITUTE(SUBSTITUTE(INDEX(F:F, ROUNDUP((ROW(A1591))/5,0)*5 - 3), "х", "*"), "x", "*") &amp; " мм"</f>
        <v/>
      </c>
      <c r="AE1592" t="n">
        <v>1.6</v>
      </c>
    </row>
    <row r="1593">
      <c r="B1593" s="42" t="n">
        <v>320</v>
      </c>
      <c r="C1593" s="118">
        <f>INDIRECT("'Закуп'!A" &amp; B1593)</f>
        <v/>
      </c>
      <c r="D1593" s="119">
        <f>C1593*1.2</f>
        <v/>
      </c>
      <c r="G1593" s="172">
        <f>IF(INDIRECT("'Закуп'!L" &amp; B1593)="Sale","Sale","")</f>
        <v/>
      </c>
      <c r="H1593" s="158">
        <f>IF(INDIRECT("'Закуп'!F" &amp; B1593)=0,"",INDIRECT("'Закуп'!F" &amp; B1593))</f>
        <v/>
      </c>
      <c r="I1593" s="120" t="n">
        <v>100</v>
      </c>
      <c r="J1593" s="121">
        <f>K1593/1.2</f>
        <v/>
      </c>
      <c r="K1593" s="242" t="n">
        <v>1.55</v>
      </c>
      <c r="L1593" s="122">
        <f>J1593-C1593-(J1593-C1593)*0.2</f>
        <v/>
      </c>
      <c r="M1593" s="123">
        <f>L1593*I1593</f>
        <v/>
      </c>
      <c r="N1593" s="124" t="inlineStr">
        <is>
          <t xml:space="preserve">100-290 шт - </t>
        </is>
      </c>
      <c r="O1593" s="47" t="inlineStr">
        <is>
          <t xml:space="preserve"> руб / шт с НДС</t>
        </is>
      </c>
      <c r="P1593" s="125">
        <f>ROUND(K1593,2)</f>
        <v/>
      </c>
      <c r="Q1593" s="207">
        <f>CONCATENATE(N1593,P1593,O1593,)</f>
        <v/>
      </c>
      <c r="R1593" s="240" t="n"/>
      <c r="T1593" s="241" t="n"/>
      <c r="U1593" s="240" t="n"/>
      <c r="V1593" s="241" t="n"/>
      <c r="Z1593" s="240" t="n"/>
      <c r="AB1593" s="241" t="n"/>
      <c r="AC1593" s="240" t="n"/>
      <c r="AD1593" s="241" t="n"/>
      <c r="AE1593" t="n">
        <v>1.53</v>
      </c>
    </row>
    <row r="1594">
      <c r="B1594" s="42" t="n">
        <v>320</v>
      </c>
      <c r="C1594" s="118">
        <f>INDIRECT("'Закуп'!A" &amp; B1594)</f>
        <v/>
      </c>
      <c r="D1594" s="119">
        <f>C1594*1.2</f>
        <v/>
      </c>
      <c r="G1594" s="172">
        <f>IF(INDIRECT("'Закуп'!L" &amp; B1594)="Sale","Sale","")</f>
        <v/>
      </c>
      <c r="H1594" s="158">
        <f>IF(INDIRECT("'Закуп'!F" &amp; B1594)=0,"",INDIRECT("'Закуп'!F" &amp; B1594))</f>
        <v/>
      </c>
      <c r="I1594" s="120" t="n">
        <v>300</v>
      </c>
      <c r="J1594" s="121">
        <f>K1594/1.2</f>
        <v/>
      </c>
      <c r="K1594" s="242" t="n">
        <v>1.34</v>
      </c>
      <c r="L1594" s="122">
        <f>J1594-C1594-(J1594-C1594)*0.2</f>
        <v/>
      </c>
      <c r="M1594" s="123">
        <f>L1594*I1594</f>
        <v/>
      </c>
      <c r="N1594" s="124" t="inlineStr">
        <is>
          <t xml:space="preserve">300-490 шт - </t>
        </is>
      </c>
      <c r="O1594" s="47" t="inlineStr">
        <is>
          <t xml:space="preserve"> руб / шт с НДС</t>
        </is>
      </c>
      <c r="P1594" s="125">
        <f>ROUND(K1594,2)</f>
        <v/>
      </c>
      <c r="Q1594" s="207">
        <f>CONCATENATE(N1594,P1594,O1594,)</f>
        <v/>
      </c>
      <c r="R1594" s="240" t="n"/>
      <c r="T1594" s="241" t="n"/>
      <c r="U1594" s="240" t="n"/>
      <c r="V1594" s="241" t="n"/>
      <c r="Z1594" s="240" t="n"/>
      <c r="AB1594" s="241" t="n"/>
      <c r="AC1594" s="240" t="n"/>
      <c r="AD1594" s="241" t="n"/>
      <c r="AE1594" t="n">
        <v>1.45</v>
      </c>
    </row>
    <row r="1595">
      <c r="B1595" s="42" t="n">
        <v>320</v>
      </c>
      <c r="C1595" s="118">
        <f>INDIRECT("'Закуп'!A" &amp; B1595)</f>
        <v/>
      </c>
      <c r="D1595" s="119">
        <f>C1595*1.2</f>
        <v/>
      </c>
      <c r="G1595" s="172">
        <f>IF(INDIRECT("'Закуп'!L" &amp; B1595)="Sale","Sale","")</f>
        <v/>
      </c>
      <c r="H1595" s="158">
        <f>IF(INDIRECT("'Закуп'!F" &amp; B1595)=0,"",INDIRECT("'Закуп'!F" &amp; B1595))</f>
        <v/>
      </c>
      <c r="I1595" s="120" t="n">
        <v>500</v>
      </c>
      <c r="J1595" s="121">
        <f>K1595/1.2</f>
        <v/>
      </c>
      <c r="K1595" s="242" t="n">
        <v>1.24</v>
      </c>
      <c r="L1595" s="122">
        <f>J1595-C1595-(J1595-C1595)*0.2</f>
        <v/>
      </c>
      <c r="M1595" s="123">
        <f>L1595*I1595</f>
        <v/>
      </c>
      <c r="N1595" s="124" t="inlineStr">
        <is>
          <t xml:space="preserve">500-990 шт - </t>
        </is>
      </c>
      <c r="O1595" s="47" t="inlineStr">
        <is>
          <t xml:space="preserve"> руб / шт с НДС</t>
        </is>
      </c>
      <c r="P1595" s="125">
        <f>ROUND(K1595,2)</f>
        <v/>
      </c>
      <c r="Q1595" s="207">
        <f>CONCATENATE(N1595,P1595,O1595,)</f>
        <v/>
      </c>
      <c r="R1595" s="240" t="n"/>
      <c r="T1595" s="241" t="n"/>
      <c r="U1595" s="240" t="n"/>
      <c r="V1595" s="241" t="n"/>
      <c r="Z1595" s="240" t="n"/>
      <c r="AB1595" s="241" t="n"/>
      <c r="AC1595" s="240" t="n"/>
      <c r="AD1595" s="241" t="n"/>
      <c r="AE1595" t="n">
        <v>1.39</v>
      </c>
    </row>
    <row r="1596">
      <c r="B1596" s="42" t="n">
        <v>320</v>
      </c>
      <c r="C1596" s="118">
        <f>INDIRECT("'Закуп'!A" &amp; B1596)</f>
        <v/>
      </c>
      <c r="D1596" s="119">
        <f>C1596*1.2</f>
        <v/>
      </c>
      <c r="G1596" s="172">
        <f>IF(INDIRECT("'Закуп'!L" &amp; B1596)="Sale","Sale","")</f>
        <v/>
      </c>
      <c r="H1596" s="158">
        <f>IF(INDIRECT("'Закуп'!F" &amp; B1596)=0,"",INDIRECT("'Закуп'!F" &amp; B1596))</f>
        <v/>
      </c>
      <c r="I1596" s="120" t="n">
        <v>1000</v>
      </c>
      <c r="J1596" s="121">
        <f>K1596/1.2</f>
        <v/>
      </c>
      <c r="K1596" s="242" t="n">
        <v>1.03</v>
      </c>
      <c r="L1596" s="122">
        <f>J1596-C1596-(J1596-C1596)*0.2</f>
        <v/>
      </c>
      <c r="M1596" s="123">
        <f>L1596*I1596</f>
        <v/>
      </c>
      <c r="N1596" s="124" t="inlineStr">
        <is>
          <t xml:space="preserve">1000 + шт - </t>
        </is>
      </c>
      <c r="O1596" s="47" t="inlineStr">
        <is>
          <t xml:space="preserve"> руб / шт с НДС</t>
        </is>
      </c>
      <c r="P1596" s="125">
        <f>ROUND(K1596,2)</f>
        <v/>
      </c>
      <c r="Q1596" s="207">
        <f>CONCATENATE(N1596,P1596,O1596,)</f>
        <v/>
      </c>
      <c r="R1596" s="240" t="n"/>
      <c r="T1596" s="241" t="n"/>
      <c r="U1596" s="240" t="n"/>
      <c r="V1596" s="241" t="n"/>
      <c r="Z1596" s="240" t="n"/>
      <c r="AB1596" s="241" t="n"/>
      <c r="AC1596" s="240" t="n"/>
      <c r="AD1596" s="241" t="n"/>
      <c r="AE1596" t="n">
        <v>1.3</v>
      </c>
    </row>
    <row r="1597">
      <c r="A1597" s="232" t="n">
        <v>321</v>
      </c>
      <c r="B1597" s="42" t="n">
        <v>321</v>
      </c>
      <c r="C1597" s="118">
        <f>INDIRECT("'Закуп'!A" &amp; B1597)</f>
        <v/>
      </c>
      <c r="D1597" s="119">
        <f>C1597*1.2</f>
        <v/>
      </c>
      <c r="E1597" s="225">
        <f>INDIRECT("'Закуп'!D" &amp; A1597)</f>
        <v/>
      </c>
      <c r="F1597" s="231">
        <f>INDIRECT("'Закуп'!E" &amp; B1597)</f>
        <v/>
      </c>
      <c r="G1597" s="172">
        <f>IF(INDIRECT("'Закуп'!L" &amp; B1597)="Sale","Sale","")</f>
        <v/>
      </c>
      <c r="H1597" s="158">
        <f>IF(INDIRECT("'Закуп'!F" &amp; B1597)=0,"",INDIRECT("'Закуп'!F" &amp; B1597))</f>
        <v/>
      </c>
      <c r="I1597" s="120" t="n">
        <v>50</v>
      </c>
      <c r="J1597" s="121">
        <f>K1597/1.2</f>
        <v/>
      </c>
      <c r="K1597" s="70" t="n">
        <v>1.1</v>
      </c>
      <c r="L1597" s="122">
        <f>J1597-C1597-(J1597-C1597)*0.2</f>
        <v/>
      </c>
      <c r="M1597" s="123">
        <f>L1597*I1597</f>
        <v/>
      </c>
      <c r="N1597" s="124" t="inlineStr">
        <is>
          <t xml:space="preserve">50-90 шт - </t>
        </is>
      </c>
      <c r="O1597" s="47" t="inlineStr">
        <is>
          <t xml:space="preserve"> руб / шт с НДС</t>
        </is>
      </c>
      <c r="P1597" s="125">
        <f>ROUND(K1597,2)</f>
        <v/>
      </c>
      <c r="Q1597" s="207">
        <f>CONCATENATE(N1597,P1597,O1597,)</f>
        <v/>
      </c>
      <c r="R1597" s="235">
        <f>INDIRECT("'Закуп'!k" &amp; A1597)</f>
        <v/>
      </c>
      <c r="S1597" s="239">
        <f>INDIRECT("'Закуп'!o" &amp; A1597)</f>
        <v/>
      </c>
      <c r="T1597" s="226">
        <f>INDIRECT("'Закуп'!p" &amp; A1597)</f>
        <v/>
      </c>
      <c r="U1597" s="235">
        <f>INDIRECT("'Закуп'!v" &amp; A1597)</f>
        <v/>
      </c>
      <c r="V1597" s="222">
        <f>INDIRECT("'Закуп'!w" &amp; A1597)</f>
        <v/>
      </c>
      <c r="W1597" s="229">
        <f>INDIRECT("'Закуп'!H" &amp; A1597)</f>
        <v/>
      </c>
      <c r="X1597" s="237">
        <f>INDIRECT("'Закуп'!g" &amp; A1597)</f>
        <v/>
      </c>
      <c r="Y1597" s="229">
        <f>INDIRECT("'Закуп'!i" &amp; A1597)</f>
        <v/>
      </c>
      <c r="Z1597" s="236">
        <f>INDIRECT("'Закуп'!x" &amp; A1597)</f>
        <v/>
      </c>
      <c r="AA1597" s="237">
        <f>INDIRECT("'Закуп'!y" &amp; A1597)</f>
        <v/>
      </c>
      <c r="AB1597" s="238">
        <f>INDIRECT("'Закуп'!z" &amp; A1597)</f>
        <v/>
      </c>
      <c r="AC1597" s="223">
        <f>SUBSTITUTE(INDEX(F:F, ROUNDUP((ROW(A1596))/5,0)*5 - 3), "х", "x")</f>
        <v/>
      </c>
      <c r="AD1597" s="222">
        <f>SUBSTITUTE(INDEX(F:F, ROUNDUP((ROW(A1596))/5,0)*5 - 3), "х", "x") &amp; " - " &amp; SUBSTITUTE(SUBSTITUTE(INDEX(F:F, ROUNDUP((ROW(A1596))/5,0)*5 - 3), "х", "*"), "x", "*") &amp; " мм"</f>
        <v/>
      </c>
    </row>
    <row r="1598">
      <c r="B1598" s="42" t="n">
        <v>321</v>
      </c>
      <c r="C1598" s="118">
        <f>INDIRECT("'Закуп'!A" &amp; B1598)</f>
        <v/>
      </c>
      <c r="D1598" s="119">
        <f>C1598*1.2</f>
        <v/>
      </c>
      <c r="G1598" s="172">
        <f>IF(INDIRECT("'Закуп'!L" &amp; B1598)="Sale","Sale","")</f>
        <v/>
      </c>
      <c r="H1598" s="158">
        <f>IF(INDIRECT("'Закуп'!F" &amp; B1598)=0,"",INDIRECT("'Закуп'!F" &amp; B1598))</f>
        <v/>
      </c>
      <c r="I1598" s="120" t="n">
        <v>100</v>
      </c>
      <c r="J1598" s="121">
        <f>K1598/1.2</f>
        <v/>
      </c>
      <c r="K1598" s="70" t="n">
        <v>1.1</v>
      </c>
      <c r="L1598" s="122">
        <f>J1598-C1598-(J1598-C1598)*0.2</f>
        <v/>
      </c>
      <c r="M1598" s="123">
        <f>L1598*I1598</f>
        <v/>
      </c>
      <c r="N1598" s="124" t="inlineStr">
        <is>
          <t xml:space="preserve">100-290 шт - </t>
        </is>
      </c>
      <c r="O1598" s="47" t="inlineStr">
        <is>
          <t xml:space="preserve"> руб / шт с НДС</t>
        </is>
      </c>
      <c r="P1598" s="125">
        <f>ROUND(K1598,2)</f>
        <v/>
      </c>
      <c r="Q1598" s="207">
        <f>CONCATENATE(N1598,P1598,O1598,)</f>
        <v/>
      </c>
      <c r="R1598" s="240" t="n"/>
      <c r="T1598" s="241" t="n"/>
      <c r="U1598" s="240" t="n"/>
      <c r="V1598" s="241" t="n"/>
      <c r="Z1598" s="240" t="n"/>
      <c r="AB1598" s="241" t="n"/>
      <c r="AC1598" s="240" t="n"/>
      <c r="AD1598" s="241" t="n"/>
    </row>
    <row r="1599">
      <c r="B1599" s="42" t="n">
        <v>321</v>
      </c>
      <c r="C1599" s="118">
        <f>INDIRECT("'Закуп'!A" &amp; B1599)</f>
        <v/>
      </c>
      <c r="D1599" s="119">
        <f>C1599*1.2</f>
        <v/>
      </c>
      <c r="G1599" s="172">
        <f>IF(INDIRECT("'Закуп'!L" &amp; B1599)="Sale","Sale","")</f>
        <v/>
      </c>
      <c r="H1599" s="158">
        <f>IF(INDIRECT("'Закуп'!F" &amp; B1599)=0,"",INDIRECT("'Закуп'!F" &amp; B1599))</f>
        <v/>
      </c>
      <c r="I1599" s="120" t="n">
        <v>300</v>
      </c>
      <c r="J1599" s="121">
        <f>K1599/1.2</f>
        <v/>
      </c>
      <c r="K1599" s="70" t="n">
        <v>1.1</v>
      </c>
      <c r="L1599" s="122">
        <f>J1599-C1599-(J1599-C1599)*0.2</f>
        <v/>
      </c>
      <c r="M1599" s="123">
        <f>L1599*I1599</f>
        <v/>
      </c>
      <c r="N1599" s="124" t="inlineStr">
        <is>
          <t xml:space="preserve">300-490 шт - </t>
        </is>
      </c>
      <c r="O1599" s="47" t="inlineStr">
        <is>
          <t xml:space="preserve"> руб / шт с НДС</t>
        </is>
      </c>
      <c r="P1599" s="125">
        <f>ROUND(K1599,2)</f>
        <v/>
      </c>
      <c r="Q1599" s="207">
        <f>CONCATENATE(N1599,P1599,O1599,)</f>
        <v/>
      </c>
      <c r="R1599" s="240" t="n"/>
      <c r="T1599" s="241" t="n"/>
      <c r="U1599" s="240" t="n"/>
      <c r="V1599" s="241" t="n"/>
      <c r="Z1599" s="240" t="n"/>
      <c r="AB1599" s="241" t="n"/>
      <c r="AC1599" s="240" t="n"/>
      <c r="AD1599" s="241" t="n"/>
    </row>
    <row r="1600">
      <c r="B1600" s="42" t="n">
        <v>321</v>
      </c>
      <c r="C1600" s="118">
        <f>INDIRECT("'Закуп'!A" &amp; B1600)</f>
        <v/>
      </c>
      <c r="D1600" s="119">
        <f>C1600*1.2</f>
        <v/>
      </c>
      <c r="G1600" s="172">
        <f>IF(INDIRECT("'Закуп'!L" &amp; B1600)="Sale","Sale","")</f>
        <v/>
      </c>
      <c r="H1600" s="158">
        <f>IF(INDIRECT("'Закуп'!F" &amp; B1600)=0,"",INDIRECT("'Закуп'!F" &amp; B1600))</f>
        <v/>
      </c>
      <c r="I1600" s="120" t="n">
        <v>500</v>
      </c>
      <c r="J1600" s="121">
        <f>K1600/1.2</f>
        <v/>
      </c>
      <c r="K1600" s="70" t="n">
        <v>1.1</v>
      </c>
      <c r="L1600" s="122">
        <f>J1600-C1600-(J1600-C1600)*0.2</f>
        <v/>
      </c>
      <c r="M1600" s="123">
        <f>L1600*I1600</f>
        <v/>
      </c>
      <c r="N1600" s="124" t="inlineStr">
        <is>
          <t xml:space="preserve">500-990 шт - </t>
        </is>
      </c>
      <c r="O1600" s="47" t="inlineStr">
        <is>
          <t xml:space="preserve"> руб / шт с НДС</t>
        </is>
      </c>
      <c r="P1600" s="125">
        <f>ROUND(K1600,2)</f>
        <v/>
      </c>
      <c r="Q1600" s="207">
        <f>CONCATENATE(N1600,P1600,O1600,)</f>
        <v/>
      </c>
      <c r="R1600" s="240" t="n"/>
      <c r="T1600" s="241" t="n"/>
      <c r="U1600" s="240" t="n"/>
      <c r="V1600" s="241" t="n"/>
      <c r="Z1600" s="240" t="n"/>
      <c r="AB1600" s="241" t="n"/>
      <c r="AC1600" s="240" t="n"/>
      <c r="AD1600" s="241" t="n"/>
    </row>
    <row r="1601">
      <c r="B1601" s="42" t="n">
        <v>321</v>
      </c>
      <c r="C1601" s="118">
        <f>INDIRECT("'Закуп'!A" &amp; B1601)</f>
        <v/>
      </c>
      <c r="D1601" s="119">
        <f>C1601*1.2</f>
        <v/>
      </c>
      <c r="G1601" s="172">
        <f>IF(INDIRECT("'Закуп'!L" &amp; B1601)="Sale","Sale","")</f>
        <v/>
      </c>
      <c r="H1601" s="158">
        <f>IF(INDIRECT("'Закуп'!F" &amp; B1601)=0,"",INDIRECT("'Закуп'!F" &amp; B1601))</f>
        <v/>
      </c>
      <c r="I1601" s="120" t="n">
        <v>1000</v>
      </c>
      <c r="J1601" s="121">
        <f>K1601/1.2</f>
        <v/>
      </c>
      <c r="K1601" s="70" t="n">
        <v>1.1</v>
      </c>
      <c r="L1601" s="122">
        <f>J1601-C1601-(J1601-C1601)*0.2</f>
        <v/>
      </c>
      <c r="M1601" s="123">
        <f>L1601*I1601</f>
        <v/>
      </c>
      <c r="N1601" s="124" t="inlineStr">
        <is>
          <t xml:space="preserve">1000 + шт - </t>
        </is>
      </c>
      <c r="O1601" s="47" t="inlineStr">
        <is>
          <t xml:space="preserve"> руб / шт с НДС</t>
        </is>
      </c>
      <c r="P1601" s="125">
        <f>ROUND(K1601,2)</f>
        <v/>
      </c>
      <c r="Q1601" s="207">
        <f>CONCATENATE(N1601,P1601,O1601,)</f>
        <v/>
      </c>
      <c r="R1601" s="240" t="n"/>
      <c r="T1601" s="241" t="n"/>
      <c r="U1601" s="240" t="n"/>
      <c r="V1601" s="241" t="n"/>
      <c r="Z1601" s="240" t="n"/>
      <c r="AB1601" s="241" t="n"/>
      <c r="AC1601" s="240" t="n"/>
      <c r="AD1601" s="241" t="n"/>
    </row>
    <row r="1602">
      <c r="A1602" s="232" t="n">
        <v>322</v>
      </c>
      <c r="B1602" s="42" t="n">
        <v>322</v>
      </c>
      <c r="C1602" s="118">
        <f>INDIRECT("'Закуп'!A" &amp; B1602)</f>
        <v/>
      </c>
      <c r="D1602" s="119">
        <f>C1602*1.2</f>
        <v/>
      </c>
      <c r="E1602" s="233">
        <f>INDIRECT("'Закуп'!D" &amp; A1602)</f>
        <v/>
      </c>
      <c r="F1602" s="231">
        <f>INDIRECT("'Закуп'!E" &amp; B1602)</f>
        <v/>
      </c>
      <c r="G1602" s="172">
        <f>IF(INDIRECT("'Закуп'!L" &amp; B1602)="Sale","Sale","")</f>
        <v/>
      </c>
      <c r="H1602" s="158">
        <f>IF(INDIRECT("'Закуп'!F" &amp; B1602)=0,"",INDIRECT("'Закуп'!F" &amp; B1602))</f>
        <v/>
      </c>
      <c r="I1602" s="120" t="n">
        <v>50</v>
      </c>
      <c r="J1602" s="121">
        <f>K1602/1.2</f>
        <v/>
      </c>
      <c r="K1602" s="70" t="n">
        <v>0.38</v>
      </c>
      <c r="L1602" s="122">
        <f>J1602-C1602-(J1602-C1602)*0.2</f>
        <v/>
      </c>
      <c r="M1602" s="123">
        <f>L1602*I1602</f>
        <v/>
      </c>
      <c r="N1602" s="124" t="inlineStr">
        <is>
          <t xml:space="preserve">50-90 шт - </t>
        </is>
      </c>
      <c r="O1602" s="47" t="inlineStr">
        <is>
          <t xml:space="preserve"> руб / шт с НДС</t>
        </is>
      </c>
      <c r="P1602" s="125">
        <f>ROUND(K1602,2)</f>
        <v/>
      </c>
      <c r="Q1602" s="207">
        <f>CONCATENATE(N1602,P1602,O1602,)</f>
        <v/>
      </c>
      <c r="R1602" s="235">
        <f>INDIRECT("'Закуп'!k" &amp; A1602)</f>
        <v/>
      </c>
      <c r="S1602" s="239">
        <f>INDIRECT("'Закуп'!o" &amp; A1602)</f>
        <v/>
      </c>
      <c r="T1602" s="234">
        <f>INDIRECT("'Закуп'!p" &amp; A1602)</f>
        <v/>
      </c>
      <c r="U1602" s="235">
        <f>INDIRECT("'Закуп'!v" &amp; A1602)</f>
        <v/>
      </c>
      <c r="V1602" s="222">
        <f>INDIRECT("'Закуп'!w" &amp; A1602)</f>
        <v/>
      </c>
      <c r="W1602" s="229">
        <f>INDIRECT("'Закуп'!H" &amp; A1602)</f>
        <v/>
      </c>
      <c r="X1602" s="237">
        <f>INDIRECT("'Закуп'!g" &amp; A1602)</f>
        <v/>
      </c>
      <c r="Y1602" s="229">
        <f>INDIRECT("'Закуп'!i" &amp; A1602)</f>
        <v/>
      </c>
      <c r="Z1602" s="236">
        <f>INDIRECT("'Закуп'!x" &amp; A1602)</f>
        <v/>
      </c>
      <c r="AA1602" s="237">
        <f>INDIRECT("'Закуп'!y" &amp; A1602)</f>
        <v/>
      </c>
      <c r="AB1602" s="238">
        <f>INDIRECT("'Закуп'!z" &amp; A1602)</f>
        <v/>
      </c>
      <c r="AC1602" s="223">
        <f>SUBSTITUTE(INDEX(F:F, ROUNDUP((ROW(A1601))/5,0)*5 - 3), "х", "x")</f>
        <v/>
      </c>
      <c r="AD1602" s="222">
        <f>SUBSTITUTE(INDEX(F:F, ROUNDUP((ROW(A1601))/5,0)*5 - 3), "х", "x") &amp; " - " &amp; SUBSTITUTE(SUBSTITUTE(INDEX(F:F, ROUNDUP((ROW(A1601))/5,0)*5 - 3), "х", "*"), "x", "*") &amp; " мм"</f>
        <v/>
      </c>
    </row>
    <row r="1603">
      <c r="B1603" s="42" t="n">
        <v>322</v>
      </c>
      <c r="C1603" s="118">
        <f>INDIRECT("'Закуп'!A" &amp; B1603)</f>
        <v/>
      </c>
      <c r="D1603" s="119">
        <f>C1603*1.2</f>
        <v/>
      </c>
      <c r="G1603" s="172">
        <f>IF(INDIRECT("'Закуп'!L" &amp; B1603)="Sale","Sale","")</f>
        <v/>
      </c>
      <c r="H1603" s="158">
        <f>IF(INDIRECT("'Закуп'!F" &amp; B1603)=0,"",INDIRECT("'Закуп'!F" &amp; B1603))</f>
        <v/>
      </c>
      <c r="I1603" s="120" t="n">
        <v>100</v>
      </c>
      <c r="J1603" s="121">
        <f>K1603/1.2</f>
        <v/>
      </c>
      <c r="K1603" s="70" t="n">
        <v>0.38</v>
      </c>
      <c r="L1603" s="122">
        <f>J1603-C1603-(J1603-C1603)*0.2</f>
        <v/>
      </c>
      <c r="M1603" s="123">
        <f>L1603*I1603</f>
        <v/>
      </c>
      <c r="N1603" s="124" t="inlineStr">
        <is>
          <t xml:space="preserve">100-290 шт - </t>
        </is>
      </c>
      <c r="O1603" s="47" t="inlineStr">
        <is>
          <t xml:space="preserve"> руб / шт с НДС</t>
        </is>
      </c>
      <c r="P1603" s="125">
        <f>ROUND(K1603,2)</f>
        <v/>
      </c>
      <c r="Q1603" s="207">
        <f>CONCATENATE(N1603,P1603,O1603,)</f>
        <v/>
      </c>
      <c r="R1603" s="240" t="n"/>
      <c r="T1603" s="241" t="n"/>
      <c r="U1603" s="240" t="n"/>
      <c r="V1603" s="241" t="n"/>
      <c r="Z1603" s="240" t="n"/>
      <c r="AB1603" s="241" t="n"/>
      <c r="AC1603" s="240" t="n"/>
      <c r="AD1603" s="241" t="n"/>
    </row>
    <row r="1604">
      <c r="B1604" s="42" t="n">
        <v>322</v>
      </c>
      <c r="C1604" s="118">
        <f>INDIRECT("'Закуп'!A" &amp; B1604)</f>
        <v/>
      </c>
      <c r="D1604" s="119">
        <f>C1604*1.2</f>
        <v/>
      </c>
      <c r="G1604" s="172">
        <f>IF(INDIRECT("'Закуп'!L" &amp; B1604)="Sale","Sale","")</f>
        <v/>
      </c>
      <c r="H1604" s="158">
        <f>IF(INDIRECT("'Закуп'!F" &amp; B1604)=0,"",INDIRECT("'Закуп'!F" &amp; B1604))</f>
        <v/>
      </c>
      <c r="I1604" s="120" t="n">
        <v>300</v>
      </c>
      <c r="J1604" s="121">
        <f>K1604/1.2</f>
        <v/>
      </c>
      <c r="K1604" s="70" t="n">
        <v>0.38</v>
      </c>
      <c r="L1604" s="122">
        <f>J1604-C1604-(J1604-C1604)*0.2</f>
        <v/>
      </c>
      <c r="M1604" s="123">
        <f>L1604*I1604</f>
        <v/>
      </c>
      <c r="N1604" s="124" t="inlineStr">
        <is>
          <t xml:space="preserve">300-490 шт - </t>
        </is>
      </c>
      <c r="O1604" s="47" t="inlineStr">
        <is>
          <t xml:space="preserve"> руб / шт с НДС</t>
        </is>
      </c>
      <c r="P1604" s="125">
        <f>ROUND(K1604,2)</f>
        <v/>
      </c>
      <c r="Q1604" s="207">
        <f>CONCATENATE(N1604,P1604,O1604,)</f>
        <v/>
      </c>
      <c r="R1604" s="240" t="n"/>
      <c r="T1604" s="241" t="n"/>
      <c r="U1604" s="240" t="n"/>
      <c r="V1604" s="241" t="n"/>
      <c r="Z1604" s="240" t="n"/>
      <c r="AB1604" s="241" t="n"/>
      <c r="AC1604" s="240" t="n"/>
      <c r="AD1604" s="241" t="n"/>
    </row>
    <row r="1605">
      <c r="B1605" s="42" t="n">
        <v>322</v>
      </c>
      <c r="C1605" s="118">
        <f>INDIRECT("'Закуп'!A" &amp; B1605)</f>
        <v/>
      </c>
      <c r="D1605" s="119">
        <f>C1605*1.2</f>
        <v/>
      </c>
      <c r="G1605" s="172">
        <f>IF(INDIRECT("'Закуп'!L" &amp; B1605)="Sale","Sale","")</f>
        <v/>
      </c>
      <c r="H1605" s="158">
        <f>IF(INDIRECT("'Закуп'!F" &amp; B1605)=0,"",INDIRECT("'Закуп'!F" &amp; B1605))</f>
        <v/>
      </c>
      <c r="I1605" s="120" t="n">
        <v>500</v>
      </c>
      <c r="J1605" s="121">
        <f>K1605/1.2</f>
        <v/>
      </c>
      <c r="K1605" s="70" t="n">
        <v>0.38</v>
      </c>
      <c r="L1605" s="122">
        <f>J1605-C1605-(J1605-C1605)*0.2</f>
        <v/>
      </c>
      <c r="M1605" s="123">
        <f>L1605*I1605</f>
        <v/>
      </c>
      <c r="N1605" s="124" t="inlineStr">
        <is>
          <t xml:space="preserve">500-990 шт - </t>
        </is>
      </c>
      <c r="O1605" s="47" t="inlineStr">
        <is>
          <t xml:space="preserve"> руб / шт с НДС</t>
        </is>
      </c>
      <c r="P1605" s="125">
        <f>ROUND(K1605,2)</f>
        <v/>
      </c>
      <c r="Q1605" s="207">
        <f>CONCATENATE(N1605,P1605,O1605,)</f>
        <v/>
      </c>
      <c r="R1605" s="240" t="n"/>
      <c r="T1605" s="241" t="n"/>
      <c r="U1605" s="240" t="n"/>
      <c r="V1605" s="241" t="n"/>
      <c r="Z1605" s="240" t="n"/>
      <c r="AB1605" s="241" t="n"/>
      <c r="AC1605" s="240" t="n"/>
      <c r="AD1605" s="241" t="n"/>
    </row>
    <row r="1606">
      <c r="B1606" s="42" t="n">
        <v>322</v>
      </c>
      <c r="C1606" s="118">
        <f>INDIRECT("'Закуп'!A" &amp; B1606)</f>
        <v/>
      </c>
      <c r="D1606" s="119">
        <f>C1606*1.2</f>
        <v/>
      </c>
      <c r="G1606" s="172">
        <f>IF(INDIRECT("'Закуп'!L" &amp; B1606)="Sale","Sale","")</f>
        <v/>
      </c>
      <c r="H1606" s="158">
        <f>IF(INDIRECT("'Закуп'!F" &amp; B1606)=0,"",INDIRECT("'Закуп'!F" &amp; B1606))</f>
        <v/>
      </c>
      <c r="I1606" s="120" t="n">
        <v>1000</v>
      </c>
      <c r="J1606" s="121">
        <f>K1606/1.2</f>
        <v/>
      </c>
      <c r="K1606" s="70" t="n">
        <v>0.38</v>
      </c>
      <c r="L1606" s="122">
        <f>J1606-C1606-(J1606-C1606)*0.2</f>
        <v/>
      </c>
      <c r="M1606" s="123">
        <f>L1606*I1606</f>
        <v/>
      </c>
      <c r="N1606" s="124" t="inlineStr">
        <is>
          <t xml:space="preserve">1000 + шт - </t>
        </is>
      </c>
      <c r="O1606" s="47" t="inlineStr">
        <is>
          <t xml:space="preserve"> руб / шт с НДС</t>
        </is>
      </c>
      <c r="P1606" s="125">
        <f>ROUND(K1606,2)</f>
        <v/>
      </c>
      <c r="Q1606" s="207">
        <f>CONCATENATE(N1606,P1606,O1606,)</f>
        <v/>
      </c>
      <c r="R1606" s="240" t="n"/>
      <c r="T1606" s="241" t="n"/>
      <c r="U1606" s="240" t="n"/>
      <c r="V1606" s="241" t="n"/>
      <c r="Z1606" s="240" t="n"/>
      <c r="AB1606" s="241" t="n"/>
      <c r="AC1606" s="240" t="n"/>
      <c r="AD1606" s="241" t="n"/>
    </row>
    <row r="1607">
      <c r="A1607" s="232" t="n">
        <v>323</v>
      </c>
      <c r="B1607" s="42" t="n">
        <v>323</v>
      </c>
      <c r="C1607" s="118">
        <f>INDIRECT("'Закуп'!A" &amp; B1607)</f>
        <v/>
      </c>
      <c r="D1607" s="119">
        <f>C1607*1.2</f>
        <v/>
      </c>
      <c r="E1607" s="233">
        <f>INDIRECT("'Закуп'!D" &amp; A1607)</f>
        <v/>
      </c>
      <c r="F1607" s="231">
        <f>INDIRECT("'Закуп'!E" &amp; B1607)</f>
        <v/>
      </c>
      <c r="G1607" s="172">
        <f>IF(INDIRECT("'Закуп'!L" &amp; B1607)="Sale","Sale","")</f>
        <v/>
      </c>
      <c r="H1607" s="158">
        <f>IF(INDIRECT("'Закуп'!F" &amp; B1607)=0,"",INDIRECT("'Закуп'!F" &amp; B1607))</f>
        <v/>
      </c>
      <c r="I1607" s="120" t="n">
        <v>50</v>
      </c>
      <c r="J1607" s="121">
        <f>K1607/1.2</f>
        <v/>
      </c>
      <c r="K1607" s="70" t="n">
        <v>0.5</v>
      </c>
      <c r="L1607" s="122">
        <f>J1607-C1607-(J1607-C1607)*0.2</f>
        <v/>
      </c>
      <c r="M1607" s="123">
        <f>L1607*I1607</f>
        <v/>
      </c>
      <c r="N1607" s="124" t="inlineStr">
        <is>
          <t xml:space="preserve">50-90 шт - </t>
        </is>
      </c>
      <c r="O1607" s="47" t="inlineStr">
        <is>
          <t xml:space="preserve"> руб / шт с НДС</t>
        </is>
      </c>
      <c r="P1607" s="125">
        <f>ROUND(K1607,2)</f>
        <v/>
      </c>
      <c r="Q1607" s="207">
        <f>CONCATENATE(N1607,P1607,O1607,)</f>
        <v/>
      </c>
      <c r="R1607" s="235">
        <f>INDIRECT("'Закуп'!k" &amp; A1607)</f>
        <v/>
      </c>
      <c r="S1607" s="239">
        <f>INDIRECT("'Закуп'!o" &amp; A1607)</f>
        <v/>
      </c>
      <c r="T1607" s="234">
        <f>INDIRECT("'Закуп'!p" &amp; A1607)</f>
        <v/>
      </c>
      <c r="U1607" s="235">
        <f>INDIRECT("'Закуп'!v" &amp; A1607)</f>
        <v/>
      </c>
      <c r="V1607" s="222">
        <f>INDIRECT("'Закуп'!w" &amp; A1607)</f>
        <v/>
      </c>
      <c r="W1607" s="229">
        <f>INDIRECT("'Закуп'!H" &amp; A1607)</f>
        <v/>
      </c>
      <c r="X1607" s="237">
        <f>INDIRECT("'Закуп'!g" &amp; A1607)</f>
        <v/>
      </c>
      <c r="Y1607" s="229">
        <f>INDIRECT("'Закуп'!i" &amp; A1607)</f>
        <v/>
      </c>
      <c r="Z1607" s="236">
        <f>INDIRECT("'Закуп'!x" &amp; A1607)</f>
        <v/>
      </c>
      <c r="AA1607" s="237">
        <f>INDIRECT("'Закуп'!y" &amp; A1607)</f>
        <v/>
      </c>
      <c r="AB1607" s="238">
        <f>INDIRECT("'Закуп'!z" &amp; A1607)</f>
        <v/>
      </c>
      <c r="AC1607" s="223">
        <f>SUBSTITUTE(INDEX(F:F, ROUNDUP((ROW(A1606))/5,0)*5 - 3), "х", "x")</f>
        <v/>
      </c>
      <c r="AD1607" s="222">
        <f>SUBSTITUTE(INDEX(F:F, ROUNDUP((ROW(A1606))/5,0)*5 - 3), "х", "x") &amp; " - " &amp; SUBSTITUTE(SUBSTITUTE(INDEX(F:F, ROUNDUP((ROW(A1606))/5,0)*5 - 3), "х", "*"), "x", "*") &amp; " мм"</f>
        <v/>
      </c>
    </row>
    <row r="1608">
      <c r="B1608" s="42" t="n">
        <v>323</v>
      </c>
      <c r="C1608" s="118">
        <f>INDIRECT("'Закуп'!A" &amp; B1608)</f>
        <v/>
      </c>
      <c r="D1608" s="119">
        <f>C1608*1.2</f>
        <v/>
      </c>
      <c r="G1608" s="172">
        <f>IF(INDIRECT("'Закуп'!L" &amp; B1608)="Sale","Sale","")</f>
        <v/>
      </c>
      <c r="H1608" s="158">
        <f>IF(INDIRECT("'Закуп'!F" &amp; B1608)=0,"",INDIRECT("'Закуп'!F" &amp; B1608))</f>
        <v/>
      </c>
      <c r="I1608" s="120" t="n">
        <v>100</v>
      </c>
      <c r="J1608" s="121">
        <f>K1608/1.2</f>
        <v/>
      </c>
      <c r="K1608" s="70" t="n">
        <v>0.5</v>
      </c>
      <c r="L1608" s="122">
        <f>J1608-C1608-(J1608-C1608)*0.2</f>
        <v/>
      </c>
      <c r="M1608" s="123">
        <f>L1608*I1608</f>
        <v/>
      </c>
      <c r="N1608" s="124" t="inlineStr">
        <is>
          <t xml:space="preserve">100-290 шт - </t>
        </is>
      </c>
      <c r="O1608" s="47" t="inlineStr">
        <is>
          <t xml:space="preserve"> руб / шт с НДС</t>
        </is>
      </c>
      <c r="P1608" s="125">
        <f>ROUND(K1608,2)</f>
        <v/>
      </c>
      <c r="Q1608" s="207">
        <f>CONCATENATE(N1608,P1608,O1608,)</f>
        <v/>
      </c>
      <c r="R1608" s="240" t="n"/>
      <c r="T1608" s="241" t="n"/>
      <c r="U1608" s="240" t="n"/>
      <c r="V1608" s="241" t="n"/>
      <c r="Z1608" s="240" t="n"/>
      <c r="AB1608" s="241" t="n"/>
      <c r="AC1608" s="240" t="n"/>
      <c r="AD1608" s="241" t="n"/>
    </row>
    <row r="1609">
      <c r="B1609" s="42" t="n">
        <v>323</v>
      </c>
      <c r="C1609" s="118">
        <f>INDIRECT("'Закуп'!A" &amp; B1609)</f>
        <v/>
      </c>
      <c r="D1609" s="119">
        <f>C1609*1.2</f>
        <v/>
      </c>
      <c r="G1609" s="172">
        <f>IF(INDIRECT("'Закуп'!L" &amp; B1609)="Sale","Sale","")</f>
        <v/>
      </c>
      <c r="H1609" s="158">
        <f>IF(INDIRECT("'Закуп'!F" &amp; B1609)=0,"",INDIRECT("'Закуп'!F" &amp; B1609))</f>
        <v/>
      </c>
      <c r="I1609" s="120" t="n">
        <v>300</v>
      </c>
      <c r="J1609" s="121">
        <f>K1609/1.2</f>
        <v/>
      </c>
      <c r="K1609" s="70" t="n">
        <v>0.5</v>
      </c>
      <c r="L1609" s="122">
        <f>J1609-C1609-(J1609-C1609)*0.2</f>
        <v/>
      </c>
      <c r="M1609" s="123">
        <f>L1609*I1609</f>
        <v/>
      </c>
      <c r="N1609" s="124" t="inlineStr">
        <is>
          <t xml:space="preserve">300-490 шт - </t>
        </is>
      </c>
      <c r="O1609" s="47" t="inlineStr">
        <is>
          <t xml:space="preserve"> руб / шт с НДС</t>
        </is>
      </c>
      <c r="P1609" s="125">
        <f>ROUND(K1609,2)</f>
        <v/>
      </c>
      <c r="Q1609" s="207">
        <f>CONCATENATE(N1609,P1609,O1609,)</f>
        <v/>
      </c>
      <c r="R1609" s="240" t="n"/>
      <c r="T1609" s="241" t="n"/>
      <c r="U1609" s="240" t="n"/>
      <c r="V1609" s="241" t="n"/>
      <c r="Z1609" s="240" t="n"/>
      <c r="AB1609" s="241" t="n"/>
      <c r="AC1609" s="240" t="n"/>
      <c r="AD1609" s="241" t="n"/>
    </row>
    <row r="1610">
      <c r="B1610" s="42" t="n">
        <v>323</v>
      </c>
      <c r="C1610" s="118">
        <f>INDIRECT("'Закуп'!A" &amp; B1610)</f>
        <v/>
      </c>
      <c r="D1610" s="119">
        <f>C1610*1.2</f>
        <v/>
      </c>
      <c r="G1610" s="172">
        <f>IF(INDIRECT("'Закуп'!L" &amp; B1610)="Sale","Sale","")</f>
        <v/>
      </c>
      <c r="H1610" s="158">
        <f>IF(INDIRECT("'Закуп'!F" &amp; B1610)=0,"",INDIRECT("'Закуп'!F" &amp; B1610))</f>
        <v/>
      </c>
      <c r="I1610" s="120" t="n">
        <v>500</v>
      </c>
      <c r="J1610" s="121">
        <f>K1610/1.2</f>
        <v/>
      </c>
      <c r="K1610" s="70" t="n">
        <v>0.5</v>
      </c>
      <c r="L1610" s="122">
        <f>J1610-C1610-(J1610-C1610)*0.2</f>
        <v/>
      </c>
      <c r="M1610" s="123">
        <f>L1610*I1610</f>
        <v/>
      </c>
      <c r="N1610" s="124" t="inlineStr">
        <is>
          <t xml:space="preserve">500-990 шт - </t>
        </is>
      </c>
      <c r="O1610" s="47" t="inlineStr">
        <is>
          <t xml:space="preserve"> руб / шт с НДС</t>
        </is>
      </c>
      <c r="P1610" s="125">
        <f>ROUND(K1610,2)</f>
        <v/>
      </c>
      <c r="Q1610" s="207">
        <f>CONCATENATE(N1610,P1610,O1610,)</f>
        <v/>
      </c>
      <c r="R1610" s="240" t="n"/>
      <c r="T1610" s="241" t="n"/>
      <c r="U1610" s="240" t="n"/>
      <c r="V1610" s="241" t="n"/>
      <c r="Z1610" s="240" t="n"/>
      <c r="AB1610" s="241" t="n"/>
      <c r="AC1610" s="240" t="n"/>
      <c r="AD1610" s="241" t="n"/>
    </row>
    <row r="1611">
      <c r="B1611" s="42" t="n">
        <v>323</v>
      </c>
      <c r="C1611" s="118">
        <f>INDIRECT("'Закуп'!A" &amp; B1611)</f>
        <v/>
      </c>
      <c r="D1611" s="119">
        <f>C1611*1.2</f>
        <v/>
      </c>
      <c r="G1611" s="172">
        <f>IF(INDIRECT("'Закуп'!L" &amp; B1611)="Sale","Sale","")</f>
        <v/>
      </c>
      <c r="H1611" s="158">
        <f>IF(INDIRECT("'Закуп'!F" &amp; B1611)=0,"",INDIRECT("'Закуп'!F" &amp; B1611))</f>
        <v/>
      </c>
      <c r="I1611" s="120" t="n">
        <v>1000</v>
      </c>
      <c r="J1611" s="121">
        <f>K1611/1.2</f>
        <v/>
      </c>
      <c r="K1611" s="70" t="n">
        <v>0.5</v>
      </c>
      <c r="L1611" s="122">
        <f>J1611-C1611-(J1611-C1611)*0.2</f>
        <v/>
      </c>
      <c r="M1611" s="123">
        <f>L1611*I1611</f>
        <v/>
      </c>
      <c r="N1611" s="124" t="inlineStr">
        <is>
          <t xml:space="preserve">1000 + шт - </t>
        </is>
      </c>
      <c r="O1611" s="47" t="inlineStr">
        <is>
          <t xml:space="preserve"> руб / шт с НДС</t>
        </is>
      </c>
      <c r="P1611" s="125">
        <f>ROUND(K1611,2)</f>
        <v/>
      </c>
      <c r="Q1611" s="207">
        <f>CONCATENATE(N1611,P1611,O1611,)</f>
        <v/>
      </c>
      <c r="R1611" s="240" t="n"/>
      <c r="T1611" s="241" t="n"/>
      <c r="U1611" s="240" t="n"/>
      <c r="V1611" s="241" t="n"/>
      <c r="Z1611" s="240" t="n"/>
      <c r="AB1611" s="241" t="n"/>
      <c r="AC1611" s="240" t="n"/>
      <c r="AD1611" s="241" t="n"/>
    </row>
    <row r="1612">
      <c r="A1612" s="232" t="n">
        <v>324</v>
      </c>
      <c r="B1612" s="42" t="n">
        <v>324</v>
      </c>
      <c r="C1612" s="118">
        <f>INDIRECT("'Закуп'!A" &amp; B1612)</f>
        <v/>
      </c>
      <c r="D1612" s="119">
        <f>C1612*1.2</f>
        <v/>
      </c>
      <c r="E1612" s="224">
        <f>INDIRECT("'Закуп'!D" &amp; A1612)</f>
        <v/>
      </c>
      <c r="F1612" s="231">
        <f>INDIRECT("'Закуп'!E" &amp; B1612)</f>
        <v/>
      </c>
      <c r="G1612" s="172">
        <f>IF(INDIRECT("'Закуп'!L" &amp; B1612)="Sale","Sale","")</f>
        <v/>
      </c>
      <c r="H1612" s="158">
        <f>IF(INDIRECT("'Закуп'!F" &amp; B1612)=0,"",INDIRECT("'Закуп'!F" &amp; B1612))</f>
        <v/>
      </c>
      <c r="I1612" s="120" t="n">
        <v>50</v>
      </c>
      <c r="J1612" s="121">
        <f>K1612/1.2</f>
        <v/>
      </c>
      <c r="K1612" s="242" t="n">
        <v>1.73</v>
      </c>
      <c r="L1612" s="122">
        <f>J1612-C1612-(J1612-C1612)*0.2</f>
        <v/>
      </c>
      <c r="M1612" s="123">
        <f>L1612*I1612</f>
        <v/>
      </c>
      <c r="N1612" s="124" t="inlineStr">
        <is>
          <t xml:space="preserve">50-90 шт - </t>
        </is>
      </c>
      <c r="O1612" s="47" t="inlineStr">
        <is>
          <t xml:space="preserve"> руб / шт с НДС</t>
        </is>
      </c>
      <c r="P1612" s="125">
        <f>ROUND(K1612,2)</f>
        <v/>
      </c>
      <c r="Q1612" s="207">
        <f>CONCATENATE(N1612,P1612,O1612,)</f>
        <v/>
      </c>
      <c r="R1612" s="235">
        <f>INDIRECT("'Закуп'!k" &amp; A1612)</f>
        <v/>
      </c>
      <c r="S1612" s="239">
        <f>INDIRECT("'Закуп'!o" &amp; A1612)</f>
        <v/>
      </c>
      <c r="T1612" s="226">
        <f>INDIRECT("'Закуп'!p" &amp; A1612)</f>
        <v/>
      </c>
      <c r="U1612" s="235">
        <f>INDIRECT("'Закуп'!v" &amp; A1612)</f>
        <v/>
      </c>
      <c r="V1612" s="222">
        <f>INDIRECT("'Закуп'!w" &amp; A1612)</f>
        <v/>
      </c>
      <c r="W1612" s="229">
        <f>INDIRECT("'Закуп'!H" &amp; A1612)</f>
        <v/>
      </c>
      <c r="X1612" s="237">
        <f>INDIRECT("'Закуп'!g" &amp; A1612)</f>
        <v/>
      </c>
      <c r="Y1612" s="229">
        <f>INDIRECT("'Закуп'!i" &amp; A1612)</f>
        <v/>
      </c>
      <c r="Z1612" s="236">
        <f>INDIRECT("'Закуп'!x" &amp; A1612)</f>
        <v/>
      </c>
      <c r="AA1612" s="237">
        <f>INDIRECT("'Закуп'!y" &amp; A1612)</f>
        <v/>
      </c>
      <c r="AB1612" s="238">
        <f>INDIRECT("'Закуп'!z" &amp; A1612)</f>
        <v/>
      </c>
      <c r="AC1612" s="223">
        <f>SUBSTITUTE(INDEX(F:F, ROUNDUP((ROW(A1611))/5,0)*5 - 3), "х", "x")</f>
        <v/>
      </c>
      <c r="AD1612" s="222">
        <f>SUBSTITUTE(INDEX(F:F, ROUNDUP((ROW(A1611))/5,0)*5 - 3), "х", "x") &amp; " - " &amp; SUBSTITUTE(SUBSTITUTE(INDEX(F:F, ROUNDUP((ROW(A1611))/5,0)*5 - 3), "х", "*"), "x", "*") &amp; " мм"</f>
        <v/>
      </c>
      <c r="AE1612" t="n">
        <v>2</v>
      </c>
    </row>
    <row r="1613">
      <c r="B1613" s="42" t="n">
        <v>324</v>
      </c>
      <c r="C1613" s="118">
        <f>INDIRECT("'Закуп'!A" &amp; B1613)</f>
        <v/>
      </c>
      <c r="D1613" s="119">
        <f>C1613*1.2</f>
        <v/>
      </c>
      <c r="G1613" s="172">
        <f>IF(INDIRECT("'Закуп'!L" &amp; B1613)="Sale","Sale","")</f>
        <v/>
      </c>
      <c r="H1613" s="158">
        <f>IF(INDIRECT("'Закуп'!F" &amp; B1613)=0,"",INDIRECT("'Закуп'!F" &amp; B1613))</f>
        <v/>
      </c>
      <c r="I1613" s="120" t="n">
        <v>100</v>
      </c>
      <c r="J1613" s="121">
        <f>K1613/1.2</f>
        <v/>
      </c>
      <c r="K1613" s="242" t="n">
        <v>1.47</v>
      </c>
      <c r="L1613" s="122">
        <f>J1613-C1613-(J1613-C1613)*0.2</f>
        <v/>
      </c>
      <c r="M1613" s="123">
        <f>L1613*I1613</f>
        <v/>
      </c>
      <c r="N1613" s="124" t="inlineStr">
        <is>
          <t xml:space="preserve">100-290 шт - </t>
        </is>
      </c>
      <c r="O1613" s="47" t="inlineStr">
        <is>
          <t xml:space="preserve"> руб / шт с НДС</t>
        </is>
      </c>
      <c r="P1613" s="125">
        <f>ROUND(K1613,2)</f>
        <v/>
      </c>
      <c r="Q1613" s="207">
        <f>CONCATENATE(N1613,P1613,O1613,)</f>
        <v/>
      </c>
      <c r="R1613" s="240" t="n"/>
      <c r="T1613" s="241" t="n"/>
      <c r="U1613" s="240" t="n"/>
      <c r="V1613" s="241" t="n"/>
      <c r="Z1613" s="240" t="n"/>
      <c r="AB1613" s="241" t="n"/>
      <c r="AC1613" s="240" t="n"/>
      <c r="AD1613" s="241" t="n"/>
      <c r="AE1613" t="n">
        <v>1.85</v>
      </c>
    </row>
    <row r="1614">
      <c r="B1614" s="42" t="n">
        <v>324</v>
      </c>
      <c r="C1614" s="118">
        <f>INDIRECT("'Закуп'!A" &amp; B1614)</f>
        <v/>
      </c>
      <c r="D1614" s="119">
        <f>C1614*1.2</f>
        <v/>
      </c>
      <c r="G1614" s="172">
        <f>IF(INDIRECT("'Закуп'!L" &amp; B1614)="Sale","Sale","")</f>
        <v/>
      </c>
      <c r="H1614" s="158">
        <f>IF(INDIRECT("'Закуп'!F" &amp; B1614)=0,"",INDIRECT("'Закуп'!F" &amp; B1614))</f>
        <v/>
      </c>
      <c r="I1614" s="120" t="n">
        <v>300</v>
      </c>
      <c r="J1614" s="121">
        <f>K1614/1.2</f>
        <v/>
      </c>
      <c r="K1614" s="242" t="n">
        <v>1.39</v>
      </c>
      <c r="L1614" s="122">
        <f>J1614-C1614-(J1614-C1614)*0.2</f>
        <v/>
      </c>
      <c r="M1614" s="123">
        <f>L1614*I1614</f>
        <v/>
      </c>
      <c r="N1614" s="124" t="inlineStr">
        <is>
          <t xml:space="preserve">300-490 шт - </t>
        </is>
      </c>
      <c r="O1614" s="47" t="inlineStr">
        <is>
          <t xml:space="preserve"> руб / шт с НДС</t>
        </is>
      </c>
      <c r="P1614" s="125">
        <f>ROUND(K1614,2)</f>
        <v/>
      </c>
      <c r="Q1614" s="207">
        <f>CONCATENATE(N1614,P1614,O1614,)</f>
        <v/>
      </c>
      <c r="R1614" s="240" t="n"/>
      <c r="T1614" s="241" t="n"/>
      <c r="U1614" s="240" t="n"/>
      <c r="V1614" s="241" t="n"/>
      <c r="Z1614" s="240" t="n"/>
      <c r="AB1614" s="241" t="n"/>
      <c r="AC1614" s="240" t="n"/>
      <c r="AD1614" s="241" t="n"/>
      <c r="AE1614" t="n">
        <v>1.7</v>
      </c>
    </row>
    <row r="1615">
      <c r="B1615" s="42" t="n">
        <v>324</v>
      </c>
      <c r="C1615" s="118">
        <f>INDIRECT("'Закуп'!A" &amp; B1615)</f>
        <v/>
      </c>
      <c r="D1615" s="119">
        <f>C1615*1.2</f>
        <v/>
      </c>
      <c r="G1615" s="172">
        <f>IF(INDIRECT("'Закуп'!L" &amp; B1615)="Sale","Sale","")</f>
        <v/>
      </c>
      <c r="H1615" s="158">
        <f>IF(INDIRECT("'Закуп'!F" &amp; B1615)=0,"",INDIRECT("'Закуп'!F" &amp; B1615))</f>
        <v/>
      </c>
      <c r="I1615" s="120" t="n">
        <v>500</v>
      </c>
      <c r="J1615" s="121">
        <f>K1615/1.2</f>
        <v/>
      </c>
      <c r="K1615" s="242" t="n">
        <v>1.31</v>
      </c>
      <c r="L1615" s="122">
        <f>J1615-C1615-(J1615-C1615)*0.2</f>
        <v/>
      </c>
      <c r="M1615" s="123">
        <f>L1615*I1615</f>
        <v/>
      </c>
      <c r="N1615" s="124" t="inlineStr">
        <is>
          <t xml:space="preserve">500-990 шт - </t>
        </is>
      </c>
      <c r="O1615" s="47" t="inlineStr">
        <is>
          <t xml:space="preserve"> руб / шт с НДС</t>
        </is>
      </c>
      <c r="P1615" s="125">
        <f>ROUND(K1615,2)</f>
        <v/>
      </c>
      <c r="Q1615" s="207">
        <f>CONCATENATE(N1615,P1615,O1615,)</f>
        <v/>
      </c>
      <c r="R1615" s="240" t="n"/>
      <c r="T1615" s="241" t="n"/>
      <c r="U1615" s="240" t="n"/>
      <c r="V1615" s="241" t="n"/>
      <c r="Z1615" s="240" t="n"/>
      <c r="AB1615" s="241" t="n"/>
      <c r="AC1615" s="240" t="n"/>
      <c r="AD1615" s="241" t="n"/>
      <c r="AE1615" t="n">
        <v>1.55</v>
      </c>
    </row>
    <row r="1616">
      <c r="B1616" s="42" t="n">
        <v>324</v>
      </c>
      <c r="C1616" s="118">
        <f>INDIRECT("'Закуп'!A" &amp; B1616)</f>
        <v/>
      </c>
      <c r="D1616" s="119">
        <f>C1616*1.2</f>
        <v/>
      </c>
      <c r="G1616" s="172">
        <f>IF(INDIRECT("'Закуп'!L" &amp; B1616)="Sale","Sale","")</f>
        <v/>
      </c>
      <c r="H1616" s="158">
        <f>IF(INDIRECT("'Закуп'!F" &amp; B1616)=0,"",INDIRECT("'Закуп'!F" &amp; B1616))</f>
        <v/>
      </c>
      <c r="I1616" s="120" t="n">
        <v>1000</v>
      </c>
      <c r="J1616" s="121">
        <f>K1616/1.2</f>
        <v/>
      </c>
      <c r="K1616" s="242" t="n">
        <v>1.27</v>
      </c>
      <c r="L1616" s="122">
        <f>J1616-C1616-(J1616-C1616)*0.2</f>
        <v/>
      </c>
      <c r="M1616" s="123">
        <f>L1616*I1616</f>
        <v/>
      </c>
      <c r="N1616" s="124" t="inlineStr">
        <is>
          <t xml:space="preserve">1000 + шт - </t>
        </is>
      </c>
      <c r="O1616" s="47" t="inlineStr">
        <is>
          <t xml:space="preserve"> руб / шт с НДС</t>
        </is>
      </c>
      <c r="P1616" s="125">
        <f>ROUND(K1616,2)</f>
        <v/>
      </c>
      <c r="Q1616" s="207">
        <f>CONCATENATE(N1616,P1616,O1616,)</f>
        <v/>
      </c>
      <c r="R1616" s="240" t="n"/>
      <c r="T1616" s="241" t="n"/>
      <c r="U1616" s="240" t="n"/>
      <c r="V1616" s="241" t="n"/>
      <c r="Z1616" s="240" t="n"/>
      <c r="AB1616" s="241" t="n"/>
      <c r="AC1616" s="240" t="n"/>
      <c r="AD1616" s="241" t="n"/>
      <c r="AE1616" t="n">
        <v>1.4</v>
      </c>
    </row>
    <row r="1617">
      <c r="A1617" s="232" t="n">
        <v>325</v>
      </c>
      <c r="B1617" s="42" t="n">
        <v>325</v>
      </c>
      <c r="C1617" s="118">
        <f>INDIRECT("'Закуп'!A" &amp; B1617)</f>
        <v/>
      </c>
      <c r="D1617" s="119">
        <f>C1617*1.2</f>
        <v/>
      </c>
      <c r="E1617" s="233">
        <f>INDIRECT("'Закуп'!D" &amp; A1617)</f>
        <v/>
      </c>
      <c r="F1617" s="231">
        <f>INDIRECT("'Закуп'!E" &amp; B1617)</f>
        <v/>
      </c>
      <c r="G1617" s="172">
        <f>IF(INDIRECT("'Закуп'!L" &amp; B1617)="Sale","Sale","")</f>
        <v/>
      </c>
      <c r="H1617" s="158">
        <f>IF(INDIRECT("'Закуп'!F" &amp; B1617)=0,"",INDIRECT("'Закуп'!F" &amp; B1617))</f>
        <v/>
      </c>
      <c r="I1617" s="120" t="n">
        <v>50</v>
      </c>
      <c r="J1617" s="121">
        <f>K1617/1.2</f>
        <v/>
      </c>
      <c r="K1617" s="242" t="n">
        <v>1.16</v>
      </c>
      <c r="L1617" s="122">
        <f>J1617-C1617-(J1617-C1617)*0.2</f>
        <v/>
      </c>
      <c r="M1617" s="123">
        <f>L1617*I1617</f>
        <v/>
      </c>
      <c r="N1617" s="124" t="inlineStr">
        <is>
          <t xml:space="preserve">50-90 шт - </t>
        </is>
      </c>
      <c r="O1617" s="47" t="inlineStr">
        <is>
          <t xml:space="preserve"> руб / шт с НДС</t>
        </is>
      </c>
      <c r="P1617" s="125">
        <f>ROUND(K1617,2)</f>
        <v/>
      </c>
      <c r="Q1617" s="207">
        <f>CONCATENATE(N1617,P1617,O1617,)</f>
        <v/>
      </c>
      <c r="R1617" s="235">
        <f>INDIRECT("'Закуп'!k" &amp; A1617)</f>
        <v/>
      </c>
      <c r="S1617" s="239">
        <f>INDIRECT("'Закуп'!o" &amp; A1617)</f>
        <v/>
      </c>
      <c r="T1617" s="226">
        <f>INDIRECT("'Закуп'!p" &amp; A1617)</f>
        <v/>
      </c>
      <c r="U1617" s="235">
        <f>INDIRECT("'Закуп'!v" &amp; A1617)</f>
        <v/>
      </c>
      <c r="V1617" s="222">
        <f>INDIRECT("'Закуп'!w" &amp; A1617)</f>
        <v/>
      </c>
      <c r="W1617" s="229">
        <f>INDIRECT("'Закуп'!H" &amp; A1617)</f>
        <v/>
      </c>
      <c r="X1617" s="237">
        <f>INDIRECT("'Закуп'!g" &amp; A1617)</f>
        <v/>
      </c>
      <c r="Y1617" s="229">
        <f>INDIRECT("'Закуп'!i" &amp; A1617)</f>
        <v/>
      </c>
      <c r="Z1617" s="236">
        <f>INDIRECT("'Закуп'!x" &amp; A1617)</f>
        <v/>
      </c>
      <c r="AA1617" s="237">
        <f>INDIRECT("'Закуп'!y" &amp; A1617)</f>
        <v/>
      </c>
      <c r="AB1617" s="238">
        <f>INDIRECT("'Закуп'!z" &amp; A1617)</f>
        <v/>
      </c>
      <c r="AC1617" s="223">
        <f>SUBSTITUTE(INDEX(F:F, ROUNDUP((ROW(A1616))/5,0)*5 - 3), "х", "x")</f>
        <v/>
      </c>
      <c r="AD1617" s="222">
        <f>SUBSTITUTE(INDEX(F:F, ROUNDUP((ROW(A1616))/5,0)*5 - 3), "х", "x") &amp; " - " &amp; SUBSTITUTE(SUBSTITUTE(INDEX(F:F, ROUNDUP((ROW(A1616))/5,0)*5 - 3), "х", "*"), "x", "*") &amp; " мм"</f>
        <v/>
      </c>
      <c r="AE1617" t="n">
        <v>1.5</v>
      </c>
    </row>
    <row r="1618">
      <c r="B1618" s="42" t="n">
        <v>325</v>
      </c>
      <c r="C1618" s="118">
        <f>INDIRECT("'Закуп'!A" &amp; B1618)</f>
        <v/>
      </c>
      <c r="D1618" s="119">
        <f>C1618*1.2</f>
        <v/>
      </c>
      <c r="G1618" s="172">
        <f>IF(INDIRECT("'Закуп'!L" &amp; B1618)="Sale","Sale","")</f>
        <v/>
      </c>
      <c r="H1618" s="158">
        <f>IF(INDIRECT("'Закуп'!F" &amp; B1618)=0,"",INDIRECT("'Закуп'!F" &amp; B1618))</f>
        <v/>
      </c>
      <c r="I1618" s="120" t="n">
        <v>100</v>
      </c>
      <c r="J1618" s="121">
        <f>K1618/1.2</f>
        <v/>
      </c>
      <c r="K1618" s="242" t="n">
        <v>0.99</v>
      </c>
      <c r="L1618" s="122">
        <f>J1618-C1618-(J1618-C1618)*0.2</f>
        <v/>
      </c>
      <c r="M1618" s="123">
        <f>L1618*I1618</f>
        <v/>
      </c>
      <c r="N1618" s="124" t="inlineStr">
        <is>
          <t xml:space="preserve">100-290 шт - </t>
        </is>
      </c>
      <c r="O1618" s="47" t="inlineStr">
        <is>
          <t xml:space="preserve"> руб / шт с НДС</t>
        </is>
      </c>
      <c r="P1618" s="125">
        <f>ROUND(K1618,2)</f>
        <v/>
      </c>
      <c r="Q1618" s="207">
        <f>CONCATENATE(N1618,P1618,O1618,)</f>
        <v/>
      </c>
      <c r="R1618" s="240" t="n"/>
      <c r="T1618" s="241" t="n"/>
      <c r="U1618" s="240" t="n"/>
      <c r="V1618" s="241" t="n"/>
      <c r="Z1618" s="240" t="n"/>
      <c r="AB1618" s="241" t="n"/>
      <c r="AC1618" s="240" t="n"/>
      <c r="AD1618" s="241" t="n"/>
      <c r="AE1618" t="n">
        <v>1.4</v>
      </c>
    </row>
    <row r="1619">
      <c r="B1619" s="42" t="n">
        <v>325</v>
      </c>
      <c r="C1619" s="118">
        <f>INDIRECT("'Закуп'!A" &amp; B1619)</f>
        <v/>
      </c>
      <c r="D1619" s="119">
        <f>C1619*1.2</f>
        <v/>
      </c>
      <c r="G1619" s="172">
        <f>IF(INDIRECT("'Закуп'!L" &amp; B1619)="Sale","Sale","")</f>
        <v/>
      </c>
      <c r="H1619" s="158">
        <f>IF(INDIRECT("'Закуп'!F" &amp; B1619)=0,"",INDIRECT("'Закуп'!F" &amp; B1619))</f>
        <v/>
      </c>
      <c r="I1619" s="120" t="n">
        <v>300</v>
      </c>
      <c r="J1619" s="121">
        <f>K1619/1.2</f>
        <v/>
      </c>
      <c r="K1619" s="242" t="n">
        <v>0.93</v>
      </c>
      <c r="L1619" s="122">
        <f>J1619-C1619-(J1619-C1619)*0.2</f>
        <v/>
      </c>
      <c r="M1619" s="123">
        <f>L1619*I1619</f>
        <v/>
      </c>
      <c r="N1619" s="124" t="inlineStr">
        <is>
          <t xml:space="preserve">300-490 шт - </t>
        </is>
      </c>
      <c r="O1619" s="47" t="inlineStr">
        <is>
          <t xml:space="preserve"> руб / шт с НДС</t>
        </is>
      </c>
      <c r="P1619" s="125">
        <f>ROUND(K1619,2)</f>
        <v/>
      </c>
      <c r="Q1619" s="207">
        <f>CONCATENATE(N1619,P1619,O1619,)</f>
        <v/>
      </c>
      <c r="R1619" s="240" t="n"/>
      <c r="T1619" s="241" t="n"/>
      <c r="U1619" s="240" t="n"/>
      <c r="V1619" s="241" t="n"/>
      <c r="Z1619" s="240" t="n"/>
      <c r="AB1619" s="241" t="n"/>
      <c r="AC1619" s="240" t="n"/>
      <c r="AD1619" s="241" t="n"/>
      <c r="AE1619" t="n">
        <v>1.3</v>
      </c>
    </row>
    <row r="1620">
      <c r="B1620" s="42" t="n">
        <v>325</v>
      </c>
      <c r="C1620" s="118">
        <f>INDIRECT("'Закуп'!A" &amp; B1620)</f>
        <v/>
      </c>
      <c r="D1620" s="119">
        <f>C1620*1.2</f>
        <v/>
      </c>
      <c r="G1620" s="172">
        <f>IF(INDIRECT("'Закуп'!L" &amp; B1620)="Sale","Sale","")</f>
        <v/>
      </c>
      <c r="H1620" s="158">
        <f>IF(INDIRECT("'Закуп'!F" &amp; B1620)=0,"",INDIRECT("'Закуп'!F" &amp; B1620))</f>
        <v/>
      </c>
      <c r="I1620" s="120" t="n">
        <v>500</v>
      </c>
      <c r="J1620" s="121">
        <f>K1620/1.2</f>
        <v/>
      </c>
      <c r="K1620" s="242" t="n">
        <v>0.88</v>
      </c>
      <c r="L1620" s="122">
        <f>J1620-C1620-(J1620-C1620)*0.2</f>
        <v/>
      </c>
      <c r="M1620" s="123">
        <f>L1620*I1620</f>
        <v/>
      </c>
      <c r="N1620" s="124" t="inlineStr">
        <is>
          <t xml:space="preserve">500-990 шт - </t>
        </is>
      </c>
      <c r="O1620" s="47" t="inlineStr">
        <is>
          <t xml:space="preserve"> руб / шт с НДС</t>
        </is>
      </c>
      <c r="P1620" s="125">
        <f>ROUND(K1620,2)</f>
        <v/>
      </c>
      <c r="Q1620" s="207">
        <f>CONCATENATE(N1620,P1620,O1620,)</f>
        <v/>
      </c>
      <c r="R1620" s="240" t="n"/>
      <c r="T1620" s="241" t="n"/>
      <c r="U1620" s="240" t="n"/>
      <c r="V1620" s="241" t="n"/>
      <c r="Z1620" s="240" t="n"/>
      <c r="AB1620" s="241" t="n"/>
      <c r="AC1620" s="240" t="n"/>
      <c r="AD1620" s="241" t="n"/>
      <c r="AE1620" t="n">
        <v>1.15</v>
      </c>
    </row>
    <row r="1621">
      <c r="B1621" s="42" t="n">
        <v>325</v>
      </c>
      <c r="C1621" s="118">
        <f>INDIRECT("'Закуп'!A" &amp; B1621)</f>
        <v/>
      </c>
      <c r="D1621" s="119">
        <f>C1621*1.2</f>
        <v/>
      </c>
      <c r="G1621" s="172">
        <f>IF(INDIRECT("'Закуп'!L" &amp; B1621)="Sale","Sale","")</f>
        <v/>
      </c>
      <c r="H1621" s="158">
        <f>IF(INDIRECT("'Закуп'!F" &amp; B1621)=0,"",INDIRECT("'Закуп'!F" &amp; B1621))</f>
        <v/>
      </c>
      <c r="I1621" s="120" t="n">
        <v>1000</v>
      </c>
      <c r="J1621" s="121">
        <f>K1621/1.2</f>
        <v/>
      </c>
      <c r="K1621" s="242" t="n">
        <v>0.84</v>
      </c>
      <c r="L1621" s="122">
        <f>J1621-C1621-(J1621-C1621)*0.2</f>
        <v/>
      </c>
      <c r="M1621" s="123">
        <f>L1621*I1621</f>
        <v/>
      </c>
      <c r="N1621" s="124" t="inlineStr">
        <is>
          <t xml:space="preserve">1000 + шт - </t>
        </is>
      </c>
      <c r="O1621" s="47" t="inlineStr">
        <is>
          <t xml:space="preserve"> руб / шт с НДС</t>
        </is>
      </c>
      <c r="P1621" s="125">
        <f>ROUND(K1621,2)</f>
        <v/>
      </c>
      <c r="Q1621" s="207">
        <f>CONCATENATE(N1621,P1621,O1621,)</f>
        <v/>
      </c>
      <c r="R1621" s="240" t="n"/>
      <c r="T1621" s="241" t="n"/>
      <c r="U1621" s="240" t="n"/>
      <c r="V1621" s="241" t="n"/>
      <c r="Z1621" s="240" t="n"/>
      <c r="AB1621" s="241" t="n"/>
      <c r="AC1621" s="240" t="n"/>
      <c r="AD1621" s="241" t="n"/>
      <c r="AE1621" t="n">
        <v>1</v>
      </c>
    </row>
    <row r="1622">
      <c r="A1622" s="232" t="n">
        <v>326</v>
      </c>
      <c r="B1622" s="42" t="n">
        <v>326</v>
      </c>
      <c r="C1622" s="118">
        <f>INDIRECT("'Закуп'!A" &amp; B1622)</f>
        <v/>
      </c>
      <c r="D1622" s="119">
        <f>C1622*1.2</f>
        <v/>
      </c>
      <c r="E1622" s="225">
        <f>INDIRECT("'Закуп'!D" &amp; A1622)</f>
        <v/>
      </c>
      <c r="F1622" s="231">
        <f>INDIRECT("'Закуп'!E" &amp; B1622)</f>
        <v/>
      </c>
      <c r="G1622" s="172">
        <f>IF(INDIRECT("'Закуп'!L" &amp; B1622)="Sale","Sale","")</f>
        <v/>
      </c>
      <c r="H1622" s="158">
        <f>IF(INDIRECT("'Закуп'!F" &amp; B1622)=0,"",INDIRECT("'Закуп'!F" &amp; B1622))</f>
        <v/>
      </c>
      <c r="I1622" s="120" t="n">
        <v>50</v>
      </c>
      <c r="J1622" s="121">
        <f>K1622/1.2</f>
        <v/>
      </c>
      <c r="K1622" s="70" t="n">
        <v>1.4</v>
      </c>
      <c r="L1622" s="122">
        <f>J1622-C1622-(J1622-C1622)*0.2</f>
        <v/>
      </c>
      <c r="M1622" s="123">
        <f>L1622*I1622</f>
        <v/>
      </c>
      <c r="N1622" s="124" t="inlineStr">
        <is>
          <t xml:space="preserve">50-90 шт - </t>
        </is>
      </c>
      <c r="O1622" s="47" t="inlineStr">
        <is>
          <t xml:space="preserve"> руб / шт с НДС</t>
        </is>
      </c>
      <c r="P1622" s="125">
        <f>ROUND(K1622,2)</f>
        <v/>
      </c>
      <c r="Q1622" s="207">
        <f>CONCATENATE(N1622,P1622,O1622,)</f>
        <v/>
      </c>
      <c r="R1622" s="235">
        <f>INDIRECT("'Закуп'!k" &amp; A1622)</f>
        <v/>
      </c>
      <c r="S1622" s="239">
        <f>INDIRECT("'Закуп'!o" &amp; A1622)</f>
        <v/>
      </c>
      <c r="T1622" s="226">
        <f>INDIRECT("'Закуп'!p" &amp; A1622)</f>
        <v/>
      </c>
      <c r="U1622" s="235">
        <f>INDIRECT("'Закуп'!v" &amp; A1622)</f>
        <v/>
      </c>
      <c r="V1622" s="222">
        <f>INDIRECT("'Закуп'!w" &amp; A1622)</f>
        <v/>
      </c>
      <c r="W1622" s="229">
        <f>INDIRECT("'Закуп'!H" &amp; A1622)</f>
        <v/>
      </c>
      <c r="X1622" s="237">
        <f>INDIRECT("'Закуп'!g" &amp; A1622)</f>
        <v/>
      </c>
      <c r="Y1622" s="229">
        <f>INDIRECT("'Закуп'!i" &amp; A1622)</f>
        <v/>
      </c>
      <c r="Z1622" s="236">
        <f>INDIRECT("'Закуп'!x" &amp; A1622)</f>
        <v/>
      </c>
      <c r="AA1622" s="237">
        <f>INDIRECT("'Закуп'!y" &amp; A1622)</f>
        <v/>
      </c>
      <c r="AB1622" s="238">
        <f>INDIRECT("'Закуп'!z" &amp; A1622)</f>
        <v/>
      </c>
      <c r="AC1622" s="223">
        <f>SUBSTITUTE(INDEX(F:F, ROUNDUP((ROW(A1621))/5,0)*5 - 3), "х", "x")</f>
        <v/>
      </c>
      <c r="AD1622" s="222">
        <f>SUBSTITUTE(INDEX(F:F, ROUNDUP((ROW(A1621))/5,0)*5 - 3), "х", "x") &amp; " - " &amp; SUBSTITUTE(SUBSTITUTE(INDEX(F:F, ROUNDUP((ROW(A1621))/5,0)*5 - 3), "х", "*"), "x", "*") &amp; " мм"</f>
        <v/>
      </c>
    </row>
    <row r="1623">
      <c r="B1623" s="42" t="n">
        <v>326</v>
      </c>
      <c r="C1623" s="118">
        <f>INDIRECT("'Закуп'!A" &amp; B1623)</f>
        <v/>
      </c>
      <c r="D1623" s="119">
        <f>C1623*1.2</f>
        <v/>
      </c>
      <c r="G1623" s="172">
        <f>IF(INDIRECT("'Закуп'!L" &amp; B1623)="Sale","Sale","")</f>
        <v/>
      </c>
      <c r="H1623" s="158">
        <f>IF(INDIRECT("'Закуп'!F" &amp; B1623)=0,"",INDIRECT("'Закуп'!F" &amp; B1623))</f>
        <v/>
      </c>
      <c r="I1623" s="120" t="n">
        <v>100</v>
      </c>
      <c r="J1623" s="121">
        <f>K1623/1.2</f>
        <v/>
      </c>
      <c r="K1623" s="70" t="n">
        <v>1.3</v>
      </c>
      <c r="L1623" s="122">
        <f>J1623-C1623-(J1623-C1623)*0.2</f>
        <v/>
      </c>
      <c r="M1623" s="123">
        <f>L1623*I1623</f>
        <v/>
      </c>
      <c r="N1623" s="124" t="inlineStr">
        <is>
          <t xml:space="preserve">100-290 шт - </t>
        </is>
      </c>
      <c r="O1623" s="47" t="inlineStr">
        <is>
          <t xml:space="preserve"> руб / шт с НДС</t>
        </is>
      </c>
      <c r="P1623" s="125">
        <f>ROUND(K1623,2)</f>
        <v/>
      </c>
      <c r="Q1623" s="207">
        <f>CONCATENATE(N1623,P1623,O1623,)</f>
        <v/>
      </c>
      <c r="R1623" s="240" t="n"/>
      <c r="T1623" s="241" t="n"/>
      <c r="U1623" s="240" t="n"/>
      <c r="V1623" s="241" t="n"/>
      <c r="Z1623" s="240" t="n"/>
      <c r="AB1623" s="241" t="n"/>
      <c r="AC1623" s="240" t="n"/>
      <c r="AD1623" s="241" t="n"/>
    </row>
    <row r="1624">
      <c r="B1624" s="42" t="n">
        <v>326</v>
      </c>
      <c r="C1624" s="118">
        <f>INDIRECT("'Закуп'!A" &amp; B1624)</f>
        <v/>
      </c>
      <c r="D1624" s="119">
        <f>C1624*1.2</f>
        <v/>
      </c>
      <c r="G1624" s="172">
        <f>IF(INDIRECT("'Закуп'!L" &amp; B1624)="Sale","Sale","")</f>
        <v/>
      </c>
      <c r="H1624" s="158">
        <f>IF(INDIRECT("'Закуп'!F" &amp; B1624)=0,"",INDIRECT("'Закуп'!F" &amp; B1624))</f>
        <v/>
      </c>
      <c r="I1624" s="120" t="n">
        <v>300</v>
      </c>
      <c r="J1624" s="121">
        <f>K1624/1.2</f>
        <v/>
      </c>
      <c r="K1624" s="70" t="n">
        <v>1.15</v>
      </c>
      <c r="L1624" s="122">
        <f>J1624-C1624-(J1624-C1624)*0.2</f>
        <v/>
      </c>
      <c r="M1624" s="123">
        <f>L1624*I1624</f>
        <v/>
      </c>
      <c r="N1624" s="124" t="inlineStr">
        <is>
          <t xml:space="preserve">300-490 шт - </t>
        </is>
      </c>
      <c r="O1624" s="47" t="inlineStr">
        <is>
          <t xml:space="preserve"> руб / шт с НДС</t>
        </is>
      </c>
      <c r="P1624" s="125">
        <f>ROUND(K1624,2)</f>
        <v/>
      </c>
      <c r="Q1624" s="207">
        <f>CONCATENATE(N1624,P1624,O1624,)</f>
        <v/>
      </c>
      <c r="R1624" s="240" t="n"/>
      <c r="T1624" s="241" t="n"/>
      <c r="U1624" s="240" t="n"/>
      <c r="V1624" s="241" t="n"/>
      <c r="Z1624" s="240" t="n"/>
      <c r="AB1624" s="241" t="n"/>
      <c r="AC1624" s="240" t="n"/>
      <c r="AD1624" s="241" t="n"/>
    </row>
    <row r="1625">
      <c r="B1625" s="42" t="n">
        <v>326</v>
      </c>
      <c r="C1625" s="118">
        <f>INDIRECT("'Закуп'!A" &amp; B1625)</f>
        <v/>
      </c>
      <c r="D1625" s="119">
        <f>C1625*1.2</f>
        <v/>
      </c>
      <c r="G1625" s="172">
        <f>IF(INDIRECT("'Закуп'!L" &amp; B1625)="Sale","Sale","")</f>
        <v/>
      </c>
      <c r="H1625" s="158">
        <f>IF(INDIRECT("'Закуп'!F" &amp; B1625)=0,"",INDIRECT("'Закуп'!F" &amp; B1625))</f>
        <v/>
      </c>
      <c r="I1625" s="120" t="n">
        <v>500</v>
      </c>
      <c r="J1625" s="121">
        <f>K1625/1.2</f>
        <v/>
      </c>
      <c r="K1625" s="70" t="n">
        <v>1</v>
      </c>
      <c r="L1625" s="122">
        <f>J1625-C1625-(J1625-C1625)*0.2</f>
        <v/>
      </c>
      <c r="M1625" s="123">
        <f>L1625*I1625</f>
        <v/>
      </c>
      <c r="N1625" s="124" t="inlineStr">
        <is>
          <t xml:space="preserve">500-990 шт - </t>
        </is>
      </c>
      <c r="O1625" s="47" t="inlineStr">
        <is>
          <t xml:space="preserve"> руб / шт с НДС</t>
        </is>
      </c>
      <c r="P1625" s="125">
        <f>ROUND(K1625,2)</f>
        <v/>
      </c>
      <c r="Q1625" s="207">
        <f>CONCATENATE(N1625,P1625,O1625,)</f>
        <v/>
      </c>
      <c r="R1625" s="240" t="n"/>
      <c r="T1625" s="241" t="n"/>
      <c r="U1625" s="240" t="n"/>
      <c r="V1625" s="241" t="n"/>
      <c r="Z1625" s="240" t="n"/>
      <c r="AB1625" s="241" t="n"/>
      <c r="AC1625" s="240" t="n"/>
      <c r="AD1625" s="241" t="n"/>
    </row>
    <row r="1626">
      <c r="B1626" s="42" t="n">
        <v>326</v>
      </c>
      <c r="C1626" s="118">
        <f>INDIRECT("'Закуп'!A" &amp; B1626)</f>
        <v/>
      </c>
      <c r="D1626" s="119">
        <f>C1626*1.2</f>
        <v/>
      </c>
      <c r="G1626" s="172">
        <f>IF(INDIRECT("'Закуп'!L" &amp; B1626)="Sale","Sale","")</f>
        <v/>
      </c>
      <c r="H1626" s="158">
        <f>IF(INDIRECT("'Закуп'!F" &amp; B1626)=0,"",INDIRECT("'Закуп'!F" &amp; B1626))</f>
        <v/>
      </c>
      <c r="I1626" s="120" t="n">
        <v>1000</v>
      </c>
      <c r="J1626" s="121">
        <f>K1626/1.2</f>
        <v/>
      </c>
      <c r="K1626" s="70" t="n">
        <v>0.9</v>
      </c>
      <c r="L1626" s="122">
        <f>J1626-C1626-(J1626-C1626)*0.2</f>
        <v/>
      </c>
      <c r="M1626" s="123">
        <f>L1626*I1626</f>
        <v/>
      </c>
      <c r="N1626" s="124" t="inlineStr">
        <is>
          <t xml:space="preserve">1000 + шт - </t>
        </is>
      </c>
      <c r="O1626" s="47" t="inlineStr">
        <is>
          <t xml:space="preserve"> руб / шт с НДС</t>
        </is>
      </c>
      <c r="P1626" s="125">
        <f>ROUND(K1626,2)</f>
        <v/>
      </c>
      <c r="Q1626" s="207">
        <f>CONCATENATE(N1626,P1626,O1626,)</f>
        <v/>
      </c>
      <c r="R1626" s="240" t="n"/>
      <c r="T1626" s="241" t="n"/>
      <c r="U1626" s="240" t="n"/>
      <c r="V1626" s="241" t="n"/>
      <c r="Z1626" s="240" t="n"/>
      <c r="AB1626" s="241" t="n"/>
      <c r="AC1626" s="240" t="n"/>
      <c r="AD1626" s="241" t="n"/>
    </row>
    <row r="1627">
      <c r="A1627" s="232" t="n">
        <v>327</v>
      </c>
      <c r="B1627" s="42" t="n">
        <v>327</v>
      </c>
      <c r="C1627" s="118">
        <f>INDIRECT("'Закуп'!A" &amp; B1627)</f>
        <v/>
      </c>
      <c r="D1627" s="119">
        <f>C1627*1.2</f>
        <v/>
      </c>
      <c r="E1627" s="225">
        <f>INDIRECT("'Закуп'!D" &amp; A1627)</f>
        <v/>
      </c>
      <c r="F1627" s="231">
        <f>INDIRECT("'Закуп'!E" &amp; B1627)</f>
        <v/>
      </c>
      <c r="G1627" s="172">
        <f>IF(INDIRECT("'Закуп'!L" &amp; B1627)="Sale","Sale","")</f>
        <v/>
      </c>
      <c r="H1627" s="158">
        <f>IF(INDIRECT("'Закуп'!F" &amp; B1627)=0,"",INDIRECT("'Закуп'!F" &amp; B1627))</f>
        <v/>
      </c>
      <c r="I1627" s="120" t="n">
        <v>50</v>
      </c>
      <c r="J1627" s="121">
        <f>K1627/1.2</f>
        <v/>
      </c>
      <c r="K1627" s="242" t="n">
        <v>1.38</v>
      </c>
      <c r="L1627" s="122">
        <f>J1627-C1627-(J1627-C1627)*0.2</f>
        <v/>
      </c>
      <c r="M1627" s="123">
        <f>L1627*I1627</f>
        <v/>
      </c>
      <c r="N1627" s="124" t="inlineStr">
        <is>
          <t xml:space="preserve">50-90 шт - </t>
        </is>
      </c>
      <c r="O1627" s="47" t="inlineStr">
        <is>
          <t xml:space="preserve"> руб / шт с НДС</t>
        </is>
      </c>
      <c r="P1627" s="125">
        <f>ROUND(K1627,2)</f>
        <v/>
      </c>
      <c r="Q1627" s="207">
        <f>CONCATENATE(N1627,P1627,O1627,)</f>
        <v/>
      </c>
      <c r="R1627" s="235">
        <f>INDIRECT("'Закуп'!k" &amp; A1627)</f>
        <v/>
      </c>
      <c r="S1627" s="239">
        <f>INDIRECT("'Закуп'!o" &amp; A1627)</f>
        <v/>
      </c>
      <c r="T1627" s="226">
        <f>INDIRECT("'Закуп'!p" &amp; A1627)</f>
        <v/>
      </c>
      <c r="U1627" s="235">
        <f>INDIRECT("'Закуп'!v" &amp; A1627)</f>
        <v/>
      </c>
      <c r="V1627" s="222">
        <f>INDIRECT("'Закуп'!w" &amp; A1627)</f>
        <v/>
      </c>
      <c r="W1627" s="229">
        <f>INDIRECT("'Закуп'!H" &amp; A1627)</f>
        <v/>
      </c>
      <c r="X1627" s="237">
        <f>INDIRECT("'Закуп'!g" &amp; A1627)</f>
        <v/>
      </c>
      <c r="Y1627" s="229">
        <f>INDIRECT("'Закуп'!i" &amp; A1627)</f>
        <v/>
      </c>
      <c r="Z1627" s="236">
        <f>INDIRECT("'Закуп'!x" &amp; A1627)</f>
        <v/>
      </c>
      <c r="AA1627" s="237">
        <f>INDIRECT("'Закуп'!y" &amp; A1627)</f>
        <v/>
      </c>
      <c r="AB1627" s="238">
        <f>INDIRECT("'Закуп'!z" &amp; A1627)</f>
        <v/>
      </c>
      <c r="AC1627" s="223">
        <f>SUBSTITUTE(INDEX(F:F, ROUNDUP((ROW(A1626))/5,0)*5 - 3), "х", "x")</f>
        <v/>
      </c>
      <c r="AD1627" s="222">
        <f>SUBSTITUTE(INDEX(F:F, ROUNDUP((ROW(A1626))/5,0)*5 - 3), "х", "x") &amp; " - " &amp; SUBSTITUTE(SUBSTITUTE(INDEX(F:F, ROUNDUP((ROW(A1626))/5,0)*5 - 3), "х", "*"), "x", "*") &amp; " мм"</f>
        <v/>
      </c>
      <c r="AE1627" t="n">
        <v>1.4</v>
      </c>
    </row>
    <row r="1628">
      <c r="B1628" s="42" t="n">
        <v>327</v>
      </c>
      <c r="C1628" s="118">
        <f>INDIRECT("'Закуп'!A" &amp; B1628)</f>
        <v/>
      </c>
      <c r="D1628" s="119">
        <f>C1628*1.2</f>
        <v/>
      </c>
      <c r="G1628" s="172">
        <f>IF(INDIRECT("'Закуп'!L" &amp; B1628)="Sale","Sale","")</f>
        <v/>
      </c>
      <c r="H1628" s="158">
        <f>IF(INDIRECT("'Закуп'!F" &amp; B1628)=0,"",INDIRECT("'Закуп'!F" &amp; B1628))</f>
        <v/>
      </c>
      <c r="I1628" s="120" t="n">
        <v>100</v>
      </c>
      <c r="J1628" s="121">
        <f>K1628/1.2</f>
        <v/>
      </c>
      <c r="K1628" s="242" t="n">
        <v>1.21</v>
      </c>
      <c r="L1628" s="122">
        <f>J1628-C1628-(J1628-C1628)*0.2</f>
        <v/>
      </c>
      <c r="M1628" s="123">
        <f>L1628*I1628</f>
        <v/>
      </c>
      <c r="N1628" s="124" t="inlineStr">
        <is>
          <t xml:space="preserve">100-290 шт - </t>
        </is>
      </c>
      <c r="O1628" s="47" t="inlineStr">
        <is>
          <t xml:space="preserve"> руб / шт с НДС</t>
        </is>
      </c>
      <c r="P1628" s="125">
        <f>ROUND(K1628,2)</f>
        <v/>
      </c>
      <c r="Q1628" s="207">
        <f>CONCATENATE(N1628,P1628,O1628,)</f>
        <v/>
      </c>
      <c r="R1628" s="240" t="n"/>
      <c r="T1628" s="241" t="n"/>
      <c r="U1628" s="240" t="n"/>
      <c r="V1628" s="241" t="n"/>
      <c r="Z1628" s="240" t="n"/>
      <c r="AB1628" s="241" t="n"/>
      <c r="AC1628" s="240" t="n"/>
      <c r="AD1628" s="241" t="n"/>
      <c r="AE1628" t="n">
        <v>1.3</v>
      </c>
    </row>
    <row r="1629">
      <c r="B1629" s="42" t="n">
        <v>327</v>
      </c>
      <c r="C1629" s="118">
        <f>INDIRECT("'Закуп'!A" &amp; B1629)</f>
        <v/>
      </c>
      <c r="D1629" s="119">
        <f>C1629*1.2</f>
        <v/>
      </c>
      <c r="G1629" s="172">
        <f>IF(INDIRECT("'Закуп'!L" &amp; B1629)="Sale","Sale","")</f>
        <v/>
      </c>
      <c r="H1629" s="158">
        <f>IF(INDIRECT("'Закуп'!F" &amp; B1629)=0,"",INDIRECT("'Закуп'!F" &amp; B1629))</f>
        <v/>
      </c>
      <c r="I1629" s="120" t="n">
        <v>300</v>
      </c>
      <c r="J1629" s="121">
        <f>K1629/1.2</f>
        <v/>
      </c>
      <c r="K1629" s="242" t="n">
        <v>1.05</v>
      </c>
      <c r="L1629" s="122">
        <f>J1629-C1629-(J1629-C1629)*0.2</f>
        <v/>
      </c>
      <c r="M1629" s="123">
        <f>L1629*I1629</f>
        <v/>
      </c>
      <c r="N1629" s="124" t="inlineStr">
        <is>
          <t xml:space="preserve">300-490 шт - </t>
        </is>
      </c>
      <c r="O1629" s="47" t="inlineStr">
        <is>
          <t xml:space="preserve"> руб / шт с НДС</t>
        </is>
      </c>
      <c r="P1629" s="125">
        <f>ROUND(K1629,2)</f>
        <v/>
      </c>
      <c r="Q1629" s="207">
        <f>CONCATENATE(N1629,P1629,O1629,)</f>
        <v/>
      </c>
      <c r="R1629" s="240" t="n"/>
      <c r="T1629" s="241" t="n"/>
      <c r="U1629" s="240" t="n"/>
      <c r="V1629" s="241" t="n"/>
      <c r="Z1629" s="240" t="n"/>
      <c r="AB1629" s="241" t="n"/>
      <c r="AC1629" s="240" t="n"/>
      <c r="AD1629" s="241" t="n"/>
      <c r="AE1629" t="n">
        <v>1.2</v>
      </c>
    </row>
    <row r="1630">
      <c r="B1630" s="42" t="n">
        <v>327</v>
      </c>
      <c r="C1630" s="118">
        <f>INDIRECT("'Закуп'!A" &amp; B1630)</f>
        <v/>
      </c>
      <c r="D1630" s="119">
        <f>C1630*1.2</f>
        <v/>
      </c>
      <c r="G1630" s="172">
        <f>IF(INDIRECT("'Закуп'!L" &amp; B1630)="Sale","Sale","")</f>
        <v/>
      </c>
      <c r="H1630" s="158">
        <f>IF(INDIRECT("'Закуп'!F" &amp; B1630)=0,"",INDIRECT("'Закуп'!F" &amp; B1630))</f>
        <v/>
      </c>
      <c r="I1630" s="120" t="n">
        <v>500</v>
      </c>
      <c r="J1630" s="121">
        <f>K1630/1.2</f>
        <v/>
      </c>
      <c r="K1630" s="242" t="n">
        <v>0.97</v>
      </c>
      <c r="L1630" s="122">
        <f>J1630-C1630-(J1630-C1630)*0.2</f>
        <v/>
      </c>
      <c r="M1630" s="123">
        <f>L1630*I1630</f>
        <v/>
      </c>
      <c r="N1630" s="124" t="inlineStr">
        <is>
          <t xml:space="preserve">500-990 шт - </t>
        </is>
      </c>
      <c r="O1630" s="47" t="inlineStr">
        <is>
          <t xml:space="preserve"> руб / шт с НДС</t>
        </is>
      </c>
      <c r="P1630" s="125">
        <f>ROUND(K1630,2)</f>
        <v/>
      </c>
      <c r="Q1630" s="207">
        <f>CONCATENATE(N1630,P1630,O1630,)</f>
        <v/>
      </c>
      <c r="R1630" s="240" t="n"/>
      <c r="T1630" s="241" t="n"/>
      <c r="U1630" s="240" t="n"/>
      <c r="V1630" s="241" t="n"/>
      <c r="Z1630" s="240" t="n"/>
      <c r="AB1630" s="241" t="n"/>
      <c r="AC1630" s="240" t="n"/>
      <c r="AD1630" s="241" t="n"/>
      <c r="AE1630" t="n">
        <v>1.1</v>
      </c>
    </row>
    <row r="1631">
      <c r="B1631" s="42" t="n">
        <v>327</v>
      </c>
      <c r="C1631" s="118">
        <f>INDIRECT("'Закуп'!A" &amp; B1631)</f>
        <v/>
      </c>
      <c r="D1631" s="119">
        <f>C1631*1.2</f>
        <v/>
      </c>
      <c r="G1631" s="172">
        <f>IF(INDIRECT("'Закуп'!L" &amp; B1631)="Sale","Sale","")</f>
        <v/>
      </c>
      <c r="H1631" s="158">
        <f>IF(INDIRECT("'Закуп'!F" &amp; B1631)=0,"",INDIRECT("'Закуп'!F" &amp; B1631))</f>
        <v/>
      </c>
      <c r="I1631" s="120" t="n">
        <v>1000</v>
      </c>
      <c r="J1631" s="121">
        <f>K1631/1.2</f>
        <v/>
      </c>
      <c r="K1631" s="242" t="n">
        <v>0.8100000000000001</v>
      </c>
      <c r="L1631" s="122">
        <f>J1631-C1631-(J1631-C1631)*0.2</f>
        <v/>
      </c>
      <c r="M1631" s="123">
        <f>L1631*I1631</f>
        <v/>
      </c>
      <c r="N1631" s="124" t="inlineStr">
        <is>
          <t xml:space="preserve">1000 + шт - </t>
        </is>
      </c>
      <c r="O1631" s="47" t="inlineStr">
        <is>
          <t xml:space="preserve"> руб / шт с НДС</t>
        </is>
      </c>
      <c r="P1631" s="125">
        <f>ROUND(K1631,2)</f>
        <v/>
      </c>
      <c r="Q1631" s="207">
        <f>CONCATENATE(N1631,P1631,O1631,)</f>
        <v/>
      </c>
      <c r="R1631" s="240" t="n"/>
      <c r="T1631" s="241" t="n"/>
      <c r="U1631" s="240" t="n"/>
      <c r="V1631" s="241" t="n"/>
      <c r="Z1631" s="240" t="n"/>
      <c r="AB1631" s="241" t="n"/>
      <c r="AC1631" s="240" t="n"/>
      <c r="AD1631" s="241" t="n"/>
      <c r="AE1631" t="n">
        <v>1</v>
      </c>
    </row>
    <row r="1632">
      <c r="A1632" s="232" t="n">
        <v>328</v>
      </c>
      <c r="B1632" s="42" t="n">
        <v>328</v>
      </c>
      <c r="C1632" s="118">
        <f>INDIRECT("'Закуп'!A" &amp; B1632)</f>
        <v/>
      </c>
      <c r="D1632" s="119">
        <f>C1632*1.2</f>
        <v/>
      </c>
      <c r="E1632" s="225">
        <f>INDIRECT("'Закуп'!D" &amp; A1632)</f>
        <v/>
      </c>
      <c r="F1632" s="231">
        <f>INDIRECT("'Закуп'!E" &amp; B1632)</f>
        <v/>
      </c>
      <c r="G1632" s="172">
        <f>IF(INDIRECT("'Закуп'!L" &amp; B1632)="Sale","Sale","")</f>
        <v/>
      </c>
      <c r="H1632" s="158">
        <f>IF(INDIRECT("'Закуп'!F" &amp; B1632)=0,"",INDIRECT("'Закуп'!F" &amp; B1632))</f>
        <v/>
      </c>
      <c r="I1632" s="120" t="n">
        <v>50</v>
      </c>
      <c r="J1632" s="121">
        <f>K1632/1.2</f>
        <v/>
      </c>
      <c r="K1632" s="70" t="n">
        <v>1.36</v>
      </c>
      <c r="L1632" s="122">
        <f>J1632-C1632-(J1632-C1632)*0.2</f>
        <v/>
      </c>
      <c r="M1632" s="123">
        <f>L1632*I1632</f>
        <v/>
      </c>
      <c r="N1632" s="124" t="inlineStr">
        <is>
          <t xml:space="preserve">50-90 шт - </t>
        </is>
      </c>
      <c r="O1632" s="47" t="inlineStr">
        <is>
          <t xml:space="preserve"> руб / шт с НДС</t>
        </is>
      </c>
      <c r="P1632" s="125">
        <f>ROUND(K1632,2)</f>
        <v/>
      </c>
      <c r="Q1632" s="207">
        <f>CONCATENATE(N1632,P1632,O1632,)</f>
        <v/>
      </c>
      <c r="R1632" s="235">
        <f>INDIRECT("'Закуп'!k" &amp; A1632)</f>
        <v/>
      </c>
      <c r="S1632" s="239">
        <f>INDIRECT("'Закуп'!o" &amp; A1632)</f>
        <v/>
      </c>
      <c r="T1632" s="226">
        <f>INDIRECT("'Закуп'!p" &amp; A1632)</f>
        <v/>
      </c>
      <c r="U1632" s="235">
        <f>INDIRECT("'Закуп'!v" &amp; A1632)</f>
        <v/>
      </c>
      <c r="V1632" s="222">
        <f>INDIRECT("'Закуп'!w" &amp; A1632)</f>
        <v/>
      </c>
      <c r="W1632" s="229">
        <f>INDIRECT("'Закуп'!H" &amp; A1632)</f>
        <v/>
      </c>
      <c r="X1632" s="237">
        <f>INDIRECT("'Закуп'!g" &amp; A1632)</f>
        <v/>
      </c>
      <c r="Y1632" s="229">
        <f>INDIRECT("'Закуп'!i" &amp; A1632)</f>
        <v/>
      </c>
      <c r="Z1632" s="236">
        <f>INDIRECT("'Закуп'!x" &amp; A1632)</f>
        <v/>
      </c>
      <c r="AA1632" s="237">
        <f>INDIRECT("'Закуп'!y" &amp; A1632)</f>
        <v/>
      </c>
      <c r="AB1632" s="238">
        <f>INDIRECT("'Закуп'!z" &amp; A1632)</f>
        <v/>
      </c>
      <c r="AC1632" s="223">
        <f>SUBSTITUTE(INDEX(F:F, ROUNDUP((ROW(A1631))/5,0)*5 - 3), "х", "x")</f>
        <v/>
      </c>
      <c r="AD1632" s="222">
        <f>SUBSTITUTE(INDEX(F:F, ROUNDUP((ROW(A1631))/5,0)*5 - 3), "х", "x") &amp; " - " &amp; SUBSTITUTE(SUBSTITUTE(INDEX(F:F, ROUNDUP((ROW(A1631))/5,0)*5 - 3), "х", "*"), "x", "*") &amp; " мм"</f>
        <v/>
      </c>
    </row>
    <row r="1633">
      <c r="B1633" s="42" t="n">
        <v>328</v>
      </c>
      <c r="C1633" s="118">
        <f>INDIRECT("'Закуп'!A" &amp; B1633)</f>
        <v/>
      </c>
      <c r="D1633" s="119">
        <f>C1633*1.2</f>
        <v/>
      </c>
      <c r="G1633" s="172">
        <f>IF(INDIRECT("'Закуп'!L" &amp; B1633)="Sale","Sale","")</f>
        <v/>
      </c>
      <c r="H1633" s="158">
        <f>IF(INDIRECT("'Закуп'!F" &amp; B1633)=0,"",INDIRECT("'Закуп'!F" &amp; B1633))</f>
        <v/>
      </c>
      <c r="I1633" s="120" t="n">
        <v>100</v>
      </c>
      <c r="J1633" s="121">
        <f>K1633/1.2</f>
        <v/>
      </c>
      <c r="K1633" s="70" t="n">
        <v>1.2</v>
      </c>
      <c r="L1633" s="122">
        <f>J1633-C1633-(J1633-C1633)*0.2</f>
        <v/>
      </c>
      <c r="M1633" s="123">
        <f>L1633*I1633</f>
        <v/>
      </c>
      <c r="N1633" s="124" t="inlineStr">
        <is>
          <t xml:space="preserve">100-290 шт - </t>
        </is>
      </c>
      <c r="O1633" s="47" t="inlineStr">
        <is>
          <t xml:space="preserve"> руб / шт с НДС</t>
        </is>
      </c>
      <c r="P1633" s="125">
        <f>ROUND(K1633,2)</f>
        <v/>
      </c>
      <c r="Q1633" s="207">
        <f>CONCATENATE(N1633,P1633,O1633,)</f>
        <v/>
      </c>
      <c r="R1633" s="240" t="n"/>
      <c r="T1633" s="241" t="n"/>
      <c r="U1633" s="240" t="n"/>
      <c r="V1633" s="241" t="n"/>
      <c r="Z1633" s="240" t="n"/>
      <c r="AB1633" s="241" t="n"/>
      <c r="AC1633" s="240" t="n"/>
      <c r="AD1633" s="241" t="n"/>
    </row>
    <row r="1634">
      <c r="B1634" s="42" t="n">
        <v>328</v>
      </c>
      <c r="C1634" s="118">
        <f>INDIRECT("'Закуп'!A" &amp; B1634)</f>
        <v/>
      </c>
      <c r="D1634" s="119">
        <f>C1634*1.2</f>
        <v/>
      </c>
      <c r="G1634" s="172">
        <f>IF(INDIRECT("'Закуп'!L" &amp; B1634)="Sale","Sale","")</f>
        <v/>
      </c>
      <c r="H1634" s="158">
        <f>IF(INDIRECT("'Закуп'!F" &amp; B1634)=0,"",INDIRECT("'Закуп'!F" &amp; B1634))</f>
        <v/>
      </c>
      <c r="I1634" s="120" t="n">
        <v>300</v>
      </c>
      <c r="J1634" s="121">
        <f>K1634/1.2</f>
        <v/>
      </c>
      <c r="K1634" s="70" t="n">
        <v>1.04</v>
      </c>
      <c r="L1634" s="122">
        <f>J1634-C1634-(J1634-C1634)*0.2</f>
        <v/>
      </c>
      <c r="M1634" s="123">
        <f>L1634*I1634</f>
        <v/>
      </c>
      <c r="N1634" s="124" t="inlineStr">
        <is>
          <t xml:space="preserve">300-490 шт - </t>
        </is>
      </c>
      <c r="O1634" s="47" t="inlineStr">
        <is>
          <t xml:space="preserve"> руб / шт с НДС</t>
        </is>
      </c>
      <c r="P1634" s="125">
        <f>ROUND(K1634,2)</f>
        <v/>
      </c>
      <c r="Q1634" s="207">
        <f>CONCATENATE(N1634,P1634,O1634,)</f>
        <v/>
      </c>
      <c r="R1634" s="240" t="n"/>
      <c r="T1634" s="241" t="n"/>
      <c r="U1634" s="240" t="n"/>
      <c r="V1634" s="241" t="n"/>
      <c r="Z1634" s="240" t="n"/>
      <c r="AB1634" s="241" t="n"/>
      <c r="AC1634" s="240" t="n"/>
      <c r="AD1634" s="241" t="n"/>
    </row>
    <row r="1635">
      <c r="B1635" s="42" t="n">
        <v>328</v>
      </c>
      <c r="C1635" s="118">
        <f>INDIRECT("'Закуп'!A" &amp; B1635)</f>
        <v/>
      </c>
      <c r="D1635" s="119">
        <f>C1635*1.2</f>
        <v/>
      </c>
      <c r="G1635" s="172">
        <f>IF(INDIRECT("'Закуп'!L" &amp; B1635)="Sale","Sale","")</f>
        <v/>
      </c>
      <c r="H1635" s="158">
        <f>IF(INDIRECT("'Закуп'!F" &amp; B1635)=0,"",INDIRECT("'Закуп'!F" &amp; B1635))</f>
        <v/>
      </c>
      <c r="I1635" s="120" t="n">
        <v>500</v>
      </c>
      <c r="J1635" s="121">
        <f>K1635/1.2</f>
        <v/>
      </c>
      <c r="K1635" s="70" t="n">
        <v>0.96</v>
      </c>
      <c r="L1635" s="122">
        <f>J1635-C1635-(J1635-C1635)*0.2</f>
        <v/>
      </c>
      <c r="M1635" s="123">
        <f>L1635*I1635</f>
        <v/>
      </c>
      <c r="N1635" s="124" t="inlineStr">
        <is>
          <t xml:space="preserve">500-990 шт - </t>
        </is>
      </c>
      <c r="O1635" s="47" t="inlineStr">
        <is>
          <t xml:space="preserve"> руб / шт с НДС</t>
        </is>
      </c>
      <c r="P1635" s="125">
        <f>ROUND(K1635,2)</f>
        <v/>
      </c>
      <c r="Q1635" s="207">
        <f>CONCATENATE(N1635,P1635,O1635,)</f>
        <v/>
      </c>
      <c r="R1635" s="240" t="n"/>
      <c r="T1635" s="241" t="n"/>
      <c r="U1635" s="240" t="n"/>
      <c r="V1635" s="241" t="n"/>
      <c r="Z1635" s="240" t="n"/>
      <c r="AB1635" s="241" t="n"/>
      <c r="AC1635" s="240" t="n"/>
      <c r="AD1635" s="241" t="n"/>
    </row>
    <row r="1636">
      <c r="B1636" s="42" t="n">
        <v>328</v>
      </c>
      <c r="C1636" s="118">
        <f>INDIRECT("'Закуп'!A" &amp; B1636)</f>
        <v/>
      </c>
      <c r="D1636" s="119">
        <f>C1636*1.2</f>
        <v/>
      </c>
      <c r="G1636" s="172">
        <f>IF(INDIRECT("'Закуп'!L" &amp; B1636)="Sale","Sale","")</f>
        <v/>
      </c>
      <c r="H1636" s="158">
        <f>IF(INDIRECT("'Закуп'!F" &amp; B1636)=0,"",INDIRECT("'Закуп'!F" &amp; B1636))</f>
        <v/>
      </c>
      <c r="I1636" s="120" t="n">
        <v>1000</v>
      </c>
      <c r="J1636" s="121">
        <f>K1636/1.2</f>
        <v/>
      </c>
      <c r="K1636" s="70" t="n">
        <v>0.8</v>
      </c>
      <c r="L1636" s="122">
        <f>J1636-C1636-(J1636-C1636)*0.2</f>
        <v/>
      </c>
      <c r="M1636" s="123">
        <f>L1636*I1636</f>
        <v/>
      </c>
      <c r="N1636" s="124" t="inlineStr">
        <is>
          <t xml:space="preserve">1000 + шт - </t>
        </is>
      </c>
      <c r="O1636" s="47" t="inlineStr">
        <is>
          <t xml:space="preserve"> руб / шт с НДС</t>
        </is>
      </c>
      <c r="P1636" s="125">
        <f>ROUND(K1636,2)</f>
        <v/>
      </c>
      <c r="Q1636" s="207">
        <f>CONCATENATE(N1636,P1636,O1636,)</f>
        <v/>
      </c>
      <c r="R1636" s="240" t="n"/>
      <c r="T1636" s="241" t="n"/>
      <c r="U1636" s="240" t="n"/>
      <c r="V1636" s="241" t="n"/>
      <c r="Z1636" s="240" t="n"/>
      <c r="AB1636" s="241" t="n"/>
      <c r="AC1636" s="240" t="n"/>
      <c r="AD1636" s="241" t="n"/>
    </row>
    <row r="1637">
      <c r="A1637" s="232" t="n">
        <v>329</v>
      </c>
      <c r="B1637" s="42" t="n">
        <v>329</v>
      </c>
      <c r="C1637" s="118">
        <f>INDIRECT("'Закуп'!A" &amp; B1637)</f>
        <v/>
      </c>
      <c r="D1637" s="119">
        <f>C1637*1.2</f>
        <v/>
      </c>
      <c r="E1637" s="225">
        <f>INDIRECT("'Закуп'!D" &amp; A1637)</f>
        <v/>
      </c>
      <c r="F1637" s="231">
        <f>INDIRECT("'Закуп'!E" &amp; B1637)</f>
        <v/>
      </c>
      <c r="G1637" s="172">
        <f>IF(INDIRECT("'Закуп'!L" &amp; B1637)="Sale","Sale","")</f>
        <v/>
      </c>
      <c r="H1637" s="158">
        <f>IF(INDIRECT("'Закуп'!F" &amp; B1637)=0,"",INDIRECT("'Закуп'!F" &amp; B1637))</f>
        <v/>
      </c>
      <c r="I1637" s="120" t="n">
        <v>50</v>
      </c>
      <c r="J1637" s="121">
        <f>K1637/1.2</f>
        <v/>
      </c>
      <c r="K1637" s="70" t="n">
        <v>2.25</v>
      </c>
      <c r="L1637" s="122">
        <f>J1637-C1637-(J1637-C1637)*0.2</f>
        <v/>
      </c>
      <c r="M1637" s="123">
        <f>L1637*I1637</f>
        <v/>
      </c>
      <c r="N1637" s="124" t="inlineStr">
        <is>
          <t xml:space="preserve">50-90 шт - </t>
        </is>
      </c>
      <c r="O1637" s="47" t="inlineStr">
        <is>
          <t xml:space="preserve"> руб / шт с НДС</t>
        </is>
      </c>
      <c r="P1637" s="125">
        <f>ROUND(K1637,2)</f>
        <v/>
      </c>
      <c r="Q1637" s="207">
        <f>CONCATENATE(N1637,P1637,O1637,)</f>
        <v/>
      </c>
      <c r="R1637" s="235">
        <f>INDIRECT("'Закуп'!k" &amp; A1637)</f>
        <v/>
      </c>
      <c r="S1637" s="239">
        <f>INDIRECT("'Закуп'!o" &amp; A1637)</f>
        <v/>
      </c>
      <c r="T1637" s="226">
        <f>INDIRECT("'Закуп'!p" &amp; A1637)</f>
        <v/>
      </c>
      <c r="U1637" s="235">
        <f>INDIRECT("'Закуп'!v" &amp; A1637)</f>
        <v/>
      </c>
      <c r="V1637" s="222">
        <f>INDIRECT("'Закуп'!w" &amp; A1637)</f>
        <v/>
      </c>
      <c r="W1637" s="229">
        <f>INDIRECT("'Закуп'!H" &amp; A1637)</f>
        <v/>
      </c>
      <c r="X1637" s="237">
        <f>INDIRECT("'Закуп'!g" &amp; A1637)</f>
        <v/>
      </c>
      <c r="Y1637" s="229">
        <f>INDIRECT("'Закуп'!i" &amp; A1637)</f>
        <v/>
      </c>
      <c r="Z1637" s="236">
        <f>INDIRECT("'Закуп'!x" &amp; A1637)</f>
        <v/>
      </c>
      <c r="AA1637" s="237">
        <f>INDIRECT("'Закуп'!y" &amp; A1637)</f>
        <v/>
      </c>
      <c r="AB1637" s="238">
        <f>INDIRECT("'Закуп'!z" &amp; A1637)</f>
        <v/>
      </c>
      <c r="AC1637" s="223">
        <f>SUBSTITUTE(INDEX(F:F, ROUNDUP((ROW(A1636))/5,0)*5 - 3), "х", "x")</f>
        <v/>
      </c>
      <c r="AD1637" s="222">
        <f>SUBSTITUTE(INDEX(F:F, ROUNDUP((ROW(A1636))/5,0)*5 - 3), "х", "x") &amp; " - " &amp; SUBSTITUTE(SUBSTITUTE(INDEX(F:F, ROUNDUP((ROW(A1636))/5,0)*5 - 3), "х", "*"), "x", "*") &amp; " мм"</f>
        <v/>
      </c>
    </row>
    <row r="1638">
      <c r="B1638" s="42" t="n">
        <v>329</v>
      </c>
      <c r="C1638" s="118">
        <f>INDIRECT("'Закуп'!A" &amp; B1638)</f>
        <v/>
      </c>
      <c r="D1638" s="119">
        <f>C1638*1.2</f>
        <v/>
      </c>
      <c r="G1638" s="172">
        <f>IF(INDIRECT("'Закуп'!L" &amp; B1638)="Sale","Sale","")</f>
        <v/>
      </c>
      <c r="H1638" s="158">
        <f>IF(INDIRECT("'Закуп'!F" &amp; B1638)=0,"",INDIRECT("'Закуп'!F" &amp; B1638))</f>
        <v/>
      </c>
      <c r="I1638" s="120" t="n">
        <v>100</v>
      </c>
      <c r="J1638" s="121">
        <f>K1638/1.2</f>
        <v/>
      </c>
      <c r="K1638" s="70" t="n">
        <v>2.15</v>
      </c>
      <c r="L1638" s="122">
        <f>J1638-C1638-(J1638-C1638)*0.2</f>
        <v/>
      </c>
      <c r="M1638" s="123">
        <f>L1638*I1638</f>
        <v/>
      </c>
      <c r="N1638" s="124" t="inlineStr">
        <is>
          <t xml:space="preserve">100-290 шт - </t>
        </is>
      </c>
      <c r="O1638" s="47" t="inlineStr">
        <is>
          <t xml:space="preserve"> руб / шт с НДС</t>
        </is>
      </c>
      <c r="P1638" s="125">
        <f>ROUND(K1638,2)</f>
        <v/>
      </c>
      <c r="Q1638" s="207">
        <f>CONCATENATE(N1638,P1638,O1638,)</f>
        <v/>
      </c>
      <c r="R1638" s="240" t="n"/>
      <c r="T1638" s="241" t="n"/>
      <c r="U1638" s="240" t="n"/>
      <c r="V1638" s="241" t="n"/>
      <c r="Z1638" s="240" t="n"/>
      <c r="AB1638" s="241" t="n"/>
      <c r="AC1638" s="240" t="n"/>
      <c r="AD1638" s="241" t="n"/>
    </row>
    <row r="1639">
      <c r="B1639" s="42" t="n">
        <v>329</v>
      </c>
      <c r="C1639" s="118">
        <f>INDIRECT("'Закуп'!A" &amp; B1639)</f>
        <v/>
      </c>
      <c r="D1639" s="119">
        <f>C1639*1.2</f>
        <v/>
      </c>
      <c r="G1639" s="172">
        <f>IF(INDIRECT("'Закуп'!L" &amp; B1639)="Sale","Sale","")</f>
        <v/>
      </c>
      <c r="H1639" s="158">
        <f>IF(INDIRECT("'Закуп'!F" &amp; B1639)=0,"",INDIRECT("'Закуп'!F" &amp; B1639))</f>
        <v/>
      </c>
      <c r="I1639" s="120" t="n">
        <v>300</v>
      </c>
      <c r="J1639" s="121">
        <f>K1639/1.2</f>
        <v/>
      </c>
      <c r="K1639" s="70" t="n">
        <v>2.05</v>
      </c>
      <c r="L1639" s="122">
        <f>J1639-C1639-(J1639-C1639)*0.2</f>
        <v/>
      </c>
      <c r="M1639" s="123">
        <f>L1639*I1639</f>
        <v/>
      </c>
      <c r="N1639" s="124" t="inlineStr">
        <is>
          <t xml:space="preserve">300-490 шт - </t>
        </is>
      </c>
      <c r="O1639" s="47" t="inlineStr">
        <is>
          <t xml:space="preserve"> руб / шт с НДС</t>
        </is>
      </c>
      <c r="P1639" s="125">
        <f>ROUND(K1639,2)</f>
        <v/>
      </c>
      <c r="Q1639" s="207">
        <f>CONCATENATE(N1639,P1639,O1639,)</f>
        <v/>
      </c>
      <c r="R1639" s="240" t="n"/>
      <c r="T1639" s="241" t="n"/>
      <c r="U1639" s="240" t="n"/>
      <c r="V1639" s="241" t="n"/>
      <c r="Z1639" s="240" t="n"/>
      <c r="AB1639" s="241" t="n"/>
      <c r="AC1639" s="240" t="n"/>
      <c r="AD1639" s="241" t="n"/>
    </row>
    <row r="1640">
      <c r="B1640" s="42" t="n">
        <v>329</v>
      </c>
      <c r="C1640" s="118">
        <f>INDIRECT("'Закуп'!A" &amp; B1640)</f>
        <v/>
      </c>
      <c r="D1640" s="119">
        <f>C1640*1.2</f>
        <v/>
      </c>
      <c r="G1640" s="172">
        <f>IF(INDIRECT("'Закуп'!L" &amp; B1640)="Sale","Sale","")</f>
        <v/>
      </c>
      <c r="H1640" s="158">
        <f>IF(INDIRECT("'Закуп'!F" &amp; B1640)=0,"",INDIRECT("'Закуп'!F" &amp; B1640))</f>
        <v/>
      </c>
      <c r="I1640" s="120" t="n">
        <v>500</v>
      </c>
      <c r="J1640" s="121">
        <f>K1640/1.2</f>
        <v/>
      </c>
      <c r="K1640" s="70" t="n">
        <v>1.95</v>
      </c>
      <c r="L1640" s="122">
        <f>J1640-C1640-(J1640-C1640)*0.2</f>
        <v/>
      </c>
      <c r="M1640" s="123">
        <f>L1640*I1640</f>
        <v/>
      </c>
      <c r="N1640" s="124" t="inlineStr">
        <is>
          <t xml:space="preserve">500-990 шт - </t>
        </is>
      </c>
      <c r="O1640" s="47" t="inlineStr">
        <is>
          <t xml:space="preserve"> руб / шт с НДС</t>
        </is>
      </c>
      <c r="P1640" s="125">
        <f>ROUND(K1640,2)</f>
        <v/>
      </c>
      <c r="Q1640" s="207">
        <f>CONCATENATE(N1640,P1640,O1640,)</f>
        <v/>
      </c>
      <c r="R1640" s="240" t="n"/>
      <c r="T1640" s="241" t="n"/>
      <c r="U1640" s="240" t="n"/>
      <c r="V1640" s="241" t="n"/>
      <c r="Z1640" s="240" t="n"/>
      <c r="AB1640" s="241" t="n"/>
      <c r="AC1640" s="240" t="n"/>
      <c r="AD1640" s="241" t="n"/>
    </row>
    <row r="1641">
      <c r="B1641" s="42" t="n">
        <v>329</v>
      </c>
      <c r="C1641" s="118">
        <f>INDIRECT("'Закуп'!A" &amp; B1641)</f>
        <v/>
      </c>
      <c r="D1641" s="119">
        <f>C1641*1.2</f>
        <v/>
      </c>
      <c r="G1641" s="172">
        <f>IF(INDIRECT("'Закуп'!L" &amp; B1641)="Sale","Sale","")</f>
        <v/>
      </c>
      <c r="H1641" s="158">
        <f>IF(INDIRECT("'Закуп'!F" &amp; B1641)=0,"",INDIRECT("'Закуп'!F" &amp; B1641))</f>
        <v/>
      </c>
      <c r="I1641" s="120" t="n">
        <v>1000</v>
      </c>
      <c r="J1641" s="121">
        <f>K1641/1.2</f>
        <v/>
      </c>
      <c r="K1641" s="70" t="n">
        <v>1.85</v>
      </c>
      <c r="L1641" s="122">
        <f>J1641-C1641-(J1641-C1641)*0.2</f>
        <v/>
      </c>
      <c r="M1641" s="123">
        <f>L1641*I1641</f>
        <v/>
      </c>
      <c r="N1641" s="124" t="inlineStr">
        <is>
          <t xml:space="preserve">1000 + шт - </t>
        </is>
      </c>
      <c r="O1641" s="47" t="inlineStr">
        <is>
          <t xml:space="preserve"> руб / шт с НДС</t>
        </is>
      </c>
      <c r="P1641" s="125">
        <f>ROUND(K1641,2)</f>
        <v/>
      </c>
      <c r="Q1641" s="207">
        <f>CONCATENATE(N1641,P1641,O1641,)</f>
        <v/>
      </c>
      <c r="R1641" s="240" t="n"/>
      <c r="T1641" s="241" t="n"/>
      <c r="U1641" s="240" t="n"/>
      <c r="V1641" s="241" t="n"/>
      <c r="Z1641" s="240" t="n"/>
      <c r="AB1641" s="241" t="n"/>
      <c r="AC1641" s="240" t="n"/>
      <c r="AD1641" s="241" t="n"/>
    </row>
    <row r="1642" ht="21.45" customHeight="1" s="55">
      <c r="A1642" s="232" t="n">
        <v>330</v>
      </c>
      <c r="B1642" s="42" t="n">
        <v>330</v>
      </c>
      <c r="C1642" s="118">
        <f>INDIRECT("'Закуп'!A" &amp; B1642)</f>
        <v/>
      </c>
      <c r="D1642" s="119">
        <f>C1642*1.2</f>
        <v/>
      </c>
      <c r="E1642" s="225">
        <f>INDIRECT("'Закуп'!D" &amp; A1642)</f>
        <v/>
      </c>
      <c r="F1642" s="231">
        <f>INDIRECT("'Закуп'!E" &amp; B1642)</f>
        <v/>
      </c>
      <c r="G1642" s="172">
        <f>IF(INDIRECT("'Закуп'!L" &amp; B1642)="Sale","Sale","")</f>
        <v/>
      </c>
      <c r="H1642" s="158">
        <f>IF(INDIRECT("'Закуп'!F" &amp; B1642)=0,"",INDIRECT("'Закуп'!F" &amp; B1642))</f>
        <v/>
      </c>
      <c r="I1642" s="120" t="n">
        <v>50</v>
      </c>
      <c r="J1642" s="121">
        <f>K1642/1.2</f>
        <v/>
      </c>
      <c r="K1642" s="242" t="n">
        <v>1.12</v>
      </c>
      <c r="L1642" s="122">
        <f>J1642-C1642-(J1642-C1642)*0.2</f>
        <v/>
      </c>
      <c r="M1642" s="123">
        <f>L1642*I1642</f>
        <v/>
      </c>
      <c r="N1642" s="124" t="inlineStr">
        <is>
          <t xml:space="preserve">50-90 шт - </t>
        </is>
      </c>
      <c r="O1642" s="47" t="inlineStr">
        <is>
          <t xml:space="preserve"> руб / шт с НДС</t>
        </is>
      </c>
      <c r="P1642" s="125">
        <f>ROUND(K1642,2)</f>
        <v/>
      </c>
      <c r="Q1642" s="207">
        <f>CONCATENATE(N1642,P1642,O1642,)</f>
        <v/>
      </c>
      <c r="R1642" s="235">
        <f>INDIRECT("'Закуп'!k" &amp; A1642)</f>
        <v/>
      </c>
      <c r="S1642" s="239">
        <f>INDIRECT("'Закуп'!o" &amp; A1642)</f>
        <v/>
      </c>
      <c r="T1642" s="226">
        <f>INDIRECT("'Закуп'!p" &amp; A1642)</f>
        <v/>
      </c>
      <c r="U1642" s="235">
        <f>INDIRECT("'Закуп'!v" &amp; A1642)</f>
        <v/>
      </c>
      <c r="V1642" s="222">
        <f>INDIRECT("'Закуп'!w" &amp; A1642)</f>
        <v/>
      </c>
      <c r="W1642" s="229">
        <f>INDIRECT("'Закуп'!H" &amp; A1642)</f>
        <v/>
      </c>
      <c r="X1642" s="237">
        <f>INDIRECT("'Закуп'!g" &amp; A1642)</f>
        <v/>
      </c>
      <c r="Y1642" s="229">
        <f>INDIRECT("'Закуп'!i" &amp; A1642)</f>
        <v/>
      </c>
      <c r="Z1642" s="236">
        <f>INDIRECT("'Закуп'!x" &amp; A1642)</f>
        <v/>
      </c>
      <c r="AA1642" s="237">
        <f>INDIRECT("'Закуп'!y" &amp; A1642)</f>
        <v/>
      </c>
      <c r="AB1642" s="238">
        <f>INDIRECT("'Закуп'!z" &amp; A1642)</f>
        <v/>
      </c>
      <c r="AC1642" s="223">
        <f>SUBSTITUTE(INDEX(F:F, ROUNDUP((ROW(A1641))/5,0)*5 - 3), "х", "x")</f>
        <v/>
      </c>
      <c r="AD1642" s="222">
        <f>SUBSTITUTE(INDEX(F:F, ROUNDUP((ROW(A1641))/5,0)*5 - 3), "х", "x") &amp; " - " &amp; SUBSTITUTE(SUBSTITUTE(INDEX(F:F, ROUNDUP((ROW(A1641))/5,0)*5 - 3), "х", "*"), "x", "*") &amp; " мм"</f>
        <v/>
      </c>
      <c r="AE1642" t="n">
        <v>1.4</v>
      </c>
    </row>
    <row r="1643" ht="21.45" customHeight="1" s="55">
      <c r="B1643" s="42" t="n">
        <v>330</v>
      </c>
      <c r="C1643" s="118">
        <f>INDIRECT("'Закуп'!A" &amp; B1643)</f>
        <v/>
      </c>
      <c r="D1643" s="119">
        <f>C1643*1.2</f>
        <v/>
      </c>
      <c r="G1643" s="172">
        <f>IF(INDIRECT("'Закуп'!L" &amp; B1643)="Sale","Sale","")</f>
        <v/>
      </c>
      <c r="H1643" s="158">
        <f>IF(INDIRECT("'Закуп'!F" &amp; B1643)=0,"",INDIRECT("'Закуп'!F" &amp; B1643))</f>
        <v/>
      </c>
      <c r="I1643" s="120" t="n">
        <v>100</v>
      </c>
      <c r="J1643" s="121">
        <f>K1643/1.2</f>
        <v/>
      </c>
      <c r="K1643" s="242" t="n">
        <v>0.97</v>
      </c>
      <c r="L1643" s="122">
        <f>J1643-C1643-(J1643-C1643)*0.2</f>
        <v/>
      </c>
      <c r="M1643" s="123">
        <f>L1643*I1643</f>
        <v/>
      </c>
      <c r="N1643" s="124" t="inlineStr">
        <is>
          <t xml:space="preserve">100-290 шт - </t>
        </is>
      </c>
      <c r="O1643" s="47" t="inlineStr">
        <is>
          <t xml:space="preserve"> руб / шт с НДС</t>
        </is>
      </c>
      <c r="P1643" s="125">
        <f>ROUND(K1643,2)</f>
        <v/>
      </c>
      <c r="Q1643" s="207">
        <f>CONCATENATE(N1643,P1643,O1643,)</f>
        <v/>
      </c>
      <c r="R1643" s="240" t="n"/>
      <c r="T1643" s="241" t="n"/>
      <c r="U1643" s="240" t="n"/>
      <c r="V1643" s="241" t="n"/>
      <c r="Z1643" s="240" t="n"/>
      <c r="AB1643" s="241" t="n"/>
      <c r="AC1643" s="240" t="n"/>
      <c r="AD1643" s="241" t="n"/>
      <c r="AE1643" t="n">
        <v>1.3</v>
      </c>
    </row>
    <row r="1644" ht="21.45" customHeight="1" s="55">
      <c r="B1644" s="42" t="n">
        <v>330</v>
      </c>
      <c r="C1644" s="118">
        <f>INDIRECT("'Закуп'!A" &amp; B1644)</f>
        <v/>
      </c>
      <c r="D1644" s="119">
        <f>C1644*1.2</f>
        <v/>
      </c>
      <c r="G1644" s="172">
        <f>IF(INDIRECT("'Закуп'!L" &amp; B1644)="Sale","Sale","")</f>
        <v/>
      </c>
      <c r="H1644" s="158">
        <f>IF(INDIRECT("'Закуп'!F" &amp; B1644)=0,"",INDIRECT("'Закуп'!F" &amp; B1644))</f>
        <v/>
      </c>
      <c r="I1644" s="120" t="n">
        <v>300</v>
      </c>
      <c r="J1644" s="121">
        <f>K1644/1.2</f>
        <v/>
      </c>
      <c r="K1644" s="242" t="n">
        <v>0.92</v>
      </c>
      <c r="L1644" s="122">
        <f>J1644-C1644-(J1644-C1644)*0.2</f>
        <v/>
      </c>
      <c r="M1644" s="123">
        <f>L1644*I1644</f>
        <v/>
      </c>
      <c r="N1644" s="124" t="inlineStr">
        <is>
          <t xml:space="preserve">300-490 шт - </t>
        </is>
      </c>
      <c r="O1644" s="47" t="inlineStr">
        <is>
          <t xml:space="preserve"> руб / шт с НДС</t>
        </is>
      </c>
      <c r="P1644" s="125">
        <f>ROUND(K1644,2)</f>
        <v/>
      </c>
      <c r="Q1644" s="207">
        <f>CONCATENATE(N1644,P1644,O1644,)</f>
        <v/>
      </c>
      <c r="R1644" s="240" t="n"/>
      <c r="T1644" s="241" t="n"/>
      <c r="U1644" s="240" t="n"/>
      <c r="V1644" s="241" t="n"/>
      <c r="Z1644" s="240" t="n"/>
      <c r="AB1644" s="241" t="n"/>
      <c r="AC1644" s="240" t="n"/>
      <c r="AD1644" s="241" t="n"/>
      <c r="AE1644" t="n">
        <v>1.2</v>
      </c>
    </row>
    <row r="1645" ht="21.45" customHeight="1" s="55">
      <c r="B1645" s="42" t="n">
        <v>330</v>
      </c>
      <c r="C1645" s="118">
        <f>INDIRECT("'Закуп'!A" &amp; B1645)</f>
        <v/>
      </c>
      <c r="D1645" s="119">
        <f>C1645*1.2</f>
        <v/>
      </c>
      <c r="G1645" s="172">
        <f>IF(INDIRECT("'Закуп'!L" &amp; B1645)="Sale","Sale","")</f>
        <v/>
      </c>
      <c r="H1645" s="158">
        <f>IF(INDIRECT("'Закуп'!F" &amp; B1645)=0,"",INDIRECT("'Закуп'!F" &amp; B1645))</f>
        <v/>
      </c>
      <c r="I1645" s="120" t="n">
        <v>500</v>
      </c>
      <c r="J1645" s="121">
        <f>K1645/1.2</f>
        <v/>
      </c>
      <c r="K1645" s="242" t="n">
        <v>0.88</v>
      </c>
      <c r="L1645" s="122">
        <f>J1645-C1645-(J1645-C1645)*0.2</f>
        <v/>
      </c>
      <c r="M1645" s="123">
        <f>L1645*I1645</f>
        <v/>
      </c>
      <c r="N1645" s="124" t="inlineStr">
        <is>
          <t xml:space="preserve">500-990 шт - </t>
        </is>
      </c>
      <c r="O1645" s="47" t="inlineStr">
        <is>
          <t xml:space="preserve"> руб / шт с НДС</t>
        </is>
      </c>
      <c r="P1645" s="125">
        <f>ROUND(K1645,2)</f>
        <v/>
      </c>
      <c r="Q1645" s="207">
        <f>CONCATENATE(N1645,P1645,O1645,)</f>
        <v/>
      </c>
      <c r="R1645" s="240" t="n"/>
      <c r="T1645" s="241" t="n"/>
      <c r="U1645" s="240" t="n"/>
      <c r="V1645" s="241" t="n"/>
      <c r="Z1645" s="240" t="n"/>
      <c r="AB1645" s="241" t="n"/>
      <c r="AC1645" s="240" t="n"/>
      <c r="AD1645" s="241" t="n"/>
      <c r="AE1645" t="n">
        <v>1.1</v>
      </c>
    </row>
    <row r="1646" ht="21.45" customHeight="1" s="55">
      <c r="B1646" s="42" t="n">
        <v>330</v>
      </c>
      <c r="C1646" s="118">
        <f>INDIRECT("'Закуп'!A" &amp; B1646)</f>
        <v/>
      </c>
      <c r="D1646" s="119">
        <f>C1646*1.2</f>
        <v/>
      </c>
      <c r="G1646" s="172">
        <f>IF(INDIRECT("'Закуп'!L" &amp; B1646)="Sale","Sale","")</f>
        <v/>
      </c>
      <c r="H1646" s="158">
        <f>IF(INDIRECT("'Закуп'!F" &amp; B1646)=0,"",INDIRECT("'Закуп'!F" &amp; B1646))</f>
        <v/>
      </c>
      <c r="I1646" s="120" t="n">
        <v>1000</v>
      </c>
      <c r="J1646" s="121">
        <f>K1646/1.2</f>
        <v/>
      </c>
      <c r="K1646" s="242" t="n">
        <v>0.85</v>
      </c>
      <c r="L1646" s="122">
        <f>J1646-C1646-(J1646-C1646)*0.2</f>
        <v/>
      </c>
      <c r="M1646" s="123">
        <f>L1646*I1646</f>
        <v/>
      </c>
      <c r="N1646" s="124" t="inlineStr">
        <is>
          <t xml:space="preserve">1000 + шт - </t>
        </is>
      </c>
      <c r="O1646" s="47" t="inlineStr">
        <is>
          <t xml:space="preserve"> руб / шт с НДС</t>
        </is>
      </c>
      <c r="P1646" s="125">
        <f>ROUND(K1646,2)</f>
        <v/>
      </c>
      <c r="Q1646" s="207">
        <f>CONCATENATE(N1646,P1646,O1646,)</f>
        <v/>
      </c>
      <c r="R1646" s="240" t="n"/>
      <c r="T1646" s="241" t="n"/>
      <c r="U1646" s="240" t="n"/>
      <c r="V1646" s="241" t="n"/>
      <c r="Z1646" s="240" t="n"/>
      <c r="AB1646" s="241" t="n"/>
      <c r="AC1646" s="240" t="n"/>
      <c r="AD1646" s="241" t="n"/>
      <c r="AE1646" t="n">
        <v>1</v>
      </c>
    </row>
    <row r="1647">
      <c r="A1647" s="232" t="n">
        <v>331</v>
      </c>
      <c r="B1647" s="42" t="n">
        <v>331</v>
      </c>
      <c r="C1647" s="118">
        <f>INDIRECT("'Закуп'!A" &amp; B1647)</f>
        <v/>
      </c>
      <c r="D1647" s="119">
        <f>C1647*1.2</f>
        <v/>
      </c>
      <c r="E1647" s="225">
        <f>INDIRECT("'Закуп'!D" &amp; A1647)</f>
        <v/>
      </c>
      <c r="F1647" s="231">
        <f>INDIRECT("'Закуп'!E" &amp; B1647)</f>
        <v/>
      </c>
      <c r="G1647" s="172">
        <f>IF(INDIRECT("'Закуп'!L" &amp; B1647)="Sale","Sale","")</f>
        <v/>
      </c>
      <c r="H1647" s="158">
        <f>IF(INDIRECT("'Закуп'!F" &amp; B1647)=0,"",INDIRECT("'Закуп'!F" &amp; B1647))</f>
        <v/>
      </c>
      <c r="I1647" s="120" t="n">
        <v>50</v>
      </c>
      <c r="J1647" s="121">
        <f>K1647/1.2</f>
        <v/>
      </c>
      <c r="K1647" s="242" t="n">
        <v>0.75</v>
      </c>
      <c r="L1647" s="122">
        <f>J1647-C1647-(J1647-C1647)*0.2</f>
        <v/>
      </c>
      <c r="M1647" s="123">
        <f>L1647*I1647</f>
        <v/>
      </c>
      <c r="N1647" s="124" t="inlineStr">
        <is>
          <t xml:space="preserve">50-90 шт - </t>
        </is>
      </c>
      <c r="O1647" s="47" t="inlineStr">
        <is>
          <t xml:space="preserve"> руб / шт с НДС</t>
        </is>
      </c>
      <c r="P1647" s="125">
        <f>ROUND(K1647,2)</f>
        <v/>
      </c>
      <c r="Q1647" s="207">
        <f>CONCATENATE(N1647,P1647,O1647,)</f>
        <v/>
      </c>
      <c r="R1647" s="235">
        <f>INDIRECT("'Закуп'!k" &amp; A1647)</f>
        <v/>
      </c>
      <c r="S1647" s="239">
        <f>INDIRECT("'Закуп'!o" &amp; A1647)</f>
        <v/>
      </c>
      <c r="T1647" s="226">
        <f>INDIRECT("'Закуп'!p" &amp; A1647)</f>
        <v/>
      </c>
      <c r="U1647" s="235">
        <f>INDIRECT("'Закуп'!v" &amp; A1647)</f>
        <v/>
      </c>
      <c r="V1647" s="222">
        <f>INDIRECT("'Закуп'!w" &amp; A1647)</f>
        <v/>
      </c>
      <c r="W1647" s="229">
        <f>INDIRECT("'Закуп'!H" &amp; A1647)</f>
        <v/>
      </c>
      <c r="X1647" s="237">
        <f>INDIRECT("'Закуп'!g" &amp; A1647)</f>
        <v/>
      </c>
      <c r="Y1647" s="229">
        <f>INDIRECT("'Закуп'!i" &amp; A1647)</f>
        <v/>
      </c>
      <c r="Z1647" s="236">
        <f>INDIRECT("'Закуп'!x" &amp; A1647)</f>
        <v/>
      </c>
      <c r="AA1647" s="237">
        <f>INDIRECT("'Закуп'!y" &amp; A1647)</f>
        <v/>
      </c>
      <c r="AB1647" s="238">
        <f>INDIRECT("'Закуп'!z" &amp; A1647)</f>
        <v/>
      </c>
      <c r="AC1647" s="223">
        <f>SUBSTITUTE(INDEX(F:F, ROUNDUP((ROW(A1646))/5,0)*5 - 3), "х", "x")</f>
        <v/>
      </c>
      <c r="AD1647" s="222">
        <f>SUBSTITUTE(INDEX(F:F, ROUNDUP((ROW(A1646))/5,0)*5 - 3), "х", "x") &amp; " - " &amp; SUBSTITUTE(SUBSTITUTE(INDEX(F:F, ROUNDUP((ROW(A1646))/5,0)*5 - 3), "х", "*"), "x", "*") &amp; " мм"</f>
        <v/>
      </c>
      <c r="AE1647" t="n">
        <v>1.06</v>
      </c>
    </row>
    <row r="1648">
      <c r="B1648" s="42" t="n">
        <v>331</v>
      </c>
      <c r="C1648" s="118">
        <f>INDIRECT("'Закуп'!A" &amp; B1648)</f>
        <v/>
      </c>
      <c r="D1648" s="119">
        <f>C1648*1.2</f>
        <v/>
      </c>
      <c r="G1648" s="172">
        <f>IF(INDIRECT("'Закуп'!L" &amp; B1648)="Sale","Sale","")</f>
        <v/>
      </c>
      <c r="H1648" s="158">
        <f>IF(INDIRECT("'Закуп'!F" &amp; B1648)=0,"",INDIRECT("'Закуп'!F" &amp; B1648))</f>
        <v/>
      </c>
      <c r="I1648" s="120" t="n">
        <v>100</v>
      </c>
      <c r="J1648" s="121">
        <f>K1648/1.2</f>
        <v/>
      </c>
      <c r="K1648" s="242" t="n">
        <v>0.64</v>
      </c>
      <c r="L1648" s="122">
        <f>J1648-C1648-(J1648-C1648)*0.2</f>
        <v/>
      </c>
      <c r="M1648" s="123">
        <f>L1648*I1648</f>
        <v/>
      </c>
      <c r="N1648" s="124" t="inlineStr">
        <is>
          <t xml:space="preserve">100-290 шт - </t>
        </is>
      </c>
      <c r="O1648" s="47" t="inlineStr">
        <is>
          <t xml:space="preserve"> руб / шт с НДС</t>
        </is>
      </c>
      <c r="P1648" s="125">
        <f>ROUND(K1648,2)</f>
        <v/>
      </c>
      <c r="Q1648" s="207">
        <f>CONCATENATE(N1648,P1648,O1648,)</f>
        <v/>
      </c>
      <c r="R1648" s="240" t="n"/>
      <c r="T1648" s="241" t="n"/>
      <c r="U1648" s="240" t="n"/>
      <c r="V1648" s="241" t="n"/>
      <c r="Z1648" s="240" t="n"/>
      <c r="AB1648" s="241" t="n"/>
      <c r="AC1648" s="240" t="n"/>
      <c r="AD1648" s="241" t="n"/>
      <c r="AE1648" t="n">
        <v>0.89</v>
      </c>
    </row>
    <row r="1649">
      <c r="B1649" s="42" t="n">
        <v>331</v>
      </c>
      <c r="C1649" s="118">
        <f>INDIRECT("'Закуп'!A" &amp; B1649)</f>
        <v/>
      </c>
      <c r="D1649" s="119">
        <f>C1649*1.2</f>
        <v/>
      </c>
      <c r="G1649" s="172">
        <f>IF(INDIRECT("'Закуп'!L" &amp; B1649)="Sale","Sale","")</f>
        <v/>
      </c>
      <c r="H1649" s="158">
        <f>IF(INDIRECT("'Закуп'!F" &amp; B1649)=0,"",INDIRECT("'Закуп'!F" &amp; B1649))</f>
        <v/>
      </c>
      <c r="I1649" s="120" t="n">
        <v>300</v>
      </c>
      <c r="J1649" s="121">
        <f>K1649/1.2</f>
        <v/>
      </c>
      <c r="K1649" s="242" t="n">
        <v>0.6</v>
      </c>
      <c r="L1649" s="122">
        <f>J1649-C1649-(J1649-C1649)*0.2</f>
        <v/>
      </c>
      <c r="M1649" s="123">
        <f>L1649*I1649</f>
        <v/>
      </c>
      <c r="N1649" s="124" t="inlineStr">
        <is>
          <t xml:space="preserve">300-490 шт - </t>
        </is>
      </c>
      <c r="O1649" s="47" t="inlineStr">
        <is>
          <t xml:space="preserve"> руб / шт с НДС</t>
        </is>
      </c>
      <c r="P1649" s="125">
        <f>ROUND(K1649,2)</f>
        <v/>
      </c>
      <c r="Q1649" s="207">
        <f>CONCATENATE(N1649,P1649,O1649,)</f>
        <v/>
      </c>
      <c r="R1649" s="240" t="n"/>
      <c r="T1649" s="241" t="n"/>
      <c r="U1649" s="240" t="n"/>
      <c r="V1649" s="241" t="n"/>
      <c r="Z1649" s="240" t="n"/>
      <c r="AB1649" s="241" t="n"/>
      <c r="AC1649" s="240" t="n"/>
      <c r="AD1649" s="241" t="n"/>
      <c r="AE1649" t="n">
        <v>0.86</v>
      </c>
    </row>
    <row r="1650">
      <c r="B1650" s="42" t="n">
        <v>331</v>
      </c>
      <c r="C1650" s="118">
        <f>INDIRECT("'Закуп'!A" &amp; B1650)</f>
        <v/>
      </c>
      <c r="D1650" s="119">
        <f>C1650*1.2</f>
        <v/>
      </c>
      <c r="G1650" s="172">
        <f>IF(INDIRECT("'Закуп'!L" &amp; B1650)="Sale","Sale","")</f>
        <v/>
      </c>
      <c r="H1650" s="158">
        <f>IF(INDIRECT("'Закуп'!F" &amp; B1650)=0,"",INDIRECT("'Закуп'!F" &amp; B1650))</f>
        <v/>
      </c>
      <c r="I1650" s="120" t="n">
        <v>500</v>
      </c>
      <c r="J1650" s="121">
        <f>K1650/1.2</f>
        <v/>
      </c>
      <c r="K1650" s="242" t="n">
        <v>0.57</v>
      </c>
      <c r="L1650" s="122">
        <f>J1650-C1650-(J1650-C1650)*0.2</f>
        <v/>
      </c>
      <c r="M1650" s="123">
        <f>L1650*I1650</f>
        <v/>
      </c>
      <c r="N1650" s="124" t="inlineStr">
        <is>
          <t xml:space="preserve">500-990 шт - </t>
        </is>
      </c>
      <c r="O1650" s="47" t="inlineStr">
        <is>
          <t xml:space="preserve"> руб / шт с НДС</t>
        </is>
      </c>
      <c r="P1650" s="125">
        <f>ROUND(K1650,2)</f>
        <v/>
      </c>
      <c r="Q1650" s="207">
        <f>CONCATENATE(N1650,P1650,O1650,)</f>
        <v/>
      </c>
      <c r="R1650" s="240" t="n"/>
      <c r="T1650" s="241" t="n"/>
      <c r="U1650" s="240" t="n"/>
      <c r="V1650" s="241" t="n"/>
      <c r="Z1650" s="240" t="n"/>
      <c r="AB1650" s="241" t="n"/>
      <c r="AC1650" s="240" t="n"/>
      <c r="AD1650" s="241" t="n"/>
      <c r="AE1650" t="n">
        <v>0.8100000000000001</v>
      </c>
    </row>
    <row r="1651">
      <c r="B1651" s="42" t="n">
        <v>331</v>
      </c>
      <c r="C1651" s="118">
        <f>INDIRECT("'Закуп'!A" &amp; B1651)</f>
        <v/>
      </c>
      <c r="D1651" s="119">
        <f>C1651*1.2</f>
        <v/>
      </c>
      <c r="G1651" s="172">
        <f>IF(INDIRECT("'Закуп'!L" &amp; B1651)="Sale","Sale","")</f>
        <v/>
      </c>
      <c r="H1651" s="158">
        <f>IF(INDIRECT("'Закуп'!F" &amp; B1651)=0,"",INDIRECT("'Закуп'!F" &amp; B1651))</f>
        <v/>
      </c>
      <c r="I1651" s="120" t="n">
        <v>1000</v>
      </c>
      <c r="J1651" s="121">
        <f>K1651/1.2</f>
        <v/>
      </c>
      <c r="K1651" s="242" t="n">
        <v>0.55</v>
      </c>
      <c r="L1651" s="122">
        <f>J1651-C1651-(J1651-C1651)*0.2</f>
        <v/>
      </c>
      <c r="M1651" s="123">
        <f>L1651*I1651</f>
        <v/>
      </c>
      <c r="N1651" s="124" t="inlineStr">
        <is>
          <t xml:space="preserve">1000 + шт - </t>
        </is>
      </c>
      <c r="O1651" s="47" t="inlineStr">
        <is>
          <t xml:space="preserve"> руб / шт с НДС</t>
        </is>
      </c>
      <c r="P1651" s="125">
        <f>ROUND(K1651,2)</f>
        <v/>
      </c>
      <c r="Q1651" s="207">
        <f>CONCATENATE(N1651,P1651,O1651,)</f>
        <v/>
      </c>
      <c r="R1651" s="240" t="n"/>
      <c r="T1651" s="241" t="n"/>
      <c r="U1651" s="240" t="n"/>
      <c r="V1651" s="241" t="n"/>
      <c r="Z1651" s="240" t="n"/>
      <c r="AB1651" s="241" t="n"/>
      <c r="AC1651" s="240" t="n"/>
      <c r="AD1651" s="241" t="n"/>
      <c r="AE1651" t="n">
        <v>0.76</v>
      </c>
    </row>
    <row r="1652">
      <c r="A1652" s="232" t="n">
        <v>332</v>
      </c>
      <c r="B1652" s="42" t="n">
        <v>332</v>
      </c>
      <c r="C1652" s="118">
        <f>INDIRECT("'Закуп'!A" &amp; B1652)</f>
        <v/>
      </c>
      <c r="D1652" s="119">
        <f>C1652*1.2</f>
        <v/>
      </c>
      <c r="E1652" s="225">
        <f>INDIRECT("'Закуп'!D" &amp; A1652)</f>
        <v/>
      </c>
      <c r="F1652" s="231">
        <f>INDIRECT("'Закуп'!E" &amp; B1652)</f>
        <v/>
      </c>
      <c r="G1652" s="172">
        <f>IF(INDIRECT("'Закуп'!L" &amp; B1652)="Sale","Sale","")</f>
        <v/>
      </c>
      <c r="H1652" s="158">
        <f>IF(INDIRECT("'Закуп'!F" &amp; B1652)=0,"",INDIRECT("'Закуп'!F" &amp; B1652))</f>
        <v/>
      </c>
      <c r="I1652" s="120" t="n">
        <v>50</v>
      </c>
      <c r="J1652" s="121">
        <f>K1652/1.2</f>
        <v/>
      </c>
      <c r="K1652" s="70" t="n">
        <v>1.39</v>
      </c>
      <c r="L1652" s="122">
        <f>J1652-C1652-(J1652-C1652)*0.2</f>
        <v/>
      </c>
      <c r="M1652" s="123">
        <f>L1652*I1652</f>
        <v/>
      </c>
      <c r="N1652" s="124" t="inlineStr">
        <is>
          <t xml:space="preserve">50-90 шт - </t>
        </is>
      </c>
      <c r="O1652" s="47" t="inlineStr">
        <is>
          <t xml:space="preserve"> руб / шт с НДС</t>
        </is>
      </c>
      <c r="P1652" s="125">
        <f>ROUND(K1652,2)</f>
        <v/>
      </c>
      <c r="Q1652" s="207">
        <f>CONCATENATE(N1652,P1652,O1652,)</f>
        <v/>
      </c>
      <c r="R1652" s="235">
        <f>INDIRECT("'Закуп'!k" &amp; A1652)</f>
        <v/>
      </c>
      <c r="S1652" s="239">
        <f>INDIRECT("'Закуп'!o" &amp; A1652)</f>
        <v/>
      </c>
      <c r="T1652" s="226">
        <f>INDIRECT("'Закуп'!p" &amp; A1652)</f>
        <v/>
      </c>
      <c r="U1652" s="235">
        <f>INDIRECT("'Закуп'!v" &amp; A1652)</f>
        <v/>
      </c>
      <c r="V1652" s="222">
        <f>INDIRECT("'Закуп'!w" &amp; A1652)</f>
        <v/>
      </c>
      <c r="W1652" s="229">
        <f>INDIRECT("'Закуп'!H" &amp; A1652)</f>
        <v/>
      </c>
      <c r="X1652" s="237">
        <f>INDIRECT("'Закуп'!g" &amp; A1652)</f>
        <v/>
      </c>
      <c r="Y1652" s="229">
        <f>INDIRECT("'Закуп'!i" &amp; A1652)</f>
        <v/>
      </c>
      <c r="Z1652" s="236">
        <f>INDIRECT("'Закуп'!x" &amp; A1652)</f>
        <v/>
      </c>
      <c r="AA1652" s="237">
        <f>INDIRECT("'Закуп'!y" &amp; A1652)</f>
        <v/>
      </c>
      <c r="AB1652" s="238">
        <f>INDIRECT("'Закуп'!z" &amp; A1652)</f>
        <v/>
      </c>
      <c r="AC1652" s="223">
        <f>SUBSTITUTE(INDEX(F:F, ROUNDUP((ROW(A1651))/5,0)*5 - 3), "х", "x")</f>
        <v/>
      </c>
      <c r="AD1652" s="222">
        <f>SUBSTITUTE(INDEX(F:F, ROUNDUP((ROW(A1651))/5,0)*5 - 3), "х", "x") &amp; " - " &amp; SUBSTITUTE(SUBSTITUTE(INDEX(F:F, ROUNDUP((ROW(A1651))/5,0)*5 - 3), "х", "*"), "x", "*") &amp; " мм"</f>
        <v/>
      </c>
    </row>
    <row r="1653">
      <c r="B1653" s="42" t="n">
        <v>332</v>
      </c>
      <c r="C1653" s="118">
        <f>INDIRECT("'Закуп'!A" &amp; B1653)</f>
        <v/>
      </c>
      <c r="D1653" s="119">
        <f>C1653*1.2</f>
        <v/>
      </c>
      <c r="G1653" s="172">
        <f>IF(INDIRECT("'Закуп'!L" &amp; B1653)="Sale","Sale","")</f>
        <v/>
      </c>
      <c r="H1653" s="158">
        <f>IF(INDIRECT("'Закуп'!F" &amp; B1653)=0,"",INDIRECT("'Закуп'!F" &amp; B1653))</f>
        <v/>
      </c>
      <c r="I1653" s="120" t="n">
        <v>100</v>
      </c>
      <c r="J1653" s="121">
        <f>K1653/1.2</f>
        <v/>
      </c>
      <c r="K1653" s="70" t="n">
        <v>1.17</v>
      </c>
      <c r="L1653" s="122">
        <f>J1653-C1653-(J1653-C1653)*0.2</f>
        <v/>
      </c>
      <c r="M1653" s="123">
        <f>L1653*I1653</f>
        <v/>
      </c>
      <c r="N1653" s="124" t="inlineStr">
        <is>
          <t xml:space="preserve">100-290 шт - </t>
        </is>
      </c>
      <c r="O1653" s="47" t="inlineStr">
        <is>
          <t xml:space="preserve"> руб / шт с НДС</t>
        </is>
      </c>
      <c r="P1653" s="125">
        <f>ROUND(K1653,2)</f>
        <v/>
      </c>
      <c r="Q1653" s="207">
        <f>CONCATENATE(N1653,P1653,O1653,)</f>
        <v/>
      </c>
      <c r="R1653" s="240" t="n"/>
      <c r="T1653" s="241" t="n"/>
      <c r="U1653" s="240" t="n"/>
      <c r="V1653" s="241" t="n"/>
      <c r="Z1653" s="240" t="n"/>
      <c r="AB1653" s="241" t="n"/>
      <c r="AC1653" s="240" t="n"/>
      <c r="AD1653" s="241" t="n"/>
    </row>
    <row r="1654">
      <c r="B1654" s="42" t="n">
        <v>332</v>
      </c>
      <c r="C1654" s="118">
        <f>INDIRECT("'Закуп'!A" &amp; B1654)</f>
        <v/>
      </c>
      <c r="D1654" s="119">
        <f>C1654*1.2</f>
        <v/>
      </c>
      <c r="G1654" s="172">
        <f>IF(INDIRECT("'Закуп'!L" &amp; B1654)="Sale","Sale","")</f>
        <v/>
      </c>
      <c r="H1654" s="158">
        <f>IF(INDIRECT("'Закуп'!F" &amp; B1654)=0,"",INDIRECT("'Закуп'!F" &amp; B1654))</f>
        <v/>
      </c>
      <c r="I1654" s="120" t="n">
        <v>300</v>
      </c>
      <c r="J1654" s="121">
        <f>K1654/1.2</f>
        <v/>
      </c>
      <c r="K1654" s="70" t="n">
        <v>1.13</v>
      </c>
      <c r="L1654" s="122">
        <f>J1654-C1654-(J1654-C1654)*0.2</f>
        <v/>
      </c>
      <c r="M1654" s="123">
        <f>L1654*I1654</f>
        <v/>
      </c>
      <c r="N1654" s="124" t="inlineStr">
        <is>
          <t xml:space="preserve">300-490 шт - </t>
        </is>
      </c>
      <c r="O1654" s="47" t="inlineStr">
        <is>
          <t xml:space="preserve"> руб / шт с НДС</t>
        </is>
      </c>
      <c r="P1654" s="125">
        <f>ROUND(K1654,2)</f>
        <v/>
      </c>
      <c r="Q1654" s="207">
        <f>CONCATENATE(N1654,P1654,O1654,)</f>
        <v/>
      </c>
      <c r="R1654" s="240" t="n"/>
      <c r="T1654" s="241" t="n"/>
      <c r="U1654" s="240" t="n"/>
      <c r="V1654" s="241" t="n"/>
      <c r="Z1654" s="240" t="n"/>
      <c r="AB1654" s="241" t="n"/>
      <c r="AC1654" s="240" t="n"/>
      <c r="AD1654" s="241" t="n"/>
    </row>
    <row r="1655">
      <c r="B1655" s="42" t="n">
        <v>332</v>
      </c>
      <c r="C1655" s="118">
        <f>INDIRECT("'Закуп'!A" &amp; B1655)</f>
        <v/>
      </c>
      <c r="D1655" s="119">
        <f>C1655*1.2</f>
        <v/>
      </c>
      <c r="G1655" s="172">
        <f>IF(INDIRECT("'Закуп'!L" &amp; B1655)="Sale","Sale","")</f>
        <v/>
      </c>
      <c r="H1655" s="158">
        <f>IF(INDIRECT("'Закуп'!F" &amp; B1655)=0,"",INDIRECT("'Закуп'!F" &amp; B1655))</f>
        <v/>
      </c>
      <c r="I1655" s="120" t="n">
        <v>500</v>
      </c>
      <c r="J1655" s="121">
        <f>K1655/1.2</f>
        <v/>
      </c>
      <c r="K1655" s="70" t="n">
        <v>1.05</v>
      </c>
      <c r="L1655" s="122">
        <f>J1655-C1655-(J1655-C1655)*0.2</f>
        <v/>
      </c>
      <c r="M1655" s="123">
        <f>L1655*I1655</f>
        <v/>
      </c>
      <c r="N1655" s="124" t="inlineStr">
        <is>
          <t xml:space="preserve">500-990 шт - </t>
        </is>
      </c>
      <c r="O1655" s="47" t="inlineStr">
        <is>
          <t xml:space="preserve"> руб / шт с НДС</t>
        </is>
      </c>
      <c r="P1655" s="125">
        <f>ROUND(K1655,2)</f>
        <v/>
      </c>
      <c r="Q1655" s="207">
        <f>CONCATENATE(N1655,P1655,O1655,)</f>
        <v/>
      </c>
      <c r="R1655" s="240" t="n"/>
      <c r="T1655" s="241" t="n"/>
      <c r="U1655" s="240" t="n"/>
      <c r="V1655" s="241" t="n"/>
      <c r="Z1655" s="240" t="n"/>
      <c r="AB1655" s="241" t="n"/>
      <c r="AC1655" s="240" t="n"/>
      <c r="AD1655" s="241" t="n"/>
    </row>
    <row r="1656">
      <c r="B1656" s="42" t="n">
        <v>332</v>
      </c>
      <c r="C1656" s="118">
        <f>INDIRECT("'Закуп'!A" &amp; B1656)</f>
        <v/>
      </c>
      <c r="D1656" s="119">
        <f>C1656*1.2</f>
        <v/>
      </c>
      <c r="G1656" s="172">
        <f>IF(INDIRECT("'Закуп'!L" &amp; B1656)="Sale","Sale","")</f>
        <v/>
      </c>
      <c r="H1656" s="158">
        <f>IF(INDIRECT("'Закуп'!F" &amp; B1656)=0,"",INDIRECT("'Закуп'!F" &amp; B1656))</f>
        <v/>
      </c>
      <c r="I1656" s="120" t="n">
        <v>1000</v>
      </c>
      <c r="J1656" s="121">
        <f>K1656/1.2</f>
        <v/>
      </c>
      <c r="K1656" s="70" t="n">
        <v>0.99</v>
      </c>
      <c r="L1656" s="122">
        <f>J1656-C1656-(J1656-C1656)*0.2</f>
        <v/>
      </c>
      <c r="M1656" s="123">
        <f>L1656*I1656</f>
        <v/>
      </c>
      <c r="N1656" s="124" t="inlineStr">
        <is>
          <t xml:space="preserve">1000 + шт - </t>
        </is>
      </c>
      <c r="O1656" s="47" t="inlineStr">
        <is>
          <t xml:space="preserve"> руб / шт с НДС</t>
        </is>
      </c>
      <c r="P1656" s="125">
        <f>ROUND(K1656,2)</f>
        <v/>
      </c>
      <c r="Q1656" s="207">
        <f>CONCATENATE(N1656,P1656,O1656,)</f>
        <v/>
      </c>
      <c r="R1656" s="240" t="n"/>
      <c r="T1656" s="241" t="n"/>
      <c r="U1656" s="240" t="n"/>
      <c r="V1656" s="241" t="n"/>
      <c r="Z1656" s="240" t="n"/>
      <c r="AB1656" s="241" t="n"/>
      <c r="AC1656" s="240" t="n"/>
      <c r="AD1656" s="241" t="n"/>
    </row>
    <row r="1657">
      <c r="A1657" s="232" t="n">
        <v>333</v>
      </c>
      <c r="B1657" s="42" t="n">
        <v>333</v>
      </c>
      <c r="C1657" s="118">
        <f>INDIRECT("'Закуп'!A" &amp; B1657)</f>
        <v/>
      </c>
      <c r="D1657" s="119">
        <f>C1657*1.2</f>
        <v/>
      </c>
      <c r="E1657" s="225">
        <f>INDIRECT("'Закуп'!D" &amp; A1657)</f>
        <v/>
      </c>
      <c r="F1657" s="231">
        <f>INDIRECT("'Закуп'!E" &amp; B1657)</f>
        <v/>
      </c>
      <c r="G1657" s="172">
        <f>IF(INDIRECT("'Закуп'!L" &amp; B1657)="Sale","Sale","")</f>
        <v/>
      </c>
      <c r="H1657" s="158">
        <f>IF(INDIRECT("'Закуп'!F" &amp; B1657)=0,"",INDIRECT("'Закуп'!F" &amp; B1657))</f>
        <v/>
      </c>
      <c r="I1657" s="120" t="n">
        <v>50</v>
      </c>
      <c r="J1657" s="121">
        <f>K1657/1.2</f>
        <v/>
      </c>
      <c r="K1657" s="242" t="n">
        <v>0.92</v>
      </c>
      <c r="L1657" s="122">
        <f>J1657-C1657-(J1657-C1657)*0.2</f>
        <v/>
      </c>
      <c r="M1657" s="123">
        <f>L1657*I1657</f>
        <v/>
      </c>
      <c r="N1657" s="124" t="inlineStr">
        <is>
          <t xml:space="preserve">50-90 шт - </t>
        </is>
      </c>
      <c r="O1657" s="47" t="inlineStr">
        <is>
          <t xml:space="preserve"> руб / шт с НДС</t>
        </is>
      </c>
      <c r="P1657" s="125">
        <f>ROUND(K1657,2)</f>
        <v/>
      </c>
      <c r="Q1657" s="207">
        <f>CONCATENATE(N1657,P1657,O1657,)</f>
        <v/>
      </c>
      <c r="R1657" s="235">
        <f>INDIRECT("'Закуп'!k" &amp; A1657)</f>
        <v/>
      </c>
      <c r="S1657" s="239">
        <f>INDIRECT("'Закуп'!o" &amp; A1657)</f>
        <v/>
      </c>
      <c r="T1657" s="226">
        <f>INDIRECT("'Закуп'!p" &amp; A1657)</f>
        <v/>
      </c>
      <c r="U1657" s="235">
        <f>INDIRECT("'Закуп'!v" &amp; A1657)</f>
        <v/>
      </c>
      <c r="V1657" s="222">
        <f>INDIRECT("'Закуп'!w" &amp; A1657)</f>
        <v/>
      </c>
      <c r="W1657" s="229">
        <f>INDIRECT("'Закуп'!H" &amp; A1657)</f>
        <v/>
      </c>
      <c r="X1657" s="237">
        <f>INDIRECT("'Закуп'!g" &amp; A1657)</f>
        <v/>
      </c>
      <c r="Y1657" s="229">
        <f>INDIRECT("'Закуп'!i" &amp; A1657)</f>
        <v/>
      </c>
      <c r="Z1657" s="236">
        <f>INDIRECT("'Закуп'!x" &amp; A1657)</f>
        <v/>
      </c>
      <c r="AA1657" s="237">
        <f>INDIRECT("'Закуп'!y" &amp; A1657)</f>
        <v/>
      </c>
      <c r="AB1657" s="238">
        <f>INDIRECT("'Закуп'!z" &amp; A1657)</f>
        <v/>
      </c>
      <c r="AC1657" s="223">
        <f>SUBSTITUTE(INDEX(F:F, ROUNDUP((ROW(A1656))/5,0)*5 - 3), "х", "x")</f>
        <v/>
      </c>
      <c r="AD1657" s="222">
        <f>SUBSTITUTE(INDEX(F:F, ROUNDUP((ROW(A1656))/5,0)*5 - 3), "х", "x") &amp; " - " &amp; SUBSTITUTE(SUBSTITUTE(INDEX(F:F, ROUNDUP((ROW(A1656))/5,0)*5 - 3), "х", "*"), "x", "*") &amp; " мм"</f>
        <v/>
      </c>
      <c r="AE1657" t="n">
        <v>1.3</v>
      </c>
    </row>
    <row r="1658">
      <c r="B1658" s="42" t="n">
        <v>333</v>
      </c>
      <c r="C1658" s="118">
        <f>INDIRECT("'Закуп'!A" &amp; B1658)</f>
        <v/>
      </c>
      <c r="D1658" s="119">
        <f>C1658*1.2</f>
        <v/>
      </c>
      <c r="G1658" s="172">
        <f>IF(INDIRECT("'Закуп'!L" &amp; B1658)="Sale","Sale","")</f>
        <v/>
      </c>
      <c r="H1658" s="158">
        <f>IF(INDIRECT("'Закуп'!F" &amp; B1658)=0,"",INDIRECT("'Закуп'!F" &amp; B1658))</f>
        <v/>
      </c>
      <c r="I1658" s="120" t="n">
        <v>100</v>
      </c>
      <c r="J1658" s="121">
        <f>K1658/1.2</f>
        <v/>
      </c>
      <c r="K1658" s="242" t="n">
        <v>0.8</v>
      </c>
      <c r="L1658" s="122">
        <f>J1658-C1658-(J1658-C1658)*0.2</f>
        <v/>
      </c>
      <c r="M1658" s="123">
        <f>L1658*I1658</f>
        <v/>
      </c>
      <c r="N1658" s="124" t="inlineStr">
        <is>
          <t xml:space="preserve">100-290 шт - </t>
        </is>
      </c>
      <c r="O1658" s="47" t="inlineStr">
        <is>
          <t xml:space="preserve"> руб / шт с НДС</t>
        </is>
      </c>
      <c r="P1658" s="125">
        <f>ROUND(K1658,2)</f>
        <v/>
      </c>
      <c r="Q1658" s="207">
        <f>CONCATENATE(N1658,P1658,O1658,)</f>
        <v/>
      </c>
      <c r="R1658" s="240" t="n"/>
      <c r="T1658" s="241" t="n"/>
      <c r="U1658" s="240" t="n"/>
      <c r="V1658" s="241" t="n"/>
      <c r="Z1658" s="240" t="n"/>
      <c r="AB1658" s="241" t="n"/>
      <c r="AC1658" s="240" t="n"/>
      <c r="AD1658" s="241" t="n"/>
      <c r="AE1658" t="n">
        <v>1.12</v>
      </c>
    </row>
    <row r="1659">
      <c r="B1659" s="42" t="n">
        <v>333</v>
      </c>
      <c r="C1659" s="118">
        <f>INDIRECT("'Закуп'!A" &amp; B1659)</f>
        <v/>
      </c>
      <c r="D1659" s="119">
        <f>C1659*1.2</f>
        <v/>
      </c>
      <c r="G1659" s="172">
        <f>IF(INDIRECT("'Закуп'!L" &amp; B1659)="Sale","Sale","")</f>
        <v/>
      </c>
      <c r="H1659" s="158">
        <f>IF(INDIRECT("'Закуп'!F" &amp; B1659)=0,"",INDIRECT("'Закуп'!F" &amp; B1659))</f>
        <v/>
      </c>
      <c r="I1659" s="120" t="n">
        <v>300</v>
      </c>
      <c r="J1659" s="121">
        <f>K1659/1.2</f>
        <v/>
      </c>
      <c r="K1659" s="242" t="n">
        <v>0.76</v>
      </c>
      <c r="L1659" s="122">
        <f>J1659-C1659-(J1659-C1659)*0.2</f>
        <v/>
      </c>
      <c r="M1659" s="123">
        <f>L1659*I1659</f>
        <v/>
      </c>
      <c r="N1659" s="124" t="inlineStr">
        <is>
          <t xml:space="preserve">300-490 шт - </t>
        </is>
      </c>
      <c r="O1659" s="47" t="inlineStr">
        <is>
          <t xml:space="preserve"> руб / шт с НДС</t>
        </is>
      </c>
      <c r="P1659" s="125">
        <f>ROUND(K1659,2)</f>
        <v/>
      </c>
      <c r="Q1659" s="207">
        <f>CONCATENATE(N1659,P1659,O1659,)</f>
        <v/>
      </c>
      <c r="R1659" s="240" t="n"/>
      <c r="T1659" s="241" t="n"/>
      <c r="U1659" s="240" t="n"/>
      <c r="V1659" s="241" t="n"/>
      <c r="Z1659" s="240" t="n"/>
      <c r="AB1659" s="241" t="n"/>
      <c r="AC1659" s="240" t="n"/>
      <c r="AD1659" s="241" t="n"/>
      <c r="AE1659" t="n">
        <v>1.01</v>
      </c>
    </row>
    <row r="1660">
      <c r="B1660" s="42" t="n">
        <v>333</v>
      </c>
      <c r="C1660" s="118">
        <f>INDIRECT("'Закуп'!A" &amp; B1660)</f>
        <v/>
      </c>
      <c r="D1660" s="119">
        <f>C1660*1.2</f>
        <v/>
      </c>
      <c r="G1660" s="172">
        <f>IF(INDIRECT("'Закуп'!L" &amp; B1660)="Sale","Sale","")</f>
        <v/>
      </c>
      <c r="H1660" s="158">
        <f>IF(INDIRECT("'Закуп'!F" &amp; B1660)=0,"",INDIRECT("'Закуп'!F" &amp; B1660))</f>
        <v/>
      </c>
      <c r="I1660" s="120" t="n">
        <v>500</v>
      </c>
      <c r="J1660" s="121">
        <f>K1660/1.2</f>
        <v/>
      </c>
      <c r="K1660" s="242" t="n">
        <v>0.72</v>
      </c>
      <c r="L1660" s="122">
        <f>J1660-C1660-(J1660-C1660)*0.2</f>
        <v/>
      </c>
      <c r="M1660" s="123">
        <f>L1660*I1660</f>
        <v/>
      </c>
      <c r="N1660" s="124" t="inlineStr">
        <is>
          <t xml:space="preserve">500-990 шт - </t>
        </is>
      </c>
      <c r="O1660" s="47" t="inlineStr">
        <is>
          <t xml:space="preserve"> руб / шт с НДС</t>
        </is>
      </c>
      <c r="P1660" s="125">
        <f>ROUND(K1660,2)</f>
        <v/>
      </c>
      <c r="Q1660" s="207">
        <f>CONCATENATE(N1660,P1660,O1660,)</f>
        <v/>
      </c>
      <c r="R1660" s="240" t="n"/>
      <c r="T1660" s="241" t="n"/>
      <c r="U1660" s="240" t="n"/>
      <c r="V1660" s="241" t="n"/>
      <c r="Z1660" s="240" t="n"/>
      <c r="AB1660" s="241" t="n"/>
      <c r="AC1660" s="240" t="n"/>
      <c r="AD1660" s="241" t="n"/>
      <c r="AE1660" t="n">
        <v>0.92</v>
      </c>
    </row>
    <row r="1661">
      <c r="B1661" s="42" t="n">
        <v>333</v>
      </c>
      <c r="C1661" s="118">
        <f>INDIRECT("'Закуп'!A" &amp; B1661)</f>
        <v/>
      </c>
      <c r="D1661" s="119">
        <f>C1661*1.2</f>
        <v/>
      </c>
      <c r="G1661" s="172">
        <f>IF(INDIRECT("'Закуп'!L" &amp; B1661)="Sale","Sale","")</f>
        <v/>
      </c>
      <c r="H1661" s="158">
        <f>IF(INDIRECT("'Закуп'!F" &amp; B1661)=0,"",INDIRECT("'Закуп'!F" &amp; B1661))</f>
        <v/>
      </c>
      <c r="I1661" s="120" t="n">
        <v>1000</v>
      </c>
      <c r="J1661" s="121">
        <f>K1661/1.2</f>
        <v/>
      </c>
      <c r="K1661" s="242" t="n">
        <v>0.7</v>
      </c>
      <c r="L1661" s="122">
        <f>J1661-C1661-(J1661-C1661)*0.2</f>
        <v/>
      </c>
      <c r="M1661" s="123">
        <f>L1661*I1661</f>
        <v/>
      </c>
      <c r="N1661" s="124" t="inlineStr">
        <is>
          <t xml:space="preserve">1000 + шт - </t>
        </is>
      </c>
      <c r="O1661" s="47" t="inlineStr">
        <is>
          <t xml:space="preserve"> руб / шт с НДС</t>
        </is>
      </c>
      <c r="P1661" s="125">
        <f>ROUND(K1661,2)</f>
        <v/>
      </c>
      <c r="Q1661" s="207">
        <f>CONCATENATE(N1661,P1661,O1661,)</f>
        <v/>
      </c>
      <c r="R1661" s="240" t="n"/>
      <c r="T1661" s="241" t="n"/>
      <c r="U1661" s="240" t="n"/>
      <c r="V1661" s="241" t="n"/>
      <c r="Z1661" s="240" t="n"/>
      <c r="AB1661" s="241" t="n"/>
      <c r="AC1661" s="240" t="n"/>
      <c r="AD1661" s="241" t="n"/>
      <c r="AE1661" t="n">
        <v>0.9</v>
      </c>
    </row>
    <row r="1662">
      <c r="A1662" s="232" t="n">
        <v>334</v>
      </c>
      <c r="B1662" s="42" t="n">
        <v>334</v>
      </c>
      <c r="C1662" s="118">
        <f>INDIRECT("'Закуп'!A" &amp; B1662)</f>
        <v/>
      </c>
      <c r="D1662" s="119">
        <f>C1662*1.2</f>
        <v/>
      </c>
      <c r="E1662" s="225">
        <f>INDIRECT("'Закуп'!D" &amp; A1662)</f>
        <v/>
      </c>
      <c r="F1662" s="231">
        <f>INDIRECT("'Закуп'!E" &amp; B1662)</f>
        <v/>
      </c>
      <c r="G1662" s="172">
        <f>IF(INDIRECT("'Закуп'!L" &amp; B1662)="Sale","Sale","")</f>
        <v/>
      </c>
      <c r="H1662" s="158">
        <f>IF(INDIRECT("'Закуп'!F" &amp; B1662)=0,"",INDIRECT("'Закуп'!F" &amp; B1662))</f>
        <v/>
      </c>
      <c r="I1662" s="120" t="n">
        <v>50</v>
      </c>
      <c r="J1662" s="121">
        <f>K1662/1.2</f>
        <v/>
      </c>
      <c r="K1662" s="70" t="n">
        <v>1.64</v>
      </c>
      <c r="L1662" s="122">
        <f>J1662-C1662-(J1662-C1662)*0.2</f>
        <v/>
      </c>
      <c r="M1662" s="123">
        <f>L1662*I1662</f>
        <v/>
      </c>
      <c r="N1662" s="124" t="inlineStr">
        <is>
          <t xml:space="preserve">50-90 шт - </t>
        </is>
      </c>
      <c r="O1662" s="47" t="inlineStr">
        <is>
          <t xml:space="preserve"> руб / шт с НДС</t>
        </is>
      </c>
      <c r="P1662" s="125">
        <f>ROUND(K1662,2)</f>
        <v/>
      </c>
      <c r="Q1662" s="207">
        <f>CONCATENATE(N1662,P1662,O1662,)</f>
        <v/>
      </c>
      <c r="R1662" s="235">
        <f>INDIRECT("'Закуп'!k" &amp; A1662)</f>
        <v/>
      </c>
      <c r="S1662" s="239">
        <f>INDIRECT("'Закуп'!o" &amp; A1662)</f>
        <v/>
      </c>
      <c r="T1662" s="226">
        <f>INDIRECT("'Закуп'!p" &amp; A1662)</f>
        <v/>
      </c>
      <c r="U1662" s="235">
        <f>INDIRECT("'Закуп'!v" &amp; A1662)</f>
        <v/>
      </c>
      <c r="V1662" s="222">
        <f>INDIRECT("'Закуп'!w" &amp; A1662)</f>
        <v/>
      </c>
      <c r="W1662" s="229">
        <f>INDIRECT("'Закуп'!H" &amp; A1662)</f>
        <v/>
      </c>
      <c r="X1662" s="237">
        <f>INDIRECT("'Закуп'!g" &amp; A1662)</f>
        <v/>
      </c>
      <c r="Y1662" s="229">
        <f>INDIRECT("'Закуп'!i" &amp; A1662)</f>
        <v/>
      </c>
      <c r="Z1662" s="236">
        <f>INDIRECT("'Закуп'!x" &amp; A1662)</f>
        <v/>
      </c>
      <c r="AA1662" s="237">
        <f>INDIRECT("'Закуп'!y" &amp; A1662)</f>
        <v/>
      </c>
      <c r="AB1662" s="238">
        <f>INDIRECT("'Закуп'!z" &amp; A1662)</f>
        <v/>
      </c>
      <c r="AC1662" s="223">
        <f>SUBSTITUTE(INDEX(F:F, ROUNDUP((ROW(A1661))/5,0)*5 - 3), "х", "x")</f>
        <v/>
      </c>
      <c r="AD1662" s="222">
        <f>SUBSTITUTE(INDEX(F:F, ROUNDUP((ROW(A1661))/5,0)*5 - 3), "х", "x") &amp; " - " &amp; SUBSTITUTE(SUBSTITUTE(INDEX(F:F, ROUNDUP((ROW(A1661))/5,0)*5 - 3), "х", "*"), "x", "*") &amp; " мм"</f>
        <v/>
      </c>
    </row>
    <row r="1663">
      <c r="B1663" s="42" t="n">
        <v>334</v>
      </c>
      <c r="C1663" s="118">
        <f>INDIRECT("'Закуп'!A" &amp; B1663)</f>
        <v/>
      </c>
      <c r="D1663" s="119">
        <f>C1663*1.2</f>
        <v/>
      </c>
      <c r="G1663" s="172">
        <f>IF(INDIRECT("'Закуп'!L" &amp; B1663)="Sale","Sale","")</f>
        <v/>
      </c>
      <c r="H1663" s="158">
        <f>IF(INDIRECT("'Закуп'!F" &amp; B1663)=0,"",INDIRECT("'Закуп'!F" &amp; B1663))</f>
        <v/>
      </c>
      <c r="I1663" s="120" t="n">
        <v>100</v>
      </c>
      <c r="J1663" s="121">
        <f>K1663/1.2</f>
        <v/>
      </c>
      <c r="K1663" s="70" t="n">
        <v>1.45</v>
      </c>
      <c r="L1663" s="122">
        <f>J1663-C1663-(J1663-C1663)*0.2</f>
        <v/>
      </c>
      <c r="M1663" s="123">
        <f>L1663*I1663</f>
        <v/>
      </c>
      <c r="N1663" s="124" t="inlineStr">
        <is>
          <t xml:space="preserve">100-290 шт - </t>
        </is>
      </c>
      <c r="O1663" s="47" t="inlineStr">
        <is>
          <t xml:space="preserve"> руб / шт с НДС</t>
        </is>
      </c>
      <c r="P1663" s="125">
        <f>ROUND(K1663,2)</f>
        <v/>
      </c>
      <c r="Q1663" s="207">
        <f>CONCATENATE(N1663,P1663,O1663,)</f>
        <v/>
      </c>
      <c r="R1663" s="240" t="n"/>
      <c r="T1663" s="241" t="n"/>
      <c r="U1663" s="240" t="n"/>
      <c r="V1663" s="241" t="n"/>
      <c r="Z1663" s="240" t="n"/>
      <c r="AB1663" s="241" t="n"/>
      <c r="AC1663" s="240" t="n"/>
      <c r="AD1663" s="241" t="n"/>
    </row>
    <row r="1664">
      <c r="B1664" s="42" t="n">
        <v>334</v>
      </c>
      <c r="C1664" s="118">
        <f>INDIRECT("'Закуп'!A" &amp; B1664)</f>
        <v/>
      </c>
      <c r="D1664" s="119">
        <f>C1664*1.2</f>
        <v/>
      </c>
      <c r="G1664" s="172">
        <f>IF(INDIRECT("'Закуп'!L" &amp; B1664)="Sale","Sale","")</f>
        <v/>
      </c>
      <c r="H1664" s="158">
        <f>IF(INDIRECT("'Закуп'!F" &amp; B1664)=0,"",INDIRECT("'Закуп'!F" &amp; B1664))</f>
        <v/>
      </c>
      <c r="I1664" s="120" t="n">
        <v>300</v>
      </c>
      <c r="J1664" s="121">
        <f>K1664/1.2</f>
        <v/>
      </c>
      <c r="K1664" s="70" t="n">
        <v>1.25</v>
      </c>
      <c r="L1664" s="122">
        <f>J1664-C1664-(J1664-C1664)*0.2</f>
        <v/>
      </c>
      <c r="M1664" s="123">
        <f>L1664*I1664</f>
        <v/>
      </c>
      <c r="N1664" s="124" t="inlineStr">
        <is>
          <t xml:space="preserve">300-490 шт - </t>
        </is>
      </c>
      <c r="O1664" s="47" t="inlineStr">
        <is>
          <t xml:space="preserve"> руб / шт с НДС</t>
        </is>
      </c>
      <c r="P1664" s="125">
        <f>ROUND(K1664,2)</f>
        <v/>
      </c>
      <c r="Q1664" s="207">
        <f>CONCATENATE(N1664,P1664,O1664,)</f>
        <v/>
      </c>
      <c r="R1664" s="240" t="n"/>
      <c r="T1664" s="241" t="n"/>
      <c r="U1664" s="240" t="n"/>
      <c r="V1664" s="241" t="n"/>
      <c r="Z1664" s="240" t="n"/>
      <c r="AB1664" s="241" t="n"/>
      <c r="AC1664" s="240" t="n"/>
      <c r="AD1664" s="241" t="n"/>
    </row>
    <row r="1665">
      <c r="B1665" s="42" t="n">
        <v>334</v>
      </c>
      <c r="C1665" s="118">
        <f>INDIRECT("'Закуп'!A" &amp; B1665)</f>
        <v/>
      </c>
      <c r="D1665" s="119">
        <f>C1665*1.2</f>
        <v/>
      </c>
      <c r="G1665" s="172">
        <f>IF(INDIRECT("'Закуп'!L" &amp; B1665)="Sale","Sale","")</f>
        <v/>
      </c>
      <c r="H1665" s="158">
        <f>IF(INDIRECT("'Закуп'!F" &amp; B1665)=0,"",INDIRECT("'Закуп'!F" &amp; B1665))</f>
        <v/>
      </c>
      <c r="I1665" s="120" t="n">
        <v>500</v>
      </c>
      <c r="J1665" s="121">
        <f>K1665/1.2</f>
        <v/>
      </c>
      <c r="K1665" s="70" t="n">
        <v>1.16</v>
      </c>
      <c r="L1665" s="122">
        <f>J1665-C1665-(J1665-C1665)*0.2</f>
        <v/>
      </c>
      <c r="M1665" s="123">
        <f>L1665*I1665</f>
        <v/>
      </c>
      <c r="N1665" s="124" t="inlineStr">
        <is>
          <t xml:space="preserve">500-990 шт - </t>
        </is>
      </c>
      <c r="O1665" s="47" t="inlineStr">
        <is>
          <t xml:space="preserve"> руб / шт с НДС</t>
        </is>
      </c>
      <c r="P1665" s="125">
        <f>ROUND(K1665,2)</f>
        <v/>
      </c>
      <c r="Q1665" s="207">
        <f>CONCATENATE(N1665,P1665,O1665,)</f>
        <v/>
      </c>
      <c r="R1665" s="240" t="n"/>
      <c r="T1665" s="241" t="n"/>
      <c r="U1665" s="240" t="n"/>
      <c r="V1665" s="241" t="n"/>
      <c r="Z1665" s="240" t="n"/>
      <c r="AB1665" s="241" t="n"/>
      <c r="AC1665" s="240" t="n"/>
      <c r="AD1665" s="241" t="n"/>
    </row>
    <row r="1666">
      <c r="B1666" s="42" t="n">
        <v>334</v>
      </c>
      <c r="C1666" s="118">
        <f>INDIRECT("'Закуп'!A" &amp; B1666)</f>
        <v/>
      </c>
      <c r="D1666" s="119">
        <f>C1666*1.2</f>
        <v/>
      </c>
      <c r="G1666" s="172">
        <f>IF(INDIRECT("'Закуп'!L" &amp; B1666)="Sale","Sale","")</f>
        <v/>
      </c>
      <c r="H1666" s="158">
        <f>IF(INDIRECT("'Закуп'!F" &amp; B1666)=0,"",INDIRECT("'Закуп'!F" &amp; B1666))</f>
        <v/>
      </c>
      <c r="I1666" s="120" t="n">
        <v>1000</v>
      </c>
      <c r="J1666" s="121">
        <f>K1666/1.2</f>
        <v/>
      </c>
      <c r="K1666" s="70" t="n">
        <v>0.96</v>
      </c>
      <c r="L1666" s="122">
        <f>J1666-C1666-(J1666-C1666)*0.2</f>
        <v/>
      </c>
      <c r="M1666" s="123">
        <f>L1666*I1666</f>
        <v/>
      </c>
      <c r="N1666" s="124" t="inlineStr">
        <is>
          <t xml:space="preserve">1000 + шт - </t>
        </is>
      </c>
      <c r="O1666" s="47" t="inlineStr">
        <is>
          <t xml:space="preserve"> руб / шт с НДС</t>
        </is>
      </c>
      <c r="P1666" s="125">
        <f>ROUND(K1666,2)</f>
        <v/>
      </c>
      <c r="Q1666" s="207">
        <f>CONCATENATE(N1666,P1666,O1666,)</f>
        <v/>
      </c>
      <c r="R1666" s="240" t="n"/>
      <c r="T1666" s="241" t="n"/>
      <c r="U1666" s="240" t="n"/>
      <c r="V1666" s="241" t="n"/>
      <c r="Z1666" s="240" t="n"/>
      <c r="AB1666" s="241" t="n"/>
      <c r="AC1666" s="240" t="n"/>
      <c r="AD1666" s="241" t="n"/>
    </row>
    <row r="1667" ht="21.45" customHeight="1" s="55">
      <c r="A1667" s="232" t="n">
        <v>335</v>
      </c>
      <c r="B1667" s="42" t="n">
        <v>335</v>
      </c>
      <c r="C1667" s="118">
        <f>INDIRECT("'Закуп'!A" &amp; B1667)</f>
        <v/>
      </c>
      <c r="D1667" s="119">
        <f>C1667*1.2</f>
        <v/>
      </c>
      <c r="E1667" s="225">
        <f>INDIRECT("'Закуп'!D" &amp; A1667)</f>
        <v/>
      </c>
      <c r="F1667" s="231">
        <f>INDIRECT("'Закуп'!E" &amp; B1667)</f>
        <v/>
      </c>
      <c r="G1667" s="172">
        <f>IF(INDIRECT("'Закуп'!L" &amp; B1667)="Sale","Sale","")</f>
        <v/>
      </c>
      <c r="H1667" s="158">
        <f>IF(INDIRECT("'Закуп'!F" &amp; B1667)=0,"",INDIRECT("'Закуп'!F" &amp; B1667))</f>
        <v/>
      </c>
      <c r="I1667" s="120" t="n">
        <v>50</v>
      </c>
      <c r="J1667" s="121">
        <f>K1667/1.2</f>
        <v/>
      </c>
      <c r="K1667" s="70" t="n">
        <v>2.6</v>
      </c>
      <c r="L1667" s="122">
        <f>J1667-C1667-(J1667-C1667)*0.2</f>
        <v/>
      </c>
      <c r="M1667" s="123">
        <f>L1667*I1667</f>
        <v/>
      </c>
      <c r="N1667" s="124" t="inlineStr">
        <is>
          <t xml:space="preserve">50-90 шт - </t>
        </is>
      </c>
      <c r="O1667" s="47" t="inlineStr">
        <is>
          <t xml:space="preserve"> руб / шт с НДС</t>
        </is>
      </c>
      <c r="P1667" s="125">
        <f>ROUND(K1667,2)</f>
        <v/>
      </c>
      <c r="Q1667" s="207">
        <f>CONCATENATE(N1667,P1667,O1667,)</f>
        <v/>
      </c>
      <c r="R1667" s="235">
        <f>INDIRECT("'Закуп'!k" &amp; A1667)</f>
        <v/>
      </c>
      <c r="S1667" s="239">
        <f>INDIRECT("'Закуп'!o" &amp; A1667)</f>
        <v/>
      </c>
      <c r="T1667" s="226">
        <f>INDIRECT("'Закуп'!p" &amp; A1667)</f>
        <v/>
      </c>
      <c r="U1667" s="235">
        <f>INDIRECT("'Закуп'!v" &amp; A1667)</f>
        <v/>
      </c>
      <c r="V1667" s="222">
        <f>INDIRECT("'Закуп'!w" &amp; A1667)</f>
        <v/>
      </c>
      <c r="W1667" s="229">
        <f>INDIRECT("'Закуп'!H" &amp; A1667)</f>
        <v/>
      </c>
      <c r="X1667" s="237">
        <f>INDIRECT("'Закуп'!g" &amp; A1667)</f>
        <v/>
      </c>
      <c r="Y1667" s="229">
        <f>INDIRECT("'Закуп'!i" &amp; A1667)</f>
        <v/>
      </c>
      <c r="Z1667" s="236">
        <f>INDIRECT("'Закуп'!x" &amp; A1667)</f>
        <v/>
      </c>
      <c r="AA1667" s="237">
        <f>INDIRECT("'Закуп'!y" &amp; A1667)</f>
        <v/>
      </c>
      <c r="AB1667" s="238">
        <f>INDIRECT("'Закуп'!z" &amp; A1667)</f>
        <v/>
      </c>
      <c r="AC1667" s="223">
        <f>SUBSTITUTE(INDEX(F:F, ROUNDUP((ROW(A1666))/5,0)*5 - 3), "х", "x")</f>
        <v/>
      </c>
      <c r="AD1667" s="222">
        <f>SUBSTITUTE(INDEX(F:F, ROUNDUP((ROW(A1666))/5,0)*5 - 3), "х", "x") &amp; " - " &amp; SUBSTITUTE(SUBSTITUTE(INDEX(F:F, ROUNDUP((ROW(A1666))/5,0)*5 - 3), "х", "*"), "x", "*") &amp; " мм"</f>
        <v/>
      </c>
    </row>
    <row r="1668" ht="21.45" customHeight="1" s="55">
      <c r="B1668" s="42" t="n">
        <v>335</v>
      </c>
      <c r="C1668" s="118">
        <f>INDIRECT("'Закуп'!A" &amp; B1668)</f>
        <v/>
      </c>
      <c r="D1668" s="119">
        <f>C1668*1.2</f>
        <v/>
      </c>
      <c r="G1668" s="172">
        <f>IF(INDIRECT("'Закуп'!L" &amp; B1668)="Sale","Sale","")</f>
        <v/>
      </c>
      <c r="H1668" s="158">
        <f>IF(INDIRECT("'Закуп'!F" &amp; B1668)=0,"",INDIRECT("'Закуп'!F" &amp; B1668))</f>
        <v/>
      </c>
      <c r="I1668" s="120" t="n">
        <v>100</v>
      </c>
      <c r="J1668" s="121">
        <f>K1668/1.2</f>
        <v/>
      </c>
      <c r="K1668" s="70" t="n">
        <v>2.6</v>
      </c>
      <c r="L1668" s="122">
        <f>J1668-C1668-(J1668-C1668)*0.2</f>
        <v/>
      </c>
      <c r="M1668" s="123">
        <f>L1668*I1668</f>
        <v/>
      </c>
      <c r="N1668" s="124" t="inlineStr">
        <is>
          <t xml:space="preserve">100-290 шт - </t>
        </is>
      </c>
      <c r="O1668" s="47" t="inlineStr">
        <is>
          <t xml:space="preserve"> руб / шт с НДС</t>
        </is>
      </c>
      <c r="P1668" s="125">
        <f>ROUND(K1668,2)</f>
        <v/>
      </c>
      <c r="Q1668" s="207">
        <f>CONCATENATE(N1668,P1668,O1668,)</f>
        <v/>
      </c>
      <c r="R1668" s="240" t="n"/>
      <c r="T1668" s="241" t="n"/>
      <c r="U1668" s="240" t="n"/>
      <c r="V1668" s="241" t="n"/>
      <c r="Z1668" s="240" t="n"/>
      <c r="AB1668" s="241" t="n"/>
      <c r="AC1668" s="240" t="n"/>
      <c r="AD1668" s="241" t="n"/>
    </row>
    <row r="1669" ht="21.45" customHeight="1" s="55">
      <c r="B1669" s="42" t="n">
        <v>335</v>
      </c>
      <c r="C1669" s="118">
        <f>INDIRECT("'Закуп'!A" &amp; B1669)</f>
        <v/>
      </c>
      <c r="D1669" s="119">
        <f>C1669*1.2</f>
        <v/>
      </c>
      <c r="G1669" s="172">
        <f>IF(INDIRECT("'Закуп'!L" &amp; B1669)="Sale","Sale","")</f>
        <v/>
      </c>
      <c r="H1669" s="158">
        <f>IF(INDIRECT("'Закуп'!F" &amp; B1669)=0,"",INDIRECT("'Закуп'!F" &amp; B1669))</f>
        <v/>
      </c>
      <c r="I1669" s="120" t="n">
        <v>300</v>
      </c>
      <c r="J1669" s="121">
        <f>K1669/1.2</f>
        <v/>
      </c>
      <c r="K1669" s="70" t="n">
        <v>2.6</v>
      </c>
      <c r="L1669" s="122">
        <f>J1669-C1669-(J1669-C1669)*0.2</f>
        <v/>
      </c>
      <c r="M1669" s="123">
        <f>L1669*I1669</f>
        <v/>
      </c>
      <c r="N1669" s="124" t="inlineStr">
        <is>
          <t xml:space="preserve">300-490 шт - </t>
        </is>
      </c>
      <c r="O1669" s="47" t="inlineStr">
        <is>
          <t xml:space="preserve"> руб / шт с НДС</t>
        </is>
      </c>
      <c r="P1669" s="125">
        <f>ROUND(K1669,2)</f>
        <v/>
      </c>
      <c r="Q1669" s="207">
        <f>CONCATENATE(N1669,P1669,O1669,)</f>
        <v/>
      </c>
      <c r="R1669" s="240" t="n"/>
      <c r="T1669" s="241" t="n"/>
      <c r="U1669" s="240" t="n"/>
      <c r="V1669" s="241" t="n"/>
      <c r="Z1669" s="240" t="n"/>
      <c r="AB1669" s="241" t="n"/>
      <c r="AC1669" s="240" t="n"/>
      <c r="AD1669" s="241" t="n"/>
    </row>
    <row r="1670" ht="21.45" customHeight="1" s="55">
      <c r="B1670" s="42" t="n">
        <v>335</v>
      </c>
      <c r="C1670" s="118">
        <f>INDIRECT("'Закуп'!A" &amp; B1670)</f>
        <v/>
      </c>
      <c r="D1670" s="119">
        <f>C1670*1.2</f>
        <v/>
      </c>
      <c r="G1670" s="172">
        <f>IF(INDIRECT("'Закуп'!L" &amp; B1670)="Sale","Sale","")</f>
        <v/>
      </c>
      <c r="H1670" s="158">
        <f>IF(INDIRECT("'Закуп'!F" &amp; B1670)=0,"",INDIRECT("'Закуп'!F" &amp; B1670))</f>
        <v/>
      </c>
      <c r="I1670" s="120" t="n">
        <v>500</v>
      </c>
      <c r="J1670" s="121">
        <f>K1670/1.2</f>
        <v/>
      </c>
      <c r="K1670" s="70" t="n">
        <v>2.6</v>
      </c>
      <c r="L1670" s="122">
        <f>J1670-C1670-(J1670-C1670)*0.2</f>
        <v/>
      </c>
      <c r="M1670" s="123">
        <f>L1670*I1670</f>
        <v/>
      </c>
      <c r="N1670" s="124" t="inlineStr">
        <is>
          <t xml:space="preserve">500-990 шт - </t>
        </is>
      </c>
      <c r="O1670" s="47" t="inlineStr">
        <is>
          <t xml:space="preserve"> руб / шт с НДС</t>
        </is>
      </c>
      <c r="P1670" s="125">
        <f>ROUND(K1670,2)</f>
        <v/>
      </c>
      <c r="Q1670" s="207">
        <f>CONCATENATE(N1670,P1670,O1670,)</f>
        <v/>
      </c>
      <c r="R1670" s="240" t="n"/>
      <c r="T1670" s="241" t="n"/>
      <c r="U1670" s="240" t="n"/>
      <c r="V1670" s="241" t="n"/>
      <c r="Z1670" s="240" t="n"/>
      <c r="AB1670" s="241" t="n"/>
      <c r="AC1670" s="240" t="n"/>
      <c r="AD1670" s="241" t="n"/>
    </row>
    <row r="1671" ht="21.45" customHeight="1" s="55">
      <c r="B1671" s="42" t="n">
        <v>335</v>
      </c>
      <c r="C1671" s="118">
        <f>INDIRECT("'Закуп'!A" &amp; B1671)</f>
        <v/>
      </c>
      <c r="D1671" s="119">
        <f>C1671*1.2</f>
        <v/>
      </c>
      <c r="G1671" s="172">
        <f>IF(INDIRECT("'Закуп'!L" &amp; B1671)="Sale","Sale","")</f>
        <v/>
      </c>
      <c r="H1671" s="158">
        <f>IF(INDIRECT("'Закуп'!F" &amp; B1671)=0,"",INDIRECT("'Закуп'!F" &amp; B1671))</f>
        <v/>
      </c>
      <c r="I1671" s="120" t="n">
        <v>1000</v>
      </c>
      <c r="J1671" s="121">
        <f>K1671/1.2</f>
        <v/>
      </c>
      <c r="K1671" s="70" t="n">
        <v>2.6</v>
      </c>
      <c r="L1671" s="122">
        <f>J1671-C1671-(J1671-C1671)*0.2</f>
        <v/>
      </c>
      <c r="M1671" s="123">
        <f>L1671*I1671</f>
        <v/>
      </c>
      <c r="N1671" s="124" t="inlineStr">
        <is>
          <t xml:space="preserve">1000 + шт - </t>
        </is>
      </c>
      <c r="O1671" s="47" t="inlineStr">
        <is>
          <t xml:space="preserve"> руб / шт с НДС</t>
        </is>
      </c>
      <c r="P1671" s="125">
        <f>ROUND(K1671,2)</f>
        <v/>
      </c>
      <c r="Q1671" s="207">
        <f>CONCATENATE(N1671,P1671,O1671,)</f>
        <v/>
      </c>
      <c r="R1671" s="240" t="n"/>
      <c r="T1671" s="241" t="n"/>
      <c r="U1671" s="240" t="n"/>
      <c r="V1671" s="241" t="n"/>
      <c r="Z1671" s="240" t="n"/>
      <c r="AB1671" s="241" t="n"/>
      <c r="AC1671" s="240" t="n"/>
      <c r="AD1671" s="241" t="n"/>
    </row>
    <row r="1672">
      <c r="A1672" s="232" t="n">
        <v>336</v>
      </c>
      <c r="B1672" s="42" t="n">
        <v>336</v>
      </c>
      <c r="C1672" s="118">
        <f>INDIRECT("'Закуп'!A" &amp; B1672)</f>
        <v/>
      </c>
      <c r="D1672" s="119">
        <f>C1672*1.2</f>
        <v/>
      </c>
      <c r="E1672" s="225">
        <f>INDIRECT("'Закуп'!D" &amp; A1672)</f>
        <v/>
      </c>
      <c r="F1672" s="231">
        <f>INDIRECT("'Закуп'!E" &amp; B1672)</f>
        <v/>
      </c>
      <c r="G1672" s="172">
        <f>IF(INDIRECT("'Закуп'!L" &amp; B1672)="Sale","Sale","")</f>
        <v/>
      </c>
      <c r="H1672" s="158">
        <f>IF(INDIRECT("'Закуп'!F" &amp; B1672)=0,"",INDIRECT("'Закуп'!F" &amp; B1672))</f>
        <v/>
      </c>
      <c r="I1672" s="120" t="n">
        <v>50</v>
      </c>
      <c r="J1672" s="121">
        <f>K1672/1.2</f>
        <v/>
      </c>
      <c r="K1672" s="70" t="n">
        <v>1.15</v>
      </c>
      <c r="L1672" s="122">
        <f>J1672-C1672-(J1672-C1672)*0.2</f>
        <v/>
      </c>
      <c r="M1672" s="123">
        <f>L1672*I1672</f>
        <v/>
      </c>
      <c r="N1672" s="124" t="inlineStr">
        <is>
          <t xml:space="preserve">50-90 шт - </t>
        </is>
      </c>
      <c r="O1672" s="47" t="inlineStr">
        <is>
          <t xml:space="preserve"> руб / шт с НДС</t>
        </is>
      </c>
      <c r="P1672" s="125">
        <f>ROUND(K1672,2)</f>
        <v/>
      </c>
      <c r="Q1672" s="207">
        <f>CONCATENATE(N1672,P1672,O1672,)</f>
        <v/>
      </c>
      <c r="R1672" s="235">
        <f>INDIRECT("'Закуп'!k" &amp; A1672)</f>
        <v/>
      </c>
      <c r="S1672" s="239">
        <f>INDIRECT("'Закуп'!o" &amp; A1672)</f>
        <v/>
      </c>
      <c r="T1672" s="226">
        <f>INDIRECT("'Закуп'!p" &amp; A1672)</f>
        <v/>
      </c>
      <c r="U1672" s="235">
        <f>INDIRECT("'Закуп'!v" &amp; A1672)</f>
        <v/>
      </c>
      <c r="V1672" s="222">
        <f>INDIRECT("'Закуп'!w" &amp; A1672)</f>
        <v/>
      </c>
      <c r="W1672" s="229">
        <f>INDIRECT("'Закуп'!H" &amp; A1672)</f>
        <v/>
      </c>
      <c r="X1672" s="237">
        <f>INDIRECT("'Закуп'!g" &amp; A1672)</f>
        <v/>
      </c>
      <c r="Y1672" s="229">
        <f>INDIRECT("'Закуп'!i" &amp; A1672)</f>
        <v/>
      </c>
      <c r="Z1672" s="236">
        <f>INDIRECT("'Закуп'!x" &amp; A1672)</f>
        <v/>
      </c>
      <c r="AA1672" s="237">
        <f>INDIRECT("'Закуп'!y" &amp; A1672)</f>
        <v/>
      </c>
      <c r="AB1672" s="238">
        <f>INDIRECT("'Закуп'!z" &amp; A1672)</f>
        <v/>
      </c>
      <c r="AC1672" s="223">
        <f>SUBSTITUTE(INDEX(F:F, ROUNDUP((ROW(A1671))/5,0)*5 - 3), "х", "x")</f>
        <v/>
      </c>
      <c r="AD1672" s="222">
        <f>SUBSTITUTE(INDEX(F:F, ROUNDUP((ROW(A1671))/5,0)*5 - 3), "х", "x") &amp; " - " &amp; SUBSTITUTE(SUBSTITUTE(INDEX(F:F, ROUNDUP((ROW(A1671))/5,0)*5 - 3), "х", "*"), "x", "*") &amp; " мм"</f>
        <v/>
      </c>
    </row>
    <row r="1673">
      <c r="B1673" s="42" t="n">
        <v>336</v>
      </c>
      <c r="C1673" s="118">
        <f>INDIRECT("'Закуп'!A" &amp; B1673)</f>
        <v/>
      </c>
      <c r="D1673" s="119">
        <f>C1673*1.2</f>
        <v/>
      </c>
      <c r="G1673" s="172">
        <f>IF(INDIRECT("'Закуп'!L" &amp; B1673)="Sale","Sale","")</f>
        <v/>
      </c>
      <c r="H1673" s="158">
        <f>IF(INDIRECT("'Закуп'!F" &amp; B1673)=0,"",INDIRECT("'Закуп'!F" &amp; B1673))</f>
        <v/>
      </c>
      <c r="I1673" s="120" t="n">
        <v>100</v>
      </c>
      <c r="J1673" s="121">
        <f>K1673/1.2</f>
        <v/>
      </c>
      <c r="K1673" s="70" t="n">
        <v>1.05</v>
      </c>
      <c r="L1673" s="122">
        <f>J1673-C1673-(J1673-C1673)*0.2</f>
        <v/>
      </c>
      <c r="M1673" s="123">
        <f>L1673*I1673</f>
        <v/>
      </c>
      <c r="N1673" s="124" t="inlineStr">
        <is>
          <t xml:space="preserve">100-290 шт - </t>
        </is>
      </c>
      <c r="O1673" s="47" t="inlineStr">
        <is>
          <t xml:space="preserve"> руб / шт с НДС</t>
        </is>
      </c>
      <c r="P1673" s="125">
        <f>ROUND(K1673,2)</f>
        <v/>
      </c>
      <c r="Q1673" s="207">
        <f>CONCATENATE(N1673,P1673,O1673,)</f>
        <v/>
      </c>
      <c r="R1673" s="240" t="n"/>
      <c r="T1673" s="241" t="n"/>
      <c r="U1673" s="240" t="n"/>
      <c r="V1673" s="241" t="n"/>
      <c r="Z1673" s="240" t="n"/>
      <c r="AB1673" s="241" t="n"/>
      <c r="AC1673" s="240" t="n"/>
      <c r="AD1673" s="241" t="n"/>
    </row>
    <row r="1674">
      <c r="B1674" s="42" t="n">
        <v>336</v>
      </c>
      <c r="C1674" s="118">
        <f>INDIRECT("'Закуп'!A" &amp; B1674)</f>
        <v/>
      </c>
      <c r="D1674" s="119">
        <f>C1674*1.2</f>
        <v/>
      </c>
      <c r="G1674" s="172">
        <f>IF(INDIRECT("'Закуп'!L" &amp; B1674)="Sale","Sale","")</f>
        <v/>
      </c>
      <c r="H1674" s="158">
        <f>IF(INDIRECT("'Закуп'!F" &amp; B1674)=0,"",INDIRECT("'Закуп'!F" &amp; B1674))</f>
        <v/>
      </c>
      <c r="I1674" s="120" t="n">
        <v>300</v>
      </c>
      <c r="J1674" s="121">
        <f>K1674/1.2</f>
        <v/>
      </c>
      <c r="K1674" s="70" t="n">
        <v>0.95</v>
      </c>
      <c r="L1674" s="122">
        <f>J1674-C1674-(J1674-C1674)*0.2</f>
        <v/>
      </c>
      <c r="M1674" s="123">
        <f>L1674*I1674</f>
        <v/>
      </c>
      <c r="N1674" s="124" t="inlineStr">
        <is>
          <t xml:space="preserve">300-490 шт - </t>
        </is>
      </c>
      <c r="O1674" s="47" t="inlineStr">
        <is>
          <t xml:space="preserve"> руб / шт с НДС</t>
        </is>
      </c>
      <c r="P1674" s="125">
        <f>ROUND(K1674,2)</f>
        <v/>
      </c>
      <c r="Q1674" s="207">
        <f>CONCATENATE(N1674,P1674,O1674,)</f>
        <v/>
      </c>
      <c r="R1674" s="240" t="n"/>
      <c r="T1674" s="241" t="n"/>
      <c r="U1674" s="240" t="n"/>
      <c r="V1674" s="241" t="n"/>
      <c r="Z1674" s="240" t="n"/>
      <c r="AB1674" s="241" t="n"/>
      <c r="AC1674" s="240" t="n"/>
      <c r="AD1674" s="241" t="n"/>
    </row>
    <row r="1675">
      <c r="B1675" s="42" t="n">
        <v>336</v>
      </c>
      <c r="C1675" s="118">
        <f>INDIRECT("'Закуп'!A" &amp; B1675)</f>
        <v/>
      </c>
      <c r="D1675" s="119">
        <f>C1675*1.2</f>
        <v/>
      </c>
      <c r="G1675" s="172">
        <f>IF(INDIRECT("'Закуп'!L" &amp; B1675)="Sale","Sale","")</f>
        <v/>
      </c>
      <c r="H1675" s="158">
        <f>IF(INDIRECT("'Закуп'!F" &amp; B1675)=0,"",INDIRECT("'Закуп'!F" &amp; B1675))</f>
        <v/>
      </c>
      <c r="I1675" s="120" t="n">
        <v>500</v>
      </c>
      <c r="J1675" s="121">
        <f>K1675/1.2</f>
        <v/>
      </c>
      <c r="K1675" s="70" t="n">
        <v>0.85</v>
      </c>
      <c r="L1675" s="122">
        <f>J1675-C1675-(J1675-C1675)*0.2</f>
        <v/>
      </c>
      <c r="M1675" s="123">
        <f>L1675*I1675</f>
        <v/>
      </c>
      <c r="N1675" s="124" t="inlineStr">
        <is>
          <t xml:space="preserve">500-990 шт - </t>
        </is>
      </c>
      <c r="O1675" s="47" t="inlineStr">
        <is>
          <t xml:space="preserve"> руб / шт с НДС</t>
        </is>
      </c>
      <c r="P1675" s="125">
        <f>ROUND(K1675,2)</f>
        <v/>
      </c>
      <c r="Q1675" s="207">
        <f>CONCATENATE(N1675,P1675,O1675,)</f>
        <v/>
      </c>
      <c r="R1675" s="240" t="n"/>
      <c r="T1675" s="241" t="n"/>
      <c r="U1675" s="240" t="n"/>
      <c r="V1675" s="241" t="n"/>
      <c r="Z1675" s="240" t="n"/>
      <c r="AB1675" s="241" t="n"/>
      <c r="AC1675" s="240" t="n"/>
      <c r="AD1675" s="241" t="n"/>
    </row>
    <row r="1676">
      <c r="B1676" s="42" t="n">
        <v>336</v>
      </c>
      <c r="C1676" s="118">
        <f>INDIRECT("'Закуп'!A" &amp; B1676)</f>
        <v/>
      </c>
      <c r="D1676" s="119">
        <f>C1676*1.2</f>
        <v/>
      </c>
      <c r="G1676" s="172">
        <f>IF(INDIRECT("'Закуп'!L" &amp; B1676)="Sale","Sale","")</f>
        <v/>
      </c>
      <c r="H1676" s="158">
        <f>IF(INDIRECT("'Закуп'!F" &amp; B1676)=0,"",INDIRECT("'Закуп'!F" &amp; B1676))</f>
        <v/>
      </c>
      <c r="I1676" s="120" t="n">
        <v>1000</v>
      </c>
      <c r="J1676" s="121">
        <f>K1676/1.2</f>
        <v/>
      </c>
      <c r="K1676" s="70" t="n">
        <v>0.75</v>
      </c>
      <c r="L1676" s="122">
        <f>J1676-C1676-(J1676-C1676)*0.2</f>
        <v/>
      </c>
      <c r="M1676" s="123">
        <f>L1676*I1676</f>
        <v/>
      </c>
      <c r="N1676" s="124" t="inlineStr">
        <is>
          <t xml:space="preserve">1000 + шт - </t>
        </is>
      </c>
      <c r="O1676" s="47" t="inlineStr">
        <is>
          <t xml:space="preserve"> руб / шт с НДС</t>
        </is>
      </c>
      <c r="P1676" s="125">
        <f>ROUND(K1676,2)</f>
        <v/>
      </c>
      <c r="Q1676" s="207">
        <f>CONCATENATE(N1676,P1676,O1676,)</f>
        <v/>
      </c>
      <c r="R1676" s="240" t="n"/>
      <c r="T1676" s="241" t="n"/>
      <c r="U1676" s="240" t="n"/>
      <c r="V1676" s="241" t="n"/>
      <c r="Z1676" s="240" t="n"/>
      <c r="AB1676" s="241" t="n"/>
      <c r="AC1676" s="240" t="n"/>
      <c r="AD1676" s="241" t="n"/>
    </row>
    <row r="1677">
      <c r="A1677" s="232" t="n">
        <v>337</v>
      </c>
      <c r="B1677" s="42" t="n">
        <v>337</v>
      </c>
      <c r="C1677" s="118">
        <f>INDIRECT("'Закуп'!A" &amp; B1677)</f>
        <v/>
      </c>
      <c r="D1677" s="119">
        <f>C1677*1.2</f>
        <v/>
      </c>
      <c r="E1677" s="225">
        <f>INDIRECT("'Закуп'!D" &amp; A1677)</f>
        <v/>
      </c>
      <c r="F1677" s="231">
        <f>INDIRECT("'Закуп'!E" &amp; B1677)</f>
        <v/>
      </c>
      <c r="G1677" s="172">
        <f>IF(INDIRECT("'Закуп'!L" &amp; B1677)="Sale","Sale","")</f>
        <v/>
      </c>
      <c r="H1677" s="158">
        <f>IF(INDIRECT("'Закуп'!F" &amp; B1677)=0,"",INDIRECT("'Закуп'!F" &amp; B1677))</f>
        <v/>
      </c>
      <c r="I1677" s="120" t="n">
        <v>50</v>
      </c>
      <c r="J1677" s="121">
        <f>K1677/1.2</f>
        <v/>
      </c>
      <c r="K1677" s="70" t="n">
        <v>1</v>
      </c>
      <c r="L1677" s="122">
        <f>J1677-C1677-(J1677-C1677)*0.2</f>
        <v/>
      </c>
      <c r="M1677" s="123">
        <f>L1677*I1677</f>
        <v/>
      </c>
      <c r="N1677" s="124" t="inlineStr">
        <is>
          <t xml:space="preserve">50-90 шт - </t>
        </is>
      </c>
      <c r="O1677" s="47" t="inlineStr">
        <is>
          <t xml:space="preserve"> руб / шт с НДС</t>
        </is>
      </c>
      <c r="P1677" s="125">
        <f>ROUND(K1677,2)</f>
        <v/>
      </c>
      <c r="Q1677" s="207">
        <f>CONCATENATE(N1677,P1677,O1677,)</f>
        <v/>
      </c>
      <c r="R1677" s="235">
        <f>INDIRECT("'Закуп'!k" &amp; A1677)</f>
        <v/>
      </c>
      <c r="S1677" s="239">
        <f>INDIRECT("'Закуп'!o" &amp; A1677)</f>
        <v/>
      </c>
      <c r="T1677" s="226">
        <f>INDIRECT("'Закуп'!p" &amp; A1677)</f>
        <v/>
      </c>
      <c r="U1677" s="235">
        <f>INDIRECT("'Закуп'!v" &amp; A1677)</f>
        <v/>
      </c>
      <c r="V1677" s="222">
        <f>INDIRECT("'Закуп'!w" &amp; A1677)</f>
        <v/>
      </c>
      <c r="W1677" s="229">
        <f>INDIRECT("'Закуп'!H" &amp; A1677)</f>
        <v/>
      </c>
      <c r="X1677" s="237">
        <f>INDIRECT("'Закуп'!g" &amp; A1677)</f>
        <v/>
      </c>
      <c r="Y1677" s="229">
        <f>INDIRECT("'Закуп'!i" &amp; A1677)</f>
        <v/>
      </c>
      <c r="Z1677" s="236">
        <f>INDIRECT("'Закуп'!x" &amp; A1677)</f>
        <v/>
      </c>
      <c r="AA1677" s="237">
        <f>INDIRECT("'Закуп'!y" &amp; A1677)</f>
        <v/>
      </c>
      <c r="AB1677" s="238">
        <f>INDIRECT("'Закуп'!z" &amp; A1677)</f>
        <v/>
      </c>
      <c r="AC1677" s="223">
        <f>SUBSTITUTE(INDEX(F:F, ROUNDUP((ROW(A1676))/5,0)*5 - 3), "х", "x")</f>
        <v/>
      </c>
      <c r="AD1677" s="222">
        <f>SUBSTITUTE(INDEX(F:F, ROUNDUP((ROW(A1676))/5,0)*5 - 3), "х", "x") &amp; " - " &amp; SUBSTITUTE(SUBSTITUTE(INDEX(F:F, ROUNDUP((ROW(A1676))/5,0)*5 - 3), "х", "*"), "x", "*") &amp; " мм"</f>
        <v/>
      </c>
    </row>
    <row r="1678">
      <c r="B1678" s="42" t="n">
        <v>337</v>
      </c>
      <c r="C1678" s="118">
        <f>INDIRECT("'Закуп'!A" &amp; B1678)</f>
        <v/>
      </c>
      <c r="D1678" s="119">
        <f>C1678*1.2</f>
        <v/>
      </c>
      <c r="G1678" s="172">
        <f>IF(INDIRECT("'Закуп'!L" &amp; B1678)="Sale","Sale","")</f>
        <v/>
      </c>
      <c r="H1678" s="158">
        <f>IF(INDIRECT("'Закуп'!F" &amp; B1678)=0,"",INDIRECT("'Закуп'!F" &amp; B1678))</f>
        <v/>
      </c>
      <c r="I1678" s="120" t="n">
        <v>100</v>
      </c>
      <c r="J1678" s="121">
        <f>K1678/1.2</f>
        <v/>
      </c>
      <c r="K1678" s="70" t="n">
        <v>0.9</v>
      </c>
      <c r="L1678" s="122">
        <f>J1678-C1678-(J1678-C1678)*0.2</f>
        <v/>
      </c>
      <c r="M1678" s="123">
        <f>L1678*I1678</f>
        <v/>
      </c>
      <c r="N1678" s="124" t="inlineStr">
        <is>
          <t xml:space="preserve">100-290 шт - </t>
        </is>
      </c>
      <c r="O1678" s="47" t="inlineStr">
        <is>
          <t xml:space="preserve"> руб / шт с НДС</t>
        </is>
      </c>
      <c r="P1678" s="125">
        <f>ROUND(K1678,2)</f>
        <v/>
      </c>
      <c r="Q1678" s="207">
        <f>CONCATENATE(N1678,P1678,O1678,)</f>
        <v/>
      </c>
      <c r="R1678" s="240" t="n"/>
      <c r="T1678" s="241" t="n"/>
      <c r="U1678" s="240" t="n"/>
      <c r="V1678" s="241" t="n"/>
      <c r="Z1678" s="240" t="n"/>
      <c r="AB1678" s="241" t="n"/>
      <c r="AC1678" s="240" t="n"/>
      <c r="AD1678" s="241" t="n"/>
    </row>
    <row r="1679">
      <c r="B1679" s="42" t="n">
        <v>337</v>
      </c>
      <c r="C1679" s="118">
        <f>INDIRECT("'Закуп'!A" &amp; B1679)</f>
        <v/>
      </c>
      <c r="D1679" s="119">
        <f>C1679*1.2</f>
        <v/>
      </c>
      <c r="G1679" s="172">
        <f>IF(INDIRECT("'Закуп'!L" &amp; B1679)="Sale","Sale","")</f>
        <v/>
      </c>
      <c r="H1679" s="158">
        <f>IF(INDIRECT("'Закуп'!F" &amp; B1679)=0,"",INDIRECT("'Закуп'!F" &amp; B1679))</f>
        <v/>
      </c>
      <c r="I1679" s="120" t="n">
        <v>300</v>
      </c>
      <c r="J1679" s="121">
        <f>K1679/1.2</f>
        <v/>
      </c>
      <c r="K1679" s="70" t="n">
        <v>0.8</v>
      </c>
      <c r="L1679" s="122">
        <f>J1679-C1679-(J1679-C1679)*0.2</f>
        <v/>
      </c>
      <c r="M1679" s="123">
        <f>L1679*I1679</f>
        <v/>
      </c>
      <c r="N1679" s="124" t="inlineStr">
        <is>
          <t xml:space="preserve">300-490 шт - </t>
        </is>
      </c>
      <c r="O1679" s="47" t="inlineStr">
        <is>
          <t xml:space="preserve"> руб / шт с НДС</t>
        </is>
      </c>
      <c r="P1679" s="125">
        <f>ROUND(K1679,2)</f>
        <v/>
      </c>
      <c r="Q1679" s="207">
        <f>CONCATENATE(N1679,P1679,O1679,)</f>
        <v/>
      </c>
      <c r="R1679" s="240" t="n"/>
      <c r="T1679" s="241" t="n"/>
      <c r="U1679" s="240" t="n"/>
      <c r="V1679" s="241" t="n"/>
      <c r="Z1679" s="240" t="n"/>
      <c r="AB1679" s="241" t="n"/>
      <c r="AC1679" s="240" t="n"/>
      <c r="AD1679" s="241" t="n"/>
    </row>
    <row r="1680">
      <c r="B1680" s="42" t="n">
        <v>337</v>
      </c>
      <c r="C1680" s="118">
        <f>INDIRECT("'Закуп'!A" &amp; B1680)</f>
        <v/>
      </c>
      <c r="D1680" s="119">
        <f>C1680*1.2</f>
        <v/>
      </c>
      <c r="G1680" s="172">
        <f>IF(INDIRECT("'Закуп'!L" &amp; B1680)="Sale","Sale","")</f>
        <v/>
      </c>
      <c r="H1680" s="158">
        <f>IF(INDIRECT("'Закуп'!F" &amp; B1680)=0,"",INDIRECT("'Закуп'!F" &amp; B1680))</f>
        <v/>
      </c>
      <c r="I1680" s="120" t="n">
        <v>500</v>
      </c>
      <c r="J1680" s="121">
        <f>K1680/1.2</f>
        <v/>
      </c>
      <c r="K1680" s="70" t="n">
        <v>0.7</v>
      </c>
      <c r="L1680" s="122">
        <f>J1680-C1680-(J1680-C1680)*0.2</f>
        <v/>
      </c>
      <c r="M1680" s="123">
        <f>L1680*I1680</f>
        <v/>
      </c>
      <c r="N1680" s="124" t="inlineStr">
        <is>
          <t xml:space="preserve">500-990 шт - </t>
        </is>
      </c>
      <c r="O1680" s="47" t="inlineStr">
        <is>
          <t xml:space="preserve"> руб / шт с НДС</t>
        </is>
      </c>
      <c r="P1680" s="125">
        <f>ROUND(K1680,2)</f>
        <v/>
      </c>
      <c r="Q1680" s="207">
        <f>CONCATENATE(N1680,P1680,O1680,)</f>
        <v/>
      </c>
      <c r="R1680" s="240" t="n"/>
      <c r="T1680" s="241" t="n"/>
      <c r="U1680" s="240" t="n"/>
      <c r="V1680" s="241" t="n"/>
      <c r="Z1680" s="240" t="n"/>
      <c r="AB1680" s="241" t="n"/>
      <c r="AC1680" s="240" t="n"/>
      <c r="AD1680" s="241" t="n"/>
    </row>
    <row r="1681">
      <c r="B1681" s="42" t="n">
        <v>337</v>
      </c>
      <c r="C1681" s="118">
        <f>INDIRECT("'Закуп'!A" &amp; B1681)</f>
        <v/>
      </c>
      <c r="D1681" s="119">
        <f>C1681*1.2</f>
        <v/>
      </c>
      <c r="G1681" s="172">
        <f>IF(INDIRECT("'Закуп'!L" &amp; B1681)="Sale","Sale","")</f>
        <v/>
      </c>
      <c r="H1681" s="158">
        <f>IF(INDIRECT("'Закуп'!F" &amp; B1681)=0,"",INDIRECT("'Закуп'!F" &amp; B1681))</f>
        <v/>
      </c>
      <c r="I1681" s="120" t="n">
        <v>1000</v>
      </c>
      <c r="J1681" s="121">
        <f>K1681/1.2</f>
        <v/>
      </c>
      <c r="K1681" s="70" t="n">
        <v>0.6</v>
      </c>
      <c r="L1681" s="122">
        <f>J1681-C1681-(J1681-C1681)*0.2</f>
        <v/>
      </c>
      <c r="M1681" s="123">
        <f>L1681*I1681</f>
        <v/>
      </c>
      <c r="N1681" s="124" t="inlineStr">
        <is>
          <t xml:space="preserve">1000 + шт - </t>
        </is>
      </c>
      <c r="O1681" s="47" t="inlineStr">
        <is>
          <t xml:space="preserve"> руб / шт с НДС</t>
        </is>
      </c>
      <c r="P1681" s="125">
        <f>ROUND(K1681,2)</f>
        <v/>
      </c>
      <c r="Q1681" s="207">
        <f>CONCATENATE(N1681,P1681,O1681,)</f>
        <v/>
      </c>
      <c r="R1681" s="240" t="n"/>
      <c r="T1681" s="241" t="n"/>
      <c r="U1681" s="240" t="n"/>
      <c r="V1681" s="241" t="n"/>
      <c r="Z1681" s="240" t="n"/>
      <c r="AB1681" s="241" t="n"/>
      <c r="AC1681" s="240" t="n"/>
      <c r="AD1681" s="241" t="n"/>
    </row>
    <row r="1682">
      <c r="A1682" s="232" t="n">
        <v>338</v>
      </c>
      <c r="B1682" s="42" t="n">
        <v>338</v>
      </c>
      <c r="C1682" s="118">
        <f>INDIRECT("'Закуп'!A" &amp; B1682)</f>
        <v/>
      </c>
      <c r="D1682" s="119">
        <f>C1682*1.2</f>
        <v/>
      </c>
      <c r="E1682" s="225">
        <f>INDIRECT("'Закуп'!D" &amp; A1682)</f>
        <v/>
      </c>
      <c r="F1682" s="231">
        <f>INDIRECT("'Закуп'!E" &amp; B1682)</f>
        <v/>
      </c>
      <c r="G1682" s="172">
        <f>IF(INDIRECT("'Закуп'!L" &amp; B1682)="Sale","Sale","")</f>
        <v/>
      </c>
      <c r="H1682" s="158">
        <f>IF(INDIRECT("'Закуп'!F" &amp; B1682)=0,"",INDIRECT("'Закуп'!F" &amp; B1682))</f>
        <v/>
      </c>
      <c r="I1682" s="120" t="n">
        <v>50</v>
      </c>
      <c r="J1682" s="121">
        <f>K1682/1.2</f>
        <v/>
      </c>
      <c r="K1682" s="70" t="n">
        <v>1.1</v>
      </c>
      <c r="L1682" s="122">
        <f>J1682-C1682-(J1682-C1682)*0.2</f>
        <v/>
      </c>
      <c r="M1682" s="123">
        <f>L1682*I1682</f>
        <v/>
      </c>
      <c r="N1682" s="124" t="inlineStr">
        <is>
          <t xml:space="preserve">50-90 шт - </t>
        </is>
      </c>
      <c r="O1682" s="47" t="inlineStr">
        <is>
          <t xml:space="preserve"> руб / шт с НДС</t>
        </is>
      </c>
      <c r="P1682" s="125">
        <f>ROUND(K1682,2)</f>
        <v/>
      </c>
      <c r="Q1682" s="207">
        <f>CONCATENATE(N1682,P1682,O1682,)</f>
        <v/>
      </c>
      <c r="R1682" s="235">
        <f>INDIRECT("'Закуп'!k" &amp; A1682)</f>
        <v/>
      </c>
      <c r="S1682" s="239">
        <f>INDIRECT("'Закуп'!o" &amp; A1682)</f>
        <v/>
      </c>
      <c r="T1682" s="226">
        <f>INDIRECT("'Закуп'!p" &amp; A1682)</f>
        <v/>
      </c>
      <c r="U1682" s="235">
        <f>INDIRECT("'Закуп'!v" &amp; A1682)</f>
        <v/>
      </c>
      <c r="V1682" s="222">
        <f>INDIRECT("'Закуп'!w" &amp; A1682)</f>
        <v/>
      </c>
      <c r="W1682" s="229">
        <f>INDIRECT("'Закуп'!H" &amp; A1682)</f>
        <v/>
      </c>
      <c r="X1682" s="237">
        <f>INDIRECT("'Закуп'!g" &amp; A1682)</f>
        <v/>
      </c>
      <c r="Y1682" s="229">
        <f>INDIRECT("'Закуп'!i" &amp; A1682)</f>
        <v/>
      </c>
      <c r="Z1682" s="236">
        <f>INDIRECT("'Закуп'!x" &amp; A1682)</f>
        <v/>
      </c>
      <c r="AA1682" s="237">
        <f>INDIRECT("'Закуп'!y" &amp; A1682)</f>
        <v/>
      </c>
      <c r="AB1682" s="238">
        <f>INDIRECT("'Закуп'!z" &amp; A1682)</f>
        <v/>
      </c>
      <c r="AC1682" s="223">
        <f>SUBSTITUTE(INDEX(F:F, ROUNDUP((ROW(A1681))/5,0)*5 - 3), "х", "x")</f>
        <v/>
      </c>
      <c r="AD1682" s="222">
        <f>SUBSTITUTE(INDEX(F:F, ROUNDUP((ROW(A1681))/5,0)*5 - 3), "х", "x") &amp; " - " &amp; SUBSTITUTE(SUBSTITUTE(INDEX(F:F, ROUNDUP((ROW(A1681))/5,0)*5 - 3), "х", "*"), "x", "*") &amp; " мм"</f>
        <v/>
      </c>
    </row>
    <row r="1683">
      <c r="B1683" s="42" t="n">
        <v>338</v>
      </c>
      <c r="C1683" s="118">
        <f>INDIRECT("'Закуп'!A" &amp; B1683)</f>
        <v/>
      </c>
      <c r="D1683" s="119">
        <f>C1683*1.2</f>
        <v/>
      </c>
      <c r="G1683" s="172">
        <f>IF(INDIRECT("'Закуп'!L" &amp; B1683)="Sale","Sale","")</f>
        <v/>
      </c>
      <c r="H1683" s="158">
        <f>IF(INDIRECT("'Закуп'!F" &amp; B1683)=0,"",INDIRECT("'Закуп'!F" &amp; B1683))</f>
        <v/>
      </c>
      <c r="I1683" s="120" t="n">
        <v>100</v>
      </c>
      <c r="J1683" s="121">
        <f>K1683/1.2</f>
        <v/>
      </c>
      <c r="K1683" s="70" t="n">
        <v>1</v>
      </c>
      <c r="L1683" s="122">
        <f>J1683-C1683-(J1683-C1683)*0.2</f>
        <v/>
      </c>
      <c r="M1683" s="123">
        <f>L1683*I1683</f>
        <v/>
      </c>
      <c r="N1683" s="124" t="inlineStr">
        <is>
          <t xml:space="preserve">100-290 шт - </t>
        </is>
      </c>
      <c r="O1683" s="47" t="inlineStr">
        <is>
          <t xml:space="preserve"> руб / шт с НДС</t>
        </is>
      </c>
      <c r="P1683" s="125">
        <f>ROUND(K1683,2)</f>
        <v/>
      </c>
      <c r="Q1683" s="207">
        <f>CONCATENATE(N1683,P1683,O1683,)</f>
        <v/>
      </c>
      <c r="R1683" s="240" t="n"/>
      <c r="T1683" s="241" t="n"/>
      <c r="U1683" s="240" t="n"/>
      <c r="V1683" s="241" t="n"/>
      <c r="Z1683" s="240" t="n"/>
      <c r="AB1683" s="241" t="n"/>
      <c r="AC1683" s="240" t="n"/>
      <c r="AD1683" s="241" t="n"/>
    </row>
    <row r="1684">
      <c r="B1684" s="42" t="n">
        <v>338</v>
      </c>
      <c r="C1684" s="118">
        <f>INDIRECT("'Закуп'!A" &amp; B1684)</f>
        <v/>
      </c>
      <c r="D1684" s="119">
        <f>C1684*1.2</f>
        <v/>
      </c>
      <c r="G1684" s="172">
        <f>IF(INDIRECT("'Закуп'!L" &amp; B1684)="Sale","Sale","")</f>
        <v/>
      </c>
      <c r="H1684" s="158">
        <f>IF(INDIRECT("'Закуп'!F" &amp; B1684)=0,"",INDIRECT("'Закуп'!F" &amp; B1684))</f>
        <v/>
      </c>
      <c r="I1684" s="120" t="n">
        <v>300</v>
      </c>
      <c r="J1684" s="121">
        <f>K1684/1.2</f>
        <v/>
      </c>
      <c r="K1684" s="70" t="n">
        <v>0.9</v>
      </c>
      <c r="L1684" s="122">
        <f>J1684-C1684-(J1684-C1684)*0.2</f>
        <v/>
      </c>
      <c r="M1684" s="123">
        <f>L1684*I1684</f>
        <v/>
      </c>
      <c r="N1684" s="124" t="inlineStr">
        <is>
          <t xml:space="preserve">300-490 шт - </t>
        </is>
      </c>
      <c r="O1684" s="47" t="inlineStr">
        <is>
          <t xml:space="preserve"> руб / шт с НДС</t>
        </is>
      </c>
      <c r="P1684" s="125">
        <f>ROUND(K1684,2)</f>
        <v/>
      </c>
      <c r="Q1684" s="207">
        <f>CONCATENATE(N1684,P1684,O1684,)</f>
        <v/>
      </c>
      <c r="R1684" s="240" t="n"/>
      <c r="T1684" s="241" t="n"/>
      <c r="U1684" s="240" t="n"/>
      <c r="V1684" s="241" t="n"/>
      <c r="Z1684" s="240" t="n"/>
      <c r="AB1684" s="241" t="n"/>
      <c r="AC1684" s="240" t="n"/>
      <c r="AD1684" s="241" t="n"/>
    </row>
    <row r="1685">
      <c r="B1685" s="42" t="n">
        <v>338</v>
      </c>
      <c r="C1685" s="118">
        <f>INDIRECT("'Закуп'!A" &amp; B1685)</f>
        <v/>
      </c>
      <c r="D1685" s="119">
        <f>C1685*1.2</f>
        <v/>
      </c>
      <c r="G1685" s="172">
        <f>IF(INDIRECT("'Закуп'!L" &amp; B1685)="Sale","Sale","")</f>
        <v/>
      </c>
      <c r="H1685" s="158">
        <f>IF(INDIRECT("'Закуп'!F" &amp; B1685)=0,"",INDIRECT("'Закуп'!F" &amp; B1685))</f>
        <v/>
      </c>
      <c r="I1685" s="120" t="n">
        <v>500</v>
      </c>
      <c r="J1685" s="121">
        <f>K1685/1.2</f>
        <v/>
      </c>
      <c r="K1685" s="70" t="n">
        <v>0.8</v>
      </c>
      <c r="L1685" s="122">
        <f>J1685-C1685-(J1685-C1685)*0.2</f>
        <v/>
      </c>
      <c r="M1685" s="123">
        <f>L1685*I1685</f>
        <v/>
      </c>
      <c r="N1685" s="124" t="inlineStr">
        <is>
          <t xml:space="preserve">500-990 шт - </t>
        </is>
      </c>
      <c r="O1685" s="47" t="inlineStr">
        <is>
          <t xml:space="preserve"> руб / шт с НДС</t>
        </is>
      </c>
      <c r="P1685" s="125">
        <f>ROUND(K1685,2)</f>
        <v/>
      </c>
      <c r="Q1685" s="207">
        <f>CONCATENATE(N1685,P1685,O1685,)</f>
        <v/>
      </c>
      <c r="R1685" s="240" t="n"/>
      <c r="T1685" s="241" t="n"/>
      <c r="U1685" s="240" t="n"/>
      <c r="V1685" s="241" t="n"/>
      <c r="Z1685" s="240" t="n"/>
      <c r="AB1685" s="241" t="n"/>
      <c r="AC1685" s="240" t="n"/>
      <c r="AD1685" s="241" t="n"/>
    </row>
    <row r="1686">
      <c r="B1686" s="42" t="n">
        <v>338</v>
      </c>
      <c r="C1686" s="118">
        <f>INDIRECT("'Закуп'!A" &amp; B1686)</f>
        <v/>
      </c>
      <c r="D1686" s="119">
        <f>C1686*1.2</f>
        <v/>
      </c>
      <c r="G1686" s="172">
        <f>IF(INDIRECT("'Закуп'!L" &amp; B1686)="Sale","Sale","")</f>
        <v/>
      </c>
      <c r="H1686" s="158">
        <f>IF(INDIRECT("'Закуп'!F" &amp; B1686)=0,"",INDIRECT("'Закуп'!F" &amp; B1686))</f>
        <v/>
      </c>
      <c r="I1686" s="120" t="n">
        <v>1000</v>
      </c>
      <c r="J1686" s="121">
        <f>K1686/1.2</f>
        <v/>
      </c>
      <c r="K1686" s="70" t="n">
        <v>0.7</v>
      </c>
      <c r="L1686" s="122">
        <f>J1686-C1686-(J1686-C1686)*0.2</f>
        <v/>
      </c>
      <c r="M1686" s="123">
        <f>L1686*I1686</f>
        <v/>
      </c>
      <c r="N1686" s="124" t="inlineStr">
        <is>
          <t xml:space="preserve">1000 + шт - </t>
        </is>
      </c>
      <c r="O1686" s="47" t="inlineStr">
        <is>
          <t xml:space="preserve"> руб / шт с НДС</t>
        </is>
      </c>
      <c r="P1686" s="125">
        <f>ROUND(K1686,2)</f>
        <v/>
      </c>
      <c r="Q1686" s="207">
        <f>CONCATENATE(N1686,P1686,O1686,)</f>
        <v/>
      </c>
      <c r="R1686" s="240" t="n"/>
      <c r="T1686" s="241" t="n"/>
      <c r="U1686" s="240" t="n"/>
      <c r="V1686" s="241" t="n"/>
      <c r="Z1686" s="240" t="n"/>
      <c r="AB1686" s="241" t="n"/>
      <c r="AC1686" s="240" t="n"/>
      <c r="AD1686" s="241" t="n"/>
    </row>
    <row r="1687">
      <c r="A1687" s="232" t="n">
        <v>339</v>
      </c>
      <c r="B1687" s="42" t="n">
        <v>339</v>
      </c>
      <c r="C1687" s="118">
        <f>INDIRECT("'Закуп'!A" &amp; B1687)</f>
        <v/>
      </c>
      <c r="D1687" s="119">
        <f>C1687*1.2</f>
        <v/>
      </c>
      <c r="E1687" s="225">
        <f>INDIRECT("'Закуп'!D" &amp; A1687)</f>
        <v/>
      </c>
      <c r="F1687" s="231">
        <f>INDIRECT("'Закуп'!E" &amp; B1687)</f>
        <v/>
      </c>
      <c r="G1687" s="172">
        <f>IF(INDIRECT("'Закуп'!L" &amp; B1687)="Sale","Sale","")</f>
        <v/>
      </c>
      <c r="H1687" s="158">
        <f>IF(INDIRECT("'Закуп'!F" &amp; B1687)=0,"",INDIRECT("'Закуп'!F" &amp; B1687))</f>
        <v/>
      </c>
      <c r="I1687" s="120" t="n">
        <v>50</v>
      </c>
      <c r="J1687" s="121">
        <f>K1687/1.2</f>
        <v/>
      </c>
      <c r="K1687" s="70" t="n">
        <v>1.17</v>
      </c>
      <c r="L1687" s="122">
        <f>J1687-C1687-(J1687-C1687)*0.2</f>
        <v/>
      </c>
      <c r="M1687" s="123">
        <f>L1687*I1687</f>
        <v/>
      </c>
      <c r="N1687" s="124" t="inlineStr">
        <is>
          <t xml:space="preserve">50-90 шт - </t>
        </is>
      </c>
      <c r="O1687" s="47" t="inlineStr">
        <is>
          <t xml:space="preserve"> руб / шт с НДС</t>
        </is>
      </c>
      <c r="P1687" s="125">
        <f>ROUND(K1687,2)</f>
        <v/>
      </c>
      <c r="Q1687" s="207">
        <f>CONCATENATE(N1687,P1687,O1687,)</f>
        <v/>
      </c>
      <c r="R1687" s="235">
        <f>INDIRECT("'Закуп'!k" &amp; A1687)</f>
        <v/>
      </c>
      <c r="S1687" s="239">
        <f>INDIRECT("'Закуп'!o" &amp; A1687)</f>
        <v/>
      </c>
      <c r="T1687" s="226">
        <f>INDIRECT("'Закуп'!p" &amp; A1687)</f>
        <v/>
      </c>
      <c r="U1687" s="235">
        <f>INDIRECT("'Закуп'!v" &amp; A1687)</f>
        <v/>
      </c>
      <c r="V1687" s="222">
        <f>INDIRECT("'Закуп'!w" &amp; A1687)</f>
        <v/>
      </c>
      <c r="W1687" s="229">
        <f>INDIRECT("'Закуп'!H" &amp; A1687)</f>
        <v/>
      </c>
      <c r="X1687" s="237">
        <f>INDIRECT("'Закуп'!g" &amp; A1687)</f>
        <v/>
      </c>
      <c r="Y1687" s="229">
        <f>INDIRECT("'Закуп'!i" &amp; A1687)</f>
        <v/>
      </c>
      <c r="Z1687" s="236">
        <f>INDIRECT("'Закуп'!x" &amp; A1687)</f>
        <v/>
      </c>
      <c r="AA1687" s="237">
        <f>INDIRECT("'Закуп'!y" &amp; A1687)</f>
        <v/>
      </c>
      <c r="AB1687" s="238">
        <f>INDIRECT("'Закуп'!z" &amp; A1687)</f>
        <v/>
      </c>
      <c r="AC1687" s="223">
        <f>SUBSTITUTE(INDEX(F:F, ROUNDUP((ROW(A1686))/5,0)*5 - 3), "х", "x")</f>
        <v/>
      </c>
      <c r="AD1687" s="222">
        <f>SUBSTITUTE(INDEX(F:F, ROUNDUP((ROW(A1686))/5,0)*5 - 3), "х", "x") &amp; " - " &amp; SUBSTITUTE(SUBSTITUTE(INDEX(F:F, ROUNDUP((ROW(A1686))/5,0)*5 - 3), "х", "*"), "x", "*") &amp; " мм"</f>
        <v/>
      </c>
    </row>
    <row r="1688">
      <c r="B1688" s="42" t="n">
        <v>339</v>
      </c>
      <c r="C1688" s="118">
        <f>INDIRECT("'Закуп'!A" &amp; B1688)</f>
        <v/>
      </c>
      <c r="D1688" s="119">
        <f>C1688*1.2</f>
        <v/>
      </c>
      <c r="G1688" s="172">
        <f>IF(INDIRECT("'Закуп'!L" &amp; B1688)="Sale","Sale","")</f>
        <v/>
      </c>
      <c r="H1688" s="158">
        <f>IF(INDIRECT("'Закуп'!F" &amp; B1688)=0,"",INDIRECT("'Закуп'!F" &amp; B1688))</f>
        <v/>
      </c>
      <c r="I1688" s="120" t="n">
        <v>100</v>
      </c>
      <c r="J1688" s="121">
        <f>K1688/1.2</f>
        <v/>
      </c>
      <c r="K1688" s="70" t="n">
        <v>1.07</v>
      </c>
      <c r="L1688" s="122">
        <f>J1688-C1688-(J1688-C1688)*0.2</f>
        <v/>
      </c>
      <c r="M1688" s="123">
        <f>L1688*I1688</f>
        <v/>
      </c>
      <c r="N1688" s="124" t="inlineStr">
        <is>
          <t xml:space="preserve">100-290 шт - </t>
        </is>
      </c>
      <c r="O1688" s="47" t="inlineStr">
        <is>
          <t xml:space="preserve"> руб / шт с НДС</t>
        </is>
      </c>
      <c r="P1688" s="125">
        <f>ROUND(K1688,2)</f>
        <v/>
      </c>
      <c r="Q1688" s="207">
        <f>CONCATENATE(N1688,P1688,O1688,)</f>
        <v/>
      </c>
      <c r="R1688" s="240" t="n"/>
      <c r="T1688" s="241" t="n"/>
      <c r="U1688" s="240" t="n"/>
      <c r="V1688" s="241" t="n"/>
      <c r="Z1688" s="240" t="n"/>
      <c r="AB1688" s="241" t="n"/>
      <c r="AC1688" s="240" t="n"/>
      <c r="AD1688" s="241" t="n"/>
    </row>
    <row r="1689">
      <c r="B1689" s="42" t="n">
        <v>339</v>
      </c>
      <c r="C1689" s="118">
        <f>INDIRECT("'Закуп'!A" &amp; B1689)</f>
        <v/>
      </c>
      <c r="D1689" s="119">
        <f>C1689*1.2</f>
        <v/>
      </c>
      <c r="G1689" s="172">
        <f>IF(INDIRECT("'Закуп'!L" &amp; B1689)="Sale","Sale","")</f>
        <v/>
      </c>
      <c r="H1689" s="158">
        <f>IF(INDIRECT("'Закуп'!F" &amp; B1689)=0,"",INDIRECT("'Закуп'!F" &amp; B1689))</f>
        <v/>
      </c>
      <c r="I1689" s="120" t="n">
        <v>300</v>
      </c>
      <c r="J1689" s="121">
        <f>K1689/1.2</f>
        <v/>
      </c>
      <c r="K1689" s="70" t="n">
        <v>0.97</v>
      </c>
      <c r="L1689" s="122">
        <f>J1689-C1689-(J1689-C1689)*0.2</f>
        <v/>
      </c>
      <c r="M1689" s="123">
        <f>L1689*I1689</f>
        <v/>
      </c>
      <c r="N1689" s="124" t="inlineStr">
        <is>
          <t xml:space="preserve">300-490 шт - </t>
        </is>
      </c>
      <c r="O1689" s="47" t="inlineStr">
        <is>
          <t xml:space="preserve"> руб / шт с НДС</t>
        </is>
      </c>
      <c r="P1689" s="125">
        <f>ROUND(K1689,2)</f>
        <v/>
      </c>
      <c r="Q1689" s="207">
        <f>CONCATENATE(N1689,P1689,O1689,)</f>
        <v/>
      </c>
      <c r="R1689" s="240" t="n"/>
      <c r="T1689" s="241" t="n"/>
      <c r="U1689" s="240" t="n"/>
      <c r="V1689" s="241" t="n"/>
      <c r="Z1689" s="240" t="n"/>
      <c r="AB1689" s="241" t="n"/>
      <c r="AC1689" s="240" t="n"/>
      <c r="AD1689" s="241" t="n"/>
    </row>
    <row r="1690">
      <c r="B1690" s="42" t="n">
        <v>339</v>
      </c>
      <c r="C1690" s="118">
        <f>INDIRECT("'Закуп'!A" &amp; B1690)</f>
        <v/>
      </c>
      <c r="D1690" s="119">
        <f>C1690*1.2</f>
        <v/>
      </c>
      <c r="G1690" s="172">
        <f>IF(INDIRECT("'Закуп'!L" &amp; B1690)="Sale","Sale","")</f>
        <v/>
      </c>
      <c r="H1690" s="158">
        <f>IF(INDIRECT("'Закуп'!F" &amp; B1690)=0,"",INDIRECT("'Закуп'!F" &amp; B1690))</f>
        <v/>
      </c>
      <c r="I1690" s="120" t="n">
        <v>500</v>
      </c>
      <c r="J1690" s="121">
        <f>K1690/1.2</f>
        <v/>
      </c>
      <c r="K1690" s="70" t="n">
        <v>0.87</v>
      </c>
      <c r="L1690" s="122">
        <f>J1690-C1690-(J1690-C1690)*0.2</f>
        <v/>
      </c>
      <c r="M1690" s="123">
        <f>L1690*I1690</f>
        <v/>
      </c>
      <c r="N1690" s="124" t="inlineStr">
        <is>
          <t xml:space="preserve">500-990 шт - </t>
        </is>
      </c>
      <c r="O1690" s="47" t="inlineStr">
        <is>
          <t xml:space="preserve"> руб / шт с НДС</t>
        </is>
      </c>
      <c r="P1690" s="125">
        <f>ROUND(K1690,2)</f>
        <v/>
      </c>
      <c r="Q1690" s="207">
        <f>CONCATENATE(N1690,P1690,O1690,)</f>
        <v/>
      </c>
      <c r="R1690" s="240" t="n"/>
      <c r="T1690" s="241" t="n"/>
      <c r="U1690" s="240" t="n"/>
      <c r="V1690" s="241" t="n"/>
      <c r="Z1690" s="240" t="n"/>
      <c r="AB1690" s="241" t="n"/>
      <c r="AC1690" s="240" t="n"/>
      <c r="AD1690" s="241" t="n"/>
    </row>
    <row r="1691">
      <c r="B1691" s="42" t="n">
        <v>339</v>
      </c>
      <c r="C1691" s="118">
        <f>INDIRECT("'Закуп'!A" &amp; B1691)</f>
        <v/>
      </c>
      <c r="D1691" s="119">
        <f>C1691*1.2</f>
        <v/>
      </c>
      <c r="G1691" s="172">
        <f>IF(INDIRECT("'Закуп'!L" &amp; B1691)="Sale","Sale","")</f>
        <v/>
      </c>
      <c r="H1691" s="158">
        <f>IF(INDIRECT("'Закуп'!F" &amp; B1691)=0,"",INDIRECT("'Закуп'!F" &amp; B1691))</f>
        <v/>
      </c>
      <c r="I1691" s="120" t="n">
        <v>1000</v>
      </c>
      <c r="J1691" s="121">
        <f>K1691/1.2</f>
        <v/>
      </c>
      <c r="K1691" s="70" t="n">
        <v>0.77</v>
      </c>
      <c r="L1691" s="122">
        <f>J1691-C1691-(J1691-C1691)*0.2</f>
        <v/>
      </c>
      <c r="M1691" s="123">
        <f>L1691*I1691</f>
        <v/>
      </c>
      <c r="N1691" s="124" t="inlineStr">
        <is>
          <t xml:space="preserve">1000 + шт - </t>
        </is>
      </c>
      <c r="O1691" s="47" t="inlineStr">
        <is>
          <t xml:space="preserve"> руб / шт с НДС</t>
        </is>
      </c>
      <c r="P1691" s="125">
        <f>ROUND(K1691,2)</f>
        <v/>
      </c>
      <c r="Q1691" s="207">
        <f>CONCATENATE(N1691,P1691,O1691,)</f>
        <v/>
      </c>
      <c r="R1691" s="240" t="n"/>
      <c r="T1691" s="241" t="n"/>
      <c r="U1691" s="240" t="n"/>
      <c r="V1691" s="241" t="n"/>
      <c r="Z1691" s="240" t="n"/>
      <c r="AB1691" s="241" t="n"/>
      <c r="AC1691" s="240" t="n"/>
      <c r="AD1691" s="241" t="n"/>
    </row>
    <row r="1692">
      <c r="A1692" s="232" t="n">
        <v>340</v>
      </c>
      <c r="B1692" s="42" t="n">
        <v>340</v>
      </c>
      <c r="C1692" s="118">
        <f>INDIRECT("'Закуп'!A" &amp; B1692)</f>
        <v/>
      </c>
      <c r="D1692" s="119">
        <f>C1692*1.2</f>
        <v/>
      </c>
      <c r="E1692" s="225">
        <f>INDIRECT("'Закуп'!D" &amp; A1692)</f>
        <v/>
      </c>
      <c r="F1692" s="231">
        <f>INDIRECT("'Закуп'!E" &amp; B1692)</f>
        <v/>
      </c>
      <c r="G1692" s="172">
        <f>IF(INDIRECT("'Закуп'!L" &amp; B1692)="Sale","Sale","")</f>
        <v/>
      </c>
      <c r="H1692" s="158">
        <f>IF(INDIRECT("'Закуп'!F" &amp; B1692)=0,"",INDIRECT("'Закуп'!F" &amp; B1692))</f>
        <v/>
      </c>
      <c r="I1692" s="120" t="n">
        <v>50</v>
      </c>
      <c r="J1692" s="121">
        <f>K1692/1.2</f>
        <v/>
      </c>
      <c r="K1692" s="242" t="n">
        <v>1.3</v>
      </c>
      <c r="L1692" s="122">
        <f>J1692-C1692-(J1692-C1692)*0.2</f>
        <v/>
      </c>
      <c r="M1692" s="123">
        <f>L1692*I1692</f>
        <v/>
      </c>
      <c r="N1692" s="124" t="inlineStr">
        <is>
          <t xml:space="preserve">50-90 шт - </t>
        </is>
      </c>
      <c r="O1692" s="47" t="inlineStr">
        <is>
          <t xml:space="preserve"> руб / шт с НДС</t>
        </is>
      </c>
      <c r="P1692" s="125">
        <f>ROUND(K1692,2)</f>
        <v/>
      </c>
      <c r="Q1692" s="207">
        <f>CONCATENATE(N1692,P1692,O1692,)</f>
        <v/>
      </c>
      <c r="R1692" s="235">
        <f>INDIRECT("'Закуп'!k" &amp; A1692)</f>
        <v/>
      </c>
      <c r="S1692" s="239">
        <f>INDIRECT("'Закуп'!o" &amp; A1692)</f>
        <v/>
      </c>
      <c r="T1692" s="226">
        <f>INDIRECT("'Закуп'!p" &amp; A1692)</f>
        <v/>
      </c>
      <c r="U1692" s="235">
        <f>INDIRECT("'Закуп'!v" &amp; A1692)</f>
        <v/>
      </c>
      <c r="V1692" s="222">
        <f>INDIRECT("'Закуп'!w" &amp; A1692)</f>
        <v/>
      </c>
      <c r="W1692" s="229">
        <f>INDIRECT("'Закуп'!H" &amp; A1692)</f>
        <v/>
      </c>
      <c r="X1692" s="237">
        <f>INDIRECT("'Закуп'!g" &amp; A1692)</f>
        <v/>
      </c>
      <c r="Y1692" s="229">
        <f>INDIRECT("'Закуп'!i" &amp; A1692)</f>
        <v/>
      </c>
      <c r="Z1692" s="236">
        <f>INDIRECT("'Закуп'!x" &amp; A1692)</f>
        <v/>
      </c>
      <c r="AA1692" s="237">
        <f>INDIRECT("'Закуп'!y" &amp; A1692)</f>
        <v/>
      </c>
      <c r="AB1692" s="238">
        <f>INDIRECT("'Закуп'!z" &amp; A1692)</f>
        <v/>
      </c>
      <c r="AC1692" s="223">
        <f>SUBSTITUTE(INDEX(F:F, ROUNDUP((ROW(A1691))/5,0)*5 - 3), "х", "x")</f>
        <v/>
      </c>
      <c r="AD1692" s="222">
        <f>SUBSTITUTE(INDEX(F:F, ROUNDUP((ROW(A1691))/5,0)*5 - 3), "х", "x") &amp; " - " &amp; SUBSTITUTE(SUBSTITUTE(INDEX(F:F, ROUNDUP((ROW(A1691))/5,0)*5 - 3), "х", "*"), "x", "*") &amp; " мм"</f>
        <v/>
      </c>
      <c r="AE1692" t="n">
        <v>1.75</v>
      </c>
    </row>
    <row r="1693">
      <c r="B1693" s="42" t="n">
        <v>340</v>
      </c>
      <c r="C1693" s="118">
        <f>INDIRECT("'Закуп'!A" &amp; B1693)</f>
        <v/>
      </c>
      <c r="D1693" s="119">
        <f>C1693*1.2</f>
        <v/>
      </c>
      <c r="G1693" s="172">
        <f>IF(INDIRECT("'Закуп'!L" &amp; B1693)="Sale","Sale","")</f>
        <v/>
      </c>
      <c r="H1693" s="158">
        <f>IF(INDIRECT("'Закуп'!F" &amp; B1693)=0,"",INDIRECT("'Закуп'!F" &amp; B1693))</f>
        <v/>
      </c>
      <c r="I1693" s="120" t="n">
        <v>100</v>
      </c>
      <c r="J1693" s="121">
        <f>K1693/1.2</f>
        <v/>
      </c>
      <c r="K1693" s="242" t="n">
        <v>1.12</v>
      </c>
      <c r="L1693" s="122">
        <f>J1693-C1693-(J1693-C1693)*0.2</f>
        <v/>
      </c>
      <c r="M1693" s="123">
        <f>L1693*I1693</f>
        <v/>
      </c>
      <c r="N1693" s="124" t="inlineStr">
        <is>
          <t xml:space="preserve">100-290 шт - </t>
        </is>
      </c>
      <c r="O1693" s="47" t="inlineStr">
        <is>
          <t xml:space="preserve"> руб / шт с НДС</t>
        </is>
      </c>
      <c r="P1693" s="125">
        <f>ROUND(K1693,2)</f>
        <v/>
      </c>
      <c r="Q1693" s="207">
        <f>CONCATENATE(N1693,P1693,O1693,)</f>
        <v/>
      </c>
      <c r="R1693" s="240" t="n"/>
      <c r="T1693" s="241" t="n"/>
      <c r="U1693" s="240" t="n"/>
      <c r="V1693" s="241" t="n"/>
      <c r="Z1693" s="240" t="n"/>
      <c r="AB1693" s="241" t="n"/>
      <c r="AC1693" s="240" t="n"/>
      <c r="AD1693" s="241" t="n"/>
      <c r="AE1693" t="n">
        <v>1.58</v>
      </c>
    </row>
    <row r="1694">
      <c r="B1694" s="42" t="n">
        <v>340</v>
      </c>
      <c r="C1694" s="118">
        <f>INDIRECT("'Закуп'!A" &amp; B1694)</f>
        <v/>
      </c>
      <c r="D1694" s="119">
        <f>C1694*1.2</f>
        <v/>
      </c>
      <c r="G1694" s="172">
        <f>IF(INDIRECT("'Закуп'!L" &amp; B1694)="Sale","Sale","")</f>
        <v/>
      </c>
      <c r="H1694" s="158">
        <f>IF(INDIRECT("'Закуп'!F" &amp; B1694)=0,"",INDIRECT("'Закуп'!F" &amp; B1694))</f>
        <v/>
      </c>
      <c r="I1694" s="120" t="n">
        <v>300</v>
      </c>
      <c r="J1694" s="121">
        <f>K1694/1.2</f>
        <v/>
      </c>
      <c r="K1694" s="242" t="n">
        <v>1.06</v>
      </c>
      <c r="L1694" s="122">
        <f>J1694-C1694-(J1694-C1694)*0.2</f>
        <v/>
      </c>
      <c r="M1694" s="123">
        <f>L1694*I1694</f>
        <v/>
      </c>
      <c r="N1694" s="124" t="inlineStr">
        <is>
          <t xml:space="preserve">300-490 шт - </t>
        </is>
      </c>
      <c r="O1694" s="47" t="inlineStr">
        <is>
          <t xml:space="preserve"> руб / шт с НДС</t>
        </is>
      </c>
      <c r="P1694" s="125">
        <f>ROUND(K1694,2)</f>
        <v/>
      </c>
      <c r="Q1694" s="207">
        <f>CONCATENATE(N1694,P1694,O1694,)</f>
        <v/>
      </c>
      <c r="R1694" s="240" t="n"/>
      <c r="T1694" s="241" t="n"/>
      <c r="U1694" s="240" t="n"/>
      <c r="V1694" s="241" t="n"/>
      <c r="Z1694" s="240" t="n"/>
      <c r="AB1694" s="241" t="n"/>
      <c r="AC1694" s="240" t="n"/>
      <c r="AD1694" s="241" t="n"/>
      <c r="AE1694" t="n">
        <v>1.43</v>
      </c>
    </row>
    <row r="1695">
      <c r="B1695" s="42" t="n">
        <v>340</v>
      </c>
      <c r="C1695" s="118">
        <f>INDIRECT("'Закуп'!A" &amp; B1695)</f>
        <v/>
      </c>
      <c r="D1695" s="119">
        <f>C1695*1.2</f>
        <v/>
      </c>
      <c r="G1695" s="172">
        <f>IF(INDIRECT("'Закуп'!L" &amp; B1695)="Sale","Sale","")</f>
        <v/>
      </c>
      <c r="H1695" s="158">
        <f>IF(INDIRECT("'Закуп'!F" &amp; B1695)=0,"",INDIRECT("'Закуп'!F" &amp; B1695))</f>
        <v/>
      </c>
      <c r="I1695" s="120" t="n">
        <v>500</v>
      </c>
      <c r="J1695" s="121">
        <f>K1695/1.2</f>
        <v/>
      </c>
      <c r="K1695" s="242" t="n">
        <v>1.01</v>
      </c>
      <c r="L1695" s="122">
        <f>J1695-C1695-(J1695-C1695)*0.2</f>
        <v/>
      </c>
      <c r="M1695" s="123">
        <f>L1695*I1695</f>
        <v/>
      </c>
      <c r="N1695" s="124" t="inlineStr">
        <is>
          <t xml:space="preserve">500-990 шт - </t>
        </is>
      </c>
      <c r="O1695" s="47" t="inlineStr">
        <is>
          <t xml:space="preserve"> руб / шт с НДС</t>
        </is>
      </c>
      <c r="P1695" s="125">
        <f>ROUND(K1695,2)</f>
        <v/>
      </c>
      <c r="Q1695" s="207">
        <f>CONCATENATE(N1695,P1695,O1695,)</f>
        <v/>
      </c>
      <c r="R1695" s="240" t="n"/>
      <c r="T1695" s="241" t="n"/>
      <c r="U1695" s="240" t="n"/>
      <c r="V1695" s="241" t="n"/>
      <c r="Z1695" s="240" t="n"/>
      <c r="AB1695" s="241" t="n"/>
      <c r="AC1695" s="240" t="n"/>
      <c r="AD1695" s="241" t="n"/>
      <c r="AE1695" t="n">
        <v>1.32</v>
      </c>
    </row>
    <row r="1696">
      <c r="B1696" s="42" t="n">
        <v>340</v>
      </c>
      <c r="C1696" s="118">
        <f>INDIRECT("'Закуп'!A" &amp; B1696)</f>
        <v/>
      </c>
      <c r="D1696" s="119">
        <f>C1696*1.2</f>
        <v/>
      </c>
      <c r="G1696" s="172">
        <f>IF(INDIRECT("'Закуп'!L" &amp; B1696)="Sale","Sale","")</f>
        <v/>
      </c>
      <c r="H1696" s="158">
        <f>IF(INDIRECT("'Закуп'!F" &amp; B1696)=0,"",INDIRECT("'Закуп'!F" &amp; B1696))</f>
        <v/>
      </c>
      <c r="I1696" s="120" t="n">
        <v>1000</v>
      </c>
      <c r="J1696" s="121">
        <f>K1696/1.2</f>
        <v/>
      </c>
      <c r="K1696" s="242" t="n">
        <v>0.9</v>
      </c>
      <c r="L1696" s="122">
        <f>J1696-C1696-(J1696-C1696)*0.2</f>
        <v/>
      </c>
      <c r="M1696" s="123">
        <f>L1696*I1696</f>
        <v/>
      </c>
      <c r="N1696" s="124" t="inlineStr">
        <is>
          <t xml:space="preserve">1000 + шт - </t>
        </is>
      </c>
      <c r="O1696" s="47" t="inlineStr">
        <is>
          <t xml:space="preserve"> руб / шт с НДС</t>
        </is>
      </c>
      <c r="P1696" s="125">
        <f>ROUND(K1696,2)</f>
        <v/>
      </c>
      <c r="Q1696" s="207">
        <f>CONCATENATE(N1696,P1696,O1696,)</f>
        <v/>
      </c>
      <c r="R1696" s="240" t="n"/>
      <c r="T1696" s="241" t="n"/>
      <c r="U1696" s="240" t="n"/>
      <c r="V1696" s="241" t="n"/>
      <c r="Z1696" s="240" t="n"/>
      <c r="AB1696" s="241" t="n"/>
      <c r="AC1696" s="240" t="n"/>
      <c r="AD1696" s="241" t="n"/>
      <c r="AE1696" t="n">
        <v>1.15</v>
      </c>
    </row>
    <row r="1697">
      <c r="A1697" s="232" t="n">
        <v>341</v>
      </c>
      <c r="B1697" s="42" t="n">
        <v>341</v>
      </c>
      <c r="C1697" s="118">
        <f>INDIRECT("'Закуп'!A" &amp; B1697)</f>
        <v/>
      </c>
      <c r="D1697" s="119">
        <f>C1697*1.2</f>
        <v/>
      </c>
      <c r="E1697" s="225">
        <f>INDIRECT("'Закуп'!D" &amp; A1697)</f>
        <v/>
      </c>
      <c r="F1697" s="231">
        <f>INDIRECT("'Закуп'!E" &amp; B1697)</f>
        <v/>
      </c>
      <c r="G1697" s="172">
        <f>IF(INDIRECT("'Закуп'!L" &amp; B1697)="Sale","Sale","")</f>
        <v/>
      </c>
      <c r="H1697" s="158">
        <f>IF(INDIRECT("'Закуп'!F" &amp; B1697)=0,"",INDIRECT("'Закуп'!F" &amp; B1697))</f>
        <v/>
      </c>
      <c r="I1697" s="120" t="n">
        <v>50</v>
      </c>
      <c r="J1697" s="121">
        <f>K1697/1.2</f>
        <v/>
      </c>
      <c r="K1697" s="242" t="n">
        <v>1.53</v>
      </c>
      <c r="L1697" s="122">
        <f>J1697-C1697-(J1697-C1697)*0.2</f>
        <v/>
      </c>
      <c r="M1697" s="123">
        <f>L1697*I1697</f>
        <v/>
      </c>
      <c r="N1697" s="124" t="inlineStr">
        <is>
          <t xml:space="preserve">50-90 шт - </t>
        </is>
      </c>
      <c r="O1697" s="47" t="inlineStr">
        <is>
          <t xml:space="preserve"> руб / шт с НДС</t>
        </is>
      </c>
      <c r="P1697" s="125">
        <f>ROUND(K1697,2)</f>
        <v/>
      </c>
      <c r="Q1697" s="207">
        <f>CONCATENATE(N1697,P1697,O1697,)</f>
        <v/>
      </c>
      <c r="R1697" s="235">
        <f>INDIRECT("'Закуп'!k" &amp; A1697)</f>
        <v/>
      </c>
      <c r="S1697" s="239">
        <f>INDIRECT("'Закуп'!o" &amp; A1697)</f>
        <v/>
      </c>
      <c r="T1697" s="226">
        <f>INDIRECT("'Закуп'!p" &amp; A1697)</f>
        <v/>
      </c>
      <c r="U1697" s="235">
        <f>INDIRECT("'Закуп'!v" &amp; A1697)</f>
        <v/>
      </c>
      <c r="V1697" s="222">
        <f>INDIRECT("'Закуп'!w" &amp; A1697)</f>
        <v/>
      </c>
      <c r="W1697" s="229">
        <f>INDIRECT("'Закуп'!H" &amp; A1697)</f>
        <v/>
      </c>
      <c r="X1697" s="237">
        <f>INDIRECT("'Закуп'!g" &amp; A1697)</f>
        <v/>
      </c>
      <c r="Y1697" s="229">
        <f>INDIRECT("'Закуп'!i" &amp; A1697)</f>
        <v/>
      </c>
      <c r="Z1697" s="236">
        <f>INDIRECT("'Закуп'!x" &amp; A1697)</f>
        <v/>
      </c>
      <c r="AA1697" s="237">
        <f>INDIRECT("'Закуп'!y" &amp; A1697)</f>
        <v/>
      </c>
      <c r="AB1697" s="238">
        <f>INDIRECT("'Закуп'!z" &amp; A1697)</f>
        <v/>
      </c>
      <c r="AC1697" s="223">
        <f>SUBSTITUTE(INDEX(F:F, ROUNDUP((ROW(A1696))/5,0)*5 - 3), "х", "x")</f>
        <v/>
      </c>
      <c r="AD1697" s="222">
        <f>SUBSTITUTE(INDEX(F:F, ROUNDUP((ROW(A1696))/5,0)*5 - 3), "х", "x") &amp; " - " &amp; SUBSTITUTE(SUBSTITUTE(INDEX(F:F, ROUNDUP((ROW(A1696))/5,0)*5 - 3), "х", "*"), "x", "*") &amp; " мм"</f>
        <v/>
      </c>
      <c r="AE1697" t="n">
        <v>2.02</v>
      </c>
    </row>
    <row r="1698">
      <c r="B1698" s="42" t="n">
        <v>341</v>
      </c>
      <c r="C1698" s="118">
        <f>INDIRECT("'Закуп'!A" &amp; B1698)</f>
        <v/>
      </c>
      <c r="D1698" s="119">
        <f>C1698*1.2</f>
        <v/>
      </c>
      <c r="G1698" s="172">
        <f>IF(INDIRECT("'Закуп'!L" &amp; B1698)="Sale","Sale","")</f>
        <v/>
      </c>
      <c r="H1698" s="158">
        <f>IF(INDIRECT("'Закуп'!F" &amp; B1698)=0,"",INDIRECT("'Закуп'!F" &amp; B1698))</f>
        <v/>
      </c>
      <c r="I1698" s="120" t="n">
        <v>100</v>
      </c>
      <c r="J1698" s="121">
        <f>K1698/1.2</f>
        <v/>
      </c>
      <c r="K1698" s="242" t="n">
        <v>1.3</v>
      </c>
      <c r="L1698" s="122">
        <f>J1698-C1698-(J1698-C1698)*0.2</f>
        <v/>
      </c>
      <c r="M1698" s="123">
        <f>L1698*I1698</f>
        <v/>
      </c>
      <c r="N1698" s="124" t="inlineStr">
        <is>
          <t xml:space="preserve">100-290 шт - </t>
        </is>
      </c>
      <c r="O1698" s="47" t="inlineStr">
        <is>
          <t xml:space="preserve"> руб / шт с НДС</t>
        </is>
      </c>
      <c r="P1698" s="125">
        <f>ROUND(K1698,2)</f>
        <v/>
      </c>
      <c r="Q1698" s="207">
        <f>CONCATENATE(N1698,P1698,O1698,)</f>
        <v/>
      </c>
      <c r="R1698" s="240" t="n"/>
      <c r="T1698" s="241" t="n"/>
      <c r="U1698" s="240" t="n"/>
      <c r="V1698" s="241" t="n"/>
      <c r="Z1698" s="240" t="n"/>
      <c r="AB1698" s="241" t="n"/>
      <c r="AC1698" s="240" t="n"/>
      <c r="AD1698" s="241" t="n"/>
      <c r="AE1698" t="n">
        <v>1.7</v>
      </c>
    </row>
    <row r="1699">
      <c r="B1699" s="42" t="n">
        <v>341</v>
      </c>
      <c r="C1699" s="118">
        <f>INDIRECT("'Закуп'!A" &amp; B1699)</f>
        <v/>
      </c>
      <c r="D1699" s="119">
        <f>C1699*1.2</f>
        <v/>
      </c>
      <c r="G1699" s="172">
        <f>IF(INDIRECT("'Закуп'!L" &amp; B1699)="Sale","Sale","")</f>
        <v/>
      </c>
      <c r="H1699" s="158">
        <f>IF(INDIRECT("'Закуп'!F" &amp; B1699)=0,"",INDIRECT("'Закуп'!F" &amp; B1699))</f>
        <v/>
      </c>
      <c r="I1699" s="120" t="n">
        <v>300</v>
      </c>
      <c r="J1699" s="121">
        <f>K1699/1.2</f>
        <v/>
      </c>
      <c r="K1699" s="242" t="n">
        <v>1.23</v>
      </c>
      <c r="L1699" s="122">
        <f>J1699-C1699-(J1699-C1699)*0.2</f>
        <v/>
      </c>
      <c r="M1699" s="123">
        <f>L1699*I1699</f>
        <v/>
      </c>
      <c r="N1699" s="124" t="inlineStr">
        <is>
          <t xml:space="preserve">300-490 шт - </t>
        </is>
      </c>
      <c r="O1699" s="47" t="inlineStr">
        <is>
          <t xml:space="preserve"> руб / шт с НДС</t>
        </is>
      </c>
      <c r="P1699" s="125">
        <f>ROUND(K1699,2)</f>
        <v/>
      </c>
      <c r="Q1699" s="207">
        <f>CONCATENATE(N1699,P1699,O1699,)</f>
        <v/>
      </c>
      <c r="R1699" s="240" t="n"/>
      <c r="T1699" s="241" t="n"/>
      <c r="U1699" s="240" t="n"/>
      <c r="V1699" s="241" t="n"/>
      <c r="Z1699" s="240" t="n"/>
      <c r="AB1699" s="241" t="n"/>
      <c r="AC1699" s="240" t="n"/>
      <c r="AD1699" s="241" t="n"/>
      <c r="AE1699" t="n">
        <v>1.65</v>
      </c>
    </row>
    <row r="1700">
      <c r="B1700" s="42" t="n">
        <v>341</v>
      </c>
      <c r="C1700" s="118">
        <f>INDIRECT("'Закуп'!A" &amp; B1700)</f>
        <v/>
      </c>
      <c r="D1700" s="119">
        <f>C1700*1.2</f>
        <v/>
      </c>
      <c r="G1700" s="172">
        <f>IF(INDIRECT("'Закуп'!L" &amp; B1700)="Sale","Sale","")</f>
        <v/>
      </c>
      <c r="H1700" s="158">
        <f>IF(INDIRECT("'Закуп'!F" &amp; B1700)=0,"",INDIRECT("'Закуп'!F" &amp; B1700))</f>
        <v/>
      </c>
      <c r="I1700" s="120" t="n">
        <v>500</v>
      </c>
      <c r="J1700" s="121">
        <f>K1700/1.2</f>
        <v/>
      </c>
      <c r="K1700" s="242" t="n">
        <v>1.17</v>
      </c>
      <c r="L1700" s="122">
        <f>J1700-C1700-(J1700-C1700)*0.2</f>
        <v/>
      </c>
      <c r="M1700" s="123">
        <f>L1700*I1700</f>
        <v/>
      </c>
      <c r="N1700" s="124" t="inlineStr">
        <is>
          <t xml:space="preserve">500-990 шт - </t>
        </is>
      </c>
      <c r="O1700" s="47" t="inlineStr">
        <is>
          <t xml:space="preserve"> руб / шт с НДС</t>
        </is>
      </c>
      <c r="P1700" s="125">
        <f>ROUND(K1700,2)</f>
        <v/>
      </c>
      <c r="Q1700" s="207">
        <f>CONCATENATE(N1700,P1700,O1700,)</f>
        <v/>
      </c>
      <c r="R1700" s="240" t="n"/>
      <c r="T1700" s="241" t="n"/>
      <c r="U1700" s="240" t="n"/>
      <c r="V1700" s="241" t="n"/>
      <c r="Z1700" s="240" t="n"/>
      <c r="AB1700" s="241" t="n"/>
      <c r="AC1700" s="240" t="n"/>
      <c r="AD1700" s="241" t="n"/>
      <c r="AE1700" t="n">
        <v>1.54</v>
      </c>
    </row>
    <row r="1701">
      <c r="B1701" s="42" t="n">
        <v>341</v>
      </c>
      <c r="C1701" s="118">
        <f>INDIRECT("'Закуп'!A" &amp; B1701)</f>
        <v/>
      </c>
      <c r="D1701" s="119">
        <f>C1701*1.2</f>
        <v/>
      </c>
      <c r="G1701" s="172">
        <f>IF(INDIRECT("'Закуп'!L" &amp; B1701)="Sale","Sale","")</f>
        <v/>
      </c>
      <c r="H1701" s="158">
        <f>IF(INDIRECT("'Закуп'!F" &amp; B1701)=0,"",INDIRECT("'Закуп'!F" &amp; B1701))</f>
        <v/>
      </c>
      <c r="I1701" s="120" t="n">
        <v>1000</v>
      </c>
      <c r="J1701" s="121">
        <f>K1701/1.2</f>
        <v/>
      </c>
      <c r="K1701" s="242" t="n">
        <v>1.1</v>
      </c>
      <c r="L1701" s="122">
        <f>J1701-C1701-(J1701-C1701)*0.2</f>
        <v/>
      </c>
      <c r="M1701" s="123">
        <f>L1701*I1701</f>
        <v/>
      </c>
      <c r="N1701" s="124" t="inlineStr">
        <is>
          <t xml:space="preserve">1000 + шт - </t>
        </is>
      </c>
      <c r="O1701" s="47" t="inlineStr">
        <is>
          <t xml:space="preserve"> руб / шт с НДС</t>
        </is>
      </c>
      <c r="P1701" s="125">
        <f>ROUND(K1701,2)</f>
        <v/>
      </c>
      <c r="Q1701" s="207">
        <f>CONCATENATE(N1701,P1701,O1701,)</f>
        <v/>
      </c>
      <c r="R1701" s="240" t="n"/>
      <c r="T1701" s="241" t="n"/>
      <c r="U1701" s="240" t="n"/>
      <c r="V1701" s="241" t="n"/>
      <c r="Z1701" s="240" t="n"/>
      <c r="AB1701" s="241" t="n"/>
      <c r="AC1701" s="240" t="n"/>
      <c r="AD1701" s="241" t="n"/>
      <c r="AE1701" t="n">
        <v>1.45</v>
      </c>
    </row>
    <row r="1702">
      <c r="A1702" s="232" t="n">
        <v>342</v>
      </c>
      <c r="B1702" s="42" t="n">
        <v>342</v>
      </c>
      <c r="C1702" s="118">
        <f>INDIRECT("'Закуп'!A" &amp; B1702)</f>
        <v/>
      </c>
      <c r="D1702" s="119">
        <f>C1702*1.2</f>
        <v/>
      </c>
      <c r="E1702" s="225">
        <f>INDIRECT("'Закуп'!D" &amp; A1702)</f>
        <v/>
      </c>
      <c r="F1702" s="231">
        <f>INDIRECT("'Закуп'!E" &amp; B1702)</f>
        <v/>
      </c>
      <c r="G1702" s="172">
        <f>IF(INDIRECT("'Закуп'!L" &amp; B1702)="Sale","Sale","")</f>
        <v/>
      </c>
      <c r="H1702" s="158">
        <f>IF(INDIRECT("'Закуп'!F" &amp; B1702)=0,"",INDIRECT("'Закуп'!F" &amp; B1702))</f>
        <v/>
      </c>
      <c r="I1702" s="120" t="n">
        <v>50</v>
      </c>
      <c r="J1702" s="121">
        <f>K1702/1.2</f>
        <v/>
      </c>
      <c r="L1702" s="122">
        <f>J1702-C1702-(J1702-C1702)*0.2</f>
        <v/>
      </c>
      <c r="M1702" s="123">
        <f>L1702*I1702</f>
        <v/>
      </c>
      <c r="N1702" s="124" t="inlineStr">
        <is>
          <t xml:space="preserve">50-90 шт - </t>
        </is>
      </c>
      <c r="O1702" s="47" t="inlineStr">
        <is>
          <t xml:space="preserve"> руб / шт с НДС</t>
        </is>
      </c>
      <c r="P1702" s="125">
        <f>ROUND(K1702,2)</f>
        <v/>
      </c>
      <c r="Q1702" s="207">
        <f>CONCATENATE(N1702,P1702,O1702,)</f>
        <v/>
      </c>
      <c r="R1702" s="235">
        <f>INDIRECT("'Закуп'!k" &amp; A1702)</f>
        <v/>
      </c>
      <c r="S1702" s="239">
        <f>INDIRECT("'Закуп'!o" &amp; A1702)</f>
        <v/>
      </c>
      <c r="T1702" s="226">
        <f>INDIRECT("'Закуп'!p" &amp; A1702)</f>
        <v/>
      </c>
      <c r="U1702" s="235">
        <f>INDIRECT("'Закуп'!v" &amp; A1702)</f>
        <v/>
      </c>
      <c r="V1702" s="222">
        <f>INDIRECT("'Закуп'!w" &amp; A1702)</f>
        <v/>
      </c>
      <c r="W1702" s="229">
        <f>INDIRECT("'Закуп'!H" &amp; A1702)</f>
        <v/>
      </c>
      <c r="X1702" s="237">
        <f>INDIRECT("'Закуп'!g" &amp; A1702)</f>
        <v/>
      </c>
      <c r="Y1702" s="229">
        <f>INDIRECT("'Закуп'!i" &amp; A1702)</f>
        <v/>
      </c>
      <c r="Z1702" s="236">
        <f>INDIRECT("'Закуп'!x" &amp; A1702)</f>
        <v/>
      </c>
      <c r="AA1702" s="237">
        <f>INDIRECT("'Закуп'!y" &amp; A1702)</f>
        <v/>
      </c>
      <c r="AB1702" s="238">
        <f>INDIRECT("'Закуп'!z" &amp; A1702)</f>
        <v/>
      </c>
      <c r="AC1702" s="223">
        <f>SUBSTITUTE(INDEX(F:F, ROUNDUP((ROW(A1701))/5,0)*5 - 3), "х", "x")</f>
        <v/>
      </c>
      <c r="AD1702" s="222">
        <f>SUBSTITUTE(INDEX(F:F, ROUNDUP((ROW(A1701))/5,0)*5 - 3), "х", "x") &amp; " - " &amp; SUBSTITUTE(SUBSTITUTE(INDEX(F:F, ROUNDUP((ROW(A1701))/5,0)*5 - 3), "х", "*"), "x", "*") &amp; " мм"</f>
        <v/>
      </c>
    </row>
    <row r="1703">
      <c r="B1703" s="42" t="n">
        <v>342</v>
      </c>
      <c r="C1703" s="118">
        <f>INDIRECT("'Закуп'!A" &amp; B1703)</f>
        <v/>
      </c>
      <c r="D1703" s="119">
        <f>C1703*1.2</f>
        <v/>
      </c>
      <c r="G1703" s="172">
        <f>IF(INDIRECT("'Закуп'!L" &amp; B1703)="Sale","Sale","")</f>
        <v/>
      </c>
      <c r="H1703" s="158">
        <f>IF(INDIRECT("'Закуп'!F" &amp; B1703)=0,"",INDIRECT("'Закуп'!F" &amp; B1703))</f>
        <v/>
      </c>
      <c r="I1703" s="120" t="n">
        <v>100</v>
      </c>
      <c r="J1703" s="121">
        <f>K1703/1.2</f>
        <v/>
      </c>
      <c r="L1703" s="122">
        <f>J1703-C1703-(J1703-C1703)*0.2</f>
        <v/>
      </c>
      <c r="M1703" s="123">
        <f>L1703*I1703</f>
        <v/>
      </c>
      <c r="N1703" s="124" t="inlineStr">
        <is>
          <t xml:space="preserve">100-290 шт - </t>
        </is>
      </c>
      <c r="O1703" s="47" t="inlineStr">
        <is>
          <t xml:space="preserve"> руб / шт с НДС</t>
        </is>
      </c>
      <c r="P1703" s="125">
        <f>ROUND(K1703,2)</f>
        <v/>
      </c>
      <c r="Q1703" s="207">
        <f>CONCATENATE(N1703,P1703,O1703,)</f>
        <v/>
      </c>
      <c r="R1703" s="240" t="n"/>
      <c r="T1703" s="241" t="n"/>
      <c r="U1703" s="240" t="n"/>
      <c r="V1703" s="241" t="n"/>
      <c r="Z1703" s="240" t="n"/>
      <c r="AB1703" s="241" t="n"/>
      <c r="AC1703" s="240" t="n"/>
      <c r="AD1703" s="241" t="n"/>
    </row>
    <row r="1704">
      <c r="B1704" s="42" t="n">
        <v>342</v>
      </c>
      <c r="C1704" s="118">
        <f>INDIRECT("'Закуп'!A" &amp; B1704)</f>
        <v/>
      </c>
      <c r="D1704" s="119">
        <f>C1704*1.2</f>
        <v/>
      </c>
      <c r="G1704" s="172">
        <f>IF(INDIRECT("'Закуп'!L" &amp; B1704)="Sale","Sale","")</f>
        <v/>
      </c>
      <c r="H1704" s="158">
        <f>IF(INDIRECT("'Закуп'!F" &amp; B1704)=0,"",INDIRECT("'Закуп'!F" &amp; B1704))</f>
        <v/>
      </c>
      <c r="I1704" s="120" t="n">
        <v>300</v>
      </c>
      <c r="J1704" s="121">
        <f>K1704/1.2</f>
        <v/>
      </c>
      <c r="L1704" s="122">
        <f>J1704-C1704-(J1704-C1704)*0.2</f>
        <v/>
      </c>
      <c r="M1704" s="123">
        <f>L1704*I1704</f>
        <v/>
      </c>
      <c r="N1704" s="124" t="inlineStr">
        <is>
          <t xml:space="preserve">300-490 шт - </t>
        </is>
      </c>
      <c r="O1704" s="47" t="inlineStr">
        <is>
          <t xml:space="preserve"> руб / шт с НДС</t>
        </is>
      </c>
      <c r="P1704" s="125">
        <f>ROUND(K1704,2)</f>
        <v/>
      </c>
      <c r="Q1704" s="207">
        <f>CONCATENATE(N1704,P1704,O1704,)</f>
        <v/>
      </c>
      <c r="R1704" s="240" t="n"/>
      <c r="T1704" s="241" t="n"/>
      <c r="U1704" s="240" t="n"/>
      <c r="V1704" s="241" t="n"/>
      <c r="Z1704" s="240" t="n"/>
      <c r="AB1704" s="241" t="n"/>
      <c r="AC1704" s="240" t="n"/>
      <c r="AD1704" s="241" t="n"/>
    </row>
    <row r="1705">
      <c r="B1705" s="42" t="n">
        <v>342</v>
      </c>
      <c r="C1705" s="118">
        <f>INDIRECT("'Закуп'!A" &amp; B1705)</f>
        <v/>
      </c>
      <c r="D1705" s="119">
        <f>C1705*1.2</f>
        <v/>
      </c>
      <c r="G1705" s="172">
        <f>IF(INDIRECT("'Закуп'!L" &amp; B1705)="Sale","Sale","")</f>
        <v/>
      </c>
      <c r="H1705" s="158">
        <f>IF(INDIRECT("'Закуп'!F" &amp; B1705)=0,"",INDIRECT("'Закуп'!F" &amp; B1705))</f>
        <v/>
      </c>
      <c r="I1705" s="120" t="n">
        <v>500</v>
      </c>
      <c r="J1705" s="121">
        <f>K1705/1.2</f>
        <v/>
      </c>
      <c r="L1705" s="122">
        <f>J1705-C1705-(J1705-C1705)*0.2</f>
        <v/>
      </c>
      <c r="M1705" s="123">
        <f>L1705*I1705</f>
        <v/>
      </c>
      <c r="N1705" s="124" t="inlineStr">
        <is>
          <t xml:space="preserve">500-990 шт - </t>
        </is>
      </c>
      <c r="O1705" s="47" t="inlineStr">
        <is>
          <t xml:space="preserve"> руб / шт с НДС</t>
        </is>
      </c>
      <c r="P1705" s="125">
        <f>ROUND(K1705,2)</f>
        <v/>
      </c>
      <c r="Q1705" s="207">
        <f>CONCATENATE(N1705,P1705,O1705,)</f>
        <v/>
      </c>
      <c r="R1705" s="240" t="n"/>
      <c r="T1705" s="241" t="n"/>
      <c r="U1705" s="240" t="n"/>
      <c r="V1705" s="241" t="n"/>
      <c r="Z1705" s="240" t="n"/>
      <c r="AB1705" s="241" t="n"/>
      <c r="AC1705" s="240" t="n"/>
      <c r="AD1705" s="241" t="n"/>
    </row>
    <row r="1706">
      <c r="B1706" s="42" t="n">
        <v>342</v>
      </c>
      <c r="C1706" s="118">
        <f>INDIRECT("'Закуп'!A" &amp; B1706)</f>
        <v/>
      </c>
      <c r="D1706" s="119">
        <f>C1706*1.2</f>
        <v/>
      </c>
      <c r="G1706" s="172">
        <f>IF(INDIRECT("'Закуп'!L" &amp; B1706)="Sale","Sale","")</f>
        <v/>
      </c>
      <c r="H1706" s="158">
        <f>IF(INDIRECT("'Закуп'!F" &amp; B1706)=0,"",INDIRECT("'Закуп'!F" &amp; B1706))</f>
        <v/>
      </c>
      <c r="I1706" s="120" t="n">
        <v>1000</v>
      </c>
      <c r="J1706" s="121">
        <f>K1706/1.2</f>
        <v/>
      </c>
      <c r="L1706" s="122">
        <f>J1706-C1706-(J1706-C1706)*0.2</f>
        <v/>
      </c>
      <c r="M1706" s="123">
        <f>L1706*I1706</f>
        <v/>
      </c>
      <c r="N1706" s="124" t="inlineStr">
        <is>
          <t xml:space="preserve">1000 + шт - </t>
        </is>
      </c>
      <c r="O1706" s="47" t="inlineStr">
        <is>
          <t xml:space="preserve"> руб / шт с НДС</t>
        </is>
      </c>
      <c r="P1706" s="125">
        <f>ROUND(K1706,2)</f>
        <v/>
      </c>
      <c r="Q1706" s="207">
        <f>CONCATENATE(N1706,P1706,O1706,)</f>
        <v/>
      </c>
      <c r="R1706" s="240" t="n"/>
      <c r="T1706" s="241" t="n"/>
      <c r="U1706" s="240" t="n"/>
      <c r="V1706" s="241" t="n"/>
      <c r="Z1706" s="240" t="n"/>
      <c r="AB1706" s="241" t="n"/>
      <c r="AC1706" s="240" t="n"/>
      <c r="AD1706" s="241" t="n"/>
    </row>
    <row r="1707">
      <c r="A1707" s="232" t="n">
        <v>343</v>
      </c>
      <c r="B1707" s="42" t="n">
        <v>343</v>
      </c>
      <c r="C1707" s="118">
        <f>INDIRECT("'Закуп'!A" &amp; B1707)</f>
        <v/>
      </c>
      <c r="D1707" s="119">
        <f>C1707*1.2</f>
        <v/>
      </c>
      <c r="F1707" s="231">
        <f>INDIRECT("'Закуп'!E" &amp; B1707)</f>
        <v/>
      </c>
      <c r="G1707" s="172">
        <f>IF(INDIRECT("'Закуп'!L" &amp; B1707)="Sale","Sale","")</f>
        <v/>
      </c>
      <c r="H1707" s="158">
        <f>IF(INDIRECT("'Закуп'!F" &amp; B1707)=0,"",INDIRECT("'Закуп'!F" &amp; B1707))</f>
        <v/>
      </c>
      <c r="J1707" s="121">
        <f>K1707/1.2</f>
        <v/>
      </c>
      <c r="L1707" s="122">
        <f>J1707-C1707-(J1707-C1707)*0.2</f>
        <v/>
      </c>
      <c r="M1707" s="123">
        <f>L1707*I1707</f>
        <v/>
      </c>
      <c r="N1707" s="124" t="inlineStr">
        <is>
          <t xml:space="preserve">50-90 шт - </t>
        </is>
      </c>
      <c r="O1707" s="47" t="inlineStr">
        <is>
          <t xml:space="preserve"> руб / шт с НДС</t>
        </is>
      </c>
      <c r="P1707" s="125">
        <f>ROUND(K1707,2)</f>
        <v/>
      </c>
      <c r="Q1707" s="207">
        <f>CONCATENATE(N1707,P1707,O1707,)</f>
        <v/>
      </c>
      <c r="R1707" s="235">
        <f>INDIRECT("'Закуп'!k" &amp; A1707)</f>
        <v/>
      </c>
      <c r="S1707" s="239">
        <f>INDIRECT("'Закуп'!o" &amp; A1707)</f>
        <v/>
      </c>
      <c r="T1707" s="226">
        <f>INDIRECT("'Закуп'!p" &amp; A1707)</f>
        <v/>
      </c>
      <c r="U1707" s="235">
        <f>INDIRECT("'Закуп'!v" &amp; A1707)</f>
        <v/>
      </c>
      <c r="V1707" s="222">
        <f>INDIRECT("'Закуп'!w" &amp; A1707)</f>
        <v/>
      </c>
      <c r="W1707" s="229">
        <f>INDIRECT("'Закуп'!H" &amp; A1707)</f>
        <v/>
      </c>
      <c r="X1707" s="237">
        <f>INDIRECT("'Закуп'!g" &amp; A1707)</f>
        <v/>
      </c>
      <c r="Y1707" s="229">
        <f>INDIRECT("'Закуп'!i" &amp; A1707)</f>
        <v/>
      </c>
      <c r="Z1707" s="236">
        <f>INDIRECT("'Закуп'!x" &amp; A1707)</f>
        <v/>
      </c>
      <c r="AA1707" s="237">
        <f>INDIRECT("'Закуп'!y" &amp; A1707)</f>
        <v/>
      </c>
      <c r="AB1707" s="238">
        <f>INDIRECT("'Закуп'!z" &amp; A1707)</f>
        <v/>
      </c>
      <c r="AC1707" s="223">
        <f>SUBSTITUTE(INDEX(F:F, ROUNDUP((ROW(A1706))/5,0)*5 - 3), "х", "x")</f>
        <v/>
      </c>
      <c r="AD1707" s="222">
        <f>SUBSTITUTE(INDEX(F:F, ROUNDUP((ROW(A1706))/5,0)*5 - 3), "х", "x") &amp; " - " &amp; SUBSTITUTE(SUBSTITUTE(INDEX(F:F, ROUNDUP((ROW(A1706))/5,0)*5 - 3), "х", "*"), "x", "*") &amp; " мм"</f>
        <v/>
      </c>
    </row>
    <row r="1708">
      <c r="B1708" s="42" t="n">
        <v>343</v>
      </c>
      <c r="C1708" s="118">
        <f>INDIRECT("'Закуп'!A" &amp; B1708)</f>
        <v/>
      </c>
      <c r="D1708" s="119">
        <f>C1708*1.2</f>
        <v/>
      </c>
      <c r="G1708" s="172">
        <f>IF(INDIRECT("'Закуп'!L" &amp; B1708)="Sale","Sale","")</f>
        <v/>
      </c>
      <c r="H1708" s="158">
        <f>IF(INDIRECT("'Закуп'!F" &amp; B1708)=0,"",INDIRECT("'Закуп'!F" &amp; B1708))</f>
        <v/>
      </c>
      <c r="J1708" s="121">
        <f>K1708/1.2</f>
        <v/>
      </c>
      <c r="L1708" s="122">
        <f>J1708-C1708-(J1708-C1708)*0.2</f>
        <v/>
      </c>
      <c r="M1708" s="123">
        <f>L1708*I1708</f>
        <v/>
      </c>
      <c r="N1708" s="124" t="inlineStr">
        <is>
          <t xml:space="preserve">100-290 шт - </t>
        </is>
      </c>
      <c r="O1708" s="47" t="inlineStr">
        <is>
          <t xml:space="preserve"> руб / шт с НДС</t>
        </is>
      </c>
      <c r="P1708" s="125">
        <f>ROUND(K1708,2)</f>
        <v/>
      </c>
      <c r="Q1708" s="207">
        <f>CONCATENATE(N1708,P1708,O1708,)</f>
        <v/>
      </c>
      <c r="R1708" s="240" t="n"/>
      <c r="T1708" s="241" t="n"/>
      <c r="U1708" s="240" t="n"/>
      <c r="V1708" s="241" t="n"/>
      <c r="Z1708" s="240" t="n"/>
      <c r="AB1708" s="241" t="n"/>
      <c r="AC1708" s="240" t="n"/>
      <c r="AD1708" s="241" t="n"/>
    </row>
    <row r="1709">
      <c r="B1709" s="42" t="n">
        <v>343</v>
      </c>
      <c r="C1709" s="118">
        <f>INDIRECT("'Закуп'!A" &amp; B1709)</f>
        <v/>
      </c>
      <c r="D1709" s="119">
        <f>C1709*1.2</f>
        <v/>
      </c>
      <c r="G1709" s="172">
        <f>IF(INDIRECT("'Закуп'!L" &amp; B1709)="Sale","Sale","")</f>
        <v/>
      </c>
      <c r="H1709" s="158">
        <f>IF(INDIRECT("'Закуп'!F" &amp; B1709)=0,"",INDIRECT("'Закуп'!F" &amp; B1709))</f>
        <v/>
      </c>
      <c r="J1709" s="121">
        <f>K1709/1.2</f>
        <v/>
      </c>
      <c r="L1709" s="122">
        <f>J1709-C1709-(J1709-C1709)*0.2</f>
        <v/>
      </c>
      <c r="M1709" s="123">
        <f>L1709*I1709</f>
        <v/>
      </c>
      <c r="N1709" s="124" t="inlineStr">
        <is>
          <t xml:space="preserve">300-490 шт - </t>
        </is>
      </c>
      <c r="O1709" s="47" t="inlineStr">
        <is>
          <t xml:space="preserve"> руб / шт с НДС</t>
        </is>
      </c>
      <c r="P1709" s="125">
        <f>ROUND(K1709,2)</f>
        <v/>
      </c>
      <c r="Q1709" s="207">
        <f>CONCATENATE(N1709,P1709,O1709,)</f>
        <v/>
      </c>
      <c r="R1709" s="240" t="n"/>
      <c r="T1709" s="241" t="n"/>
      <c r="U1709" s="240" t="n"/>
      <c r="V1709" s="241" t="n"/>
      <c r="Z1709" s="240" t="n"/>
      <c r="AB1709" s="241" t="n"/>
      <c r="AC1709" s="240" t="n"/>
      <c r="AD1709" s="241" t="n"/>
    </row>
    <row r="1710">
      <c r="B1710" s="42" t="n">
        <v>343</v>
      </c>
      <c r="C1710" s="118">
        <f>INDIRECT("'Закуп'!A" &amp; B1710)</f>
        <v/>
      </c>
      <c r="D1710" s="119">
        <f>C1710*1.2</f>
        <v/>
      </c>
      <c r="G1710" s="172">
        <f>IF(INDIRECT("'Закуп'!L" &amp; B1710)="Sale","Sale","")</f>
        <v/>
      </c>
      <c r="H1710" s="158">
        <f>IF(INDIRECT("'Закуп'!F" &amp; B1710)=0,"",INDIRECT("'Закуп'!F" &amp; B1710))</f>
        <v/>
      </c>
      <c r="J1710" s="121">
        <f>K1710/1.2</f>
        <v/>
      </c>
      <c r="L1710" s="122">
        <f>J1710-C1710-(J1710-C1710)*0.2</f>
        <v/>
      </c>
      <c r="M1710" s="123">
        <f>L1710*I1710</f>
        <v/>
      </c>
      <c r="N1710" s="124" t="inlineStr">
        <is>
          <t xml:space="preserve">500-990 шт - </t>
        </is>
      </c>
      <c r="O1710" s="47" t="inlineStr">
        <is>
          <t xml:space="preserve"> руб / шт с НДС</t>
        </is>
      </c>
      <c r="P1710" s="125">
        <f>ROUND(K1710,2)</f>
        <v/>
      </c>
      <c r="Q1710" s="207">
        <f>CONCATENATE(N1710,P1710,O1710,)</f>
        <v/>
      </c>
      <c r="R1710" s="240" t="n"/>
      <c r="T1710" s="241" t="n"/>
      <c r="U1710" s="240" t="n"/>
      <c r="V1710" s="241" t="n"/>
      <c r="Z1710" s="240" t="n"/>
      <c r="AB1710" s="241" t="n"/>
      <c r="AC1710" s="240" t="n"/>
      <c r="AD1710" s="241" t="n"/>
    </row>
    <row r="1711">
      <c r="B1711" s="42" t="n">
        <v>343</v>
      </c>
      <c r="C1711" s="118">
        <f>INDIRECT("'Закуп'!A" &amp; B1711)</f>
        <v/>
      </c>
      <c r="D1711" s="119">
        <f>C1711*1.2</f>
        <v/>
      </c>
      <c r="G1711" s="172">
        <f>IF(INDIRECT("'Закуп'!L" &amp; B1711)="Sale","Sale","")</f>
        <v/>
      </c>
      <c r="H1711" s="158">
        <f>IF(INDIRECT("'Закуп'!F" &amp; B1711)=0,"",INDIRECT("'Закуп'!F" &amp; B1711))</f>
        <v/>
      </c>
      <c r="J1711" s="121">
        <f>K1711/1.2</f>
        <v/>
      </c>
      <c r="L1711" s="122">
        <f>J1711-C1711-(J1711-C1711)*0.2</f>
        <v/>
      </c>
      <c r="M1711" s="123">
        <f>L1711*I1711</f>
        <v/>
      </c>
      <c r="N1711" s="124" t="inlineStr">
        <is>
          <t xml:space="preserve">1000 + шт - </t>
        </is>
      </c>
      <c r="O1711" s="47" t="inlineStr">
        <is>
          <t xml:space="preserve"> руб / шт с НДС</t>
        </is>
      </c>
      <c r="P1711" s="125">
        <f>ROUND(K1711,2)</f>
        <v/>
      </c>
      <c r="Q1711" s="207">
        <f>CONCATENATE(N1711,P1711,O1711,)</f>
        <v/>
      </c>
      <c r="R1711" s="240" t="n"/>
      <c r="T1711" s="241" t="n"/>
      <c r="U1711" s="240" t="n"/>
      <c r="V1711" s="241" t="n"/>
      <c r="Z1711" s="240" t="n"/>
      <c r="AB1711" s="241" t="n"/>
      <c r="AC1711" s="240" t="n"/>
      <c r="AD1711" s="241" t="n"/>
    </row>
    <row r="1712">
      <c r="A1712" s="232" t="n">
        <v>344</v>
      </c>
      <c r="B1712" s="42" t="n">
        <v>344</v>
      </c>
      <c r="C1712" s="118">
        <f>INDIRECT("'Закуп'!A" &amp; B1712)</f>
        <v/>
      </c>
      <c r="D1712" s="119">
        <f>C1712*1.2</f>
        <v/>
      </c>
      <c r="F1712" s="231">
        <f>INDIRECT("'Закуп'!E" &amp; B1712)</f>
        <v/>
      </c>
      <c r="G1712" s="172">
        <f>IF(INDIRECT("'Закуп'!L" &amp; B1712)="Sale","Sale","")</f>
        <v/>
      </c>
      <c r="H1712" s="158">
        <f>IF(INDIRECT("'Закуп'!F" &amp; B1712)=0,"",INDIRECT("'Закуп'!F" &amp; B1712))</f>
        <v/>
      </c>
      <c r="J1712" s="121">
        <f>K1712/1.2</f>
        <v/>
      </c>
      <c r="L1712" s="122">
        <f>J1712-C1712-(J1712-C1712)*0.2</f>
        <v/>
      </c>
      <c r="M1712" s="123">
        <f>L1712*I1712</f>
        <v/>
      </c>
      <c r="N1712" s="124" t="inlineStr">
        <is>
          <t xml:space="preserve">50-90 шт - </t>
        </is>
      </c>
      <c r="O1712" s="47" t="inlineStr">
        <is>
          <t xml:space="preserve"> руб / шт с НДС</t>
        </is>
      </c>
      <c r="P1712" s="125">
        <f>ROUND(K1712,2)</f>
        <v/>
      </c>
      <c r="Q1712" s="207">
        <f>CONCATENATE(N1712,P1712,O1712,)</f>
        <v/>
      </c>
      <c r="R1712" s="235">
        <f>INDIRECT("'Закуп'!k" &amp; A1712)</f>
        <v/>
      </c>
      <c r="S1712" s="239">
        <f>INDIRECT("'Закуп'!o" &amp; A1712)</f>
        <v/>
      </c>
      <c r="T1712" s="226">
        <f>INDIRECT("'Закуп'!p" &amp; A1712)</f>
        <v/>
      </c>
      <c r="U1712" s="235">
        <f>INDIRECT("'Закуп'!v" &amp; A1712)</f>
        <v/>
      </c>
      <c r="V1712" s="222">
        <f>INDIRECT("'Закуп'!w" &amp; A1712)</f>
        <v/>
      </c>
      <c r="W1712" s="229">
        <f>INDIRECT("'Закуп'!H" &amp; A1712)</f>
        <v/>
      </c>
      <c r="X1712" s="237">
        <f>INDIRECT("'Закуп'!g" &amp; A1712)</f>
        <v/>
      </c>
      <c r="Y1712" s="229">
        <f>INDIRECT("'Закуп'!i" &amp; A1712)</f>
        <v/>
      </c>
      <c r="Z1712" s="236">
        <f>INDIRECT("'Закуп'!x" &amp; A1712)</f>
        <v/>
      </c>
      <c r="AA1712" s="237">
        <f>INDIRECT("'Закуп'!y" &amp; A1712)</f>
        <v/>
      </c>
      <c r="AB1712" s="238">
        <f>INDIRECT("'Закуп'!z" &amp; A1712)</f>
        <v/>
      </c>
      <c r="AC1712" s="223">
        <f>SUBSTITUTE(INDEX(F:F, ROUNDUP((ROW(A1711))/5,0)*5 - 3), "х", "x")</f>
        <v/>
      </c>
      <c r="AD1712" s="222">
        <f>SUBSTITUTE(INDEX(F:F, ROUNDUP((ROW(A1711))/5,0)*5 - 3), "х", "x") &amp; " - " &amp; SUBSTITUTE(SUBSTITUTE(INDEX(F:F, ROUNDUP((ROW(A1711))/5,0)*5 - 3), "х", "*"), "x", "*") &amp; " мм"</f>
        <v/>
      </c>
    </row>
    <row r="1713">
      <c r="B1713" s="42" t="n">
        <v>344</v>
      </c>
      <c r="C1713" s="118">
        <f>INDIRECT("'Закуп'!A" &amp; B1713)</f>
        <v/>
      </c>
      <c r="D1713" s="119">
        <f>C1713*1.2</f>
        <v/>
      </c>
      <c r="G1713" s="172">
        <f>IF(INDIRECT("'Закуп'!L" &amp; B1713)="Sale","Sale","")</f>
        <v/>
      </c>
      <c r="H1713" s="158">
        <f>IF(INDIRECT("'Закуп'!F" &amp; B1713)=0,"",INDIRECT("'Закуп'!F" &amp; B1713))</f>
        <v/>
      </c>
      <c r="J1713" s="121">
        <f>K1713/1.2</f>
        <v/>
      </c>
      <c r="L1713" s="122">
        <f>J1713-C1713-(J1713-C1713)*0.2</f>
        <v/>
      </c>
      <c r="M1713" s="123">
        <f>L1713*I1713</f>
        <v/>
      </c>
      <c r="N1713" s="124" t="inlineStr">
        <is>
          <t xml:space="preserve">100-290 шт - </t>
        </is>
      </c>
      <c r="O1713" s="47" t="inlineStr">
        <is>
          <t xml:space="preserve"> руб / шт с НДС</t>
        </is>
      </c>
      <c r="P1713" s="125">
        <f>ROUND(K1713,2)</f>
        <v/>
      </c>
      <c r="Q1713" s="207">
        <f>CONCATENATE(N1713,P1713,O1713,)</f>
        <v/>
      </c>
      <c r="R1713" s="240" t="n"/>
      <c r="T1713" s="241" t="n"/>
      <c r="U1713" s="240" t="n"/>
      <c r="V1713" s="241" t="n"/>
      <c r="Z1713" s="240" t="n"/>
      <c r="AB1713" s="241" t="n"/>
      <c r="AC1713" s="240" t="n"/>
      <c r="AD1713" s="241" t="n"/>
    </row>
    <row r="1714">
      <c r="B1714" s="42" t="n">
        <v>344</v>
      </c>
      <c r="C1714" s="118">
        <f>INDIRECT("'Закуп'!A" &amp; B1714)</f>
        <v/>
      </c>
      <c r="D1714" s="119">
        <f>C1714*1.2</f>
        <v/>
      </c>
      <c r="G1714" s="172">
        <f>IF(INDIRECT("'Закуп'!L" &amp; B1714)="Sale","Sale","")</f>
        <v/>
      </c>
      <c r="H1714" s="158">
        <f>IF(INDIRECT("'Закуп'!F" &amp; B1714)=0,"",INDIRECT("'Закуп'!F" &amp; B1714))</f>
        <v/>
      </c>
      <c r="J1714" s="121">
        <f>K1714/1.2</f>
        <v/>
      </c>
      <c r="L1714" s="122">
        <f>J1714-C1714-(J1714-C1714)*0.2</f>
        <v/>
      </c>
      <c r="M1714" s="123">
        <f>L1714*I1714</f>
        <v/>
      </c>
      <c r="N1714" s="124" t="inlineStr">
        <is>
          <t xml:space="preserve">300-490 шт - </t>
        </is>
      </c>
      <c r="O1714" s="47" t="inlineStr">
        <is>
          <t xml:space="preserve"> руб / шт с НДС</t>
        </is>
      </c>
      <c r="P1714" s="125">
        <f>ROUND(K1714,2)</f>
        <v/>
      </c>
      <c r="Q1714" s="207">
        <f>CONCATENATE(N1714,P1714,O1714,)</f>
        <v/>
      </c>
      <c r="R1714" s="240" t="n"/>
      <c r="T1714" s="241" t="n"/>
      <c r="U1714" s="240" t="n"/>
      <c r="V1714" s="241" t="n"/>
      <c r="Z1714" s="240" t="n"/>
      <c r="AB1714" s="241" t="n"/>
      <c r="AC1714" s="240" t="n"/>
      <c r="AD1714" s="241" t="n"/>
    </row>
    <row r="1715">
      <c r="B1715" s="42" t="n">
        <v>344</v>
      </c>
      <c r="C1715" s="118">
        <f>INDIRECT("'Закуп'!A" &amp; B1715)</f>
        <v/>
      </c>
      <c r="D1715" s="119">
        <f>C1715*1.2</f>
        <v/>
      </c>
      <c r="G1715" s="172">
        <f>IF(INDIRECT("'Закуп'!L" &amp; B1715)="Sale","Sale","")</f>
        <v/>
      </c>
      <c r="H1715" s="158">
        <f>IF(INDIRECT("'Закуп'!F" &amp; B1715)=0,"",INDIRECT("'Закуп'!F" &amp; B1715))</f>
        <v/>
      </c>
      <c r="J1715" s="121">
        <f>K1715/1.2</f>
        <v/>
      </c>
      <c r="L1715" s="122">
        <f>J1715-C1715-(J1715-C1715)*0.2</f>
        <v/>
      </c>
      <c r="M1715" s="123">
        <f>L1715*I1715</f>
        <v/>
      </c>
      <c r="N1715" s="124" t="inlineStr">
        <is>
          <t xml:space="preserve">500-990 шт - </t>
        </is>
      </c>
      <c r="O1715" s="47" t="inlineStr">
        <is>
          <t xml:space="preserve"> руб / шт с НДС</t>
        </is>
      </c>
      <c r="P1715" s="125">
        <f>ROUND(K1715,2)</f>
        <v/>
      </c>
      <c r="Q1715" s="207">
        <f>CONCATENATE(N1715,P1715,O1715,)</f>
        <v/>
      </c>
      <c r="R1715" s="240" t="n"/>
      <c r="T1715" s="241" t="n"/>
      <c r="U1715" s="240" t="n"/>
      <c r="V1715" s="241" t="n"/>
      <c r="Z1715" s="240" t="n"/>
      <c r="AB1715" s="241" t="n"/>
      <c r="AC1715" s="240" t="n"/>
      <c r="AD1715" s="241" t="n"/>
    </row>
    <row r="1716">
      <c r="B1716" s="42" t="n">
        <v>344</v>
      </c>
      <c r="C1716" s="118">
        <f>INDIRECT("'Закуп'!A" &amp; B1716)</f>
        <v/>
      </c>
      <c r="D1716" s="119">
        <f>C1716*1.2</f>
        <v/>
      </c>
      <c r="G1716" s="172">
        <f>IF(INDIRECT("'Закуп'!L" &amp; B1716)="Sale","Sale","")</f>
        <v/>
      </c>
      <c r="H1716" s="158">
        <f>IF(INDIRECT("'Закуп'!F" &amp; B1716)=0,"",INDIRECT("'Закуп'!F" &amp; B1716))</f>
        <v/>
      </c>
      <c r="J1716" s="121">
        <f>K1716/1.2</f>
        <v/>
      </c>
      <c r="L1716" s="122">
        <f>J1716-C1716-(J1716-C1716)*0.2</f>
        <v/>
      </c>
      <c r="M1716" s="123">
        <f>L1716*I1716</f>
        <v/>
      </c>
      <c r="N1716" s="124" t="inlineStr">
        <is>
          <t xml:space="preserve">1000 + шт - </t>
        </is>
      </c>
      <c r="O1716" s="47" t="inlineStr">
        <is>
          <t xml:space="preserve"> руб / шт с НДС</t>
        </is>
      </c>
      <c r="P1716" s="125">
        <f>ROUND(K1716,2)</f>
        <v/>
      </c>
      <c r="Q1716" s="207">
        <f>CONCATENATE(N1716,P1716,O1716,)</f>
        <v/>
      </c>
      <c r="R1716" s="240" t="n"/>
      <c r="T1716" s="241" t="n"/>
      <c r="U1716" s="240" t="n"/>
      <c r="V1716" s="241" t="n"/>
      <c r="Z1716" s="240" t="n"/>
      <c r="AB1716" s="241" t="n"/>
      <c r="AC1716" s="240" t="n"/>
      <c r="AD1716" s="241" t="n"/>
    </row>
    <row r="1717">
      <c r="A1717" s="232" t="n">
        <v>345</v>
      </c>
      <c r="B1717" s="42" t="n">
        <v>345</v>
      </c>
      <c r="C1717" s="118">
        <f>INDIRECT("'Закуп'!A" &amp; B1717)</f>
        <v/>
      </c>
      <c r="D1717" s="119">
        <f>C1717*1.2</f>
        <v/>
      </c>
      <c r="F1717" s="231">
        <f>INDIRECT("'Закуп'!E" &amp; B1717)</f>
        <v/>
      </c>
      <c r="G1717" s="172">
        <f>IF(INDIRECT("'Закуп'!L" &amp; B1717)="Sale","Sale","")</f>
        <v/>
      </c>
      <c r="H1717" s="158">
        <f>IF(INDIRECT("'Закуп'!F" &amp; B1717)=0,"",INDIRECT("'Закуп'!F" &amp; B1717))</f>
        <v/>
      </c>
      <c r="J1717" s="121">
        <f>K1717/1.2</f>
        <v/>
      </c>
      <c r="L1717" s="122">
        <f>J1717-C1717-(J1717-C1717)*0.2</f>
        <v/>
      </c>
      <c r="M1717" s="123">
        <f>L1717*I1717</f>
        <v/>
      </c>
      <c r="N1717" s="124" t="inlineStr">
        <is>
          <t xml:space="preserve">50-90 шт - </t>
        </is>
      </c>
      <c r="O1717" s="47" t="inlineStr">
        <is>
          <t xml:space="preserve"> руб / шт с НДС</t>
        </is>
      </c>
      <c r="P1717" s="125">
        <f>ROUND(K1717,2)</f>
        <v/>
      </c>
      <c r="Q1717" s="207">
        <f>CONCATENATE(N1717,P1717,O1717,)</f>
        <v/>
      </c>
      <c r="R1717" s="235">
        <f>INDIRECT("'Закуп'!k" &amp; A1717)</f>
        <v/>
      </c>
      <c r="S1717" s="239">
        <f>INDIRECT("'Закуп'!o" &amp; A1717)</f>
        <v/>
      </c>
      <c r="T1717" s="226">
        <f>INDIRECT("'Закуп'!p" &amp; A1717)</f>
        <v/>
      </c>
      <c r="U1717" s="235">
        <f>INDIRECT("'Закуп'!v" &amp; A1717)</f>
        <v/>
      </c>
      <c r="V1717" s="222">
        <f>INDIRECT("'Закуп'!w" &amp; A1717)</f>
        <v/>
      </c>
      <c r="W1717" s="229">
        <f>INDIRECT("'Закуп'!H" &amp; A1717)</f>
        <v/>
      </c>
      <c r="X1717" s="237">
        <f>INDIRECT("'Закуп'!g" &amp; A1717)</f>
        <v/>
      </c>
      <c r="Y1717" s="229">
        <f>INDIRECT("'Закуп'!i" &amp; A1717)</f>
        <v/>
      </c>
      <c r="Z1717" s="236">
        <f>INDIRECT("'Закуп'!x" &amp; A1717)</f>
        <v/>
      </c>
      <c r="AA1717" s="237">
        <f>INDIRECT("'Закуп'!y" &amp; A1717)</f>
        <v/>
      </c>
      <c r="AB1717" s="238">
        <f>INDIRECT("'Закуп'!z" &amp; A1717)</f>
        <v/>
      </c>
      <c r="AC1717" s="223">
        <f>SUBSTITUTE(INDEX(F:F, ROUNDUP((ROW(A1716))/5,0)*5 - 3), "х", "x")</f>
        <v/>
      </c>
      <c r="AD1717" s="222">
        <f>SUBSTITUTE(INDEX(F:F, ROUNDUP((ROW(A1716))/5,0)*5 - 3), "х", "x") &amp; " - " &amp; SUBSTITUTE(SUBSTITUTE(INDEX(F:F, ROUNDUP((ROW(A1716))/5,0)*5 - 3), "х", "*"), "x", "*") &amp; " мм"</f>
        <v/>
      </c>
    </row>
    <row r="1718">
      <c r="B1718" s="42" t="n">
        <v>345</v>
      </c>
      <c r="C1718" s="118">
        <f>INDIRECT("'Закуп'!A" &amp; B1718)</f>
        <v/>
      </c>
      <c r="D1718" s="119">
        <f>C1718*1.2</f>
        <v/>
      </c>
      <c r="G1718" s="172">
        <f>IF(INDIRECT("'Закуп'!L" &amp; B1718)="Sale","Sale","")</f>
        <v/>
      </c>
      <c r="H1718" s="158">
        <f>IF(INDIRECT("'Закуп'!F" &amp; B1718)=0,"",INDIRECT("'Закуп'!F" &amp; B1718))</f>
        <v/>
      </c>
      <c r="J1718" s="121">
        <f>K1718/1.2</f>
        <v/>
      </c>
      <c r="L1718" s="122">
        <f>J1718-C1718-(J1718-C1718)*0.2</f>
        <v/>
      </c>
      <c r="M1718" s="123">
        <f>L1718*I1718</f>
        <v/>
      </c>
      <c r="N1718" s="124" t="inlineStr">
        <is>
          <t xml:space="preserve">100-290 шт - </t>
        </is>
      </c>
      <c r="O1718" s="47" t="inlineStr">
        <is>
          <t xml:space="preserve"> руб / шт с НДС</t>
        </is>
      </c>
      <c r="P1718" s="125">
        <f>ROUND(K1718,2)</f>
        <v/>
      </c>
      <c r="Q1718" s="207">
        <f>CONCATENATE(N1718,P1718,O1718,)</f>
        <v/>
      </c>
      <c r="R1718" s="240" t="n"/>
      <c r="T1718" s="241" t="n"/>
      <c r="U1718" s="240" t="n"/>
      <c r="V1718" s="241" t="n"/>
      <c r="Z1718" s="240" t="n"/>
      <c r="AB1718" s="241" t="n"/>
      <c r="AC1718" s="240" t="n"/>
      <c r="AD1718" s="241" t="n"/>
    </row>
    <row r="1719">
      <c r="B1719" s="42" t="n">
        <v>345</v>
      </c>
      <c r="C1719" s="118">
        <f>INDIRECT("'Закуп'!A" &amp; B1719)</f>
        <v/>
      </c>
      <c r="D1719" s="119">
        <f>C1719*1.2</f>
        <v/>
      </c>
      <c r="G1719" s="172">
        <f>IF(INDIRECT("'Закуп'!L" &amp; B1719)="Sale","Sale","")</f>
        <v/>
      </c>
      <c r="H1719" s="158">
        <f>IF(INDIRECT("'Закуп'!F" &amp; B1719)=0,"",INDIRECT("'Закуп'!F" &amp; B1719))</f>
        <v/>
      </c>
      <c r="J1719" s="121">
        <f>K1719/1.2</f>
        <v/>
      </c>
      <c r="L1719" s="122">
        <f>J1719-C1719-(J1719-C1719)*0.2</f>
        <v/>
      </c>
      <c r="M1719" s="123">
        <f>L1719*I1719</f>
        <v/>
      </c>
      <c r="N1719" s="124" t="inlineStr">
        <is>
          <t xml:space="preserve">300-490 шт - </t>
        </is>
      </c>
      <c r="O1719" s="47" t="inlineStr">
        <is>
          <t xml:space="preserve"> руб / шт с НДС</t>
        </is>
      </c>
      <c r="P1719" s="125">
        <f>ROUND(K1719,2)</f>
        <v/>
      </c>
      <c r="Q1719" s="207">
        <f>CONCATENATE(N1719,P1719,O1719,)</f>
        <v/>
      </c>
      <c r="R1719" s="240" t="n"/>
      <c r="T1719" s="241" t="n"/>
      <c r="U1719" s="240" t="n"/>
      <c r="V1719" s="241" t="n"/>
      <c r="Z1719" s="240" t="n"/>
      <c r="AB1719" s="241" t="n"/>
      <c r="AC1719" s="240" t="n"/>
      <c r="AD1719" s="241" t="n"/>
    </row>
    <row r="1720">
      <c r="B1720" s="42" t="n">
        <v>345</v>
      </c>
      <c r="C1720" s="118">
        <f>INDIRECT("'Закуп'!A" &amp; B1720)</f>
        <v/>
      </c>
      <c r="D1720" s="119">
        <f>C1720*1.2</f>
        <v/>
      </c>
      <c r="G1720" s="172">
        <f>IF(INDIRECT("'Закуп'!L" &amp; B1720)="Sale","Sale","")</f>
        <v/>
      </c>
      <c r="H1720" s="158">
        <f>IF(INDIRECT("'Закуп'!F" &amp; B1720)=0,"",INDIRECT("'Закуп'!F" &amp; B1720))</f>
        <v/>
      </c>
      <c r="J1720" s="121">
        <f>K1720/1.2</f>
        <v/>
      </c>
      <c r="L1720" s="122">
        <f>J1720-C1720-(J1720-C1720)*0.2</f>
        <v/>
      </c>
      <c r="M1720" s="123">
        <f>L1720*I1720</f>
        <v/>
      </c>
      <c r="N1720" s="124" t="inlineStr">
        <is>
          <t xml:space="preserve">500-990 шт - </t>
        </is>
      </c>
      <c r="O1720" s="47" t="inlineStr">
        <is>
          <t xml:space="preserve"> руб / шт с НДС</t>
        </is>
      </c>
      <c r="P1720" s="125">
        <f>ROUND(K1720,2)</f>
        <v/>
      </c>
      <c r="Q1720" s="207">
        <f>CONCATENATE(N1720,P1720,O1720,)</f>
        <v/>
      </c>
      <c r="R1720" s="240" t="n"/>
      <c r="T1720" s="241" t="n"/>
      <c r="U1720" s="240" t="n"/>
      <c r="V1720" s="241" t="n"/>
      <c r="Z1720" s="240" t="n"/>
      <c r="AB1720" s="241" t="n"/>
      <c r="AC1720" s="240" t="n"/>
      <c r="AD1720" s="241" t="n"/>
    </row>
    <row r="1721">
      <c r="B1721" s="42" t="n">
        <v>345</v>
      </c>
      <c r="C1721" s="118">
        <f>INDIRECT("'Закуп'!A" &amp; B1721)</f>
        <v/>
      </c>
      <c r="D1721" s="119">
        <f>C1721*1.2</f>
        <v/>
      </c>
      <c r="G1721" s="172">
        <f>IF(INDIRECT("'Закуп'!L" &amp; B1721)="Sale","Sale","")</f>
        <v/>
      </c>
      <c r="H1721" s="158">
        <f>IF(INDIRECT("'Закуп'!F" &amp; B1721)=0,"",INDIRECT("'Закуп'!F" &amp; B1721))</f>
        <v/>
      </c>
      <c r="J1721" s="121">
        <f>K1721/1.2</f>
        <v/>
      </c>
      <c r="L1721" s="122">
        <f>J1721-C1721-(J1721-C1721)*0.2</f>
        <v/>
      </c>
      <c r="M1721" s="123">
        <f>L1721*I1721</f>
        <v/>
      </c>
      <c r="N1721" s="124" t="inlineStr">
        <is>
          <t xml:space="preserve">1000 + шт - </t>
        </is>
      </c>
      <c r="O1721" s="47" t="inlineStr">
        <is>
          <t xml:space="preserve"> руб / шт с НДС</t>
        </is>
      </c>
      <c r="P1721" s="125">
        <f>ROUND(K1721,2)</f>
        <v/>
      </c>
      <c r="Q1721" s="207">
        <f>CONCATENATE(N1721,P1721,O1721,)</f>
        <v/>
      </c>
      <c r="R1721" s="240" t="n"/>
      <c r="T1721" s="241" t="n"/>
      <c r="U1721" s="240" t="n"/>
      <c r="V1721" s="241" t="n"/>
      <c r="Z1721" s="240" t="n"/>
      <c r="AB1721" s="241" t="n"/>
      <c r="AC1721" s="240" t="n"/>
      <c r="AD1721" s="241" t="n"/>
    </row>
    <row r="1722">
      <c r="A1722" s="232" t="n">
        <v>346</v>
      </c>
      <c r="B1722" s="42" t="n">
        <v>346</v>
      </c>
      <c r="C1722" s="118">
        <f>INDIRECT("'Закуп'!A" &amp; B1722)</f>
        <v/>
      </c>
      <c r="D1722" s="119">
        <f>C1722*1.2</f>
        <v/>
      </c>
      <c r="F1722" s="231">
        <f>INDIRECT("'Закуп'!E" &amp; B1722)</f>
        <v/>
      </c>
      <c r="G1722" s="172">
        <f>IF(INDIRECT("'Закуп'!L" &amp; B1722)="Sale","Sale","")</f>
        <v/>
      </c>
      <c r="H1722" s="158">
        <f>IF(INDIRECT("'Закуп'!F" &amp; B1722)=0,"",INDIRECT("'Закуп'!F" &amp; B1722))</f>
        <v/>
      </c>
      <c r="J1722" s="121">
        <f>K1722/1.2</f>
        <v/>
      </c>
      <c r="L1722" s="122">
        <f>J1722-C1722-(J1722-C1722)*0.2</f>
        <v/>
      </c>
      <c r="M1722" s="123">
        <f>L1722*I1722</f>
        <v/>
      </c>
      <c r="N1722" s="124" t="inlineStr">
        <is>
          <t xml:space="preserve">50-90 шт - </t>
        </is>
      </c>
      <c r="O1722" s="47" t="inlineStr">
        <is>
          <t xml:space="preserve"> руб / шт с НДС</t>
        </is>
      </c>
      <c r="P1722" s="125">
        <f>ROUND(K1722,2)</f>
        <v/>
      </c>
      <c r="Q1722" s="207">
        <f>CONCATENATE(N1722,P1722,O1722,)</f>
        <v/>
      </c>
      <c r="R1722" s="235">
        <f>INDIRECT("'Закуп'!k" &amp; A1722)</f>
        <v/>
      </c>
      <c r="S1722" s="239">
        <f>INDIRECT("'Закуп'!o" &amp; A1722)</f>
        <v/>
      </c>
      <c r="T1722" s="226">
        <f>INDIRECT("'Закуп'!p" &amp; A1722)</f>
        <v/>
      </c>
      <c r="U1722" s="235">
        <f>INDIRECT("'Закуп'!v" &amp; A1722)</f>
        <v/>
      </c>
      <c r="V1722" s="222">
        <f>INDIRECT("'Закуп'!w" &amp; A1722)</f>
        <v/>
      </c>
      <c r="W1722" s="229">
        <f>INDIRECT("'Закуп'!H" &amp; A1722)</f>
        <v/>
      </c>
      <c r="X1722" s="237">
        <f>INDIRECT("'Закуп'!g" &amp; A1722)</f>
        <v/>
      </c>
      <c r="Y1722" s="229">
        <f>INDIRECT("'Закуп'!i" &amp; A1722)</f>
        <v/>
      </c>
      <c r="Z1722" s="236">
        <f>INDIRECT("'Закуп'!x" &amp; A1722)</f>
        <v/>
      </c>
      <c r="AA1722" s="237">
        <f>INDIRECT("'Закуп'!y" &amp; A1722)</f>
        <v/>
      </c>
      <c r="AB1722" s="238">
        <f>INDIRECT("'Закуп'!z" &amp; A1722)</f>
        <v/>
      </c>
      <c r="AC1722" s="223">
        <f>SUBSTITUTE(INDEX(F:F, ROUNDUP((ROW(A1721))/5,0)*5 - 3), "х", "x")</f>
        <v/>
      </c>
      <c r="AD1722" s="222">
        <f>SUBSTITUTE(INDEX(F:F, ROUNDUP((ROW(A1721))/5,0)*5 - 3), "х", "x") &amp; " - " &amp; SUBSTITUTE(SUBSTITUTE(INDEX(F:F, ROUNDUP((ROW(A1721))/5,0)*5 - 3), "х", "*"), "x", "*") &amp; " мм"</f>
        <v/>
      </c>
    </row>
    <row r="1723">
      <c r="B1723" s="42" t="n">
        <v>346</v>
      </c>
      <c r="C1723" s="118">
        <f>INDIRECT("'Закуп'!A" &amp; B1723)</f>
        <v/>
      </c>
      <c r="D1723" s="119">
        <f>C1723*1.2</f>
        <v/>
      </c>
      <c r="G1723" s="172">
        <f>IF(INDIRECT("'Закуп'!L" &amp; B1723)="Sale","Sale","")</f>
        <v/>
      </c>
      <c r="H1723" s="158">
        <f>IF(INDIRECT("'Закуп'!F" &amp; B1723)=0,"",INDIRECT("'Закуп'!F" &amp; B1723))</f>
        <v/>
      </c>
      <c r="J1723" s="121">
        <f>K1723/1.2</f>
        <v/>
      </c>
      <c r="L1723" s="122">
        <f>J1723-C1723-(J1723-C1723)*0.2</f>
        <v/>
      </c>
      <c r="M1723" s="123">
        <f>L1723*I1723</f>
        <v/>
      </c>
      <c r="N1723" s="124" t="inlineStr">
        <is>
          <t xml:space="preserve">100-290 шт - </t>
        </is>
      </c>
      <c r="O1723" s="47" t="inlineStr">
        <is>
          <t xml:space="preserve"> руб / шт с НДС</t>
        </is>
      </c>
      <c r="P1723" s="125">
        <f>ROUND(K1723,2)</f>
        <v/>
      </c>
      <c r="Q1723" s="207">
        <f>CONCATENATE(N1723,P1723,O1723,)</f>
        <v/>
      </c>
      <c r="R1723" s="240" t="n"/>
      <c r="T1723" s="241" t="n"/>
      <c r="U1723" s="240" t="n"/>
      <c r="V1723" s="241" t="n"/>
      <c r="Z1723" s="240" t="n"/>
      <c r="AB1723" s="241" t="n"/>
      <c r="AC1723" s="240" t="n"/>
      <c r="AD1723" s="241" t="n"/>
    </row>
    <row r="1724">
      <c r="B1724" s="42" t="n">
        <v>346</v>
      </c>
      <c r="C1724" s="118">
        <f>INDIRECT("'Закуп'!A" &amp; B1724)</f>
        <v/>
      </c>
      <c r="D1724" s="119">
        <f>C1724*1.2</f>
        <v/>
      </c>
      <c r="G1724" s="172">
        <f>IF(INDIRECT("'Закуп'!L" &amp; B1724)="Sale","Sale","")</f>
        <v/>
      </c>
      <c r="H1724" s="158">
        <f>IF(INDIRECT("'Закуп'!F" &amp; B1724)=0,"",INDIRECT("'Закуп'!F" &amp; B1724))</f>
        <v/>
      </c>
      <c r="J1724" s="121">
        <f>K1724/1.2</f>
        <v/>
      </c>
      <c r="L1724" s="122">
        <f>J1724-C1724-(J1724-C1724)*0.2</f>
        <v/>
      </c>
      <c r="M1724" s="123">
        <f>L1724*I1724</f>
        <v/>
      </c>
      <c r="N1724" s="124" t="inlineStr">
        <is>
          <t xml:space="preserve">300-490 шт - </t>
        </is>
      </c>
      <c r="O1724" s="47" t="inlineStr">
        <is>
          <t xml:space="preserve"> руб / шт с НДС</t>
        </is>
      </c>
      <c r="P1724" s="125">
        <f>ROUND(K1724,2)</f>
        <v/>
      </c>
      <c r="Q1724" s="207">
        <f>CONCATENATE(N1724,P1724,O1724,)</f>
        <v/>
      </c>
      <c r="R1724" s="240" t="n"/>
      <c r="T1724" s="241" t="n"/>
      <c r="U1724" s="240" t="n"/>
      <c r="V1724" s="241" t="n"/>
      <c r="Z1724" s="240" t="n"/>
      <c r="AB1724" s="241" t="n"/>
      <c r="AC1724" s="240" t="n"/>
      <c r="AD1724" s="241" t="n"/>
    </row>
    <row r="1725">
      <c r="B1725" s="42" t="n">
        <v>346</v>
      </c>
      <c r="C1725" s="118">
        <f>INDIRECT("'Закуп'!A" &amp; B1725)</f>
        <v/>
      </c>
      <c r="D1725" s="119">
        <f>C1725*1.2</f>
        <v/>
      </c>
      <c r="G1725" s="172">
        <f>IF(INDIRECT("'Закуп'!L" &amp; B1725)="Sale","Sale","")</f>
        <v/>
      </c>
      <c r="H1725" s="158">
        <f>IF(INDIRECT("'Закуп'!F" &amp; B1725)=0,"",INDIRECT("'Закуп'!F" &amp; B1725))</f>
        <v/>
      </c>
      <c r="J1725" s="121">
        <f>K1725/1.2</f>
        <v/>
      </c>
      <c r="L1725" s="122">
        <f>J1725-C1725-(J1725-C1725)*0.2</f>
        <v/>
      </c>
      <c r="M1725" s="123">
        <f>L1725*I1725</f>
        <v/>
      </c>
      <c r="N1725" s="124" t="inlineStr">
        <is>
          <t xml:space="preserve">500-990 шт - </t>
        </is>
      </c>
      <c r="O1725" s="47" t="inlineStr">
        <is>
          <t xml:space="preserve"> руб / шт с НДС</t>
        </is>
      </c>
      <c r="P1725" s="125">
        <f>ROUND(K1725,2)</f>
        <v/>
      </c>
      <c r="Q1725" s="207">
        <f>CONCATENATE(N1725,P1725,O1725,)</f>
        <v/>
      </c>
      <c r="R1725" s="240" t="n"/>
      <c r="T1725" s="241" t="n"/>
      <c r="U1725" s="240" t="n"/>
      <c r="V1725" s="241" t="n"/>
      <c r="Z1725" s="240" t="n"/>
      <c r="AB1725" s="241" t="n"/>
      <c r="AC1725" s="240" t="n"/>
      <c r="AD1725" s="241" t="n"/>
    </row>
    <row r="1726">
      <c r="B1726" s="42" t="n">
        <v>346</v>
      </c>
      <c r="C1726" s="118">
        <f>INDIRECT("'Закуп'!A" &amp; B1726)</f>
        <v/>
      </c>
      <c r="D1726" s="119">
        <f>C1726*1.2</f>
        <v/>
      </c>
      <c r="G1726" s="172">
        <f>IF(INDIRECT("'Закуп'!L" &amp; B1726)="Sale","Sale","")</f>
        <v/>
      </c>
      <c r="H1726" s="158">
        <f>IF(INDIRECT("'Закуп'!F" &amp; B1726)=0,"",INDIRECT("'Закуп'!F" &amp; B1726))</f>
        <v/>
      </c>
      <c r="J1726" s="121">
        <f>K1726/1.2</f>
        <v/>
      </c>
      <c r="L1726" s="122">
        <f>J1726-C1726-(J1726-C1726)*0.2</f>
        <v/>
      </c>
      <c r="M1726" s="123">
        <f>L1726*I1726</f>
        <v/>
      </c>
      <c r="N1726" s="124" t="inlineStr">
        <is>
          <t xml:space="preserve">1000 + шт - </t>
        </is>
      </c>
      <c r="O1726" s="47" t="inlineStr">
        <is>
          <t xml:space="preserve"> руб / шт с НДС</t>
        </is>
      </c>
      <c r="P1726" s="125">
        <f>ROUND(K1726,2)</f>
        <v/>
      </c>
      <c r="Q1726" s="207">
        <f>CONCATENATE(N1726,P1726,O1726,)</f>
        <v/>
      </c>
      <c r="R1726" s="240" t="n"/>
      <c r="T1726" s="241" t="n"/>
      <c r="U1726" s="240" t="n"/>
      <c r="V1726" s="241" t="n"/>
      <c r="Z1726" s="240" t="n"/>
      <c r="AB1726" s="241" t="n"/>
      <c r="AC1726" s="240" t="n"/>
      <c r="AD1726" s="241" t="n"/>
    </row>
    <row r="1727">
      <c r="A1727" s="232" t="n">
        <v>347</v>
      </c>
      <c r="B1727" s="42" t="n">
        <v>347</v>
      </c>
      <c r="C1727" s="118">
        <f>INDIRECT("'Закуп'!A" &amp; B1727)</f>
        <v/>
      </c>
      <c r="D1727" s="119">
        <f>C1727*1.2</f>
        <v/>
      </c>
      <c r="F1727" s="231">
        <f>INDIRECT("'Закуп'!E" &amp; B1727)</f>
        <v/>
      </c>
      <c r="G1727" s="172">
        <f>IF(INDIRECT("'Закуп'!L" &amp; B1727)="Sale","Sale","")</f>
        <v/>
      </c>
      <c r="H1727" s="158">
        <f>IF(INDIRECT("'Закуп'!F" &amp; B1727)=0,"",INDIRECT("'Закуп'!F" &amp; B1727))</f>
        <v/>
      </c>
      <c r="J1727" s="121">
        <f>K1727/1.2</f>
        <v/>
      </c>
      <c r="L1727" s="122">
        <f>J1727-C1727-(J1727-C1727)*0.2</f>
        <v/>
      </c>
      <c r="M1727" s="123">
        <f>L1727*I1727</f>
        <v/>
      </c>
      <c r="N1727" s="124" t="inlineStr">
        <is>
          <t xml:space="preserve">50-90 шт - </t>
        </is>
      </c>
      <c r="O1727" s="47" t="inlineStr">
        <is>
          <t xml:space="preserve"> руб / шт с НДС</t>
        </is>
      </c>
      <c r="P1727" s="125">
        <f>ROUND(K1727,2)</f>
        <v/>
      </c>
      <c r="Q1727" s="207">
        <f>CONCATENATE(N1727,P1727,O1727,)</f>
        <v/>
      </c>
      <c r="R1727" s="235">
        <f>INDIRECT("'Закуп'!k" &amp; A1727)</f>
        <v/>
      </c>
      <c r="S1727" s="239">
        <f>INDIRECT("'Закуп'!o" &amp; A1727)</f>
        <v/>
      </c>
      <c r="T1727" s="226">
        <f>INDIRECT("'Закуп'!p" &amp; A1727)</f>
        <v/>
      </c>
      <c r="U1727" s="235">
        <f>INDIRECT("'Закуп'!v" &amp; A1727)</f>
        <v/>
      </c>
      <c r="V1727" s="222">
        <f>INDIRECT("'Закуп'!w" &amp; A1727)</f>
        <v/>
      </c>
      <c r="W1727" s="229">
        <f>INDIRECT("'Закуп'!H" &amp; A1727)</f>
        <v/>
      </c>
      <c r="X1727" s="237">
        <f>INDIRECT("'Закуп'!g" &amp; A1727)</f>
        <v/>
      </c>
      <c r="Y1727" s="229">
        <f>INDIRECT("'Закуп'!i" &amp; A1727)</f>
        <v/>
      </c>
      <c r="Z1727" s="236">
        <f>INDIRECT("'Закуп'!x" &amp; A1727)</f>
        <v/>
      </c>
      <c r="AA1727" s="237">
        <f>INDIRECT("'Закуп'!y" &amp; A1727)</f>
        <v/>
      </c>
      <c r="AB1727" s="238">
        <f>INDIRECT("'Закуп'!z" &amp; A1727)</f>
        <v/>
      </c>
      <c r="AC1727" s="223">
        <f>SUBSTITUTE(INDEX(F:F, ROUNDUP((ROW(A1726))/5,0)*5 - 3), "х", "x")</f>
        <v/>
      </c>
      <c r="AD1727" s="222">
        <f>SUBSTITUTE(INDEX(F:F, ROUNDUP((ROW(A1726))/5,0)*5 - 3), "х", "x") &amp; " - " &amp; SUBSTITUTE(SUBSTITUTE(INDEX(F:F, ROUNDUP((ROW(A1726))/5,0)*5 - 3), "х", "*"), "x", "*") &amp; " мм"</f>
        <v/>
      </c>
    </row>
    <row r="1728">
      <c r="B1728" s="42" t="n">
        <v>347</v>
      </c>
      <c r="C1728" s="118">
        <f>INDIRECT("'Закуп'!A" &amp; B1728)</f>
        <v/>
      </c>
      <c r="D1728" s="119">
        <f>C1728*1.2</f>
        <v/>
      </c>
      <c r="G1728" s="172">
        <f>IF(INDIRECT("'Закуп'!L" &amp; B1728)="Sale","Sale","")</f>
        <v/>
      </c>
      <c r="H1728" s="158">
        <f>IF(INDIRECT("'Закуп'!F" &amp; B1728)=0,"",INDIRECT("'Закуп'!F" &amp; B1728))</f>
        <v/>
      </c>
      <c r="J1728" s="121">
        <f>K1728/1.2</f>
        <v/>
      </c>
      <c r="L1728" s="122">
        <f>J1728-C1728-(J1728-C1728)*0.2</f>
        <v/>
      </c>
      <c r="M1728" s="123">
        <f>L1728*I1728</f>
        <v/>
      </c>
      <c r="N1728" s="124" t="inlineStr">
        <is>
          <t xml:space="preserve">100-290 шт - </t>
        </is>
      </c>
      <c r="O1728" s="47" t="inlineStr">
        <is>
          <t xml:space="preserve"> руб / шт с НДС</t>
        </is>
      </c>
      <c r="P1728" s="125">
        <f>ROUND(K1728,2)</f>
        <v/>
      </c>
      <c r="Q1728" s="207">
        <f>CONCATENATE(N1728,P1728,O1728,)</f>
        <v/>
      </c>
      <c r="R1728" s="240" t="n"/>
      <c r="T1728" s="241" t="n"/>
      <c r="U1728" s="240" t="n"/>
      <c r="V1728" s="241" t="n"/>
      <c r="Z1728" s="240" t="n"/>
      <c r="AB1728" s="241" t="n"/>
      <c r="AC1728" s="240" t="n"/>
      <c r="AD1728" s="241" t="n"/>
    </row>
    <row r="1729">
      <c r="B1729" s="42" t="n">
        <v>347</v>
      </c>
      <c r="C1729" s="118">
        <f>INDIRECT("'Закуп'!A" &amp; B1729)</f>
        <v/>
      </c>
      <c r="D1729" s="119">
        <f>C1729*1.2</f>
        <v/>
      </c>
      <c r="G1729" s="172">
        <f>IF(INDIRECT("'Закуп'!L" &amp; B1729)="Sale","Sale","")</f>
        <v/>
      </c>
      <c r="H1729" s="158">
        <f>IF(INDIRECT("'Закуп'!F" &amp; B1729)=0,"",INDIRECT("'Закуп'!F" &amp; B1729))</f>
        <v/>
      </c>
      <c r="J1729" s="121">
        <f>K1729/1.2</f>
        <v/>
      </c>
      <c r="L1729" s="122">
        <f>J1729-C1729-(J1729-C1729)*0.2</f>
        <v/>
      </c>
      <c r="M1729" s="123">
        <f>L1729*I1729</f>
        <v/>
      </c>
      <c r="N1729" s="124" t="inlineStr">
        <is>
          <t xml:space="preserve">300-490 шт - </t>
        </is>
      </c>
      <c r="O1729" s="47" t="inlineStr">
        <is>
          <t xml:space="preserve"> руб / шт с НДС</t>
        </is>
      </c>
      <c r="P1729" s="125">
        <f>ROUND(K1729,2)</f>
        <v/>
      </c>
      <c r="Q1729" s="207">
        <f>CONCATENATE(N1729,P1729,O1729,)</f>
        <v/>
      </c>
      <c r="R1729" s="240" t="n"/>
      <c r="T1729" s="241" t="n"/>
      <c r="U1729" s="240" t="n"/>
      <c r="V1729" s="241" t="n"/>
      <c r="Z1729" s="240" t="n"/>
      <c r="AB1729" s="241" t="n"/>
      <c r="AC1729" s="240" t="n"/>
      <c r="AD1729" s="241" t="n"/>
    </row>
    <row r="1730">
      <c r="B1730" s="42" t="n">
        <v>347</v>
      </c>
      <c r="C1730" s="118">
        <f>INDIRECT("'Закуп'!A" &amp; B1730)</f>
        <v/>
      </c>
      <c r="D1730" s="119">
        <f>C1730*1.2</f>
        <v/>
      </c>
      <c r="G1730" s="172">
        <f>IF(INDIRECT("'Закуп'!L" &amp; B1730)="Sale","Sale","")</f>
        <v/>
      </c>
      <c r="H1730" s="158">
        <f>IF(INDIRECT("'Закуп'!F" &amp; B1730)=0,"",INDIRECT("'Закуп'!F" &amp; B1730))</f>
        <v/>
      </c>
      <c r="J1730" s="121">
        <f>K1730/1.2</f>
        <v/>
      </c>
      <c r="L1730" s="122">
        <f>J1730-C1730-(J1730-C1730)*0.2</f>
        <v/>
      </c>
      <c r="M1730" s="123">
        <f>L1730*I1730</f>
        <v/>
      </c>
      <c r="N1730" s="124" t="inlineStr">
        <is>
          <t xml:space="preserve">500-990 шт - </t>
        </is>
      </c>
      <c r="O1730" s="47" t="inlineStr">
        <is>
          <t xml:space="preserve"> руб / шт с НДС</t>
        </is>
      </c>
      <c r="P1730" s="125">
        <f>ROUND(K1730,2)</f>
        <v/>
      </c>
      <c r="Q1730" s="207">
        <f>CONCATENATE(N1730,P1730,O1730,)</f>
        <v/>
      </c>
      <c r="R1730" s="240" t="n"/>
      <c r="T1730" s="241" t="n"/>
      <c r="U1730" s="240" t="n"/>
      <c r="V1730" s="241" t="n"/>
      <c r="Z1730" s="240" t="n"/>
      <c r="AB1730" s="241" t="n"/>
      <c r="AC1730" s="240" t="n"/>
      <c r="AD1730" s="241" t="n"/>
    </row>
    <row r="1731">
      <c r="B1731" s="42" t="n">
        <v>347</v>
      </c>
      <c r="C1731" s="118">
        <f>INDIRECT("'Закуп'!A" &amp; B1731)</f>
        <v/>
      </c>
      <c r="D1731" s="119">
        <f>C1731*1.2</f>
        <v/>
      </c>
      <c r="G1731" s="172">
        <f>IF(INDIRECT("'Закуп'!L" &amp; B1731)="Sale","Sale","")</f>
        <v/>
      </c>
      <c r="H1731" s="158">
        <f>IF(INDIRECT("'Закуп'!F" &amp; B1731)=0,"",INDIRECT("'Закуп'!F" &amp; B1731))</f>
        <v/>
      </c>
      <c r="J1731" s="121">
        <f>K1731/1.2</f>
        <v/>
      </c>
      <c r="L1731" s="122">
        <f>J1731-C1731-(J1731-C1731)*0.2</f>
        <v/>
      </c>
      <c r="M1731" s="123">
        <f>L1731*I1731</f>
        <v/>
      </c>
      <c r="N1731" s="124" t="inlineStr">
        <is>
          <t xml:space="preserve">1000 + шт - </t>
        </is>
      </c>
      <c r="O1731" s="47" t="inlineStr">
        <is>
          <t xml:space="preserve"> руб / шт с НДС</t>
        </is>
      </c>
      <c r="P1731" s="125">
        <f>ROUND(K1731,2)</f>
        <v/>
      </c>
      <c r="Q1731" s="207">
        <f>CONCATENATE(N1731,P1731,O1731,)</f>
        <v/>
      </c>
      <c r="R1731" s="240" t="n"/>
      <c r="T1731" s="241" t="n"/>
      <c r="U1731" s="240" t="n"/>
      <c r="V1731" s="241" t="n"/>
      <c r="Z1731" s="240" t="n"/>
      <c r="AB1731" s="241" t="n"/>
      <c r="AC1731" s="240" t="n"/>
      <c r="AD1731" s="241" t="n"/>
    </row>
    <row r="1732">
      <c r="A1732" s="232" t="n">
        <v>348</v>
      </c>
      <c r="B1732" s="42" t="n">
        <v>348</v>
      </c>
      <c r="C1732" s="118">
        <f>INDIRECT("'Закуп'!A" &amp; B1732)</f>
        <v/>
      </c>
      <c r="D1732" s="119">
        <f>C1732*1.2</f>
        <v/>
      </c>
      <c r="F1732" s="231">
        <f>INDIRECT("'Закуп'!E" &amp; B1732)</f>
        <v/>
      </c>
      <c r="G1732" s="172">
        <f>IF(INDIRECT("'Закуп'!L" &amp; B1732)="Sale","Sale","")</f>
        <v/>
      </c>
      <c r="H1732" s="158">
        <f>IF(INDIRECT("'Закуп'!F" &amp; B1732)=0,"",INDIRECT("'Закуп'!F" &amp; B1732))</f>
        <v/>
      </c>
      <c r="J1732" s="121">
        <f>K1732/1.2</f>
        <v/>
      </c>
      <c r="L1732" s="122">
        <f>J1732-C1732-(J1732-C1732)*0.2</f>
        <v/>
      </c>
      <c r="M1732" s="123">
        <f>L1732*I1732</f>
        <v/>
      </c>
      <c r="N1732" s="124" t="inlineStr">
        <is>
          <t xml:space="preserve">50-90 шт - </t>
        </is>
      </c>
      <c r="O1732" s="47" t="inlineStr">
        <is>
          <t xml:space="preserve"> руб / шт с НДС</t>
        </is>
      </c>
      <c r="P1732" s="125">
        <f>ROUND(K1732,2)</f>
        <v/>
      </c>
      <c r="Q1732" s="207">
        <f>CONCATENATE(N1732,P1732,O1732,)</f>
        <v/>
      </c>
      <c r="R1732" s="235">
        <f>INDIRECT("'Закуп'!k" &amp; A1732)</f>
        <v/>
      </c>
      <c r="S1732" s="239">
        <f>INDIRECT("'Закуп'!o" &amp; A1732)</f>
        <v/>
      </c>
      <c r="T1732" s="226">
        <f>INDIRECT("'Закуп'!p" &amp; A1732)</f>
        <v/>
      </c>
      <c r="U1732" s="235">
        <f>INDIRECT("'Закуп'!v" &amp; A1732)</f>
        <v/>
      </c>
      <c r="V1732" s="222">
        <f>INDIRECT("'Закуп'!w" &amp; A1732)</f>
        <v/>
      </c>
      <c r="W1732" s="229">
        <f>INDIRECT("'Закуп'!H" &amp; A1732)</f>
        <v/>
      </c>
      <c r="X1732" s="237">
        <f>INDIRECT("'Закуп'!g" &amp; A1732)</f>
        <v/>
      </c>
      <c r="Y1732" s="229">
        <f>INDIRECT("'Закуп'!i" &amp; A1732)</f>
        <v/>
      </c>
      <c r="Z1732" s="236">
        <f>INDIRECT("'Закуп'!x" &amp; A1732)</f>
        <v/>
      </c>
      <c r="AA1732" s="237">
        <f>INDIRECT("'Закуп'!y" &amp; A1732)</f>
        <v/>
      </c>
      <c r="AB1732" s="238">
        <f>INDIRECT("'Закуп'!z" &amp; A1732)</f>
        <v/>
      </c>
      <c r="AC1732" s="223">
        <f>SUBSTITUTE(INDEX(F:F, ROUNDUP((ROW(A1731))/5,0)*5 - 3), "х", "x")</f>
        <v/>
      </c>
      <c r="AD1732" s="222">
        <f>SUBSTITUTE(INDEX(F:F, ROUNDUP((ROW(A1731))/5,0)*5 - 3), "х", "x") &amp; " - " &amp; SUBSTITUTE(SUBSTITUTE(INDEX(F:F, ROUNDUP((ROW(A1731))/5,0)*5 - 3), "х", "*"), "x", "*") &amp; " мм"</f>
        <v/>
      </c>
    </row>
    <row r="1733">
      <c r="B1733" s="42" t="n">
        <v>348</v>
      </c>
      <c r="C1733" s="118">
        <f>INDIRECT("'Закуп'!A" &amp; B1733)</f>
        <v/>
      </c>
      <c r="D1733" s="119">
        <f>C1733*1.2</f>
        <v/>
      </c>
      <c r="G1733" s="172">
        <f>IF(INDIRECT("'Закуп'!L" &amp; B1733)="Sale","Sale","")</f>
        <v/>
      </c>
      <c r="H1733" s="158">
        <f>IF(INDIRECT("'Закуп'!F" &amp; B1733)=0,"",INDIRECT("'Закуп'!F" &amp; B1733))</f>
        <v/>
      </c>
      <c r="J1733" s="121">
        <f>K1733/1.2</f>
        <v/>
      </c>
      <c r="L1733" s="122">
        <f>J1733-C1733-(J1733-C1733)*0.2</f>
        <v/>
      </c>
      <c r="M1733" s="123">
        <f>L1733*I1733</f>
        <v/>
      </c>
      <c r="N1733" s="124" t="inlineStr">
        <is>
          <t xml:space="preserve">100-290 шт - </t>
        </is>
      </c>
      <c r="O1733" s="47" t="inlineStr">
        <is>
          <t xml:space="preserve"> руб / шт с НДС</t>
        </is>
      </c>
      <c r="P1733" s="125">
        <f>ROUND(K1733,2)</f>
        <v/>
      </c>
      <c r="Q1733" s="207">
        <f>CONCATENATE(N1733,P1733,O1733,)</f>
        <v/>
      </c>
      <c r="R1733" s="240" t="n"/>
      <c r="T1733" s="241" t="n"/>
      <c r="U1733" s="240" t="n"/>
      <c r="V1733" s="241" t="n"/>
      <c r="Z1733" s="240" t="n"/>
      <c r="AB1733" s="241" t="n"/>
      <c r="AC1733" s="240" t="n"/>
      <c r="AD1733" s="241" t="n"/>
    </row>
    <row r="1734">
      <c r="B1734" s="42" t="n">
        <v>348</v>
      </c>
      <c r="C1734" s="118">
        <f>INDIRECT("'Закуп'!A" &amp; B1734)</f>
        <v/>
      </c>
      <c r="D1734" s="119">
        <f>C1734*1.2</f>
        <v/>
      </c>
      <c r="G1734" s="172">
        <f>IF(INDIRECT("'Закуп'!L" &amp; B1734)="Sale","Sale","")</f>
        <v/>
      </c>
      <c r="H1734" s="158">
        <f>IF(INDIRECT("'Закуп'!F" &amp; B1734)=0,"",INDIRECT("'Закуп'!F" &amp; B1734))</f>
        <v/>
      </c>
      <c r="J1734" s="121">
        <f>K1734/1.2</f>
        <v/>
      </c>
      <c r="L1734" s="122">
        <f>J1734-C1734-(J1734-C1734)*0.2</f>
        <v/>
      </c>
      <c r="M1734" s="123">
        <f>L1734*I1734</f>
        <v/>
      </c>
      <c r="N1734" s="124" t="inlineStr">
        <is>
          <t xml:space="preserve">300-490 шт - </t>
        </is>
      </c>
      <c r="O1734" s="47" t="inlineStr">
        <is>
          <t xml:space="preserve"> руб / шт с НДС</t>
        </is>
      </c>
      <c r="P1734" s="125">
        <f>ROUND(K1734,2)</f>
        <v/>
      </c>
      <c r="Q1734" s="207">
        <f>CONCATENATE(N1734,P1734,O1734,)</f>
        <v/>
      </c>
      <c r="R1734" s="240" t="n"/>
      <c r="T1734" s="241" t="n"/>
      <c r="U1734" s="240" t="n"/>
      <c r="V1734" s="241" t="n"/>
      <c r="Z1734" s="240" t="n"/>
      <c r="AB1734" s="241" t="n"/>
      <c r="AC1734" s="240" t="n"/>
      <c r="AD1734" s="241" t="n"/>
    </row>
    <row r="1735">
      <c r="B1735" s="42" t="n">
        <v>348</v>
      </c>
      <c r="C1735" s="118">
        <f>INDIRECT("'Закуп'!A" &amp; B1735)</f>
        <v/>
      </c>
      <c r="D1735" s="119">
        <f>C1735*1.2</f>
        <v/>
      </c>
      <c r="G1735" s="172">
        <f>IF(INDIRECT("'Закуп'!L" &amp; B1735)="Sale","Sale","")</f>
        <v/>
      </c>
      <c r="H1735" s="158">
        <f>IF(INDIRECT("'Закуп'!F" &amp; B1735)=0,"",INDIRECT("'Закуп'!F" &amp; B1735))</f>
        <v/>
      </c>
      <c r="J1735" s="121">
        <f>K1735/1.2</f>
        <v/>
      </c>
      <c r="L1735" s="122">
        <f>J1735-C1735-(J1735-C1735)*0.2</f>
        <v/>
      </c>
      <c r="M1735" s="123">
        <f>L1735*I1735</f>
        <v/>
      </c>
      <c r="N1735" s="124" t="inlineStr">
        <is>
          <t xml:space="preserve">500-990 шт - </t>
        </is>
      </c>
      <c r="O1735" s="47" t="inlineStr">
        <is>
          <t xml:space="preserve"> руб / шт с НДС</t>
        </is>
      </c>
      <c r="P1735" s="125">
        <f>ROUND(K1735,2)</f>
        <v/>
      </c>
      <c r="Q1735" s="207">
        <f>CONCATENATE(N1735,P1735,O1735,)</f>
        <v/>
      </c>
      <c r="R1735" s="240" t="n"/>
      <c r="T1735" s="241" t="n"/>
      <c r="U1735" s="240" t="n"/>
      <c r="V1735" s="241" t="n"/>
      <c r="Z1735" s="240" t="n"/>
      <c r="AB1735" s="241" t="n"/>
      <c r="AC1735" s="240" t="n"/>
      <c r="AD1735" s="241" t="n"/>
    </row>
    <row r="1736">
      <c r="B1736" s="42" t="n">
        <v>348</v>
      </c>
      <c r="C1736" s="118">
        <f>INDIRECT("'Закуп'!A" &amp; B1736)</f>
        <v/>
      </c>
      <c r="D1736" s="119">
        <f>C1736*1.2</f>
        <v/>
      </c>
      <c r="G1736" s="172">
        <f>IF(INDIRECT("'Закуп'!L" &amp; B1736)="Sale","Sale","")</f>
        <v/>
      </c>
      <c r="H1736" s="158">
        <f>IF(INDIRECT("'Закуп'!F" &amp; B1736)=0,"",INDIRECT("'Закуп'!F" &amp; B1736))</f>
        <v/>
      </c>
      <c r="J1736" s="121">
        <f>K1736/1.2</f>
        <v/>
      </c>
      <c r="L1736" s="122">
        <f>J1736-C1736-(J1736-C1736)*0.2</f>
        <v/>
      </c>
      <c r="M1736" s="123">
        <f>L1736*I1736</f>
        <v/>
      </c>
      <c r="N1736" s="124" t="inlineStr">
        <is>
          <t xml:space="preserve">1000 + шт - </t>
        </is>
      </c>
      <c r="O1736" s="47" t="inlineStr">
        <is>
          <t xml:space="preserve"> руб / шт с НДС</t>
        </is>
      </c>
      <c r="P1736" s="125">
        <f>ROUND(K1736,2)</f>
        <v/>
      </c>
      <c r="Q1736" s="207">
        <f>CONCATENATE(N1736,P1736,O1736,)</f>
        <v/>
      </c>
      <c r="R1736" s="240" t="n"/>
      <c r="T1736" s="241" t="n"/>
      <c r="U1736" s="240" t="n"/>
      <c r="V1736" s="241" t="n"/>
      <c r="Z1736" s="240" t="n"/>
      <c r="AB1736" s="241" t="n"/>
      <c r="AC1736" s="240" t="n"/>
      <c r="AD1736" s="241" t="n"/>
    </row>
    <row r="1737">
      <c r="A1737" s="232" t="n">
        <v>349</v>
      </c>
      <c r="B1737" s="42" t="n">
        <v>349</v>
      </c>
      <c r="C1737" s="118">
        <f>INDIRECT("'Закуп'!A" &amp; B1737)</f>
        <v/>
      </c>
      <c r="D1737" s="119">
        <f>C1737*1.2</f>
        <v/>
      </c>
      <c r="F1737" s="231">
        <f>INDIRECT("'Закуп'!E" &amp; B1737)</f>
        <v/>
      </c>
      <c r="G1737" s="172">
        <f>IF(INDIRECT("'Закуп'!L" &amp; B1737)="Sale","Sale","")</f>
        <v/>
      </c>
      <c r="H1737" s="158">
        <f>IF(INDIRECT("'Закуп'!F" &amp; B1737)=0,"",INDIRECT("'Закуп'!F" &amp; B1737))</f>
        <v/>
      </c>
      <c r="J1737" s="121">
        <f>K1737/1.2</f>
        <v/>
      </c>
      <c r="L1737" s="122">
        <f>J1737-C1737-(J1737-C1737)*0.2</f>
        <v/>
      </c>
      <c r="M1737" s="123">
        <f>L1737*I1737</f>
        <v/>
      </c>
      <c r="N1737" s="124" t="inlineStr">
        <is>
          <t xml:space="preserve">50-90 шт - </t>
        </is>
      </c>
      <c r="O1737" s="47" t="inlineStr">
        <is>
          <t xml:space="preserve"> руб / шт с НДС</t>
        </is>
      </c>
      <c r="P1737" s="125">
        <f>ROUND(K1737,2)</f>
        <v/>
      </c>
      <c r="Q1737" s="207">
        <f>CONCATENATE(N1737,P1737,O1737,)</f>
        <v/>
      </c>
      <c r="R1737" s="235">
        <f>INDIRECT("'Закуп'!k" &amp; A1737)</f>
        <v/>
      </c>
      <c r="S1737" s="239">
        <f>INDIRECT("'Закуп'!o" &amp; A1737)</f>
        <v/>
      </c>
      <c r="T1737" s="226">
        <f>INDIRECT("'Закуп'!p" &amp; A1737)</f>
        <v/>
      </c>
      <c r="U1737" s="235">
        <f>INDIRECT("'Закуп'!v" &amp; A1737)</f>
        <v/>
      </c>
      <c r="V1737" s="222">
        <f>INDIRECT("'Закуп'!w" &amp; A1737)</f>
        <v/>
      </c>
      <c r="W1737" s="229">
        <f>INDIRECT("'Закуп'!H" &amp; A1737)</f>
        <v/>
      </c>
      <c r="X1737" s="237">
        <f>INDIRECT("'Закуп'!g" &amp; A1737)</f>
        <v/>
      </c>
      <c r="Y1737" s="229">
        <f>INDIRECT("'Закуп'!i" &amp; A1737)</f>
        <v/>
      </c>
      <c r="Z1737" s="236">
        <f>INDIRECT("'Закуп'!x" &amp; A1737)</f>
        <v/>
      </c>
      <c r="AA1737" s="237">
        <f>INDIRECT("'Закуп'!y" &amp; A1737)</f>
        <v/>
      </c>
      <c r="AB1737" s="238">
        <f>INDIRECT("'Закуп'!z" &amp; A1737)</f>
        <v/>
      </c>
      <c r="AC1737" s="223">
        <f>SUBSTITUTE(INDEX(F:F, ROUNDUP((ROW(A1736))/5,0)*5 - 3), "х", "x")</f>
        <v/>
      </c>
      <c r="AD1737" s="222">
        <f>SUBSTITUTE(INDEX(F:F, ROUNDUP((ROW(A1736))/5,0)*5 - 3), "х", "x") &amp; " - " &amp; SUBSTITUTE(SUBSTITUTE(INDEX(F:F, ROUNDUP((ROW(A1736))/5,0)*5 - 3), "х", "*"), "x", "*") &amp; " мм"</f>
        <v/>
      </c>
    </row>
    <row r="1738">
      <c r="B1738" s="42" t="n">
        <v>349</v>
      </c>
      <c r="C1738" s="118">
        <f>INDIRECT("'Закуп'!A" &amp; B1738)</f>
        <v/>
      </c>
      <c r="D1738" s="119">
        <f>C1738*1.2</f>
        <v/>
      </c>
      <c r="G1738" s="172">
        <f>IF(INDIRECT("'Закуп'!L" &amp; B1738)="Sale","Sale","")</f>
        <v/>
      </c>
      <c r="H1738" s="158">
        <f>IF(INDIRECT("'Закуп'!F" &amp; B1738)=0,"",INDIRECT("'Закуп'!F" &amp; B1738))</f>
        <v/>
      </c>
      <c r="J1738" s="121">
        <f>K1738/1.2</f>
        <v/>
      </c>
      <c r="L1738" s="122">
        <f>J1738-C1738-(J1738-C1738)*0.2</f>
        <v/>
      </c>
      <c r="M1738" s="123">
        <f>L1738*I1738</f>
        <v/>
      </c>
      <c r="N1738" s="124" t="inlineStr">
        <is>
          <t xml:space="preserve">100-290 шт - </t>
        </is>
      </c>
      <c r="O1738" s="47" t="inlineStr">
        <is>
          <t xml:space="preserve"> руб / шт с НДС</t>
        </is>
      </c>
      <c r="P1738" s="125">
        <f>ROUND(K1738,2)</f>
        <v/>
      </c>
      <c r="Q1738" s="207">
        <f>CONCATENATE(N1738,P1738,O1738,)</f>
        <v/>
      </c>
      <c r="R1738" s="240" t="n"/>
      <c r="T1738" s="241" t="n"/>
      <c r="U1738" s="240" t="n"/>
      <c r="V1738" s="241" t="n"/>
      <c r="Z1738" s="240" t="n"/>
      <c r="AB1738" s="241" t="n"/>
      <c r="AC1738" s="240" t="n"/>
      <c r="AD1738" s="241" t="n"/>
    </row>
    <row r="1739">
      <c r="B1739" s="42" t="n">
        <v>349</v>
      </c>
      <c r="C1739" s="118">
        <f>INDIRECT("'Закуп'!A" &amp; B1739)</f>
        <v/>
      </c>
      <c r="D1739" s="119">
        <f>C1739*1.2</f>
        <v/>
      </c>
      <c r="G1739" s="172">
        <f>IF(INDIRECT("'Закуп'!L" &amp; B1739)="Sale","Sale","")</f>
        <v/>
      </c>
      <c r="H1739" s="158">
        <f>IF(INDIRECT("'Закуп'!F" &amp; B1739)=0,"",INDIRECT("'Закуп'!F" &amp; B1739))</f>
        <v/>
      </c>
      <c r="J1739" s="121">
        <f>K1739/1.2</f>
        <v/>
      </c>
      <c r="L1739" s="122">
        <f>J1739-C1739-(J1739-C1739)*0.2</f>
        <v/>
      </c>
      <c r="M1739" s="123">
        <f>L1739*I1739</f>
        <v/>
      </c>
      <c r="N1739" s="124" t="inlineStr">
        <is>
          <t xml:space="preserve">300-490 шт - </t>
        </is>
      </c>
      <c r="O1739" s="47" t="inlineStr">
        <is>
          <t xml:space="preserve"> руб / шт с НДС</t>
        </is>
      </c>
      <c r="P1739" s="125">
        <f>ROUND(K1739,2)</f>
        <v/>
      </c>
      <c r="Q1739" s="207">
        <f>CONCATENATE(N1739,P1739,O1739,)</f>
        <v/>
      </c>
      <c r="R1739" s="240" t="n"/>
      <c r="T1739" s="241" t="n"/>
      <c r="U1739" s="240" t="n"/>
      <c r="V1739" s="241" t="n"/>
      <c r="Z1739" s="240" t="n"/>
      <c r="AB1739" s="241" t="n"/>
      <c r="AC1739" s="240" t="n"/>
      <c r="AD1739" s="241" t="n"/>
    </row>
    <row r="1740">
      <c r="B1740" s="42" t="n">
        <v>349</v>
      </c>
      <c r="C1740" s="118">
        <f>INDIRECT("'Закуп'!A" &amp; B1740)</f>
        <v/>
      </c>
      <c r="D1740" s="119">
        <f>C1740*1.2</f>
        <v/>
      </c>
      <c r="G1740" s="172">
        <f>IF(INDIRECT("'Закуп'!L" &amp; B1740)="Sale","Sale","")</f>
        <v/>
      </c>
      <c r="H1740" s="158">
        <f>IF(INDIRECT("'Закуп'!F" &amp; B1740)=0,"",INDIRECT("'Закуп'!F" &amp; B1740))</f>
        <v/>
      </c>
      <c r="J1740" s="121">
        <f>K1740/1.2</f>
        <v/>
      </c>
      <c r="L1740" s="122">
        <f>J1740-C1740-(J1740-C1740)*0.2</f>
        <v/>
      </c>
      <c r="M1740" s="123">
        <f>L1740*I1740</f>
        <v/>
      </c>
      <c r="N1740" s="124" t="inlineStr">
        <is>
          <t xml:space="preserve">500-990 шт - </t>
        </is>
      </c>
      <c r="O1740" s="47" t="inlineStr">
        <is>
          <t xml:space="preserve"> руб / шт с НДС</t>
        </is>
      </c>
      <c r="P1740" s="125">
        <f>ROUND(K1740,2)</f>
        <v/>
      </c>
      <c r="Q1740" s="207">
        <f>CONCATENATE(N1740,P1740,O1740,)</f>
        <v/>
      </c>
      <c r="R1740" s="240" t="n"/>
      <c r="T1740" s="241" t="n"/>
      <c r="U1740" s="240" t="n"/>
      <c r="V1740" s="241" t="n"/>
      <c r="Z1740" s="240" t="n"/>
      <c r="AB1740" s="241" t="n"/>
      <c r="AC1740" s="240" t="n"/>
      <c r="AD1740" s="241" t="n"/>
    </row>
    <row r="1741">
      <c r="B1741" s="42" t="n">
        <v>349</v>
      </c>
      <c r="C1741" s="118">
        <f>INDIRECT("'Закуп'!A" &amp; B1741)</f>
        <v/>
      </c>
      <c r="D1741" s="119">
        <f>C1741*1.2</f>
        <v/>
      </c>
      <c r="G1741" s="172">
        <f>IF(INDIRECT("'Закуп'!L" &amp; B1741)="Sale","Sale","")</f>
        <v/>
      </c>
      <c r="H1741" s="158">
        <f>IF(INDIRECT("'Закуп'!F" &amp; B1741)=0,"",INDIRECT("'Закуп'!F" &amp; B1741))</f>
        <v/>
      </c>
      <c r="J1741" s="121">
        <f>K1741/1.2</f>
        <v/>
      </c>
      <c r="L1741" s="122">
        <f>J1741-C1741-(J1741-C1741)*0.2</f>
        <v/>
      </c>
      <c r="M1741" s="123">
        <f>L1741*I1741</f>
        <v/>
      </c>
      <c r="N1741" s="124" t="inlineStr">
        <is>
          <t xml:space="preserve">1000 + шт - </t>
        </is>
      </c>
      <c r="O1741" s="47" t="inlineStr">
        <is>
          <t xml:space="preserve"> руб / шт с НДС</t>
        </is>
      </c>
      <c r="P1741" s="125">
        <f>ROUND(K1741,2)</f>
        <v/>
      </c>
      <c r="Q1741" s="207">
        <f>CONCATENATE(N1741,P1741,O1741,)</f>
        <v/>
      </c>
      <c r="R1741" s="240" t="n"/>
      <c r="T1741" s="241" t="n"/>
      <c r="U1741" s="240" t="n"/>
      <c r="V1741" s="241" t="n"/>
      <c r="Z1741" s="240" t="n"/>
      <c r="AB1741" s="241" t="n"/>
      <c r="AC1741" s="240" t="n"/>
      <c r="AD1741" s="241" t="n"/>
    </row>
    <row r="1742">
      <c r="A1742" s="232" t="n">
        <v>350</v>
      </c>
      <c r="B1742" s="42" t="n">
        <v>350</v>
      </c>
      <c r="C1742" s="118">
        <f>INDIRECT("'Закуп'!A" &amp; B1742)</f>
        <v/>
      </c>
      <c r="D1742" s="119">
        <f>C1742*1.2</f>
        <v/>
      </c>
      <c r="F1742" s="231">
        <f>INDIRECT("'Закуп'!E" &amp; B1742)</f>
        <v/>
      </c>
      <c r="G1742" s="172">
        <f>IF(INDIRECT("'Закуп'!L" &amp; B1742)="Sale","Sale","")</f>
        <v/>
      </c>
      <c r="H1742" s="158">
        <f>IF(INDIRECT("'Закуп'!F" &amp; B1742)=0,"",INDIRECT("'Закуп'!F" &amp; B1742))</f>
        <v/>
      </c>
      <c r="J1742" s="121">
        <f>K1742/1.2</f>
        <v/>
      </c>
      <c r="L1742" s="122">
        <f>J1742-C1742-(J1742-C1742)*0.2</f>
        <v/>
      </c>
      <c r="M1742" s="123">
        <f>L1742*I1742</f>
        <v/>
      </c>
      <c r="N1742" s="124" t="inlineStr">
        <is>
          <t xml:space="preserve">50-90 шт - </t>
        </is>
      </c>
      <c r="O1742" s="47" t="inlineStr">
        <is>
          <t xml:space="preserve"> руб / шт с НДС</t>
        </is>
      </c>
      <c r="P1742" s="125">
        <f>ROUND(K1742,2)</f>
        <v/>
      </c>
      <c r="Q1742" s="207">
        <f>CONCATENATE(N1742,P1742,O1742,)</f>
        <v/>
      </c>
      <c r="R1742" s="235">
        <f>INDIRECT("'Закуп'!k" &amp; A1742)</f>
        <v/>
      </c>
      <c r="S1742" s="239">
        <f>INDIRECT("'Закуп'!o" &amp; A1742)</f>
        <v/>
      </c>
      <c r="T1742" s="226">
        <f>INDIRECT("'Закуп'!p" &amp; A1742)</f>
        <v/>
      </c>
      <c r="U1742" s="235">
        <f>INDIRECT("'Закуп'!v" &amp; A1742)</f>
        <v/>
      </c>
      <c r="V1742" s="222">
        <f>INDIRECT("'Закуп'!w" &amp; A1742)</f>
        <v/>
      </c>
      <c r="W1742" s="229">
        <f>INDIRECT("'Закуп'!H" &amp; A1742)</f>
        <v/>
      </c>
      <c r="X1742" s="237">
        <f>INDIRECT("'Закуп'!g" &amp; A1742)</f>
        <v/>
      </c>
      <c r="Y1742" s="229">
        <f>INDIRECT("'Закуп'!i" &amp; A1742)</f>
        <v/>
      </c>
      <c r="Z1742" s="236">
        <f>INDIRECT("'Закуп'!x" &amp; A1742)</f>
        <v/>
      </c>
      <c r="AA1742" s="237">
        <f>INDIRECT("'Закуп'!y" &amp; A1742)</f>
        <v/>
      </c>
      <c r="AB1742" s="238">
        <f>INDIRECT("'Закуп'!z" &amp; A1742)</f>
        <v/>
      </c>
      <c r="AC1742" s="223">
        <f>SUBSTITUTE(INDEX(F:F, ROUNDUP((ROW(A1741))/5,0)*5 - 3), "х", "x")</f>
        <v/>
      </c>
      <c r="AD1742" s="222">
        <f>SUBSTITUTE(INDEX(F:F, ROUNDUP((ROW(A1741))/5,0)*5 - 3), "х", "x") &amp; " - " &amp; SUBSTITUTE(SUBSTITUTE(INDEX(F:F, ROUNDUP((ROW(A1741))/5,0)*5 - 3), "х", "*"), "x", "*") &amp; " мм"</f>
        <v/>
      </c>
    </row>
    <row r="1743">
      <c r="B1743" s="42" t="n">
        <v>350</v>
      </c>
      <c r="C1743" s="118">
        <f>INDIRECT("'Закуп'!A" &amp; B1743)</f>
        <v/>
      </c>
      <c r="D1743" s="119">
        <f>C1743*1.2</f>
        <v/>
      </c>
      <c r="G1743" s="172">
        <f>IF(INDIRECT("'Закуп'!L" &amp; B1743)="Sale","Sale","")</f>
        <v/>
      </c>
      <c r="H1743" s="158">
        <f>IF(INDIRECT("'Закуп'!F" &amp; B1743)=0,"",INDIRECT("'Закуп'!F" &amp; B1743))</f>
        <v/>
      </c>
      <c r="J1743" s="121">
        <f>K1743/1.2</f>
        <v/>
      </c>
      <c r="L1743" s="122">
        <f>J1743-C1743-(J1743-C1743)*0.2</f>
        <v/>
      </c>
      <c r="M1743" s="123">
        <f>L1743*I1743</f>
        <v/>
      </c>
      <c r="N1743" s="124" t="inlineStr">
        <is>
          <t xml:space="preserve">100-290 шт - </t>
        </is>
      </c>
      <c r="O1743" s="47" t="inlineStr">
        <is>
          <t xml:space="preserve"> руб / шт с НДС</t>
        </is>
      </c>
      <c r="P1743" s="125">
        <f>ROUND(K1743,2)</f>
        <v/>
      </c>
      <c r="Q1743" s="207">
        <f>CONCATENATE(N1743,P1743,O1743,)</f>
        <v/>
      </c>
      <c r="R1743" s="240" t="n"/>
      <c r="T1743" s="241" t="n"/>
      <c r="U1743" s="240" t="n"/>
      <c r="V1743" s="241" t="n"/>
      <c r="Z1743" s="240" t="n"/>
      <c r="AB1743" s="241" t="n"/>
      <c r="AC1743" s="240" t="n"/>
      <c r="AD1743" s="241" t="n"/>
    </row>
    <row r="1744">
      <c r="B1744" s="42" t="n">
        <v>350</v>
      </c>
      <c r="C1744" s="118">
        <f>INDIRECT("'Закуп'!A" &amp; B1744)</f>
        <v/>
      </c>
      <c r="D1744" s="119">
        <f>C1744*1.2</f>
        <v/>
      </c>
      <c r="G1744" s="172">
        <f>IF(INDIRECT("'Закуп'!L" &amp; B1744)="Sale","Sale","")</f>
        <v/>
      </c>
      <c r="H1744" s="158">
        <f>IF(INDIRECT("'Закуп'!F" &amp; B1744)=0,"",INDIRECT("'Закуп'!F" &amp; B1744))</f>
        <v/>
      </c>
      <c r="J1744" s="121">
        <f>K1744/1.2</f>
        <v/>
      </c>
      <c r="L1744" s="122">
        <f>J1744-C1744-(J1744-C1744)*0.2</f>
        <v/>
      </c>
      <c r="M1744" s="123">
        <f>L1744*I1744</f>
        <v/>
      </c>
      <c r="N1744" s="124" t="inlineStr">
        <is>
          <t xml:space="preserve">300-490 шт - </t>
        </is>
      </c>
      <c r="O1744" s="47" t="inlineStr">
        <is>
          <t xml:space="preserve"> руб / шт с НДС</t>
        </is>
      </c>
      <c r="P1744" s="125">
        <f>ROUND(K1744,2)</f>
        <v/>
      </c>
      <c r="Q1744" s="207">
        <f>CONCATENATE(N1744,P1744,O1744,)</f>
        <v/>
      </c>
      <c r="R1744" s="240" t="n"/>
      <c r="T1744" s="241" t="n"/>
      <c r="U1744" s="240" t="n"/>
      <c r="V1744" s="241" t="n"/>
      <c r="Z1744" s="240" t="n"/>
      <c r="AB1744" s="241" t="n"/>
      <c r="AC1744" s="240" t="n"/>
      <c r="AD1744" s="241" t="n"/>
    </row>
    <row r="1745">
      <c r="B1745" s="42" t="n">
        <v>350</v>
      </c>
      <c r="C1745" s="118">
        <f>INDIRECT("'Закуп'!A" &amp; B1745)</f>
        <v/>
      </c>
      <c r="D1745" s="119">
        <f>C1745*1.2</f>
        <v/>
      </c>
      <c r="G1745" s="172">
        <f>IF(INDIRECT("'Закуп'!L" &amp; B1745)="Sale","Sale","")</f>
        <v/>
      </c>
      <c r="H1745" s="158">
        <f>IF(INDIRECT("'Закуп'!F" &amp; B1745)=0,"",INDIRECT("'Закуп'!F" &amp; B1745))</f>
        <v/>
      </c>
      <c r="J1745" s="121">
        <f>K1745/1.2</f>
        <v/>
      </c>
      <c r="L1745" s="122">
        <f>J1745-C1745-(J1745-C1745)*0.2</f>
        <v/>
      </c>
      <c r="M1745" s="123">
        <f>L1745*I1745</f>
        <v/>
      </c>
      <c r="N1745" s="124" t="inlineStr">
        <is>
          <t xml:space="preserve">500-990 шт - </t>
        </is>
      </c>
      <c r="O1745" s="47" t="inlineStr">
        <is>
          <t xml:space="preserve"> руб / шт с НДС</t>
        </is>
      </c>
      <c r="P1745" s="125">
        <f>ROUND(K1745,2)</f>
        <v/>
      </c>
      <c r="Q1745" s="207">
        <f>CONCATENATE(N1745,P1745,O1745,)</f>
        <v/>
      </c>
      <c r="R1745" s="240" t="n"/>
      <c r="T1745" s="241" t="n"/>
      <c r="U1745" s="240" t="n"/>
      <c r="V1745" s="241" t="n"/>
      <c r="Z1745" s="240" t="n"/>
      <c r="AB1745" s="241" t="n"/>
      <c r="AC1745" s="240" t="n"/>
      <c r="AD1745" s="241" t="n"/>
    </row>
    <row r="1746">
      <c r="B1746" s="42" t="n">
        <v>350</v>
      </c>
      <c r="C1746" s="118">
        <f>INDIRECT("'Закуп'!A" &amp; B1746)</f>
        <v/>
      </c>
      <c r="D1746" s="119">
        <f>C1746*1.2</f>
        <v/>
      </c>
      <c r="G1746" s="172">
        <f>IF(INDIRECT("'Закуп'!L" &amp; B1746)="Sale","Sale","")</f>
        <v/>
      </c>
      <c r="H1746" s="158">
        <f>IF(INDIRECT("'Закуп'!F" &amp; B1746)=0,"",INDIRECT("'Закуп'!F" &amp; B1746))</f>
        <v/>
      </c>
      <c r="J1746" s="121">
        <f>K1746/1.2</f>
        <v/>
      </c>
      <c r="L1746" s="122">
        <f>J1746-C1746-(J1746-C1746)*0.2</f>
        <v/>
      </c>
      <c r="M1746" s="123">
        <f>L1746*I1746</f>
        <v/>
      </c>
      <c r="N1746" s="124" t="inlineStr">
        <is>
          <t xml:space="preserve">1000 + шт - </t>
        </is>
      </c>
      <c r="O1746" s="47" t="inlineStr">
        <is>
          <t xml:space="preserve"> руб / шт с НДС</t>
        </is>
      </c>
      <c r="P1746" s="125">
        <f>ROUND(K1746,2)</f>
        <v/>
      </c>
      <c r="Q1746" s="207">
        <f>CONCATENATE(N1746,P1746,O1746,)</f>
        <v/>
      </c>
      <c r="R1746" s="240" t="n"/>
      <c r="T1746" s="241" t="n"/>
      <c r="U1746" s="240" t="n"/>
      <c r="V1746" s="241" t="n"/>
      <c r="Z1746" s="240" t="n"/>
      <c r="AB1746" s="241" t="n"/>
      <c r="AC1746" s="240" t="n"/>
      <c r="AD1746" s="241" t="n"/>
    </row>
    <row r="1747">
      <c r="P1747" s="125" t="n"/>
      <c r="T1747" s="226" t="n"/>
      <c r="U1747" s="235" t="n"/>
      <c r="V1747" s="222" t="n"/>
      <c r="W1747" s="229" t="n"/>
    </row>
    <row r="1748">
      <c r="P1748" s="125" t="n"/>
      <c r="T1748" s="241" t="n"/>
      <c r="U1748" s="240" t="n"/>
      <c r="V1748" s="241" t="n"/>
    </row>
    <row r="1749">
      <c r="P1749" s="125" t="n"/>
      <c r="T1749" s="241" t="n"/>
      <c r="U1749" s="240" t="n"/>
      <c r="V1749" s="241" t="n"/>
    </row>
    <row r="1750">
      <c r="P1750" s="125" t="n"/>
      <c r="T1750" s="241" t="n"/>
      <c r="U1750" s="240" t="n"/>
      <c r="V1750" s="241" t="n"/>
    </row>
    <row r="1751">
      <c r="P1751" s="125" t="n"/>
      <c r="T1751" s="241" t="n"/>
      <c r="U1751" s="240" t="n"/>
      <c r="V1751" s="241" t="n"/>
    </row>
    <row r="1752">
      <c r="P1752" s="125" t="n"/>
      <c r="T1752" s="226" t="n"/>
      <c r="U1752" s="235" t="n"/>
      <c r="V1752" s="222" t="n"/>
      <c r="W1752" s="229" t="n"/>
    </row>
    <row r="1753">
      <c r="P1753" s="125" t="n"/>
      <c r="T1753" s="241" t="n"/>
      <c r="U1753" s="240" t="n"/>
      <c r="V1753" s="241" t="n"/>
    </row>
    <row r="1754">
      <c r="P1754" s="125" t="n"/>
      <c r="T1754" s="241" t="n"/>
      <c r="U1754" s="240" t="n"/>
      <c r="V1754" s="241" t="n"/>
    </row>
    <row r="1755">
      <c r="P1755" s="125" t="n"/>
      <c r="T1755" s="241" t="n"/>
      <c r="U1755" s="240" t="n"/>
      <c r="V1755" s="241" t="n"/>
    </row>
    <row r="1756">
      <c r="P1756" s="125" t="n"/>
      <c r="T1756" s="241" t="n"/>
      <c r="U1756" s="240" t="n"/>
      <c r="V1756" s="241" t="n"/>
    </row>
  </sheetData>
  <autoFilter ref="A1:AB1746"/>
  <mergeCells count="5584">
    <mergeCell ref="R1382:R1386"/>
    <mergeCell ref="E167:E171"/>
    <mergeCell ref="AB1102:AB1106"/>
    <mergeCell ref="A1372:A1376"/>
    <mergeCell ref="AB797:AB801"/>
    <mergeCell ref="T1142:T1146"/>
    <mergeCell ref="R1682:R1686"/>
    <mergeCell ref="E467:E471"/>
    <mergeCell ref="A1387:A1391"/>
    <mergeCell ref="AB1402:AB1406"/>
    <mergeCell ref="AA62:AA66"/>
    <mergeCell ref="Y602:Y606"/>
    <mergeCell ref="V777:V781"/>
    <mergeCell ref="E162:E166"/>
    <mergeCell ref="AB1097:AB1101"/>
    <mergeCell ref="T1442:T1446"/>
    <mergeCell ref="Y297:Y301"/>
    <mergeCell ref="V472:V476"/>
    <mergeCell ref="R312:R316"/>
    <mergeCell ref="AD1162:AD1166"/>
    <mergeCell ref="AB1702:AB1706"/>
    <mergeCell ref="Y902:Y906"/>
    <mergeCell ref="X537:X541"/>
    <mergeCell ref="T1137:T1141"/>
    <mergeCell ref="V1077:V1081"/>
    <mergeCell ref="AD857:AD861"/>
    <mergeCell ref="AB1397:AB1401"/>
    <mergeCell ref="X232:X236"/>
    <mergeCell ref="V772:V776"/>
    <mergeCell ref="F1647:F1651"/>
    <mergeCell ref="W1327:W1331"/>
    <mergeCell ref="X532:X536"/>
    <mergeCell ref="U827:U831"/>
    <mergeCell ref="W1627:W1631"/>
    <mergeCell ref="AD547:AD551"/>
    <mergeCell ref="F1642:F1646"/>
    <mergeCell ref="AA417:AA421"/>
    <mergeCell ref="AD847:AD851"/>
    <mergeCell ref="V1377:V1381"/>
    <mergeCell ref="AA717:AA721"/>
    <mergeCell ref="Y1257:Y1261"/>
    <mergeCell ref="U92:U96"/>
    <mergeCell ref="A202:A206"/>
    <mergeCell ref="V1677:V1681"/>
    <mergeCell ref="AA1042:AA1046"/>
    <mergeCell ref="E662:E666"/>
    <mergeCell ref="A502:A506"/>
    <mergeCell ref="AB1597:AB1601"/>
    <mergeCell ref="E1267:E1271"/>
    <mergeCell ref="AD1232:AD1236"/>
    <mergeCell ref="E962:E966"/>
    <mergeCell ref="AD927:AD931"/>
    <mergeCell ref="W527:W531"/>
    <mergeCell ref="AD1532:AD1536"/>
    <mergeCell ref="E1262:E1266"/>
    <mergeCell ref="AD1227:AD1231"/>
    <mergeCell ref="X602:X606"/>
    <mergeCell ref="A887:A891"/>
    <mergeCell ref="S1442:S1446"/>
    <mergeCell ref="AD1527:AD1531"/>
    <mergeCell ref="Z362:Z366"/>
    <mergeCell ref="X902:X906"/>
    <mergeCell ref="A1187:A1191"/>
    <mergeCell ref="A882:A886"/>
    <mergeCell ref="E1647:E1651"/>
    <mergeCell ref="E1622:E1626"/>
    <mergeCell ref="V1327:V1331"/>
    <mergeCell ref="V1627:V1631"/>
    <mergeCell ref="A757:A761"/>
    <mergeCell ref="Z1337:Z1341"/>
    <mergeCell ref="AC547:AC551"/>
    <mergeCell ref="V147:V151"/>
    <mergeCell ref="F217:F221"/>
    <mergeCell ref="A452:A456"/>
    <mergeCell ref="A572:A576"/>
    <mergeCell ref="R762:R766"/>
    <mergeCell ref="AC847:AC851"/>
    <mergeCell ref="AA1387:AA1391"/>
    <mergeCell ref="T397:T401"/>
    <mergeCell ref="U1377:U1381"/>
    <mergeCell ref="T92:T96"/>
    <mergeCell ref="R757:R761"/>
    <mergeCell ref="S1512:S1516"/>
    <mergeCell ref="Y657:Y661"/>
    <mergeCell ref="Y957:Y961"/>
    <mergeCell ref="A1557:A1561"/>
    <mergeCell ref="U1572:U1576"/>
    <mergeCell ref="S27:S31"/>
    <mergeCell ref="Z1032:Z1036"/>
    <mergeCell ref="W1207:W1211"/>
    <mergeCell ref="R1562:R1566"/>
    <mergeCell ref="AB842:AB846"/>
    <mergeCell ref="A522:A526"/>
    <mergeCell ref="X1457:X1461"/>
    <mergeCell ref="A1127:A1131"/>
    <mergeCell ref="A822:A826"/>
    <mergeCell ref="V212:V216"/>
    <mergeCell ref="AB1467:AB1471"/>
    <mergeCell ref="R1132:R1136"/>
    <mergeCell ref="X277:X281"/>
    <mergeCell ref="AB852:AB856"/>
    <mergeCell ref="F1502:F1506"/>
    <mergeCell ref="R827:R831"/>
    <mergeCell ref="A1122:A1126"/>
    <mergeCell ref="T892:T896"/>
    <mergeCell ref="R1432:R1436"/>
    <mergeCell ref="E217:E221"/>
    <mergeCell ref="AB847:AB851"/>
    <mergeCell ref="F1097:F1101"/>
    <mergeCell ref="A1507:A1511"/>
    <mergeCell ref="F1397:F1401"/>
    <mergeCell ref="W1077:W1081"/>
    <mergeCell ref="AA787:AA791"/>
    <mergeCell ref="F1092:F1096"/>
    <mergeCell ref="AA482:AA486"/>
    <mergeCell ref="AA1087:AA1091"/>
    <mergeCell ref="X1262:X1266"/>
    <mergeCell ref="AC117:AC121"/>
    <mergeCell ref="F1392:F1396"/>
    <mergeCell ref="A22:A26"/>
    <mergeCell ref="X957:X961"/>
    <mergeCell ref="W1702:W1706"/>
    <mergeCell ref="U157:U161"/>
    <mergeCell ref="AD972:AD976"/>
    <mergeCell ref="R632:R636"/>
    <mergeCell ref="X347:X351"/>
    <mergeCell ref="F1452:F1456"/>
    <mergeCell ref="Z1587:Z1591"/>
    <mergeCell ref="S882:S886"/>
    <mergeCell ref="E412:E416"/>
    <mergeCell ref="X342:X346"/>
    <mergeCell ref="U517:U521"/>
    <mergeCell ref="Z407:Z411"/>
    <mergeCell ref="AD982:AD986"/>
    <mergeCell ref="E712:E716"/>
    <mergeCell ref="U212:U216"/>
    <mergeCell ref="AA1467:AA1471"/>
    <mergeCell ref="Z102:Z106"/>
    <mergeCell ref="W277:W281"/>
    <mergeCell ref="R1237:R1241"/>
    <mergeCell ref="Z402:Z406"/>
    <mergeCell ref="W577:W581"/>
    <mergeCell ref="R932:R936"/>
    <mergeCell ref="A637:A641"/>
    <mergeCell ref="V1697:V1701"/>
    <mergeCell ref="AC617:AC621"/>
    <mergeCell ref="AA1157:AA1161"/>
    <mergeCell ref="F1462:F1466"/>
    <mergeCell ref="R202:R206"/>
    <mergeCell ref="E1072:E1076"/>
    <mergeCell ref="A937:A941"/>
    <mergeCell ref="Y1207:Y1211"/>
    <mergeCell ref="AC917:AC921"/>
    <mergeCell ref="V1692:V1696"/>
    <mergeCell ref="E1397:E1401"/>
    <mergeCell ref="R502:R506"/>
    <mergeCell ref="AC612:AC616"/>
    <mergeCell ref="Z787:Z791"/>
    <mergeCell ref="X1327:X1331"/>
    <mergeCell ref="AC1217:AC1221"/>
    <mergeCell ref="Z1087:Z1091"/>
    <mergeCell ref="T132:T136"/>
    <mergeCell ref="AA1337:AA1341"/>
    <mergeCell ref="AC972:AC976"/>
    <mergeCell ref="W347:W351"/>
    <mergeCell ref="U1012:U1016"/>
    <mergeCell ref="S1552:S1556"/>
    <mergeCell ref="F337:F341"/>
    <mergeCell ref="AC1272:AC1276"/>
    <mergeCell ref="U1617:U1621"/>
    <mergeCell ref="Z472:Z476"/>
    <mergeCell ref="Y107:Y111"/>
    <mergeCell ref="W647:W651"/>
    <mergeCell ref="R882:R886"/>
    <mergeCell ref="U1312:U1316"/>
    <mergeCell ref="W342:W346"/>
    <mergeCell ref="AC1597:AC1601"/>
    <mergeCell ref="Y407:Y411"/>
    <mergeCell ref="Y102:Y106"/>
    <mergeCell ref="A1007:A1011"/>
    <mergeCell ref="T1367:T1371"/>
    <mergeCell ref="A1307:A1311"/>
    <mergeCell ref="U1697:U1701"/>
    <mergeCell ref="AB617:AB621"/>
    <mergeCell ref="AB592:AB596"/>
    <mergeCell ref="Z1157:Z1161"/>
    <mergeCell ref="A272:A276"/>
    <mergeCell ref="AD352:AD356"/>
    <mergeCell ref="AB917:AB921"/>
    <mergeCell ref="AB892:AB896"/>
    <mergeCell ref="Z1457:Z1461"/>
    <mergeCell ref="V267:V271"/>
    <mergeCell ref="E282:E286"/>
    <mergeCell ref="AB1217:AB1221"/>
    <mergeCell ref="S382:S386"/>
    <mergeCell ref="V262:V266"/>
    <mergeCell ref="U17:U21"/>
    <mergeCell ref="AC1467:AC1471"/>
    <mergeCell ref="Z1642:Z1646"/>
    <mergeCell ref="S682:S686"/>
    <mergeCell ref="T1017:T1021"/>
    <mergeCell ref="X47:X51"/>
    <mergeCell ref="T1317:T1321"/>
    <mergeCell ref="AA237:AA241"/>
    <mergeCell ref="Y777:Y781"/>
    <mergeCell ref="T1012:T1016"/>
    <mergeCell ref="A1257:A1261"/>
    <mergeCell ref="T1617:T1621"/>
    <mergeCell ref="Y472:Y476"/>
    <mergeCell ref="AA537:AA541"/>
    <mergeCell ref="T1312:T1316"/>
    <mergeCell ref="S1067:S1071"/>
    <mergeCell ref="AA232:AA236"/>
    <mergeCell ref="S1367:S1371"/>
    <mergeCell ref="F1517:F1521"/>
    <mergeCell ref="S1062:S1066"/>
    <mergeCell ref="AD117:AD121"/>
    <mergeCell ref="S1667:S1671"/>
    <mergeCell ref="AD722:AD726"/>
    <mergeCell ref="Y1157:Y1161"/>
    <mergeCell ref="X397:X401"/>
    <mergeCell ref="S632:S636"/>
    <mergeCell ref="V1552:V1556"/>
    <mergeCell ref="AA917:AA921"/>
    <mergeCell ref="X92:X96"/>
    <mergeCell ref="U267:U271"/>
    <mergeCell ref="A377:A381"/>
    <mergeCell ref="AA1217:AA1221"/>
    <mergeCell ref="E837:E841"/>
    <mergeCell ref="R382:R386"/>
    <mergeCell ref="V1147:V1151"/>
    <mergeCell ref="R987:R991"/>
    <mergeCell ref="T1687:T1691"/>
    <mergeCell ref="E1137:E1141"/>
    <mergeCell ref="R682:R686"/>
    <mergeCell ref="T1382:T1386"/>
    <mergeCell ref="Z527:Z531"/>
    <mergeCell ref="V1447:V1451"/>
    <mergeCell ref="AC367:AC371"/>
    <mergeCell ref="V1142:V1146"/>
    <mergeCell ref="S1317:S1321"/>
    <mergeCell ref="V1747:V1751"/>
    <mergeCell ref="AA602:AA606"/>
    <mergeCell ref="X777:X781"/>
    <mergeCell ref="AC667:AC671"/>
    <mergeCell ref="V1442:V1446"/>
    <mergeCell ref="S1617:S1621"/>
    <mergeCell ref="S1737:S1741"/>
    <mergeCell ref="AC362:AC366"/>
    <mergeCell ref="Z537:Z541"/>
    <mergeCell ref="X1077:X1081"/>
    <mergeCell ref="Y1632:Y1636"/>
    <mergeCell ref="Y1327:Y1331"/>
    <mergeCell ref="S702:S706"/>
    <mergeCell ref="AC422:AC426"/>
    <mergeCell ref="S1307:S1311"/>
    <mergeCell ref="F92:F96"/>
    <mergeCell ref="Y1627:Y1631"/>
    <mergeCell ref="S1002:S1006"/>
    <mergeCell ref="AC722:AC726"/>
    <mergeCell ref="A747:A751"/>
    <mergeCell ref="U762:U766"/>
    <mergeCell ref="S1302:S1306"/>
    <mergeCell ref="X1682:X1686"/>
    <mergeCell ref="R937:R941"/>
    <mergeCell ref="F87:F91"/>
    <mergeCell ref="W397:W401"/>
    <mergeCell ref="R752:R756"/>
    <mergeCell ref="W92:W96"/>
    <mergeCell ref="AC1347:AC1351"/>
    <mergeCell ref="E1507:E1511"/>
    <mergeCell ref="R1052:R1056"/>
    <mergeCell ref="X1277:X1281"/>
    <mergeCell ref="V1512:V1516"/>
    <mergeCell ref="R1352:R1356"/>
    <mergeCell ref="S1687:S1691"/>
    <mergeCell ref="AB657:AB661"/>
    <mergeCell ref="R322:R326"/>
    <mergeCell ref="Y832:Y836"/>
    <mergeCell ref="V32:V36"/>
    <mergeCell ref="R17:R21"/>
    <mergeCell ref="Y527:Y531"/>
    <mergeCell ref="U1447:U1451"/>
    <mergeCell ref="R317:R321"/>
    <mergeCell ref="U1747:U1751"/>
    <mergeCell ref="S202:S206"/>
    <mergeCell ref="AB667:AB671"/>
    <mergeCell ref="Z1207:Z1211"/>
    <mergeCell ref="T1197:T1201"/>
    <mergeCell ref="R1737:R1741"/>
    <mergeCell ref="AA1457:AA1461"/>
    <mergeCell ref="X1632:X1636"/>
    <mergeCell ref="F587:F591"/>
    <mergeCell ref="F282:F286"/>
    <mergeCell ref="AB1642:AB1646"/>
    <mergeCell ref="X452:X456"/>
    <mergeCell ref="F582:F586"/>
    <mergeCell ref="R1002:R1006"/>
    <mergeCell ref="X147:X151"/>
    <mergeCell ref="Z777:Z781"/>
    <mergeCell ref="F1272:F1276"/>
    <mergeCell ref="S817:S821"/>
    <mergeCell ref="AA662:AA666"/>
    <mergeCell ref="F1572:F1576"/>
    <mergeCell ref="S1117:S1121"/>
    <mergeCell ref="W1252:W1256"/>
    <mergeCell ref="AD787:AD791"/>
    <mergeCell ref="AA962:AA966"/>
    <mergeCell ref="F1267:F1271"/>
    <mergeCell ref="AA657:AA661"/>
    <mergeCell ref="W1577:W1581"/>
    <mergeCell ref="U32:U36"/>
    <mergeCell ref="F1567:F1571"/>
    <mergeCell ref="AA957:AA961"/>
    <mergeCell ref="E1322:E1326"/>
    <mergeCell ref="U332:U336"/>
    <mergeCell ref="V887:V891"/>
    <mergeCell ref="V1302:V1306"/>
    <mergeCell ref="AD1147:AD1151"/>
    <mergeCell ref="X522:X526"/>
    <mergeCell ref="A127:A131"/>
    <mergeCell ref="AD842:AD846"/>
    <mergeCell ref="V1187:V1191"/>
    <mergeCell ref="V882:V886"/>
    <mergeCell ref="E587:E591"/>
    <mergeCell ref="X517:X521"/>
    <mergeCell ref="T1437:T1441"/>
    <mergeCell ref="Z582:Z586"/>
    <mergeCell ref="T1132:T1136"/>
    <mergeCell ref="Z277:Z281"/>
    <mergeCell ref="Z577:Z581"/>
    <mergeCell ref="U932:U936"/>
    <mergeCell ref="S1487:S1491"/>
    <mergeCell ref="AC792:AC796"/>
    <mergeCell ref="F1637:F1641"/>
    <mergeCell ref="AC1092:AC1096"/>
    <mergeCell ref="T1737:T1741"/>
    <mergeCell ref="Y1077:Y1081"/>
    <mergeCell ref="AC787:AC791"/>
    <mergeCell ref="T32:T36"/>
    <mergeCell ref="AC1087:AC1091"/>
    <mergeCell ref="T252:T256"/>
    <mergeCell ref="AD1642:AD1646"/>
    <mergeCell ref="A497:A501"/>
    <mergeCell ref="Z652:Z656"/>
    <mergeCell ref="U887:U891"/>
    <mergeCell ref="Z347:Z351"/>
    <mergeCell ref="U1187:U1191"/>
    <mergeCell ref="E1257:E1261"/>
    <mergeCell ref="R802:R806"/>
    <mergeCell ref="AB107:AB111"/>
    <mergeCell ref="Z647:Z651"/>
    <mergeCell ref="AB712:AB716"/>
    <mergeCell ref="S1437:S1441"/>
    <mergeCell ref="AB407:AB411"/>
    <mergeCell ref="V82:V86"/>
    <mergeCell ref="T1237:T1241"/>
    <mergeCell ref="X1697:X1701"/>
    <mergeCell ref="T507:T511"/>
    <mergeCell ref="R1487:R1491"/>
    <mergeCell ref="AC1157:AC1161"/>
    <mergeCell ref="AB792:AB796"/>
    <mergeCell ref="Z1332:Z1336"/>
    <mergeCell ref="T202:T206"/>
    <mergeCell ref="A447:A451"/>
    <mergeCell ref="AA1207:AA1211"/>
    <mergeCell ref="T807:T811"/>
    <mergeCell ref="E157:E161"/>
    <mergeCell ref="AD552:AD556"/>
    <mergeCell ref="AB1092:AB1096"/>
    <mergeCell ref="T502:T506"/>
    <mergeCell ref="E457:E461"/>
    <mergeCell ref="R2:R6"/>
    <mergeCell ref="V137:V141"/>
    <mergeCell ref="AB1392:AB1396"/>
    <mergeCell ref="F1012:F1016"/>
    <mergeCell ref="S557:S561"/>
    <mergeCell ref="F707:F711"/>
    <mergeCell ref="AC1642:AC1646"/>
    <mergeCell ref="W1017:W1021"/>
    <mergeCell ref="S857:S861"/>
    <mergeCell ref="U1557:U1561"/>
    <mergeCell ref="Y652:Y656"/>
    <mergeCell ref="W1317:W1321"/>
    <mergeCell ref="Y347:Y351"/>
    <mergeCell ref="AD237:AD241"/>
    <mergeCell ref="AB777:AB781"/>
    <mergeCell ref="AA412:AA416"/>
    <mergeCell ref="Y952:Y956"/>
    <mergeCell ref="T1187:T1191"/>
    <mergeCell ref="W1617:W1621"/>
    <mergeCell ref="AA107:AA111"/>
    <mergeCell ref="Y647:Y651"/>
    <mergeCell ref="AD537:AD541"/>
    <mergeCell ref="AA712:AA716"/>
    <mergeCell ref="A1677:A1681"/>
    <mergeCell ref="Z1202:Z1206"/>
    <mergeCell ref="V1067:V1071"/>
    <mergeCell ref="AA407:AA411"/>
    <mergeCell ref="E27:E31"/>
    <mergeCell ref="AB962:AB966"/>
    <mergeCell ref="Z1502:Z1506"/>
    <mergeCell ref="V1367:V1371"/>
    <mergeCell ref="U82:U86"/>
    <mergeCell ref="F1692:F1696"/>
    <mergeCell ref="E327:E331"/>
    <mergeCell ref="T572:T576"/>
    <mergeCell ref="AB1262:AB1266"/>
    <mergeCell ref="AD292:AD296"/>
    <mergeCell ref="V637:V641"/>
    <mergeCell ref="AD897:AD901"/>
    <mergeCell ref="W1697:W1701"/>
    <mergeCell ref="V332:V336"/>
    <mergeCell ref="X272:X276"/>
    <mergeCell ref="T872:T876"/>
    <mergeCell ref="AD592:AD596"/>
    <mergeCell ref="V937:V941"/>
    <mergeCell ref="V632:V636"/>
    <mergeCell ref="AD892:AD896"/>
    <mergeCell ref="S927:S931"/>
    <mergeCell ref="X267:X271"/>
    <mergeCell ref="R257:R261"/>
    <mergeCell ref="U687:U691"/>
    <mergeCell ref="E1012:E1016"/>
    <mergeCell ref="S922:S926"/>
    <mergeCell ref="R557:R561"/>
    <mergeCell ref="U987:U991"/>
    <mergeCell ref="W1687:W1691"/>
    <mergeCell ref="V1322:V1326"/>
    <mergeCell ref="R1162:R1166"/>
    <mergeCell ref="W17:W21"/>
    <mergeCell ref="E707:E711"/>
    <mergeCell ref="AD487:AD491"/>
    <mergeCell ref="E1312:E1316"/>
    <mergeCell ref="R857:R861"/>
    <mergeCell ref="A147:A151"/>
    <mergeCell ref="V1622:V1626"/>
    <mergeCell ref="AC542:AC546"/>
    <mergeCell ref="AA1082:AA1086"/>
    <mergeCell ref="V1317:V1321"/>
    <mergeCell ref="F1387:F1391"/>
    <mergeCell ref="AC237:AC241"/>
    <mergeCell ref="AA777:AA781"/>
    <mergeCell ref="T1487:T1491"/>
    <mergeCell ref="V1617:V1621"/>
    <mergeCell ref="AB1332:AB1336"/>
    <mergeCell ref="U1372:U1376"/>
    <mergeCell ref="AC537:AC541"/>
    <mergeCell ref="Y1202:Y1206"/>
    <mergeCell ref="U1067:U1071"/>
    <mergeCell ref="S1607:S1611"/>
    <mergeCell ref="E697:E701"/>
    <mergeCell ref="R242:R246"/>
    <mergeCell ref="AD1092:AD1096"/>
    <mergeCell ref="AB1632:AB1636"/>
    <mergeCell ref="U1672:U1676"/>
    <mergeCell ref="Y1502:Y1506"/>
    <mergeCell ref="U1367:U1371"/>
    <mergeCell ref="AD1392:AD1396"/>
    <mergeCell ref="Y22:Y26"/>
    <mergeCell ref="S572:S576"/>
    <mergeCell ref="AA1262:AA1266"/>
    <mergeCell ref="U1667:U1671"/>
    <mergeCell ref="U637:U641"/>
    <mergeCell ref="U937:U941"/>
    <mergeCell ref="U1057:U1061"/>
    <mergeCell ref="Z397:Z401"/>
    <mergeCell ref="A617:A621"/>
    <mergeCell ref="T387:T391"/>
    <mergeCell ref="R927:R931"/>
    <mergeCell ref="T687:T691"/>
    <mergeCell ref="R1227:R1231"/>
    <mergeCell ref="A212:A216"/>
    <mergeCell ref="T987:T991"/>
    <mergeCell ref="V1687:V1691"/>
    <mergeCell ref="A512:A516"/>
    <mergeCell ref="R192:R196"/>
    <mergeCell ref="X1447:X1451"/>
    <mergeCell ref="U1742:U1746"/>
    <mergeCell ref="AB542:AB546"/>
    <mergeCell ref="Z1082:Z1086"/>
    <mergeCell ref="F1192:F1196"/>
    <mergeCell ref="R492:R496"/>
    <mergeCell ref="W1502:W1506"/>
    <mergeCell ref="F1492:F1496"/>
    <mergeCell ref="AA1332:AA1336"/>
    <mergeCell ref="U1737:U1741"/>
    <mergeCell ref="F157:F161"/>
    <mergeCell ref="AA1632:AA1636"/>
    <mergeCell ref="F762:F766"/>
    <mergeCell ref="S307:S311"/>
    <mergeCell ref="U1007:U1011"/>
    <mergeCell ref="AA152:AA156"/>
    <mergeCell ref="F457:F461"/>
    <mergeCell ref="U702:U706"/>
    <mergeCell ref="AC1392:AC1396"/>
    <mergeCell ref="W767:W771"/>
    <mergeCell ref="U1307:U1311"/>
    <mergeCell ref="A1417:A1421"/>
    <mergeCell ref="F757:F761"/>
    <mergeCell ref="Z1382:Z1386"/>
    <mergeCell ref="AA147:AA151"/>
    <mergeCell ref="T937:T941"/>
    <mergeCell ref="E812:E816"/>
    <mergeCell ref="T1057:T1061"/>
    <mergeCell ref="Y397:Y401"/>
    <mergeCell ref="Z952:Z956"/>
    <mergeCell ref="F1447:F1451"/>
    <mergeCell ref="T1357:T1361"/>
    <mergeCell ref="AD662:AD666"/>
    <mergeCell ref="F1142:F1146"/>
    <mergeCell ref="Z1252:Z1256"/>
    <mergeCell ref="T627:T631"/>
    <mergeCell ref="F1442:F1446"/>
    <mergeCell ref="Y702:Y706"/>
    <mergeCell ref="F1562:F1566"/>
    <mergeCell ref="Z1577:Z1581"/>
    <mergeCell ref="T322:T326"/>
    <mergeCell ref="W1752:W1756"/>
    <mergeCell ref="X32:X36"/>
    <mergeCell ref="AD42:AD46"/>
    <mergeCell ref="U207:U211"/>
    <mergeCell ref="E402:E406"/>
    <mergeCell ref="Y1002:Y1006"/>
    <mergeCell ref="T622:T626"/>
    <mergeCell ref="U507:U511"/>
    <mergeCell ref="AC1462:AC1466"/>
    <mergeCell ref="Y1302:Y1306"/>
    <mergeCell ref="Z1637:Z1641"/>
    <mergeCell ref="F1132:F1136"/>
    <mergeCell ref="S677:S681"/>
    <mergeCell ref="F827:F831"/>
    <mergeCell ref="A327:A331"/>
    <mergeCell ref="S372:S376"/>
    <mergeCell ref="AC282:AC286"/>
    <mergeCell ref="Z1632:Z1636"/>
    <mergeCell ref="F1127:F1131"/>
    <mergeCell ref="E762:E766"/>
    <mergeCell ref="S672:S676"/>
    <mergeCell ref="R307:R311"/>
    <mergeCell ref="T1007:T1011"/>
    <mergeCell ref="Z152:Z156"/>
    <mergeCell ref="Y897:Y901"/>
    <mergeCell ref="W1437:W1441"/>
    <mergeCell ref="V1072:V1076"/>
    <mergeCell ref="T1307:T1311"/>
    <mergeCell ref="AC277:AC281"/>
    <mergeCell ref="Z452:Z456"/>
    <mergeCell ref="E877:E881"/>
    <mergeCell ref="S1362:S1366"/>
    <mergeCell ref="F1512:F1516"/>
    <mergeCell ref="S1057:S1061"/>
    <mergeCell ref="AB1082:AB1086"/>
    <mergeCell ref="U1122:U1126"/>
    <mergeCell ref="S1662:S1666"/>
    <mergeCell ref="S1357:S1361"/>
    <mergeCell ref="E447:E451"/>
    <mergeCell ref="AC662:AC666"/>
    <mergeCell ref="AA1202:AA1206"/>
    <mergeCell ref="Y1252:Y1256"/>
    <mergeCell ref="F27:F31"/>
    <mergeCell ref="AC962:AC966"/>
    <mergeCell ref="S627:S631"/>
    <mergeCell ref="V1672:V1676"/>
    <mergeCell ref="AD1517:AD1521"/>
    <mergeCell ref="A372:A376"/>
    <mergeCell ref="AC1262:AC1266"/>
    <mergeCell ref="A67:A71"/>
    <mergeCell ref="T427:T431"/>
    <mergeCell ref="A672:A676"/>
    <mergeCell ref="X1192:X1196"/>
    <mergeCell ref="A367:A371"/>
    <mergeCell ref="X887:X891"/>
    <mergeCell ref="E1132:E1136"/>
    <mergeCell ref="R677:R681"/>
    <mergeCell ref="AC347:AC351"/>
    <mergeCell ref="Z522:Z526"/>
    <mergeCell ref="A667:A671"/>
    <mergeCell ref="X1187:X1191"/>
    <mergeCell ref="E1432:E1436"/>
    <mergeCell ref="AB282:AB286"/>
    <mergeCell ref="V1437:V1441"/>
    <mergeCell ref="AB582:AB586"/>
    <mergeCell ref="A262:A266"/>
    <mergeCell ref="W207:W211"/>
    <mergeCell ref="W507:W511"/>
    <mergeCell ref="AC1332:AC1336"/>
    <mergeCell ref="A567:A571"/>
    <mergeCell ref="Y142:Y146"/>
    <mergeCell ref="W807:W811"/>
    <mergeCell ref="A867:A871"/>
    <mergeCell ref="V257:V261"/>
    <mergeCell ref="Y137:Y141"/>
    <mergeCell ref="A1167:A1171"/>
    <mergeCell ref="AC1517:AC1521"/>
    <mergeCell ref="V557:V561"/>
    <mergeCell ref="S732:S736"/>
    <mergeCell ref="S427:S431"/>
    <mergeCell ref="W1192:W1196"/>
    <mergeCell ref="AD112:AD116"/>
    <mergeCell ref="AD87:AD91"/>
    <mergeCell ref="AB652:AB656"/>
    <mergeCell ref="W887:W891"/>
    <mergeCell ref="W1492:W1496"/>
    <mergeCell ref="AD412:AD416"/>
    <mergeCell ref="A1552:A1556"/>
    <mergeCell ref="AD107:AD111"/>
    <mergeCell ref="E932:E936"/>
    <mergeCell ref="AD712:AD716"/>
    <mergeCell ref="AC1202:AC1206"/>
    <mergeCell ref="V1242:V1246"/>
    <mergeCell ref="A1547:A1551"/>
    <mergeCell ref="AC1502:AC1506"/>
    <mergeCell ref="AB1137:AB1141"/>
    <mergeCell ref="V1542:V1546"/>
    <mergeCell ref="R377:R381"/>
    <mergeCell ref="E527:E531"/>
    <mergeCell ref="R72:R76"/>
    <mergeCell ref="V207:V211"/>
    <mergeCell ref="AA272:AA276"/>
    <mergeCell ref="V507:V511"/>
    <mergeCell ref="Y1427:Y1431"/>
    <mergeCell ref="AA1187:AA1191"/>
    <mergeCell ref="V807:V811"/>
    <mergeCell ref="AA267:AA271"/>
    <mergeCell ref="U257:U261"/>
    <mergeCell ref="S797:S801"/>
    <mergeCell ref="Y1022:Y1026"/>
    <mergeCell ref="U862:U866"/>
    <mergeCell ref="U557:U561"/>
    <mergeCell ref="Y1322:Y1326"/>
    <mergeCell ref="Y1017:Y1021"/>
    <mergeCell ref="U857:U861"/>
    <mergeCell ref="S392:S396"/>
    <mergeCell ref="Y1622:Y1626"/>
    <mergeCell ref="AA652:AA656"/>
    <mergeCell ref="U127:U131"/>
    <mergeCell ref="S692:S696"/>
    <mergeCell ref="AC412:AC416"/>
    <mergeCell ref="AA952:AA956"/>
    <mergeCell ref="T1662:T1666"/>
    <mergeCell ref="A437:A441"/>
    <mergeCell ref="R117:R121"/>
    <mergeCell ref="U452:U456"/>
    <mergeCell ref="AB1507:AB1511"/>
    <mergeCell ref="X1372:X1376"/>
    <mergeCell ref="AC712:AC716"/>
    <mergeCell ref="R417:R421"/>
    <mergeCell ref="AD1267:AD1271"/>
    <mergeCell ref="X1672:X1676"/>
    <mergeCell ref="A1487:A1491"/>
    <mergeCell ref="X337:X341"/>
    <mergeCell ref="T177:T181"/>
    <mergeCell ref="R742:R746"/>
    <mergeCell ref="V877:V881"/>
    <mergeCell ref="AD1567:AD1571"/>
    <mergeCell ref="X942:X946"/>
    <mergeCell ref="X637:X641"/>
    <mergeCell ref="AA1557:AA1561"/>
    <mergeCell ref="V1177:V1181"/>
    <mergeCell ref="R12:R16"/>
    <mergeCell ref="Z272:Z276"/>
    <mergeCell ref="F382:F386"/>
    <mergeCell ref="A2:A6"/>
    <mergeCell ref="X937:X941"/>
    <mergeCell ref="AC397:AC401"/>
    <mergeCell ref="U927:U931"/>
    <mergeCell ref="AA1152:AA1156"/>
    <mergeCell ref="W992:W996"/>
    <mergeCell ref="AA1452:AA1456"/>
    <mergeCell ref="AA1147:AA1151"/>
    <mergeCell ref="Z757:Z761"/>
    <mergeCell ref="X1322:X1326"/>
    <mergeCell ref="U497:U501"/>
    <mergeCell ref="AC1212:AC1216"/>
    <mergeCell ref="X1622:X1626"/>
    <mergeCell ref="F577:F581"/>
    <mergeCell ref="V77:V81"/>
    <mergeCell ref="X1742:X1746"/>
    <mergeCell ref="AC1082:AC1086"/>
    <mergeCell ref="T127:T131"/>
    <mergeCell ref="E2:E6"/>
    <mergeCell ref="T247:T251"/>
    <mergeCell ref="AD1637:AD1641"/>
    <mergeCell ref="W1677:W1681"/>
    <mergeCell ref="AD1332:AD1336"/>
    <mergeCell ref="AA1507:AA1511"/>
    <mergeCell ref="V7:V11"/>
    <mergeCell ref="T547:T551"/>
    <mergeCell ref="F332:F336"/>
    <mergeCell ref="AD1632:AD1636"/>
    <mergeCell ref="W1672:W1676"/>
    <mergeCell ref="Z467:Z471"/>
    <mergeCell ref="V307:V311"/>
    <mergeCell ref="X1007:X1011"/>
    <mergeCell ref="A1292:A1296"/>
    <mergeCell ref="F632:F636"/>
    <mergeCell ref="S177:S181"/>
    <mergeCell ref="U877:U881"/>
    <mergeCell ref="AC1567:AC1571"/>
    <mergeCell ref="AA22:AA26"/>
    <mergeCell ref="X1307:X1311"/>
    <mergeCell ref="W942:W946"/>
    <mergeCell ref="A1592:A1596"/>
    <mergeCell ref="R1597:R1601"/>
    <mergeCell ref="AC652:AC656"/>
    <mergeCell ref="W1057:W1061"/>
    <mergeCell ref="V692:V696"/>
    <mergeCell ref="T1232:T1236"/>
    <mergeCell ref="F322:F326"/>
    <mergeCell ref="F17:F21"/>
    <mergeCell ref="AC952:AC956"/>
    <mergeCell ref="Z1127:Z1131"/>
    <mergeCell ref="V992:V996"/>
    <mergeCell ref="T1532:T1536"/>
    <mergeCell ref="AD837:AD841"/>
    <mergeCell ref="V687:V691"/>
    <mergeCell ref="F317:F321"/>
    <mergeCell ref="AC1252:AC1256"/>
    <mergeCell ref="Z1452:Z1456"/>
    <mergeCell ref="R127:R131"/>
    <mergeCell ref="E277:E281"/>
    <mergeCell ref="X207:X211"/>
    <mergeCell ref="E67:E71"/>
    <mergeCell ref="E577:E581"/>
    <mergeCell ref="Y1177:Y1181"/>
    <mergeCell ref="W1742:W1746"/>
    <mergeCell ref="F702:F706"/>
    <mergeCell ref="S247:S251"/>
    <mergeCell ref="AA937:AA941"/>
    <mergeCell ref="AC1637:AC1641"/>
    <mergeCell ref="Y1477:Y1481"/>
    <mergeCell ref="V677:V681"/>
    <mergeCell ref="S852:S856"/>
    <mergeCell ref="F1002:F1006"/>
    <mergeCell ref="U7:U11"/>
    <mergeCell ref="S547:S551"/>
    <mergeCell ref="F1302:F1306"/>
    <mergeCell ref="W1007:W1011"/>
    <mergeCell ref="S847:S851"/>
    <mergeCell ref="U307:U311"/>
    <mergeCell ref="AC152:AC156"/>
    <mergeCell ref="E1057:E1061"/>
    <mergeCell ref="Y1072:Y1076"/>
    <mergeCell ref="W1612:W1616"/>
    <mergeCell ref="T1427:T1431"/>
    <mergeCell ref="E752:E756"/>
    <mergeCell ref="AB1687:AB1691"/>
    <mergeCell ref="T1727:T1731"/>
    <mergeCell ref="E1052:E1056"/>
    <mergeCell ref="S442:S446"/>
    <mergeCell ref="V1362:V1366"/>
    <mergeCell ref="X77:X81"/>
    <mergeCell ref="A187:A191"/>
    <mergeCell ref="AB1257:AB1261"/>
    <mergeCell ref="V1662:V1666"/>
    <mergeCell ref="E17:E21"/>
    <mergeCell ref="X377:X381"/>
    <mergeCell ref="AB952:AB956"/>
    <mergeCell ref="A487:A491"/>
    <mergeCell ref="AA1007:AA1011"/>
    <mergeCell ref="V627:V631"/>
    <mergeCell ref="T302:T306"/>
    <mergeCell ref="AD1692:AD1696"/>
    <mergeCell ref="AA1307:AA1311"/>
    <mergeCell ref="F132:F136"/>
    <mergeCell ref="U982:U986"/>
    <mergeCell ref="U677:U681"/>
    <mergeCell ref="T197:T201"/>
    <mergeCell ref="S1732:S1736"/>
    <mergeCell ref="A137:A141"/>
    <mergeCell ref="V1612:V1616"/>
    <mergeCell ref="W1112:W1116"/>
    <mergeCell ref="S1727:S1731"/>
    <mergeCell ref="AD1387:AD1391"/>
    <mergeCell ref="W77:W81"/>
    <mergeCell ref="AD1082:AD1086"/>
    <mergeCell ref="AA1257:AA1261"/>
    <mergeCell ref="W377:W381"/>
    <mergeCell ref="A742:A746"/>
    <mergeCell ref="A1042:A1046"/>
    <mergeCell ref="V432:V436"/>
    <mergeCell ref="E1502:E1506"/>
    <mergeCell ref="A1342:A1346"/>
    <mergeCell ref="Z1497:Z1501"/>
    <mergeCell ref="R1347:R1351"/>
    <mergeCell ref="Z1192:Z1196"/>
    <mergeCell ref="V442:V446"/>
    <mergeCell ref="T982:T986"/>
    <mergeCell ref="AD287:AD291"/>
    <mergeCell ref="AB827:AB831"/>
    <mergeCell ref="Z1492:Z1496"/>
    <mergeCell ref="V327:V331"/>
    <mergeCell ref="T867:T871"/>
    <mergeCell ref="AD587:AD591"/>
    <mergeCell ref="V22:V26"/>
    <mergeCell ref="S197:S201"/>
    <mergeCell ref="AD282:AD286"/>
    <mergeCell ref="Y1242:Y1246"/>
    <mergeCell ref="AC1377:AC1381"/>
    <mergeCell ref="Y212:Y216"/>
    <mergeCell ref="U77:U81"/>
    <mergeCell ref="S617:S621"/>
    <mergeCell ref="Y512:Y516"/>
    <mergeCell ref="U377:U381"/>
    <mergeCell ref="Y207:Y211"/>
    <mergeCell ref="Y812:Y816"/>
    <mergeCell ref="AC1387:AC1391"/>
    <mergeCell ref="Y507:Y511"/>
    <mergeCell ref="A1412:A1416"/>
    <mergeCell ref="AA142:AA146"/>
    <mergeCell ref="A1107:A1111"/>
    <mergeCell ref="A1712:A1716"/>
    <mergeCell ref="X562:X566"/>
    <mergeCell ref="X257:X261"/>
    <mergeCell ref="R1717:R1721"/>
    <mergeCell ref="AB1022:AB1026"/>
    <mergeCell ref="Z1562:Z1566"/>
    <mergeCell ref="X557:X561"/>
    <mergeCell ref="X1612:X1616"/>
    <mergeCell ref="T1477:T1481"/>
    <mergeCell ref="E387:E391"/>
    <mergeCell ref="E802:E806"/>
    <mergeCell ref="AD782:AD786"/>
    <mergeCell ref="AB1322:AB1326"/>
    <mergeCell ref="Y1192:Y1196"/>
    <mergeCell ref="AB1622:AB1626"/>
    <mergeCell ref="W1362:W1366"/>
    <mergeCell ref="X127:X131"/>
    <mergeCell ref="U327:U331"/>
    <mergeCell ref="X1247:X1251"/>
    <mergeCell ref="R292:R296"/>
    <mergeCell ref="X1547:X1551"/>
    <mergeCell ref="X1242:X1246"/>
    <mergeCell ref="T77:T81"/>
    <mergeCell ref="T52:T56"/>
    <mergeCell ref="R617:R621"/>
    <mergeCell ref="AD1442:AD1446"/>
    <mergeCell ref="AD1137:AD1141"/>
    <mergeCell ref="AB1677:AB1681"/>
    <mergeCell ref="X512:X516"/>
    <mergeCell ref="T377:T381"/>
    <mergeCell ref="R917:R921"/>
    <mergeCell ref="T352:T356"/>
    <mergeCell ref="F1737:F1741"/>
    <mergeCell ref="S1472:S1476"/>
    <mergeCell ref="E1002:E1006"/>
    <mergeCell ref="X812:X816"/>
    <mergeCell ref="U1107:U1111"/>
    <mergeCell ref="AC272:AC276"/>
    <mergeCell ref="E1302:E1306"/>
    <mergeCell ref="AD827:AD831"/>
    <mergeCell ref="S1467:S1471"/>
    <mergeCell ref="W562:W566"/>
    <mergeCell ref="U1102:U1106"/>
    <mergeCell ref="AD1127:AD1131"/>
    <mergeCell ref="AA1327:AA1331"/>
    <mergeCell ref="W1167:W1171"/>
    <mergeCell ref="W257:W261"/>
    <mergeCell ref="AA1022:AA1026"/>
    <mergeCell ref="W862:W866"/>
    <mergeCell ref="Y1562:Y1566"/>
    <mergeCell ref="AA1627:AA1631"/>
    <mergeCell ref="AA1322:AA1326"/>
    <mergeCell ref="W1162:W1166"/>
    <mergeCell ref="AC877:AC881"/>
    <mergeCell ref="W132:W136"/>
    <mergeCell ref="F147:F151"/>
    <mergeCell ref="Z1377:Z1381"/>
    <mergeCell ref="R787:R791"/>
    <mergeCell ref="W127:W131"/>
    <mergeCell ref="E202:E206"/>
    <mergeCell ref="W247:W251"/>
    <mergeCell ref="T422:T426"/>
    <mergeCell ref="Z1677:Z1681"/>
    <mergeCell ref="R1087:R1091"/>
    <mergeCell ref="AD1507:AD1511"/>
    <mergeCell ref="E502:E506"/>
    <mergeCell ref="V182:V186"/>
    <mergeCell ref="Z642:Z646"/>
    <mergeCell ref="X1182:X1186"/>
    <mergeCell ref="T1047:T1051"/>
    <mergeCell ref="AC1562:AC1566"/>
    <mergeCell ref="A1467:A1471"/>
    <mergeCell ref="U1602:U1606"/>
    <mergeCell ref="AD22:AD26"/>
    <mergeCell ref="Z942:Z946"/>
    <mergeCell ref="X1482:X1486"/>
    <mergeCell ref="R1472:R1476"/>
    <mergeCell ref="AD37:AD41"/>
    <mergeCell ref="AC1557:AC1561"/>
    <mergeCell ref="Y392:Y396"/>
    <mergeCell ref="U1597:U1601"/>
    <mergeCell ref="Y692:Y696"/>
    <mergeCell ref="AC827:AC831"/>
    <mergeCell ref="W1232:W1236"/>
    <mergeCell ref="S67:S71"/>
    <mergeCell ref="S42:S46"/>
    <mergeCell ref="Y1297:Y1301"/>
    <mergeCell ref="AC1152:AC1156"/>
    <mergeCell ref="AC1127:AC1131"/>
    <mergeCell ref="S367:S371"/>
    <mergeCell ref="AC1452:AC1456"/>
    <mergeCell ref="Z1627:Z1631"/>
    <mergeCell ref="Y262:Y266"/>
    <mergeCell ref="S667:S671"/>
    <mergeCell ref="X12:X16"/>
    <mergeCell ref="V247:V251"/>
    <mergeCell ref="X312:X316"/>
    <mergeCell ref="S747:S751"/>
    <mergeCell ref="AB772:AB776"/>
    <mergeCell ref="Y947:Y951"/>
    <mergeCell ref="E137:E141"/>
    <mergeCell ref="AB1072:AB1076"/>
    <mergeCell ref="Z1612:Z1616"/>
    <mergeCell ref="T1602:T1606"/>
    <mergeCell ref="Y942:Y946"/>
    <mergeCell ref="S317:S321"/>
    <mergeCell ref="A62:A66"/>
    <mergeCell ref="Y1362:Y1366"/>
    <mergeCell ref="A362:A366"/>
    <mergeCell ref="R67:R71"/>
    <mergeCell ref="AA92:AA96"/>
    <mergeCell ref="AB1127:AB1131"/>
    <mergeCell ref="R367:R371"/>
    <mergeCell ref="Y1547:Y1551"/>
    <mergeCell ref="T1167:T1171"/>
    <mergeCell ref="AA87:AA91"/>
    <mergeCell ref="R667:R671"/>
    <mergeCell ref="W302:W306"/>
    <mergeCell ref="S1222:S1226"/>
    <mergeCell ref="F1372:F1376"/>
    <mergeCell ref="S917:S921"/>
    <mergeCell ref="W1682:W1686"/>
    <mergeCell ref="S1522:S1526"/>
    <mergeCell ref="F1672:F1676"/>
    <mergeCell ref="S1217:S1221"/>
    <mergeCell ref="AA1062:AA1066"/>
    <mergeCell ref="W312:W316"/>
    <mergeCell ref="U852:U856"/>
    <mergeCell ref="W197:W201"/>
    <mergeCell ref="E1422:E1426"/>
    <mergeCell ref="A257:A261"/>
    <mergeCell ref="V1732:V1736"/>
    <mergeCell ref="AA1072:AA1076"/>
    <mergeCell ref="V1427:V1431"/>
    <mergeCell ref="A557:A561"/>
    <mergeCell ref="R237:R241"/>
    <mergeCell ref="S122:S126"/>
    <mergeCell ref="E992:E996"/>
    <mergeCell ref="A857:A861"/>
    <mergeCell ref="R537:R541"/>
    <mergeCell ref="Z382:Z386"/>
    <mergeCell ref="E687:E691"/>
    <mergeCell ref="Z682:Z686"/>
    <mergeCell ref="AD1257:AD1261"/>
    <mergeCell ref="AA1677:AA1681"/>
    <mergeCell ref="A612:A616"/>
    <mergeCell ref="F502:F506"/>
    <mergeCell ref="A1217:A1221"/>
    <mergeCell ref="Y432:Y436"/>
    <mergeCell ref="U1352:U1356"/>
    <mergeCell ref="F677:F681"/>
    <mergeCell ref="A912:A916"/>
    <mergeCell ref="AC1197:AC1201"/>
    <mergeCell ref="AC1612:AC1616"/>
    <mergeCell ref="U1047:U1051"/>
    <mergeCell ref="S1587:S1591"/>
    <mergeCell ref="R1222:R1226"/>
    <mergeCell ref="F372:F376"/>
    <mergeCell ref="AB527:AB531"/>
    <mergeCell ref="A1212:A1216"/>
    <mergeCell ref="U1347:U1351"/>
    <mergeCell ref="R1522:R1526"/>
    <mergeCell ref="AC1192:AC1196"/>
    <mergeCell ref="Y2:Y6"/>
    <mergeCell ref="W982:W986"/>
    <mergeCell ref="A602:A606"/>
    <mergeCell ref="V197:V201"/>
    <mergeCell ref="AB627:AB631"/>
    <mergeCell ref="U252:U256"/>
    <mergeCell ref="U552:U556"/>
    <mergeCell ref="F572:F576"/>
    <mergeCell ref="Y382:Y386"/>
    <mergeCell ref="F872:F876"/>
    <mergeCell ref="Y682:Y686"/>
    <mergeCell ref="A1587:A1591"/>
    <mergeCell ref="X437:X441"/>
    <mergeCell ref="A1282:A1286"/>
    <mergeCell ref="F1172:F1176"/>
    <mergeCell ref="AA562:AA566"/>
    <mergeCell ref="X737:X741"/>
    <mergeCell ref="R112:R116"/>
    <mergeCell ref="X432:X436"/>
    <mergeCell ref="T1352:T1356"/>
    <mergeCell ref="AD657:AD661"/>
    <mergeCell ref="AB1197:AB1201"/>
    <mergeCell ref="X732:X736"/>
    <mergeCell ref="R107:R111"/>
    <mergeCell ref="AD957:AD961"/>
    <mergeCell ref="AB1497:AB1501"/>
    <mergeCell ref="T172:T176"/>
    <mergeCell ref="F1557:F1561"/>
    <mergeCell ref="S662:S666"/>
    <mergeCell ref="A1177:A1181"/>
    <mergeCell ref="V567:V571"/>
    <mergeCell ref="S962:S966"/>
    <mergeCell ref="W1537:W1541"/>
    <mergeCell ref="X327:X331"/>
    <mergeCell ref="AA1247:AA1251"/>
    <mergeCell ref="F1552:F1556"/>
    <mergeCell ref="F72:F76"/>
    <mergeCell ref="AA212:AA216"/>
    <mergeCell ref="W52:W56"/>
    <mergeCell ref="AA817:AA821"/>
    <mergeCell ref="F1122:F1126"/>
    <mergeCell ref="AA512:AA516"/>
    <mergeCell ref="AC577:AC581"/>
    <mergeCell ref="AA1117:AA1121"/>
    <mergeCell ref="V1472:V1476"/>
    <mergeCell ref="S1647:S1651"/>
    <mergeCell ref="AA812:AA816"/>
    <mergeCell ref="Z567:Z571"/>
    <mergeCell ref="U187:U191"/>
    <mergeCell ref="E872:E876"/>
    <mergeCell ref="AC447:AC451"/>
    <mergeCell ref="E1477:E1481"/>
    <mergeCell ref="Z867:Z871"/>
    <mergeCell ref="U487:U491"/>
    <mergeCell ref="S1642:S1646"/>
    <mergeCell ref="E1172:E1176"/>
    <mergeCell ref="T242:T246"/>
    <mergeCell ref="Z562:Z566"/>
    <mergeCell ref="V1482:V1486"/>
    <mergeCell ref="S1657:S1661"/>
    <mergeCell ref="AD1327:AD1331"/>
    <mergeCell ref="A307:A311"/>
    <mergeCell ref="AD1022:AD1026"/>
    <mergeCell ref="Z862:Z866"/>
    <mergeCell ref="AA1197:AA1201"/>
    <mergeCell ref="T237:T241"/>
    <mergeCell ref="AD1627:AD1631"/>
    <mergeCell ref="A657:A661"/>
    <mergeCell ref="S1237:S1241"/>
    <mergeCell ref="F22:F26"/>
    <mergeCell ref="AA1497:AA1501"/>
    <mergeCell ref="Z132:Z136"/>
    <mergeCell ref="S172:S176"/>
    <mergeCell ref="R662:R666"/>
    <mergeCell ref="R962:R966"/>
    <mergeCell ref="R1287:R1291"/>
    <mergeCell ref="R1262:R1266"/>
    <mergeCell ref="AC342:AC346"/>
    <mergeCell ref="Y182:Y186"/>
    <mergeCell ref="Z517:Z521"/>
    <mergeCell ref="F12:F16"/>
    <mergeCell ref="AC947:AC951"/>
    <mergeCell ref="AC642:AC646"/>
    <mergeCell ref="Z817:Z821"/>
    <mergeCell ref="Z512:Z516"/>
    <mergeCell ref="AC942:AC946"/>
    <mergeCell ref="AB577:AB581"/>
    <mergeCell ref="Z1117:Z1121"/>
    <mergeCell ref="AB697:AB701"/>
    <mergeCell ref="U1472:U1476"/>
    <mergeCell ref="T187:T191"/>
    <mergeCell ref="AA327:AA331"/>
    <mergeCell ref="Y867:Y871"/>
    <mergeCell ref="V67:V71"/>
    <mergeCell ref="S242:S246"/>
    <mergeCell ref="F392:F396"/>
    <mergeCell ref="AC1327:AC1331"/>
    <mergeCell ref="Y1167:Y1171"/>
    <mergeCell ref="V367:V371"/>
    <mergeCell ref="U2:U6"/>
    <mergeCell ref="S542:S546"/>
    <mergeCell ref="AC1627:AC1631"/>
    <mergeCell ref="T792:T796"/>
    <mergeCell ref="R1332:R1336"/>
    <mergeCell ref="Y132:Y136"/>
    <mergeCell ref="V552:V556"/>
    <mergeCell ref="T1092:T1096"/>
    <mergeCell ref="AB1377:AB1381"/>
    <mergeCell ref="X187:X191"/>
    <mergeCell ref="V727:V731"/>
    <mergeCell ref="A1032:A1036"/>
    <mergeCell ref="T1417:T1421"/>
    <mergeCell ref="T1392:T1396"/>
    <mergeCell ref="V422:V426"/>
    <mergeCell ref="AB647:AB651"/>
    <mergeCell ref="X487:X491"/>
    <mergeCell ref="X182:X186"/>
    <mergeCell ref="AB947:AB951"/>
    <mergeCell ref="F1597:F1601"/>
    <mergeCell ref="AB642:AB646"/>
    <mergeCell ref="E312:E316"/>
    <mergeCell ref="F1292:F1296"/>
    <mergeCell ref="V17:V21"/>
    <mergeCell ref="W1602:W1606"/>
    <mergeCell ref="S412:S416"/>
    <mergeCell ref="AA697:AA701"/>
    <mergeCell ref="V317:V321"/>
    <mergeCell ref="T1472:T1476"/>
    <mergeCell ref="AC1497:AC1501"/>
    <mergeCell ref="S712:S716"/>
    <mergeCell ref="AA997:AA1001"/>
    <mergeCell ref="AA252:AA256"/>
    <mergeCell ref="U67:U71"/>
    <mergeCell ref="U42:U46"/>
    <mergeCell ref="AA1297:AA1301"/>
    <mergeCell ref="E917:E921"/>
    <mergeCell ref="E612:E616"/>
    <mergeCell ref="Y1722:Y1726"/>
    <mergeCell ref="V922:V926"/>
    <mergeCell ref="T1462:T1466"/>
    <mergeCell ref="AA262:AA266"/>
    <mergeCell ref="AD1182:AD1186"/>
    <mergeCell ref="V617:V621"/>
    <mergeCell ref="S792:S796"/>
    <mergeCell ref="X682:X686"/>
    <mergeCell ref="V1222:V1226"/>
    <mergeCell ref="S1397:S1401"/>
    <mergeCell ref="AD1482:AD1486"/>
    <mergeCell ref="Z317:Z321"/>
    <mergeCell ref="V917:V921"/>
    <mergeCell ref="S1092:S1096"/>
    <mergeCell ref="V1522:V1526"/>
    <mergeCell ref="AD777:AD781"/>
    <mergeCell ref="S1392:S1396"/>
    <mergeCell ref="AD1077:AD1081"/>
    <mergeCell ref="V1607:V1611"/>
    <mergeCell ref="AD772:AD776"/>
    <mergeCell ref="E1597:E1601"/>
    <mergeCell ref="A432:A436"/>
    <mergeCell ref="A407:A411"/>
    <mergeCell ref="AC802:AC806"/>
    <mergeCell ref="V1602:V1606"/>
    <mergeCell ref="A732:A736"/>
    <mergeCell ref="R412:R416"/>
    <mergeCell ref="X1667:X1671"/>
    <mergeCell ref="V122:V126"/>
    <mergeCell ref="F192:F196"/>
    <mergeCell ref="A427:A431"/>
    <mergeCell ref="R712:R716"/>
    <mergeCell ref="R1037:R1041"/>
    <mergeCell ref="U922:U926"/>
    <mergeCell ref="S1462:S1466"/>
    <mergeCell ref="U1527:U1531"/>
    <mergeCell ref="U1222:U1226"/>
    <mergeCell ref="Y932:Y936"/>
    <mergeCell ref="AC1067:AC1071"/>
    <mergeCell ref="U1522:U1526"/>
    <mergeCell ref="AC1367:AC1371"/>
    <mergeCell ref="Y202:Y206"/>
    <mergeCell ref="A777:A781"/>
    <mergeCell ref="X1737:X1741"/>
    <mergeCell ref="F142:F146"/>
    <mergeCell ref="Y502:Y506"/>
    <mergeCell ref="A1102:A1106"/>
    <mergeCell ref="R1387:R1391"/>
    <mergeCell ref="X1732:X1736"/>
    <mergeCell ref="A1402:A1406"/>
    <mergeCell ref="T542:T546"/>
    <mergeCell ref="R1107:R1111"/>
    <mergeCell ref="R1082:R1086"/>
    <mergeCell ref="X252:X256"/>
    <mergeCell ref="AB387:AB391"/>
    <mergeCell ref="R1407:R1411"/>
    <mergeCell ref="E192:E196"/>
    <mergeCell ref="AD147:AD151"/>
    <mergeCell ref="AB687:AB691"/>
    <mergeCell ref="X552:X556"/>
    <mergeCell ref="AB382:AB386"/>
    <mergeCell ref="F747:F751"/>
    <mergeCell ref="X1302:X1306"/>
    <mergeCell ref="AD17:AD21"/>
    <mergeCell ref="T1517:T1521"/>
    <mergeCell ref="F1047:F1051"/>
    <mergeCell ref="AA437:AA441"/>
    <mergeCell ref="F742:F746"/>
    <mergeCell ref="F1347:F1351"/>
    <mergeCell ref="W1052:W1056"/>
    <mergeCell ref="AC197:AC201"/>
    <mergeCell ref="W1657:W1661"/>
    <mergeCell ref="F1042:F1046"/>
    <mergeCell ref="AA1487:AA1491"/>
    <mergeCell ref="W1352:W1356"/>
    <mergeCell ref="T1527:T1531"/>
    <mergeCell ref="AD832:AD836"/>
    <mergeCell ref="F312:F316"/>
    <mergeCell ref="AB1067:AB1071"/>
    <mergeCell ref="F1732:F1736"/>
    <mergeCell ref="S837:S841"/>
    <mergeCell ref="AA2:AA6"/>
    <mergeCell ref="X202:X206"/>
    <mergeCell ref="F1427:F1431"/>
    <mergeCell ref="E62:E66"/>
    <mergeCell ref="E667:E671"/>
    <mergeCell ref="AD1247:AD1251"/>
    <mergeCell ref="X502:X506"/>
    <mergeCell ref="F1727:F1731"/>
    <mergeCell ref="E362:E366"/>
    <mergeCell ref="V672:V676"/>
    <mergeCell ref="AD517:AD521"/>
    <mergeCell ref="AD212:AD216"/>
    <mergeCell ref="W252:W256"/>
    <mergeCell ref="AD817:AD821"/>
    <mergeCell ref="V667:V671"/>
    <mergeCell ref="AD512:AD516"/>
    <mergeCell ref="AC147:AC151"/>
    <mergeCell ref="W552:W556"/>
    <mergeCell ref="A1652:A1656"/>
    <mergeCell ref="V1647:V1651"/>
    <mergeCell ref="AA987:AA991"/>
    <mergeCell ref="AC567:AC571"/>
    <mergeCell ref="Z742:Z746"/>
    <mergeCell ref="E1047:E1051"/>
    <mergeCell ref="Z437:Z441"/>
    <mergeCell ref="R782:R786"/>
    <mergeCell ref="AD1202:AD1206"/>
    <mergeCell ref="R477:R481"/>
    <mergeCell ref="E1347:E1351"/>
    <mergeCell ref="AB197:AB201"/>
    <mergeCell ref="Z737:Z741"/>
    <mergeCell ref="V1657:V1661"/>
    <mergeCell ref="T112:T116"/>
    <mergeCell ref="AD1502:AD1506"/>
    <mergeCell ref="AD1197:AD1201"/>
    <mergeCell ref="AA372:AA376"/>
    <mergeCell ref="U967:U971"/>
    <mergeCell ref="V172:V176"/>
    <mergeCell ref="W122:W126"/>
    <mergeCell ref="R837:R841"/>
    <mergeCell ref="Z2:Z6"/>
    <mergeCell ref="W297:W301"/>
    <mergeCell ref="AC1552:AC1556"/>
    <mergeCell ref="R1137:R1141"/>
    <mergeCell ref="E1032:E1036"/>
    <mergeCell ref="AC1247:AC1251"/>
    <mergeCell ref="Y57:Y61"/>
    <mergeCell ref="AC517:AC521"/>
    <mergeCell ref="Y357:Y361"/>
    <mergeCell ref="AC1122:AC1126"/>
    <mergeCell ref="AC817:AC821"/>
    <mergeCell ref="W192:W196"/>
    <mergeCell ref="Z1237:Z1241"/>
    <mergeCell ref="AC1117:AC1121"/>
    <mergeCell ref="Z932:Z936"/>
    <mergeCell ref="AB872:AB876"/>
    <mergeCell ref="X1472:X1476"/>
    <mergeCell ref="W492:W496"/>
    <mergeCell ref="U1647:U1651"/>
    <mergeCell ref="AD1672:AD1676"/>
    <mergeCell ref="AB567:AB571"/>
    <mergeCell ref="AB867:AB871"/>
    <mergeCell ref="A852:A856"/>
    <mergeCell ref="V242:V246"/>
    <mergeCell ref="AB137:AB141"/>
    <mergeCell ref="X2:X6"/>
    <mergeCell ref="AC1722:AC1726"/>
    <mergeCell ref="W1097:W1101"/>
    <mergeCell ref="Y252:Y256"/>
    <mergeCell ref="W792:W796"/>
    <mergeCell ref="T967:T971"/>
    <mergeCell ref="AB132:AB136"/>
    <mergeCell ref="F497:F501"/>
    <mergeCell ref="W1092:W1096"/>
    <mergeCell ref="T1267:T1271"/>
    <mergeCell ref="AA187:AA191"/>
    <mergeCell ref="F492:F496"/>
    <mergeCell ref="T1592:T1596"/>
    <mergeCell ref="AA487:AA491"/>
    <mergeCell ref="F1472:F1476"/>
    <mergeCell ref="AB1122:AB1126"/>
    <mergeCell ref="AB817:AB821"/>
    <mergeCell ref="F1467:F1471"/>
    <mergeCell ref="AD1002:AD1006"/>
    <mergeCell ref="Y1237:Y1241"/>
    <mergeCell ref="S612:S616"/>
    <mergeCell ref="S587:S591"/>
    <mergeCell ref="S912:S916"/>
    <mergeCell ref="A1697:A1701"/>
    <mergeCell ref="F1062:F1066"/>
    <mergeCell ref="S607:S611"/>
    <mergeCell ref="Y807:Y811"/>
    <mergeCell ref="S1212:S1216"/>
    <mergeCell ref="U242:U246"/>
    <mergeCell ref="AD267:AD271"/>
    <mergeCell ref="AB1422:AB1426"/>
    <mergeCell ref="V797:V801"/>
    <mergeCell ref="AA137:AA141"/>
    <mergeCell ref="W2:W6"/>
    <mergeCell ref="E787:E791"/>
    <mergeCell ref="A1707:A1711"/>
    <mergeCell ref="V1097:V1101"/>
    <mergeCell ref="AD262:AD266"/>
    <mergeCell ref="E1112:E1116"/>
    <mergeCell ref="E1087:E1091"/>
    <mergeCell ref="V792:V796"/>
    <mergeCell ref="X857:X861"/>
    <mergeCell ref="Z1557:Z1561"/>
    <mergeCell ref="V1397:V1401"/>
    <mergeCell ref="A1702:A1706"/>
    <mergeCell ref="V1092:V1096"/>
    <mergeCell ref="E382:E386"/>
    <mergeCell ref="A222:A226"/>
    <mergeCell ref="R532:R536"/>
    <mergeCell ref="AD952:AD956"/>
    <mergeCell ref="E682:E686"/>
    <mergeCell ref="R227:R231"/>
    <mergeCell ref="AB1617:AB1621"/>
    <mergeCell ref="Z72:Z76"/>
    <mergeCell ref="AD1252:AD1256"/>
    <mergeCell ref="Y1607:Y1611"/>
    <mergeCell ref="AD947:AD951"/>
    <mergeCell ref="AC702:AC706"/>
    <mergeCell ref="U112:U116"/>
    <mergeCell ref="A607:A611"/>
    <mergeCell ref="AA1367:AA1371"/>
    <mergeCell ref="S652:S656"/>
    <mergeCell ref="R287:R291"/>
    <mergeCell ref="X1542:X1546"/>
    <mergeCell ref="U717:U721"/>
    <mergeCell ref="F67:F71"/>
    <mergeCell ref="AC1002:AC1006"/>
    <mergeCell ref="U412:U416"/>
    <mergeCell ref="A907:A911"/>
    <mergeCell ref="R587:R591"/>
    <mergeCell ref="Y122:Y126"/>
    <mergeCell ref="F367:F371"/>
    <mergeCell ref="AC1302:AC1306"/>
    <mergeCell ref="W172:W176"/>
    <mergeCell ref="U737:U741"/>
    <mergeCell ref="R912:R916"/>
    <mergeCell ref="W372:W376"/>
    <mergeCell ref="E1157:E1161"/>
    <mergeCell ref="AD1552:AD1556"/>
    <mergeCell ref="R1212:R1216"/>
    <mergeCell ref="X927:X931"/>
    <mergeCell ref="AC267:AC271"/>
    <mergeCell ref="A292:A296"/>
    <mergeCell ref="X1227:X1231"/>
    <mergeCell ref="X922:X926"/>
    <mergeCell ref="U1097:U1101"/>
    <mergeCell ref="S1637:S1641"/>
    <mergeCell ref="A592:A596"/>
    <mergeCell ref="Z987:Z991"/>
    <mergeCell ref="X1527:X1531"/>
    <mergeCell ref="AB17:AB21"/>
    <mergeCell ref="U1702:U1706"/>
    <mergeCell ref="AB622:AB626"/>
    <mergeCell ref="X1222:X1226"/>
    <mergeCell ref="U1397:U1401"/>
    <mergeCell ref="AB317:AB321"/>
    <mergeCell ref="AA1412:AA1416"/>
    <mergeCell ref="F237:F241"/>
    <mergeCell ref="Y72:Y76"/>
    <mergeCell ref="A977:A981"/>
    <mergeCell ref="AA1737:AA1741"/>
    <mergeCell ref="AA1712:AA1716"/>
    <mergeCell ref="X1607:X1611"/>
    <mergeCell ref="F562:F566"/>
    <mergeCell ref="F537:F541"/>
    <mergeCell ref="W242:W246"/>
    <mergeCell ref="T417:T421"/>
    <mergeCell ref="A1277:A1281"/>
    <mergeCell ref="Z1672:Z1676"/>
    <mergeCell ref="W847:W851"/>
    <mergeCell ref="F862:F866"/>
    <mergeCell ref="W542:W546"/>
    <mergeCell ref="U1082:U1086"/>
    <mergeCell ref="T717:T721"/>
    <mergeCell ref="R1257:R1261"/>
    <mergeCell ref="X427:X431"/>
    <mergeCell ref="Z1667:Z1671"/>
    <mergeCell ref="X122:X126"/>
    <mergeCell ref="F1162:F1166"/>
    <mergeCell ref="F922:F926"/>
    <mergeCell ref="F617:F621"/>
    <mergeCell ref="F1222:F1226"/>
    <mergeCell ref="AA612:AA616"/>
    <mergeCell ref="F917:F921"/>
    <mergeCell ref="F1522:F1526"/>
    <mergeCell ref="W1227:W1231"/>
    <mergeCell ref="F1217:F1221"/>
    <mergeCell ref="W1527:W1531"/>
    <mergeCell ref="W47:W51"/>
    <mergeCell ref="A1147:A1151"/>
    <mergeCell ref="A1447:A1451"/>
    <mergeCell ref="Z1412:Z1416"/>
    <mergeCell ref="AA202:AA206"/>
    <mergeCell ref="E237:E241"/>
    <mergeCell ref="AB1172:AB1176"/>
    <mergeCell ref="Z1737:Z1741"/>
    <mergeCell ref="S1337:S1341"/>
    <mergeCell ref="V547:V551"/>
    <mergeCell ref="E537:E541"/>
    <mergeCell ref="V847:V851"/>
    <mergeCell ref="T1387:T1391"/>
    <mergeCell ref="E862:E866"/>
    <mergeCell ref="V542:V546"/>
    <mergeCell ref="Z252:Z256"/>
    <mergeCell ref="AD387:AD391"/>
    <mergeCell ref="AD992:AD996"/>
    <mergeCell ref="AD687:AD691"/>
    <mergeCell ref="AC742:AC746"/>
    <mergeCell ref="V1517:V1521"/>
    <mergeCell ref="W117:W121"/>
    <mergeCell ref="AC437:AC441"/>
    <mergeCell ref="Y1357:Y1361"/>
    <mergeCell ref="R957:R961"/>
    <mergeCell ref="A357:A361"/>
    <mergeCell ref="Y1657:Y1661"/>
    <mergeCell ref="W112:W116"/>
    <mergeCell ref="Y177:Y181"/>
    <mergeCell ref="AC7:AC11"/>
    <mergeCell ref="A352:A356"/>
    <mergeCell ref="AC332:AC336"/>
    <mergeCell ref="Y172:Y176"/>
    <mergeCell ref="AC307:AC311"/>
    <mergeCell ref="U837:U841"/>
    <mergeCell ref="AD1302:AD1306"/>
    <mergeCell ref="X677:X681"/>
    <mergeCell ref="U1137:U1141"/>
    <mergeCell ref="AB57:AB61"/>
    <mergeCell ref="A42:A46"/>
    <mergeCell ref="X672:X676"/>
    <mergeCell ref="S1387:S1391"/>
    <mergeCell ref="X1652:X1656"/>
    <mergeCell ref="Z192:Z196"/>
    <mergeCell ref="X1647:X1651"/>
    <mergeCell ref="T482:T486"/>
    <mergeCell ref="R1022:R1026"/>
    <mergeCell ref="A727:A731"/>
    <mergeCell ref="T1087:T1091"/>
    <mergeCell ref="X1662:X1666"/>
    <mergeCell ref="V117:V121"/>
    <mergeCell ref="A422:A426"/>
    <mergeCell ref="T782:T786"/>
    <mergeCell ref="A1027:A1031"/>
    <mergeCell ref="Y242:Y246"/>
    <mergeCell ref="V417:V421"/>
    <mergeCell ref="F662:F666"/>
    <mergeCell ref="X1657:X1661"/>
    <mergeCell ref="X177:X181"/>
    <mergeCell ref="AB7:AB11"/>
    <mergeCell ref="Y427:Y431"/>
    <mergeCell ref="F1287:F1291"/>
    <mergeCell ref="W967:W971"/>
    <mergeCell ref="AB307:AB311"/>
    <mergeCell ref="F672:F676"/>
    <mergeCell ref="W1292:W1296"/>
    <mergeCell ref="W1267:W1271"/>
    <mergeCell ref="S102:S106"/>
    <mergeCell ref="AC1492:AC1496"/>
    <mergeCell ref="AD187:AD191"/>
    <mergeCell ref="AA362:AA366"/>
    <mergeCell ref="F667:F671"/>
    <mergeCell ref="AC1187:AC1191"/>
    <mergeCell ref="AA57:AA61"/>
    <mergeCell ref="S402:S406"/>
    <mergeCell ref="F552:F556"/>
    <mergeCell ref="S97:S101"/>
    <mergeCell ref="A897:A901"/>
    <mergeCell ref="W1652:W1656"/>
    <mergeCell ref="E607:E611"/>
    <mergeCell ref="V287:V291"/>
    <mergeCell ref="AB1542:AB1546"/>
    <mergeCell ref="AD572:AD576"/>
    <mergeCell ref="E302:E306"/>
    <mergeCell ref="AB1237:AB1241"/>
    <mergeCell ref="AD1177:AD1181"/>
    <mergeCell ref="V612:V616"/>
    <mergeCell ref="V587:V591"/>
    <mergeCell ref="T1152:T1156"/>
    <mergeCell ref="S787:S791"/>
    <mergeCell ref="AD872:AD876"/>
    <mergeCell ref="V912:V916"/>
    <mergeCell ref="S1087:S1091"/>
    <mergeCell ref="AD1172:AD1176"/>
    <mergeCell ref="AD142:AD146"/>
    <mergeCell ref="S782:S786"/>
    <mergeCell ref="V1212:V1216"/>
    <mergeCell ref="T1337:T1341"/>
    <mergeCell ref="AD442:AD446"/>
    <mergeCell ref="A1582:A1586"/>
    <mergeCell ref="Y797:Y801"/>
    <mergeCell ref="V972:V976"/>
    <mergeCell ref="T1512:T1516"/>
    <mergeCell ref="AD137:AD141"/>
    <mergeCell ref="AA557:AA561"/>
    <mergeCell ref="Y1097:Y1101"/>
    <mergeCell ref="V1272:V1276"/>
    <mergeCell ref="A1577:A1581"/>
    <mergeCell ref="AC192:AC196"/>
    <mergeCell ref="E1287:E1291"/>
    <mergeCell ref="V967:V971"/>
    <mergeCell ref="A97:A101"/>
    <mergeCell ref="AA857:AA861"/>
    <mergeCell ref="Y1397:Y1401"/>
    <mergeCell ref="V1572:V1576"/>
    <mergeCell ref="AC492:AC496"/>
    <mergeCell ref="V1267:V1271"/>
    <mergeCell ref="R102:R106"/>
    <mergeCell ref="AC187:AC191"/>
    <mergeCell ref="R402:R406"/>
    <mergeCell ref="AB1607:AB1611"/>
    <mergeCell ref="X417:X421"/>
    <mergeCell ref="U287:U291"/>
    <mergeCell ref="AA1542:AA1546"/>
    <mergeCell ref="S827:S831"/>
    <mergeCell ref="X717:X721"/>
    <mergeCell ref="U587:U591"/>
    <mergeCell ref="S1127:S1131"/>
    <mergeCell ref="U912:U916"/>
    <mergeCell ref="AD1427:AD1431"/>
    <mergeCell ref="V1467:V1471"/>
    <mergeCell ref="AD1727:AD1731"/>
    <mergeCell ref="A167:A171"/>
    <mergeCell ref="X1102:X1106"/>
    <mergeCell ref="AC442:AC446"/>
    <mergeCell ref="X797:X801"/>
    <mergeCell ref="A467:A471"/>
    <mergeCell ref="X1402:X1406"/>
    <mergeCell ref="A162:A166"/>
    <mergeCell ref="X1097:X1101"/>
    <mergeCell ref="R472:R476"/>
    <mergeCell ref="Z1162:Z1166"/>
    <mergeCell ref="X1702:X1706"/>
    <mergeCell ref="R1077:R1081"/>
    <mergeCell ref="Z857:Z861"/>
    <mergeCell ref="X1397:X1401"/>
    <mergeCell ref="T232:T236"/>
    <mergeCell ref="R772:R776"/>
    <mergeCell ref="AB77:AB81"/>
    <mergeCell ref="T532:T536"/>
    <mergeCell ref="AA1587:AA1591"/>
    <mergeCell ref="R1072:R1076"/>
    <mergeCell ref="AB377:AB381"/>
    <mergeCell ref="F437:F441"/>
    <mergeCell ref="F412:F416"/>
    <mergeCell ref="AC1372:AC1376"/>
    <mergeCell ref="AA1607:AA1611"/>
    <mergeCell ref="F737:F741"/>
    <mergeCell ref="F712:F716"/>
    <mergeCell ref="W417:W421"/>
    <mergeCell ref="AC1672:AC1676"/>
    <mergeCell ref="R1377:R1381"/>
    <mergeCell ref="F1037:F1041"/>
    <mergeCell ref="W717:W721"/>
    <mergeCell ref="U1257:U1261"/>
    <mergeCell ref="AA1177:AA1181"/>
    <mergeCell ref="W1042:W1046"/>
    <mergeCell ref="F2:F6"/>
    <mergeCell ref="AA1477:AA1481"/>
    <mergeCell ref="Z1232:Z1236"/>
    <mergeCell ref="Z927:Z931"/>
    <mergeCell ref="S527:S531"/>
    <mergeCell ref="E57:E61"/>
    <mergeCell ref="Z1532:Z1536"/>
    <mergeCell ref="Z1227:Z1231"/>
    <mergeCell ref="E357:E361"/>
    <mergeCell ref="V37:V41"/>
    <mergeCell ref="T602:T606"/>
    <mergeCell ref="AD322:AD326"/>
    <mergeCell ref="E52:E56"/>
    <mergeCell ref="Z1527:Z1531"/>
    <mergeCell ref="Y1162:Y1166"/>
    <mergeCell ref="V362:V366"/>
    <mergeCell ref="T902:T906"/>
    <mergeCell ref="S537:S541"/>
    <mergeCell ref="AD622:AD626"/>
    <mergeCell ref="A1322:A1326"/>
    <mergeCell ref="E352:E356"/>
    <mergeCell ref="AA77:AA81"/>
    <mergeCell ref="AC1717:AC1721"/>
    <mergeCell ref="A1647:A1651"/>
    <mergeCell ref="A1622:A1626"/>
    <mergeCell ref="R1327:R1331"/>
    <mergeCell ref="S532:S536"/>
    <mergeCell ref="AA377:AA381"/>
    <mergeCell ref="R1627:R1631"/>
    <mergeCell ref="V1337:V1341"/>
    <mergeCell ref="Y547:Y551"/>
    <mergeCell ref="R147:R151"/>
    <mergeCell ref="V722:V726"/>
    <mergeCell ref="AC257:AC261"/>
    <mergeCell ref="E737:E741"/>
    <mergeCell ref="Y847:Y851"/>
    <mergeCell ref="W1387:W1391"/>
    <mergeCell ref="E1037:E1041"/>
    <mergeCell ref="V717:V721"/>
    <mergeCell ref="Z427:Z431"/>
    <mergeCell ref="F1592:F1596"/>
    <mergeCell ref="AB1362:AB1366"/>
    <mergeCell ref="AB1057:AB1061"/>
    <mergeCell ref="U657:U661"/>
    <mergeCell ref="Y1232:Y1236"/>
    <mergeCell ref="E727:E731"/>
    <mergeCell ref="AB1662:AB1666"/>
    <mergeCell ref="R527:R531"/>
    <mergeCell ref="E422:E426"/>
    <mergeCell ref="AB1357:AB1361"/>
    <mergeCell ref="Y1532:Y1536"/>
    <mergeCell ref="U37:U41"/>
    <mergeCell ref="X842:X846"/>
    <mergeCell ref="Y47:Y51"/>
    <mergeCell ref="A1687:A1691"/>
    <mergeCell ref="T1457:T1461"/>
    <mergeCell ref="AB1717:AB1721"/>
    <mergeCell ref="E907:E911"/>
    <mergeCell ref="R212:R216"/>
    <mergeCell ref="E1082:E1086"/>
    <mergeCell ref="AD1062:AD1066"/>
    <mergeCell ref="AD1477:AD1481"/>
    <mergeCell ref="T277:T281"/>
    <mergeCell ref="X852:X856"/>
    <mergeCell ref="T1452:T1456"/>
    <mergeCell ref="U1337:U1341"/>
    <mergeCell ref="AB257:AB261"/>
    <mergeCell ref="AB232:AB236"/>
    <mergeCell ref="A217:A221"/>
    <mergeCell ref="X847:X851"/>
    <mergeCell ref="AB557:AB561"/>
    <mergeCell ref="AB1612:AB1616"/>
    <mergeCell ref="AC1112:AC1116"/>
    <mergeCell ref="W787:W791"/>
    <mergeCell ref="AA1362:AA1366"/>
    <mergeCell ref="AB127:AB131"/>
    <mergeCell ref="W482:W486"/>
    <mergeCell ref="T657:T661"/>
    <mergeCell ref="R1197:R1201"/>
    <mergeCell ref="AA1662:AA1666"/>
    <mergeCell ref="Y117:Y121"/>
    <mergeCell ref="W782:W786"/>
    <mergeCell ref="T957:T961"/>
    <mergeCell ref="F487:F491"/>
    <mergeCell ref="E977:E981"/>
    <mergeCell ref="E1582:E1586"/>
    <mergeCell ref="Z972:Z976"/>
    <mergeCell ref="AA177:AA181"/>
    <mergeCell ref="E1277:E1281"/>
    <mergeCell ref="Y302:Y306"/>
    <mergeCell ref="W842:W846"/>
    <mergeCell ref="E1577:E1581"/>
    <mergeCell ref="AB427:AB431"/>
    <mergeCell ref="Z967:Z971"/>
    <mergeCell ref="W1142:W1146"/>
    <mergeCell ref="AD62:AD66"/>
    <mergeCell ref="Z982:Z986"/>
    <mergeCell ref="A1202:A1206"/>
    <mergeCell ref="W1467:W1471"/>
    <mergeCell ref="S277:S281"/>
    <mergeCell ref="AD362:AD366"/>
    <mergeCell ref="A1502:A1506"/>
    <mergeCell ref="S577:S581"/>
    <mergeCell ref="E482:E486"/>
    <mergeCell ref="AB1112:AB1116"/>
    <mergeCell ref="A1072:A1076"/>
    <mergeCell ref="Z1652:Z1656"/>
    <mergeCell ref="Y287:Y291"/>
    <mergeCell ref="E782:E786"/>
    <mergeCell ref="V462:V466"/>
    <mergeCell ref="E477:E481"/>
    <mergeCell ref="A1397:A1401"/>
    <mergeCell ref="V787:V791"/>
    <mergeCell ref="V762:V766"/>
    <mergeCell ref="T1327:T1331"/>
    <mergeCell ref="AA127:AA131"/>
    <mergeCell ref="V1087:V1091"/>
    <mergeCell ref="U512:U516"/>
    <mergeCell ref="AA432:AA436"/>
    <mergeCell ref="Y972:Y976"/>
    <mergeCell ref="S347:S351"/>
    <mergeCell ref="AA732:AA736"/>
    <mergeCell ref="Y1272:Y1276"/>
    <mergeCell ref="U107:U111"/>
    <mergeCell ref="S647:S651"/>
    <mergeCell ref="AA427:AA431"/>
    <mergeCell ref="S342:S346"/>
    <mergeCell ref="U407:U411"/>
    <mergeCell ref="U102:U106"/>
    <mergeCell ref="R277:R281"/>
    <mergeCell ref="U402:U406"/>
    <mergeCell ref="R577:R581"/>
    <mergeCell ref="W37:W41"/>
    <mergeCell ref="AD1242:AD1246"/>
    <mergeCell ref="X592:X596"/>
    <mergeCell ref="A1437:A1441"/>
    <mergeCell ref="AD1542:AD1546"/>
    <mergeCell ref="X892:X896"/>
    <mergeCell ref="R267:R271"/>
    <mergeCell ref="AB747:AB751"/>
    <mergeCell ref="U787:U791"/>
    <mergeCell ref="AD812:AD816"/>
    <mergeCell ref="Z247:Z251"/>
    <mergeCell ref="U1087:U1091"/>
    <mergeCell ref="R262:R266"/>
    <mergeCell ref="V1642:V1646"/>
    <mergeCell ref="AD807:AD811"/>
    <mergeCell ref="F1712:F1716"/>
    <mergeCell ref="AC562:AC566"/>
    <mergeCell ref="A342:A346"/>
    <mergeCell ref="AA1102:AA1106"/>
    <mergeCell ref="AA797:AA801"/>
    <mergeCell ref="AC862:AC866"/>
    <mergeCell ref="A642:A646"/>
    <mergeCell ref="AA1402:AA1406"/>
    <mergeCell ref="R347:R351"/>
    <mergeCell ref="X1577:X1581"/>
    <mergeCell ref="W237:W241"/>
    <mergeCell ref="U777:U781"/>
    <mergeCell ref="AC557:AC561"/>
    <mergeCell ref="A337:A341"/>
    <mergeCell ref="X1272:X1276"/>
    <mergeCell ref="F227:F231"/>
    <mergeCell ref="U472:U476"/>
    <mergeCell ref="AC1162:AC1166"/>
    <mergeCell ref="R647:R651"/>
    <mergeCell ref="W537:W541"/>
    <mergeCell ref="X1572:X1576"/>
    <mergeCell ref="W232:W236"/>
    <mergeCell ref="T407:T411"/>
    <mergeCell ref="R947:R951"/>
    <mergeCell ref="S1502:S1506"/>
    <mergeCell ref="W532:W536"/>
    <mergeCell ref="AD1587:AD1591"/>
    <mergeCell ref="S1197:S1201"/>
    <mergeCell ref="Z117:Z121"/>
    <mergeCell ref="F612:F616"/>
    <mergeCell ref="W292:W296"/>
    <mergeCell ref="AC1547:AC1551"/>
    <mergeCell ref="Z722:Z726"/>
    <mergeCell ref="U957:U961"/>
    <mergeCell ref="E1027:E1031"/>
    <mergeCell ref="Z417:Z421"/>
    <mergeCell ref="F912:F916"/>
    <mergeCell ref="W592:W596"/>
    <mergeCell ref="U1157:U1161"/>
    <mergeCell ref="U1132:U1136"/>
    <mergeCell ref="AA302:AA306"/>
    <mergeCell ref="AC1542:AC1546"/>
    <mergeCell ref="AB177:AB181"/>
    <mergeCell ref="R1552:R1556"/>
    <mergeCell ref="Z717:Z721"/>
    <mergeCell ref="Y352:Y356"/>
    <mergeCell ref="F1212:F1216"/>
    <mergeCell ref="W917:W921"/>
    <mergeCell ref="W892:W896"/>
    <mergeCell ref="W1217:W1221"/>
    <mergeCell ref="A837:A841"/>
    <mergeCell ref="F297:F301"/>
    <mergeCell ref="AC1232:AC1236"/>
    <mergeCell ref="Z1407:Z1411"/>
    <mergeCell ref="A1137:A1141"/>
    <mergeCell ref="AC927:AC931"/>
    <mergeCell ref="V527:V531"/>
    <mergeCell ref="Z1102:Z1106"/>
    <mergeCell ref="E232:E236"/>
    <mergeCell ref="AC1532:AC1536"/>
    <mergeCell ref="Z1707:Z1711"/>
    <mergeCell ref="Z1402:Z1406"/>
    <mergeCell ref="Y37:Y41"/>
    <mergeCell ref="E532:E536"/>
    <mergeCell ref="T777:T781"/>
    <mergeCell ref="E227:E231"/>
    <mergeCell ref="AB1162:AB1166"/>
    <mergeCell ref="Z1702:Z1706"/>
    <mergeCell ref="V537:V541"/>
    <mergeCell ref="T1077:T1081"/>
    <mergeCell ref="F782:F786"/>
    <mergeCell ref="U1632:U1636"/>
    <mergeCell ref="U1327:U1331"/>
    <mergeCell ref="F652:F656"/>
    <mergeCell ref="Y422:Y426"/>
    <mergeCell ref="A1517:A1521"/>
    <mergeCell ref="W1087:W1091"/>
    <mergeCell ref="U1627:U1631"/>
    <mergeCell ref="Y722:Y726"/>
    <mergeCell ref="Y417:Y421"/>
    <mergeCell ref="T1682:T1686"/>
    <mergeCell ref="S397:S401"/>
    <mergeCell ref="S92:S96"/>
    <mergeCell ref="AC1482:AC1486"/>
    <mergeCell ref="S1312:S1316"/>
    <mergeCell ref="E602:E606"/>
    <mergeCell ref="AB1537:AB1541"/>
    <mergeCell ref="E297:E301"/>
    <mergeCell ref="X657:X661"/>
    <mergeCell ref="AB1232:AB1236"/>
    <mergeCell ref="U832:U836"/>
    <mergeCell ref="E902:E906"/>
    <mergeCell ref="U527:U531"/>
    <mergeCell ref="E597:E601"/>
    <mergeCell ref="AB1532:AB1536"/>
    <mergeCell ref="F1152:F1156"/>
    <mergeCell ref="S777:S781"/>
    <mergeCell ref="AC302:AC306"/>
    <mergeCell ref="T1632:T1636"/>
    <mergeCell ref="A92:A96"/>
    <mergeCell ref="AA852:AA856"/>
    <mergeCell ref="T1627:T1631"/>
    <mergeCell ref="S1382:S1386"/>
    <mergeCell ref="AA547:AA551"/>
    <mergeCell ref="T147:T151"/>
    <mergeCell ref="S1682:S1686"/>
    <mergeCell ref="A87:A91"/>
    <mergeCell ref="R397:R401"/>
    <mergeCell ref="AC67:AC71"/>
    <mergeCell ref="AC1287:AC1291"/>
    <mergeCell ref="W662:W666"/>
    <mergeCell ref="S1252:S1256"/>
    <mergeCell ref="AD1362:AD1366"/>
    <mergeCell ref="W962:W966"/>
    <mergeCell ref="AA1537:AA1541"/>
    <mergeCell ref="S947:S951"/>
    <mergeCell ref="W657:W661"/>
    <mergeCell ref="F362:F366"/>
    <mergeCell ref="AD1662:AD1666"/>
    <mergeCell ref="W957:W961"/>
    <mergeCell ref="AA1532:AA1536"/>
    <mergeCell ref="AA52:AA56"/>
    <mergeCell ref="E1152:E1156"/>
    <mergeCell ref="R1302:R1306"/>
    <mergeCell ref="AA352:AA356"/>
    <mergeCell ref="E1452:E1456"/>
    <mergeCell ref="AB302:AB306"/>
    <mergeCell ref="Z842:Z846"/>
    <mergeCell ref="A587:A591"/>
    <mergeCell ref="S152:S156"/>
    <mergeCell ref="AC982:AC986"/>
    <mergeCell ref="V277:V281"/>
    <mergeCell ref="Z852:Z856"/>
    <mergeCell ref="S452:S456"/>
    <mergeCell ref="S147:S151"/>
    <mergeCell ref="Y162:Y166"/>
    <mergeCell ref="F532:F536"/>
    <mergeCell ref="Y462:Y466"/>
    <mergeCell ref="V662:V666"/>
    <mergeCell ref="T1202:T1206"/>
    <mergeCell ref="U1077:U1081"/>
    <mergeCell ref="A1572:A1576"/>
    <mergeCell ref="R1252:R1256"/>
    <mergeCell ref="AA222:AA226"/>
    <mergeCell ref="Y787:Y791"/>
    <mergeCell ref="V962:V966"/>
    <mergeCell ref="Y1087:Y1091"/>
    <mergeCell ref="AC1662:AC1666"/>
    <mergeCell ref="V1262:V1266"/>
    <mergeCell ref="AD432:AD436"/>
    <mergeCell ref="AB972:AB976"/>
    <mergeCell ref="AA607:AA611"/>
    <mergeCell ref="Y1147:Y1151"/>
    <mergeCell ref="V347:V351"/>
    <mergeCell ref="S522:S526"/>
    <mergeCell ref="Y842:Y846"/>
    <mergeCell ref="AD732:AD736"/>
    <mergeCell ref="AA907:AA911"/>
    <mergeCell ref="Y1447:Y1451"/>
    <mergeCell ref="X107:X111"/>
    <mergeCell ref="U282:U286"/>
    <mergeCell ref="S822:S826"/>
    <mergeCell ref="S517:S521"/>
    <mergeCell ref="X407:X411"/>
    <mergeCell ref="AB982:AB986"/>
    <mergeCell ref="U582:U586"/>
    <mergeCell ref="U277:U281"/>
    <mergeCell ref="R572:R576"/>
    <mergeCell ref="F902:F906"/>
    <mergeCell ref="U577:U581"/>
    <mergeCell ref="AA292:AA296"/>
    <mergeCell ref="T332:T336"/>
    <mergeCell ref="T1697:T1701"/>
    <mergeCell ref="X162:X166"/>
    <mergeCell ref="R567:R571"/>
    <mergeCell ref="V702:V706"/>
    <mergeCell ref="AD1417:AD1421"/>
    <mergeCell ref="AC52:AC56"/>
    <mergeCell ref="AA592:AA596"/>
    <mergeCell ref="X767:X771"/>
    <mergeCell ref="AD1112:AD1116"/>
    <mergeCell ref="A1612:A1616"/>
    <mergeCell ref="X462:X466"/>
    <mergeCell ref="AC352:AC356"/>
    <mergeCell ref="U882:U886"/>
    <mergeCell ref="Z222:Z226"/>
    <mergeCell ref="R137:R141"/>
    <mergeCell ref="F1587:F1591"/>
    <mergeCell ref="AA977:AA981"/>
    <mergeCell ref="Y1642:Y1646"/>
    <mergeCell ref="AD1102:AD1106"/>
    <mergeCell ref="AC737:AC741"/>
    <mergeCell ref="Y1337:Y1341"/>
    <mergeCell ref="AA1277:AA1281"/>
    <mergeCell ref="F1582:F1586"/>
    <mergeCell ref="U652:U656"/>
    <mergeCell ref="AA972:AA976"/>
    <mergeCell ref="F102:F106"/>
    <mergeCell ref="U347:U351"/>
    <mergeCell ref="AC1037:AC1041"/>
    <mergeCell ref="AA1577:AA1581"/>
    <mergeCell ref="W412:W416"/>
    <mergeCell ref="U952:U956"/>
    <mergeCell ref="AC732:AC736"/>
    <mergeCell ref="F402:F406"/>
    <mergeCell ref="W107:W111"/>
    <mergeCell ref="U647:U651"/>
    <mergeCell ref="W712:W716"/>
    <mergeCell ref="V1202:V1206"/>
    <mergeCell ref="W407:W411"/>
    <mergeCell ref="AD1462:AD1466"/>
    <mergeCell ref="T702:T706"/>
    <mergeCell ref="V1502:V1506"/>
    <mergeCell ref="Z292:Z296"/>
    <mergeCell ref="Z897:Z901"/>
    <mergeCell ref="S1697:S1701"/>
    <mergeCell ref="AB52:AB56"/>
    <mergeCell ref="Z617:Z621"/>
    <mergeCell ref="Z592:Z596"/>
    <mergeCell ref="AB352:AB356"/>
    <mergeCell ref="R1727:R1731"/>
    <mergeCell ref="Z892:Z896"/>
    <mergeCell ref="T267:T271"/>
    <mergeCell ref="AC1107:AC1111"/>
    <mergeCell ref="A1012:A1016"/>
    <mergeCell ref="F472:F476"/>
    <mergeCell ref="Z487:Z491"/>
    <mergeCell ref="A707:A711"/>
    <mergeCell ref="AC1407:AC1411"/>
    <mergeCell ref="X1642:X1646"/>
    <mergeCell ref="A1312:A1316"/>
    <mergeCell ref="R1017:R1021"/>
    <mergeCell ref="AC1102:AC1106"/>
    <mergeCell ref="R1622:R1626"/>
    <mergeCell ref="T652:T656"/>
    <mergeCell ref="AC1707:AC1711"/>
    <mergeCell ref="R1317:R1321"/>
    <mergeCell ref="T347:T351"/>
    <mergeCell ref="Y237:Y241"/>
    <mergeCell ref="W777:W781"/>
    <mergeCell ref="V412:V416"/>
    <mergeCell ref="T952:T956"/>
    <mergeCell ref="R1617:R1621"/>
    <mergeCell ref="Y537:Y541"/>
    <mergeCell ref="V712:V716"/>
    <mergeCell ref="T1252:T1256"/>
    <mergeCell ref="F957:F961"/>
    <mergeCell ref="U1202:U1206"/>
    <mergeCell ref="U1502:U1506"/>
    <mergeCell ref="AB422:AB426"/>
    <mergeCell ref="AB1027:AB1031"/>
    <mergeCell ref="W1262:W1266"/>
    <mergeCell ref="AB117:AB121"/>
    <mergeCell ref="AD182:AD186"/>
    <mergeCell ref="AB722:AB726"/>
    <mergeCell ref="S272:S276"/>
    <mergeCell ref="V397:V401"/>
    <mergeCell ref="T1552:T1556"/>
    <mergeCell ref="A1382:A1386"/>
    <mergeCell ref="S267:S271"/>
    <mergeCell ref="T822:T826"/>
    <mergeCell ref="AB1107:AB1111"/>
    <mergeCell ref="AB1712:AB1716"/>
    <mergeCell ref="V582:V586"/>
    <mergeCell ref="T1147:T1151"/>
    <mergeCell ref="T1122:T1126"/>
    <mergeCell ref="R1687:R1691"/>
    <mergeCell ref="E472:E476"/>
    <mergeCell ref="AB1407:AB1411"/>
    <mergeCell ref="AA42:AA46"/>
    <mergeCell ref="T1447:T1451"/>
    <mergeCell ref="E772:E776"/>
    <mergeCell ref="AD1167:AD1171"/>
    <mergeCell ref="AB1707:AB1711"/>
    <mergeCell ref="F1327:F1331"/>
    <mergeCell ref="S872:S876"/>
    <mergeCell ref="T1747:T1751"/>
    <mergeCell ref="F1627:F1631"/>
    <mergeCell ref="W1332:W1336"/>
    <mergeCell ref="AC477:AC481"/>
    <mergeCell ref="W1632:W1636"/>
    <mergeCell ref="AA727:AA731"/>
    <mergeCell ref="T1502:T1506"/>
    <mergeCell ref="E1377:E1381"/>
    <mergeCell ref="Y1392:Y1396"/>
    <mergeCell ref="AD247:AD251"/>
    <mergeCell ref="V1567:V1571"/>
    <mergeCell ref="T22:T26"/>
    <mergeCell ref="AD852:AD856"/>
    <mergeCell ref="AA1027:AA1031"/>
    <mergeCell ref="W147:W151"/>
    <mergeCell ref="AA722:AA726"/>
    <mergeCell ref="E972:E976"/>
    <mergeCell ref="A812:A816"/>
    <mergeCell ref="U397:U401"/>
    <mergeCell ref="E1272:E1276"/>
    <mergeCell ref="V952:V956"/>
    <mergeCell ref="AB122:AB126"/>
    <mergeCell ref="Z662:Z666"/>
    <mergeCell ref="E967:E971"/>
    <mergeCell ref="X712:X716"/>
    <mergeCell ref="E1572:E1576"/>
    <mergeCell ref="V1252:V1256"/>
    <mergeCell ref="AD1537:AD1541"/>
    <mergeCell ref="S1122:S1126"/>
    <mergeCell ref="W832:W836"/>
    <mergeCell ref="Z42:Z46"/>
    <mergeCell ref="A1497:A1501"/>
    <mergeCell ref="AD52:AD56"/>
    <mergeCell ref="E1327:E1331"/>
    <mergeCell ref="A1192:A1196"/>
    <mergeCell ref="V1637:V1641"/>
    <mergeCell ref="R1477:R1481"/>
    <mergeCell ref="E1627:E1631"/>
    <mergeCell ref="A1492:A1496"/>
    <mergeCell ref="AC842:AC846"/>
    <mergeCell ref="AB477:AB481"/>
    <mergeCell ref="A462:A466"/>
    <mergeCell ref="Z1017:Z1021"/>
    <mergeCell ref="V1632:V1636"/>
    <mergeCell ref="A762:A766"/>
    <mergeCell ref="V152:V156"/>
    <mergeCell ref="A457:A461"/>
    <mergeCell ref="U1687:U1691"/>
    <mergeCell ref="Y277:Y281"/>
    <mergeCell ref="AC852:AC856"/>
    <mergeCell ref="V452:V456"/>
    <mergeCell ref="AD1407:AD1411"/>
    <mergeCell ref="Y337:Y341"/>
    <mergeCell ref="U202:U206"/>
    <mergeCell ref="AA122:AA126"/>
    <mergeCell ref="AA97:AA101"/>
    <mergeCell ref="Y662:Y666"/>
    <mergeCell ref="U1252:U1256"/>
    <mergeCell ref="Y962:Y966"/>
    <mergeCell ref="A1562:A1566"/>
    <mergeCell ref="T1002:T1006"/>
    <mergeCell ref="T1302:T1306"/>
    <mergeCell ref="AD607:AD611"/>
    <mergeCell ref="AB1147:AB1151"/>
    <mergeCell ref="A1132:A1136"/>
    <mergeCell ref="V522:V526"/>
    <mergeCell ref="AD302:AD306"/>
    <mergeCell ref="A827:A831"/>
    <mergeCell ref="AD907:AD911"/>
    <mergeCell ref="A1432:A1436"/>
    <mergeCell ref="X282:X286"/>
    <mergeCell ref="R1437:R1441"/>
    <mergeCell ref="X582:X586"/>
    <mergeCell ref="S322:S326"/>
    <mergeCell ref="AA167:AA171"/>
    <mergeCell ref="W1372:W1376"/>
    <mergeCell ref="F1077:F1081"/>
    <mergeCell ref="S622:S626"/>
    <mergeCell ref="AA467:AA471"/>
    <mergeCell ref="F772:F776"/>
    <mergeCell ref="A1512:A1516"/>
    <mergeCell ref="AC227:AC231"/>
    <mergeCell ref="E827:E831"/>
    <mergeCell ref="AA1092:AA1096"/>
    <mergeCell ref="E1127:E1131"/>
    <mergeCell ref="X962:X966"/>
    <mergeCell ref="Y1517:Y1521"/>
    <mergeCell ref="AD977:AD981"/>
    <mergeCell ref="S1192:S1196"/>
    <mergeCell ref="E722:E726"/>
    <mergeCell ref="AD1277:AD1281"/>
    <mergeCell ref="Z112:Z116"/>
    <mergeCell ref="X652:X656"/>
    <mergeCell ref="S887:S891"/>
    <mergeCell ref="S1492:S1496"/>
    <mergeCell ref="U522:U526"/>
    <mergeCell ref="Z412:Z416"/>
    <mergeCell ref="S1187:S1191"/>
    <mergeCell ref="E717:E721"/>
    <mergeCell ref="Z107:Z111"/>
    <mergeCell ref="W282:W286"/>
    <mergeCell ref="U822:U826"/>
    <mergeCell ref="AB172:AB176"/>
    <mergeCell ref="Z712:Z716"/>
    <mergeCell ref="A932:A936"/>
    <mergeCell ref="E1697:E1701"/>
    <mergeCell ref="R1242:R1246"/>
    <mergeCell ref="W582:W586"/>
    <mergeCell ref="A1682:A1686"/>
    <mergeCell ref="AC297:AC301"/>
    <mergeCell ref="AB42:AB46"/>
    <mergeCell ref="AC597:AC601"/>
    <mergeCell ref="E1692:E1696"/>
    <mergeCell ref="R207:R211"/>
    <mergeCell ref="E1077:E1081"/>
    <mergeCell ref="AC292:AC296"/>
    <mergeCell ref="R812:R816"/>
    <mergeCell ref="A197:A201"/>
    <mergeCell ref="Z1072:Z1076"/>
    <mergeCell ref="R507:R511"/>
    <mergeCell ref="U1427:U1431"/>
    <mergeCell ref="AC592:AC596"/>
    <mergeCell ref="AB227:AB231"/>
    <mergeCell ref="Z792:Z796"/>
    <mergeCell ref="Z767:Z771"/>
    <mergeCell ref="T142:T146"/>
    <mergeCell ref="R807:R811"/>
    <mergeCell ref="W1187:W1191"/>
    <mergeCell ref="Z1092:Z1096"/>
    <mergeCell ref="T442:T446"/>
    <mergeCell ref="AA1647:AA1651"/>
    <mergeCell ref="U1022:U1026"/>
    <mergeCell ref="S1562:S1566"/>
    <mergeCell ref="F347:F351"/>
    <mergeCell ref="U1437:U1441"/>
    <mergeCell ref="AC1282:AC1286"/>
    <mergeCell ref="AC977:AC981"/>
    <mergeCell ref="U1322:U1326"/>
    <mergeCell ref="S192:S196"/>
    <mergeCell ref="AA1642:AA1646"/>
    <mergeCell ref="AC1582:AC1586"/>
    <mergeCell ref="U1017:U1021"/>
    <mergeCell ref="R1192:R1196"/>
    <mergeCell ref="AC1277:AC1281"/>
    <mergeCell ref="U1622:U1626"/>
    <mergeCell ref="Y112:Y116"/>
    <mergeCell ref="Y87:Y91"/>
    <mergeCell ref="W652:W656"/>
    <mergeCell ref="U1317:U1321"/>
    <mergeCell ref="R1492:R1496"/>
    <mergeCell ref="Y412:Y416"/>
    <mergeCell ref="W952:W956"/>
    <mergeCell ref="X1507:X1511"/>
    <mergeCell ref="T1372:T1376"/>
    <mergeCell ref="AA172:AA176"/>
    <mergeCell ref="Y712:Y716"/>
    <mergeCell ref="X1202:X1206"/>
    <mergeCell ref="V1742:V1746"/>
    <mergeCell ref="AB297:AB301"/>
    <mergeCell ref="Z962:Z966"/>
    <mergeCell ref="X1502:X1506"/>
    <mergeCell ref="W1137:W1141"/>
    <mergeCell ref="Z1567:Z1571"/>
    <mergeCell ref="AB597:AB601"/>
    <mergeCell ref="Z1262:Z1266"/>
    <mergeCell ref="AB292:AB296"/>
    <mergeCell ref="W1557:W1561"/>
    <mergeCell ref="AD357:AD361"/>
    <mergeCell ref="AB897:AB901"/>
    <mergeCell ref="V272:V276"/>
    <mergeCell ref="F842:F846"/>
    <mergeCell ref="W522:W526"/>
    <mergeCell ref="S992:S996"/>
    <mergeCell ref="Y282:Y286"/>
    <mergeCell ref="W822:W826"/>
    <mergeCell ref="X707:X711"/>
    <mergeCell ref="Y582:Y586"/>
    <mergeCell ref="W1122:W1126"/>
    <mergeCell ref="T1322:T1326"/>
    <mergeCell ref="AA217:AA221"/>
    <mergeCell ref="A1182:A1186"/>
    <mergeCell ref="T1622:T1626"/>
    <mergeCell ref="R77:R81"/>
    <mergeCell ref="S1047:S1051"/>
    <mergeCell ref="F1197:F1201"/>
    <mergeCell ref="U807:U811"/>
    <mergeCell ref="S1372:S1376"/>
    <mergeCell ref="S1347:S1351"/>
    <mergeCell ref="W1507:W1511"/>
    <mergeCell ref="F1497:F1501"/>
    <mergeCell ref="W1202:W1206"/>
    <mergeCell ref="Y1267:Y1271"/>
    <mergeCell ref="S1672:S1676"/>
    <mergeCell ref="S642:S646"/>
    <mergeCell ref="AD727:AD731"/>
    <mergeCell ref="Y1567:Y1571"/>
    <mergeCell ref="AD422:AD426"/>
    <mergeCell ref="W22:W26"/>
    <mergeCell ref="S942:S946"/>
    <mergeCell ref="AD1027:AD1031"/>
    <mergeCell ref="Y1262:Y1266"/>
    <mergeCell ref="S637:S641"/>
    <mergeCell ref="V1557:V1561"/>
    <mergeCell ref="U272:U276"/>
    <mergeCell ref="A382:A386"/>
    <mergeCell ref="S937:S941"/>
    <mergeCell ref="R692:R696"/>
    <mergeCell ref="A77:A81"/>
    <mergeCell ref="E842:E846"/>
    <mergeCell ref="A682:A686"/>
    <mergeCell ref="E1447:E1451"/>
    <mergeCell ref="R992:R996"/>
    <mergeCell ref="V1127:V1131"/>
    <mergeCell ref="Z837:Z841"/>
    <mergeCell ref="E1142:E1146"/>
    <mergeCell ref="E1442:E1446"/>
    <mergeCell ref="AC42:AC46"/>
    <mergeCell ref="S1622:S1626"/>
    <mergeCell ref="U1177:U1181"/>
    <mergeCell ref="S1742:S1746"/>
    <mergeCell ref="Y1637:Y1641"/>
    <mergeCell ref="U1477:U1481"/>
    <mergeCell ref="Y1332:Y1336"/>
    <mergeCell ref="AA1397:AA1401"/>
    <mergeCell ref="U772:U776"/>
    <mergeCell ref="AC1032:AC1036"/>
    <mergeCell ref="F222:F226"/>
    <mergeCell ref="S1007:S1011"/>
    <mergeCell ref="Y152:Y156"/>
    <mergeCell ref="AC727:AC731"/>
    <mergeCell ref="U1072:U1076"/>
    <mergeCell ref="S1612:S1616"/>
    <mergeCell ref="F397:F401"/>
    <mergeCell ref="A632:A636"/>
    <mergeCell ref="AA1392:AA1396"/>
    <mergeCell ref="A752:A756"/>
    <mergeCell ref="U767:U771"/>
    <mergeCell ref="AC1027:AC1031"/>
    <mergeCell ref="AD1582:AD1586"/>
    <mergeCell ref="R1362:R1366"/>
    <mergeCell ref="E1512:E1516"/>
    <mergeCell ref="R1057:R1061"/>
    <mergeCell ref="A322:A326"/>
    <mergeCell ref="AB337:AB341"/>
    <mergeCell ref="X1257:X1261"/>
    <mergeCell ref="A17:A21"/>
    <mergeCell ref="X952:X956"/>
    <mergeCell ref="U1127:U1131"/>
    <mergeCell ref="AD97:AD101"/>
    <mergeCell ref="AB662:AB666"/>
    <mergeCell ref="A622:A626"/>
    <mergeCell ref="AD122:AD126"/>
    <mergeCell ref="Y837:Y841"/>
    <mergeCell ref="F697:F701"/>
    <mergeCell ref="X1252:X1256"/>
    <mergeCell ref="R627:R631"/>
    <mergeCell ref="Y1137:Y1141"/>
    <mergeCell ref="U1752:U1756"/>
    <mergeCell ref="W1307:W1311"/>
    <mergeCell ref="F292:F296"/>
    <mergeCell ref="R1742:R1746"/>
    <mergeCell ref="A702:A706"/>
    <mergeCell ref="AA1462:AA1466"/>
    <mergeCell ref="T1062:T1066"/>
    <mergeCell ref="F592:F596"/>
    <mergeCell ref="W272:W276"/>
    <mergeCell ref="AC1527:AC1531"/>
    <mergeCell ref="X157:X161"/>
    <mergeCell ref="A1002:A1006"/>
    <mergeCell ref="F892:F896"/>
    <mergeCell ref="AA282:AA286"/>
    <mergeCell ref="X457:X461"/>
    <mergeCell ref="AC1522:AC1526"/>
    <mergeCell ref="X152:X156"/>
    <mergeCell ref="R1612:R1616"/>
    <mergeCell ref="Y707:Y711"/>
    <mergeCell ref="S1112:S1116"/>
    <mergeCell ref="AD167:AD171"/>
    <mergeCell ref="AA342:AA346"/>
    <mergeCell ref="F647:F651"/>
    <mergeCell ref="F1252:F1256"/>
    <mergeCell ref="AD467:AD471"/>
    <mergeCell ref="AA642:AA646"/>
    <mergeCell ref="A1607:A1611"/>
    <mergeCell ref="S77:S81"/>
    <mergeCell ref="F947:F951"/>
    <mergeCell ref="W1257:W1261"/>
    <mergeCell ref="AD792:AD796"/>
    <mergeCell ref="AC402:AC406"/>
    <mergeCell ref="S377:S381"/>
    <mergeCell ref="U12:U16"/>
    <mergeCell ref="E887:E891"/>
    <mergeCell ref="R432:R436"/>
    <mergeCell ref="V1007:V1011"/>
    <mergeCell ref="AB1517:AB1521"/>
    <mergeCell ref="Y1692:Y1696"/>
    <mergeCell ref="V1307:V1311"/>
    <mergeCell ref="AD1152:AD1156"/>
    <mergeCell ref="E882:E886"/>
    <mergeCell ref="R427:R431"/>
    <mergeCell ref="A132:A136"/>
    <mergeCell ref="V1192:V1196"/>
    <mergeCell ref="R442:R446"/>
    <mergeCell ref="Z287:Z291"/>
    <mergeCell ref="V1492:V1496"/>
    <mergeCell ref="AB47:AB51"/>
    <mergeCell ref="Z587:Z591"/>
    <mergeCell ref="E892:E896"/>
    <mergeCell ref="Z282:Z286"/>
    <mergeCell ref="AA837:AA841"/>
    <mergeCell ref="Y1377:Y1381"/>
    <mergeCell ref="U1242:U1246"/>
    <mergeCell ref="R1417:R1421"/>
    <mergeCell ref="AC472:AC476"/>
    <mergeCell ref="R1112:R1116"/>
    <mergeCell ref="AA1137:AA1141"/>
    <mergeCell ref="AC167:AC171"/>
    <mergeCell ref="AC772:AC776"/>
    <mergeCell ref="AC467:AC471"/>
    <mergeCell ref="Y1387:Y1391"/>
    <mergeCell ref="T1742:T1746"/>
    <mergeCell ref="AC767:AC771"/>
    <mergeCell ref="AB522:AB526"/>
    <mergeCell ref="W142:W146"/>
    <mergeCell ref="T562:T566"/>
    <mergeCell ref="AD1647:AD1651"/>
    <mergeCell ref="X997:X1001"/>
    <mergeCell ref="U1197:U1201"/>
    <mergeCell ref="AA1517:AA1521"/>
    <mergeCell ref="A802:A806"/>
    <mergeCell ref="U1497:U1501"/>
    <mergeCell ref="U1192:U1196"/>
    <mergeCell ref="W747:W751"/>
    <mergeCell ref="AB112:AB116"/>
    <mergeCell ref="AB87:AB91"/>
    <mergeCell ref="U1492:U1496"/>
    <mergeCell ref="T1247:T1251"/>
    <mergeCell ref="AB412:AB416"/>
    <mergeCell ref="T1547:T1551"/>
    <mergeCell ref="AD172:AD176"/>
    <mergeCell ref="X1377:X1381"/>
    <mergeCell ref="T1242:T1246"/>
    <mergeCell ref="Z1137:Z1141"/>
    <mergeCell ref="X1677:X1681"/>
    <mergeCell ref="T512:T516"/>
    <mergeCell ref="T1117:T1121"/>
    <mergeCell ref="T812:T816"/>
    <mergeCell ref="Y272:Y276"/>
    <mergeCell ref="V447:V451"/>
    <mergeCell ref="W1427:W1431"/>
    <mergeCell ref="AC1652:AC1656"/>
    <mergeCell ref="Y1492:Y1496"/>
    <mergeCell ref="F1017:F1021"/>
    <mergeCell ref="S562:S566"/>
    <mergeCell ref="S257:S261"/>
    <mergeCell ref="AC1647:AC1651"/>
    <mergeCell ref="Y457:Y461"/>
    <mergeCell ref="F1317:F1321"/>
    <mergeCell ref="S862:S866"/>
    <mergeCell ref="U1562:U1566"/>
    <mergeCell ref="W1022:W1026"/>
    <mergeCell ref="W997:W1001"/>
    <mergeCell ref="A1057:A1061"/>
    <mergeCell ref="Y757:Y761"/>
    <mergeCell ref="W1322:W1326"/>
    <mergeCell ref="W1297:W1301"/>
    <mergeCell ref="T1497:T1501"/>
    <mergeCell ref="Y877:Y881"/>
    <mergeCell ref="S132:S136"/>
    <mergeCell ref="AD242:AD246"/>
    <mergeCell ref="AD217:AD221"/>
    <mergeCell ref="A1357:A1361"/>
    <mergeCell ref="E1067:E1071"/>
    <mergeCell ref="W1622:W1626"/>
    <mergeCell ref="AD542:AD546"/>
    <mergeCell ref="A1657:A1661"/>
    <mergeCell ref="S127:S131"/>
    <mergeCell ref="E32:E36"/>
    <mergeCell ref="R1662:R1666"/>
    <mergeCell ref="Z1507:Z1511"/>
    <mergeCell ref="E637:E641"/>
    <mergeCell ref="R182:R186"/>
    <mergeCell ref="AD602:AD606"/>
    <mergeCell ref="E332:E336"/>
    <mergeCell ref="AB1267:AB1271"/>
    <mergeCell ref="Y1442:Y1446"/>
    <mergeCell ref="AD297:AD301"/>
    <mergeCell ref="E937:E941"/>
    <mergeCell ref="V642:V646"/>
    <mergeCell ref="T1182:T1186"/>
    <mergeCell ref="AD902:AD906"/>
    <mergeCell ref="E632:E636"/>
    <mergeCell ref="R177:R181"/>
    <mergeCell ref="AB1567:AB1571"/>
    <mergeCell ref="AD597:AD601"/>
    <mergeCell ref="X402:X406"/>
    <mergeCell ref="V942:V946"/>
    <mergeCell ref="T1482:T1486"/>
    <mergeCell ref="Z37:Z41"/>
    <mergeCell ref="Y1557:Y1561"/>
    <mergeCell ref="S812:S816"/>
    <mergeCell ref="Y827:Y831"/>
    <mergeCell ref="R867:R871"/>
    <mergeCell ref="E1017:E1021"/>
    <mergeCell ref="R562:R566"/>
    <mergeCell ref="AA587:AA591"/>
    <mergeCell ref="Y1127:Y1131"/>
    <mergeCell ref="R1167:R1171"/>
    <mergeCell ref="E1317:E1321"/>
    <mergeCell ref="R862:R866"/>
    <mergeCell ref="Z707:Z711"/>
    <mergeCell ref="S1417:S1421"/>
    <mergeCell ref="X757:X761"/>
    <mergeCell ref="E1617:E1621"/>
    <mergeCell ref="X877:X881"/>
    <mergeCell ref="R132:R136"/>
    <mergeCell ref="AC217:AC221"/>
    <mergeCell ref="X1177:X1181"/>
    <mergeCell ref="Y1512:Y1516"/>
    <mergeCell ref="E1007:E1011"/>
    <mergeCell ref="T12:T16"/>
    <mergeCell ref="E702:E706"/>
    <mergeCell ref="R247:R251"/>
    <mergeCell ref="AB1637:AB1641"/>
    <mergeCell ref="U1677:U1681"/>
    <mergeCell ref="T312:T316"/>
    <mergeCell ref="Y1507:Y1511"/>
    <mergeCell ref="AD1397:AD1401"/>
    <mergeCell ref="AA1572:AA1576"/>
    <mergeCell ref="Y27:Y31"/>
    <mergeCell ref="U947:U951"/>
    <mergeCell ref="S1182:S1186"/>
    <mergeCell ref="X1562:X1566"/>
    <mergeCell ref="Y327:Y331"/>
    <mergeCell ref="AA1567:AA1571"/>
    <mergeCell ref="A927:A931"/>
    <mergeCell ref="U942:U946"/>
    <mergeCell ref="W497:W501"/>
    <mergeCell ref="X1557:X1561"/>
    <mergeCell ref="T997:T1001"/>
    <mergeCell ref="R1537:R1541"/>
    <mergeCell ref="X827:X831"/>
    <mergeCell ref="T692:T696"/>
    <mergeCell ref="R1232:R1236"/>
    <mergeCell ref="E1687:E1691"/>
    <mergeCell ref="X1432:X1436"/>
    <mergeCell ref="T1297:T1301"/>
    <mergeCell ref="X1127:X1131"/>
    <mergeCell ref="AB837:AB841"/>
    <mergeCell ref="U1547:U1551"/>
    <mergeCell ref="T262:T266"/>
    <mergeCell ref="W877:W881"/>
    <mergeCell ref="AC1692:AC1696"/>
    <mergeCell ref="W1067:W1071"/>
    <mergeCell ref="W1482:W1486"/>
    <mergeCell ref="W1177:W1181"/>
    <mergeCell ref="F467:F471"/>
    <mergeCell ref="S12:S16"/>
    <mergeCell ref="W1062:W1066"/>
    <mergeCell ref="AA1637:AA1641"/>
    <mergeCell ref="W1477:W1481"/>
    <mergeCell ref="F767:F771"/>
    <mergeCell ref="S312:S316"/>
    <mergeCell ref="W447:W451"/>
    <mergeCell ref="AC1702:AC1706"/>
    <mergeCell ref="AA157:AA161"/>
    <mergeCell ref="F462:F466"/>
    <mergeCell ref="A1727:A1731"/>
    <mergeCell ref="AA457:AA461"/>
    <mergeCell ref="A1422:A1426"/>
    <mergeCell ref="R1707:R1711"/>
    <mergeCell ref="E517:E521"/>
    <mergeCell ref="W1072:W1076"/>
    <mergeCell ref="A1722:A1726"/>
    <mergeCell ref="AD342:AD346"/>
    <mergeCell ref="T1362:T1366"/>
    <mergeCell ref="Z1257:Z1261"/>
    <mergeCell ref="AD967:AD971"/>
    <mergeCell ref="X932:X936"/>
    <mergeCell ref="E82:E86"/>
    <mergeCell ref="R607:R611"/>
    <mergeCell ref="Y1612:Y1616"/>
    <mergeCell ref="R302:R306"/>
    <mergeCell ref="AB1692:AB1696"/>
    <mergeCell ref="X527:X531"/>
    <mergeCell ref="F1437:F1441"/>
    <mergeCell ref="S982:S986"/>
    <mergeCell ref="AC287:AC291"/>
    <mergeCell ref="Z462:Z466"/>
    <mergeCell ref="E767:E771"/>
    <mergeCell ref="AC587:AC591"/>
    <mergeCell ref="AB222:AB226"/>
    <mergeCell ref="Z762:Z766"/>
    <mergeCell ref="R197:R201"/>
    <mergeCell ref="Z457:Z461"/>
    <mergeCell ref="F1622:F1626"/>
    <mergeCell ref="S1167:S1171"/>
    <mergeCell ref="AA1012:AA1016"/>
    <mergeCell ref="AA1312:AA1316"/>
    <mergeCell ref="U382:U386"/>
    <mergeCell ref="AB1387:AB1391"/>
    <mergeCell ref="E1672:E1676"/>
    <mergeCell ref="Z1062:Z1066"/>
    <mergeCell ref="U682:U686"/>
    <mergeCell ref="T737:T741"/>
    <mergeCell ref="A1742:A1746"/>
    <mergeCell ref="A982:A986"/>
    <mergeCell ref="T432:T436"/>
    <mergeCell ref="Z657:Z661"/>
    <mergeCell ref="A677:A681"/>
    <mergeCell ref="X1197:X1201"/>
    <mergeCell ref="T732:T736"/>
    <mergeCell ref="E1567:E1571"/>
    <mergeCell ref="Z957:Z961"/>
    <mergeCell ref="X1497:X1501"/>
    <mergeCell ref="T2:T6"/>
    <mergeCell ref="E1437:E1441"/>
    <mergeCell ref="R982:R986"/>
    <mergeCell ref="AB287:AB291"/>
    <mergeCell ref="AB262:AB266"/>
    <mergeCell ref="Z827:Z831"/>
    <mergeCell ref="S1537:S1541"/>
    <mergeCell ref="AA1382:AA1386"/>
    <mergeCell ref="W1247:W1251"/>
    <mergeCell ref="AD47:AD51"/>
    <mergeCell ref="AB587:AB591"/>
    <mergeCell ref="F1687:F1691"/>
    <mergeCell ref="U1297:U1301"/>
    <mergeCell ref="F207:F211"/>
    <mergeCell ref="AC1142:AC1146"/>
    <mergeCell ref="AA1682:AA1686"/>
    <mergeCell ref="AC837:AC841"/>
    <mergeCell ref="AA1377:AA1381"/>
    <mergeCell ref="Z1012:Z1016"/>
    <mergeCell ref="F507:F511"/>
    <mergeCell ref="W212:W216"/>
    <mergeCell ref="S52:S56"/>
    <mergeCell ref="U752:U756"/>
    <mergeCell ref="W627:W631"/>
    <mergeCell ref="AC1442:AC1446"/>
    <mergeCell ref="W817:W821"/>
    <mergeCell ref="F202:F206"/>
    <mergeCell ref="AC1137:AC1141"/>
    <mergeCell ref="Z1312:Z1316"/>
    <mergeCell ref="W512:W516"/>
    <mergeCell ref="U1052:U1056"/>
    <mergeCell ref="W1117:W1121"/>
    <mergeCell ref="T382:T386"/>
    <mergeCell ref="E257:E261"/>
    <mergeCell ref="W812:W816"/>
    <mergeCell ref="A872:A876"/>
    <mergeCell ref="S437:S441"/>
    <mergeCell ref="A1477:A1481"/>
    <mergeCell ref="V867:V871"/>
    <mergeCell ref="E1307:E1311"/>
    <mergeCell ref="A1172:A1176"/>
    <mergeCell ref="AB157:AB161"/>
    <mergeCell ref="Z697:Z701"/>
    <mergeCell ref="V562:V566"/>
    <mergeCell ref="U197:U201"/>
    <mergeCell ref="S737:S741"/>
    <mergeCell ref="F887:F891"/>
    <mergeCell ref="S432:S436"/>
    <mergeCell ref="AB457:AB461"/>
    <mergeCell ref="Y632:Y636"/>
    <mergeCell ref="W1197:W1201"/>
    <mergeCell ref="S1037:S1041"/>
    <mergeCell ref="AD92:AD96"/>
    <mergeCell ref="A1232:A1236"/>
    <mergeCell ref="W1497:W1501"/>
    <mergeCell ref="AD417:AD421"/>
    <mergeCell ref="A1532:A1536"/>
    <mergeCell ref="E1242:E1246"/>
    <mergeCell ref="AC1512:AC1516"/>
    <mergeCell ref="AD717:AD721"/>
    <mergeCell ref="V1247:V1251"/>
    <mergeCell ref="A72:A76"/>
    <mergeCell ref="E207:E211"/>
    <mergeCell ref="A47:A51"/>
    <mergeCell ref="AC1507:AC1511"/>
    <mergeCell ref="AB1142:AB1146"/>
    <mergeCell ref="Z1682:Z1686"/>
    <mergeCell ref="V1547:V1551"/>
    <mergeCell ref="U182:U186"/>
    <mergeCell ref="V517:V521"/>
    <mergeCell ref="R357:R361"/>
    <mergeCell ref="E507:E511"/>
    <mergeCell ref="R52:R56"/>
    <mergeCell ref="AB1442:AB1446"/>
    <mergeCell ref="AB1562:AB1566"/>
    <mergeCell ref="V817:V821"/>
    <mergeCell ref="E807:E811"/>
    <mergeCell ref="V512:V516"/>
    <mergeCell ref="R352:R356"/>
    <mergeCell ref="X577:X581"/>
    <mergeCell ref="V1117:V1121"/>
    <mergeCell ref="S932:S936"/>
    <mergeCell ref="AC37:AC41"/>
    <mergeCell ref="AA1192:AA1196"/>
    <mergeCell ref="Y1732:Y1736"/>
    <mergeCell ref="U567:U571"/>
    <mergeCell ref="S1107:S1111"/>
    <mergeCell ref="AA1492:AA1496"/>
    <mergeCell ref="U867:U871"/>
    <mergeCell ref="U562:U566"/>
    <mergeCell ref="AA762:AA766"/>
    <mergeCell ref="U1167:U1171"/>
    <mergeCell ref="X752:X756"/>
    <mergeCell ref="S1592:S1596"/>
    <mergeCell ref="A117:A121"/>
    <mergeCell ref="U132:U136"/>
    <mergeCell ref="X1052:X1056"/>
    <mergeCell ref="AC417:AC421"/>
    <mergeCell ref="Z812:Z816"/>
    <mergeCell ref="AB1512:AB1516"/>
    <mergeCell ref="AB32:AB36"/>
    <mergeCell ref="R422:R426"/>
    <mergeCell ref="AD1272:AD1276"/>
    <mergeCell ref="X647:X651"/>
    <mergeCell ref="T487:T491"/>
    <mergeCell ref="T182:T186"/>
    <mergeCell ref="AD1572:AD1576"/>
    <mergeCell ref="AB27:AB31"/>
    <mergeCell ref="A12:A16"/>
    <mergeCell ref="X947:X951"/>
    <mergeCell ref="V1487:V1491"/>
    <mergeCell ref="X642:X646"/>
    <mergeCell ref="AA1562:AA1566"/>
    <mergeCell ref="U817:U821"/>
    <mergeCell ref="F692:F696"/>
    <mergeCell ref="A312:A316"/>
    <mergeCell ref="F387:F391"/>
    <mergeCell ref="U1117:U1121"/>
    <mergeCell ref="W697:W701"/>
    <mergeCell ref="W672:W676"/>
    <mergeCell ref="AB37:AB41"/>
    <mergeCell ref="F687:F691"/>
    <mergeCell ref="AA1132:AA1136"/>
    <mergeCell ref="AA827:AA831"/>
    <mergeCell ref="AC892:AC896"/>
    <mergeCell ref="AA1432:AA1436"/>
    <mergeCell ref="AA1127:AA1131"/>
    <mergeCell ref="U1722:U1726"/>
    <mergeCell ref="W262:W266"/>
    <mergeCell ref="Z1182:Z1186"/>
    <mergeCell ref="U802:U806"/>
    <mergeCell ref="E1487:E1491"/>
    <mergeCell ref="E7:E11"/>
    <mergeCell ref="F342:F346"/>
    <mergeCell ref="AD162:AD166"/>
    <mergeCell ref="AA1512:AA1516"/>
    <mergeCell ref="E307:E311"/>
    <mergeCell ref="F642:F646"/>
    <mergeCell ref="S187:S191"/>
    <mergeCell ref="AC1577:AC1581"/>
    <mergeCell ref="AA32:AA36"/>
    <mergeCell ref="Z447:Z451"/>
    <mergeCell ref="S72:S76"/>
    <mergeCell ref="F942:F946"/>
    <mergeCell ref="S487:S491"/>
    <mergeCell ref="AD157:AD161"/>
    <mergeCell ref="AA332:AA336"/>
    <mergeCell ref="F637:F641"/>
    <mergeCell ref="S182:S186"/>
    <mergeCell ref="AC1572:AC1576"/>
    <mergeCell ref="R1607:R1611"/>
    <mergeCell ref="AA27:AA31"/>
    <mergeCell ref="W947:W951"/>
    <mergeCell ref="U1487:U1491"/>
    <mergeCell ref="A1597:A1601"/>
    <mergeCell ref="Y802:Y806"/>
    <mergeCell ref="R1602:R1606"/>
    <mergeCell ref="AB882:AB886"/>
    <mergeCell ref="T1667:T1671"/>
    <mergeCell ref="R122:R126"/>
    <mergeCell ref="V697:V701"/>
    <mergeCell ref="Z1132:Z1136"/>
    <mergeCell ref="V997:V1001"/>
    <mergeCell ref="T1537:T1541"/>
    <mergeCell ref="F627:F631"/>
    <mergeCell ref="F1242:F1246"/>
    <mergeCell ref="V252:V256"/>
    <mergeCell ref="AC1257:AC1261"/>
    <mergeCell ref="Z1432:Z1436"/>
    <mergeCell ref="V1297:V1301"/>
    <mergeCell ref="AD1142:AD1146"/>
    <mergeCell ref="F1742:F1746"/>
    <mergeCell ref="W1547:W1551"/>
    <mergeCell ref="U302:U306"/>
    <mergeCell ref="AA527:AA531"/>
    <mergeCell ref="Y1067:Y1071"/>
    <mergeCell ref="Y1482:Y1486"/>
    <mergeCell ref="U317:U321"/>
    <mergeCell ref="AC162:AC166"/>
    <mergeCell ref="AC462:AC466"/>
    <mergeCell ref="AC157:AC161"/>
    <mergeCell ref="AB212:AB216"/>
    <mergeCell ref="T1732:T1736"/>
    <mergeCell ref="S1342:S1346"/>
    <mergeCell ref="AD1012:AD1016"/>
    <mergeCell ref="X387:X391"/>
    <mergeCell ref="X802:X806"/>
    <mergeCell ref="AD1337:AD1341"/>
    <mergeCell ref="AD1312:AD1316"/>
    <mergeCell ref="A192:A196"/>
    <mergeCell ref="X687:X691"/>
    <mergeCell ref="X382:X386"/>
    <mergeCell ref="E627:E631"/>
    <mergeCell ref="Z17:Z21"/>
    <mergeCell ref="AB82:AB86"/>
    <mergeCell ref="AC1062:AC1066"/>
    <mergeCell ref="W437:W441"/>
    <mergeCell ref="AD1697:AD1701"/>
    <mergeCell ref="F442:F446"/>
    <mergeCell ref="W432:W436"/>
    <mergeCell ref="T607:T611"/>
    <mergeCell ref="AC632:AC636"/>
    <mergeCell ref="Z832:Z836"/>
    <mergeCell ref="E1232:E1236"/>
    <mergeCell ref="X1067:X1071"/>
    <mergeCell ref="E1557:E1561"/>
    <mergeCell ref="E1532:E1536"/>
    <mergeCell ref="S1412:S1416"/>
    <mergeCell ref="V1537:V1541"/>
    <mergeCell ref="S1712:S1716"/>
    <mergeCell ref="AD1382:AD1386"/>
    <mergeCell ref="Y882:Y886"/>
    <mergeCell ref="W1422:W1426"/>
    <mergeCell ref="AC1317:AC1321"/>
    <mergeCell ref="AC1012:AC1016"/>
    <mergeCell ref="S252:S256"/>
    <mergeCell ref="S227:S231"/>
    <mergeCell ref="W387:W391"/>
    <mergeCell ref="AC1617:AC1621"/>
    <mergeCell ref="AC1337:AC1341"/>
    <mergeCell ref="AC1312:AC1316"/>
    <mergeCell ref="Y147:Y151"/>
    <mergeCell ref="S552:S556"/>
    <mergeCell ref="W687:W691"/>
    <mergeCell ref="AB1367:AB1371"/>
    <mergeCell ref="W987:W991"/>
    <mergeCell ref="Y567:Y571"/>
    <mergeCell ref="AB1062:AB1066"/>
    <mergeCell ref="A1047:A1051"/>
    <mergeCell ref="V437:V441"/>
    <mergeCell ref="R1357:R1361"/>
    <mergeCell ref="A1347:A1351"/>
    <mergeCell ref="AB332:AB336"/>
    <mergeCell ref="X197:X201"/>
    <mergeCell ref="V737:V741"/>
    <mergeCell ref="R1657:R1661"/>
    <mergeCell ref="AB632:AB636"/>
    <mergeCell ref="Z1197:Z1201"/>
    <mergeCell ref="W1592:W1596"/>
    <mergeCell ref="E22:E26"/>
    <mergeCell ref="AB957:AB961"/>
    <mergeCell ref="R172:R176"/>
    <mergeCell ref="F992:F996"/>
    <mergeCell ref="V2:V6"/>
    <mergeCell ref="S297:S301"/>
    <mergeCell ref="Y1552:Y1556"/>
    <mergeCell ref="AC1687:AC1691"/>
    <mergeCell ref="U1537:U1541"/>
    <mergeCell ref="AC1382:AC1386"/>
    <mergeCell ref="U57:U61"/>
    <mergeCell ref="AC1682:AC1686"/>
    <mergeCell ref="Y517:Y521"/>
    <mergeCell ref="U357:U361"/>
    <mergeCell ref="Y1122:Y1126"/>
    <mergeCell ref="U52:U56"/>
    <mergeCell ref="R252:R256"/>
    <mergeCell ref="AA277:AA281"/>
    <mergeCell ref="Y817:Y821"/>
    <mergeCell ref="AA577:AA581"/>
    <mergeCell ref="Y1117:Y1121"/>
    <mergeCell ref="AD1497:AD1501"/>
    <mergeCell ref="A1717:A1721"/>
    <mergeCell ref="AB702:AB706"/>
    <mergeCell ref="X567:X571"/>
    <mergeCell ref="AD462:AD466"/>
    <mergeCell ref="AB1002:AB1006"/>
    <mergeCell ref="X867:X871"/>
    <mergeCell ref="AD762:AD766"/>
    <mergeCell ref="AB1327:AB1331"/>
    <mergeCell ref="AB1302:AB1306"/>
    <mergeCell ref="X137:X141"/>
    <mergeCell ref="F1362:F1366"/>
    <mergeCell ref="AA752:AA756"/>
    <mergeCell ref="AD1087:AD1091"/>
    <mergeCell ref="F1662:F1666"/>
    <mergeCell ref="X132:X136"/>
    <mergeCell ref="AA1052:AA1056"/>
    <mergeCell ref="R602:R606"/>
    <mergeCell ref="R297:R301"/>
    <mergeCell ref="X1552:X1556"/>
    <mergeCell ref="AA322:AA326"/>
    <mergeCell ref="W187:W191"/>
    <mergeCell ref="AB1382:AB1386"/>
    <mergeCell ref="T57:T61"/>
    <mergeCell ref="R597:R601"/>
    <mergeCell ref="AD1447:AD1451"/>
    <mergeCell ref="AA622:AA626"/>
    <mergeCell ref="W487:W491"/>
    <mergeCell ref="X822:X826"/>
    <mergeCell ref="T357:T361"/>
    <mergeCell ref="X1122:X1126"/>
    <mergeCell ref="E982:E986"/>
    <mergeCell ref="X817:X821"/>
    <mergeCell ref="Z372:Z376"/>
    <mergeCell ref="W572:W576"/>
    <mergeCell ref="U1237:U1241"/>
    <mergeCell ref="W872:W876"/>
    <mergeCell ref="Y1672:Y1676"/>
    <mergeCell ref="AA702:AA706"/>
    <mergeCell ref="W567:W571"/>
    <mergeCell ref="AD1132:AD1136"/>
    <mergeCell ref="W1172:W1176"/>
    <mergeCell ref="F1612:F1616"/>
    <mergeCell ref="AA1002:AA1006"/>
    <mergeCell ref="W867:W871"/>
    <mergeCell ref="AD1432:AD1436"/>
    <mergeCell ref="X1422:X1426"/>
    <mergeCell ref="AC762:AC766"/>
    <mergeCell ref="AA1302:AA1306"/>
    <mergeCell ref="R797:R801"/>
    <mergeCell ref="S2:S6"/>
    <mergeCell ref="W137:W141"/>
    <mergeCell ref="Z1057:Z1061"/>
    <mergeCell ref="A787:A791"/>
    <mergeCell ref="E1362:E1366"/>
    <mergeCell ref="X1722:X1726"/>
    <mergeCell ref="F127:F131"/>
    <mergeCell ref="Z752:Z756"/>
    <mergeCell ref="R1097:R1101"/>
    <mergeCell ref="Z1357:Z1361"/>
    <mergeCell ref="E1247:E1251"/>
    <mergeCell ref="A1112:A1116"/>
    <mergeCell ref="R792:R796"/>
    <mergeCell ref="E1662:E1666"/>
    <mergeCell ref="Z1052:Z1056"/>
    <mergeCell ref="T857:T861"/>
    <mergeCell ref="R1397:R1401"/>
    <mergeCell ref="E182:E186"/>
    <mergeCell ref="AB1117:AB1121"/>
    <mergeCell ref="T552:T556"/>
    <mergeCell ref="R1092:R1096"/>
    <mergeCell ref="AD1512:AD1516"/>
    <mergeCell ref="Z1352:Z1356"/>
    <mergeCell ref="V187:V191"/>
    <mergeCell ref="T727:T731"/>
    <mergeCell ref="AD32:AD36"/>
    <mergeCell ref="U1282:U1286"/>
    <mergeCell ref="Z622:Z626"/>
    <mergeCell ref="V487:V491"/>
    <mergeCell ref="A1472:A1476"/>
    <mergeCell ref="U1607:U1611"/>
    <mergeCell ref="U1582:U1586"/>
    <mergeCell ref="Z947:Z951"/>
    <mergeCell ref="W1342:W1346"/>
    <mergeCell ref="T1542:T1546"/>
    <mergeCell ref="Y257:Y261"/>
    <mergeCell ref="U122:U126"/>
    <mergeCell ref="AC1437:AC1441"/>
    <mergeCell ref="AC1132:AC1136"/>
    <mergeCell ref="F1417:F1421"/>
    <mergeCell ref="E77:E81"/>
    <mergeCell ref="Z1552:Z1556"/>
    <mergeCell ref="AC1432:AC1436"/>
    <mergeCell ref="Y267:Y271"/>
    <mergeCell ref="E377:E381"/>
    <mergeCell ref="AB1487:AB1491"/>
    <mergeCell ref="W1722:W1726"/>
    <mergeCell ref="E247:E251"/>
    <mergeCell ref="AB1182:AB1186"/>
    <mergeCell ref="F1312:F1316"/>
    <mergeCell ref="AB1482:AB1486"/>
    <mergeCell ref="W1412:W1416"/>
    <mergeCell ref="E1062:E1066"/>
    <mergeCell ref="U72:U76"/>
    <mergeCell ref="W1712:W1716"/>
    <mergeCell ref="AB1077:AB1081"/>
    <mergeCell ref="T1607:T1611"/>
    <mergeCell ref="AD887:AD891"/>
    <mergeCell ref="AD1187:AD1191"/>
    <mergeCell ref="AA802:AA806"/>
    <mergeCell ref="T122:T126"/>
    <mergeCell ref="AB1437:AB1441"/>
    <mergeCell ref="AB1132:AB1136"/>
    <mergeCell ref="AA397:AA401"/>
    <mergeCell ref="F1382:F1386"/>
    <mergeCell ref="F1682:F1686"/>
    <mergeCell ref="S1227:S1231"/>
    <mergeCell ref="F1377:F1381"/>
    <mergeCell ref="W322:W326"/>
    <mergeCell ref="S1527:S1531"/>
    <mergeCell ref="AC832:AC836"/>
    <mergeCell ref="AA1372:AA1376"/>
    <mergeCell ref="W622:W626"/>
    <mergeCell ref="AC527:AC531"/>
    <mergeCell ref="E1407:E1411"/>
    <mergeCell ref="F197:F201"/>
    <mergeCell ref="V1412:V1416"/>
    <mergeCell ref="W202:W206"/>
    <mergeCell ref="E1427:E1431"/>
    <mergeCell ref="A237:A241"/>
    <mergeCell ref="X1172:X1176"/>
    <mergeCell ref="V1737:V1741"/>
    <mergeCell ref="V1712:V1716"/>
    <mergeCell ref="R547:R551"/>
    <mergeCell ref="Z392:Z396"/>
    <mergeCell ref="A562:A566"/>
    <mergeCell ref="A537:A541"/>
    <mergeCell ref="R847:R851"/>
    <mergeCell ref="Z692:Z696"/>
    <mergeCell ref="E997:E1001"/>
    <mergeCell ref="A862:A866"/>
    <mergeCell ref="R542:R546"/>
    <mergeCell ref="Z387:Z391"/>
    <mergeCell ref="AB452:AB456"/>
    <mergeCell ref="E1297:E1301"/>
    <mergeCell ref="AB147:AB151"/>
    <mergeCell ref="Z687:Z691"/>
    <mergeCell ref="A922:A926"/>
    <mergeCell ref="U1032:U1036"/>
    <mergeCell ref="R1517:R1521"/>
    <mergeCell ref="AD82:AD86"/>
    <mergeCell ref="A1222:A1226"/>
    <mergeCell ref="Y437:Y441"/>
    <mergeCell ref="U1357:U1361"/>
    <mergeCell ref="R1532:R1536"/>
    <mergeCell ref="A917:A921"/>
    <mergeCell ref="A1522:A1526"/>
    <mergeCell ref="U1657:U1661"/>
    <mergeCell ref="R1527:R1531"/>
    <mergeCell ref="AB832:AB836"/>
    <mergeCell ref="Z1372:Z1376"/>
    <mergeCell ref="Y7:Y11"/>
    <mergeCell ref="R47:R51"/>
    <mergeCell ref="E197:E201"/>
    <mergeCell ref="Y307:Y311"/>
    <mergeCell ref="U1412:U1416"/>
    <mergeCell ref="U1712:U1716"/>
    <mergeCell ref="S167:S171"/>
    <mergeCell ref="Y1422:Y1426"/>
    <mergeCell ref="X57:X61"/>
    <mergeCell ref="U232:U236"/>
    <mergeCell ref="Y387:Y391"/>
    <mergeCell ref="U227:U231"/>
    <mergeCell ref="T1652:T1656"/>
    <mergeCell ref="F1182:F1186"/>
    <mergeCell ref="AA452:AA456"/>
    <mergeCell ref="Y992:Y996"/>
    <mergeCell ref="AA572:AA576"/>
    <mergeCell ref="F1482:F1486"/>
    <mergeCell ref="T1647:T1651"/>
    <mergeCell ref="T1032:T1036"/>
    <mergeCell ref="Z202:Z206"/>
    <mergeCell ref="X742:X746"/>
    <mergeCell ref="Z502:Z506"/>
    <mergeCell ref="AB1202:AB1206"/>
    <mergeCell ref="X1042:X1046"/>
    <mergeCell ref="AD637:AD641"/>
    <mergeCell ref="T1657:T1661"/>
    <mergeCell ref="AD962:AD966"/>
    <mergeCell ref="AD937:AD941"/>
    <mergeCell ref="AB1502:AB1506"/>
    <mergeCell ref="F1537:F1541"/>
    <mergeCell ref="AD752:AD756"/>
    <mergeCell ref="X7:X11"/>
    <mergeCell ref="AC387:AC391"/>
    <mergeCell ref="AA927:AA931"/>
    <mergeCell ref="AD1262:AD1266"/>
    <mergeCell ref="U427:U431"/>
    <mergeCell ref="S967:S971"/>
    <mergeCell ref="X307:X311"/>
    <mergeCell ref="AC687:AC691"/>
    <mergeCell ref="W62:W66"/>
    <mergeCell ref="F77:F81"/>
    <mergeCell ref="U297:U301"/>
    <mergeCell ref="AC987:AC991"/>
    <mergeCell ref="AA1552:AA1556"/>
    <mergeCell ref="AA522:AA526"/>
    <mergeCell ref="W362:W366"/>
    <mergeCell ref="F377:F381"/>
    <mergeCell ref="W57:W61"/>
    <mergeCell ref="F1432:F1436"/>
    <mergeCell ref="AA822:AA826"/>
    <mergeCell ref="AD1742:AD1746"/>
    <mergeCell ref="AA517:AA521"/>
    <mergeCell ref="W357:W361"/>
    <mergeCell ref="AC582:AC586"/>
    <mergeCell ref="AA1122:AA1126"/>
    <mergeCell ref="U1112:U1116"/>
    <mergeCell ref="S1652:S1656"/>
    <mergeCell ref="E1182:E1186"/>
    <mergeCell ref="AD1737:AD1741"/>
    <mergeCell ref="Z572:Z576"/>
    <mergeCell ref="Z547:Z551"/>
    <mergeCell ref="E1482:E1486"/>
    <mergeCell ref="Z872:Z876"/>
    <mergeCell ref="AD1007:AD1011"/>
    <mergeCell ref="E1177:E1181"/>
    <mergeCell ref="AD702:AD706"/>
    <mergeCell ref="Z1172:Z1176"/>
    <mergeCell ref="AD1307:AD1311"/>
    <mergeCell ref="Z142:Z146"/>
    <mergeCell ref="Z442:Z446"/>
    <mergeCell ref="AA1422:AA1426"/>
    <mergeCell ref="A662:A666"/>
    <mergeCell ref="X1597:X1601"/>
    <mergeCell ref="R972:R976"/>
    <mergeCell ref="Z137:Z141"/>
    <mergeCell ref="AC1057:AC1061"/>
    <mergeCell ref="A962:A966"/>
    <mergeCell ref="AA1722:AA1726"/>
    <mergeCell ref="R1272:R1276"/>
    <mergeCell ref="Y192:Y196"/>
    <mergeCell ref="A1287:A1291"/>
    <mergeCell ref="R967:R971"/>
    <mergeCell ref="R1572:R1576"/>
    <mergeCell ref="Y492:Y496"/>
    <mergeCell ref="AC627:AC631"/>
    <mergeCell ref="R1267:R1271"/>
    <mergeCell ref="X1492:X1496"/>
    <mergeCell ref="U1457:U1461"/>
    <mergeCell ref="AC647:AC651"/>
    <mergeCell ref="Z822:Z826"/>
    <mergeCell ref="F932:F936"/>
    <mergeCell ref="W1242:W1246"/>
    <mergeCell ref="Z1122:Z1126"/>
    <mergeCell ref="AB677:AB681"/>
    <mergeCell ref="W1542:W1546"/>
    <mergeCell ref="W1237:W1241"/>
    <mergeCell ref="S47:S51"/>
    <mergeCell ref="AC1007:AC1011"/>
    <mergeCell ref="AA1672:AA1676"/>
    <mergeCell ref="Y1172:Y1176"/>
    <mergeCell ref="AC1307:AC1311"/>
    <mergeCell ref="E252:E256"/>
    <mergeCell ref="Z1727:Z1731"/>
    <mergeCell ref="T1102:T1106"/>
    <mergeCell ref="Y442:Y446"/>
    <mergeCell ref="Z1422:Z1426"/>
    <mergeCell ref="E552:E556"/>
    <mergeCell ref="T797:T801"/>
    <mergeCell ref="T1402:T1406"/>
    <mergeCell ref="Z1722:Z1726"/>
    <mergeCell ref="T1097:T1101"/>
    <mergeCell ref="V1162:V1166"/>
    <mergeCell ref="T1702:T1706"/>
    <mergeCell ref="X192:X196"/>
    <mergeCell ref="Z992:Z996"/>
    <mergeCell ref="V857:V861"/>
    <mergeCell ref="T1397:T1401"/>
    <mergeCell ref="F1607:F1611"/>
    <mergeCell ref="X492:X496"/>
    <mergeCell ref="V1032:V1036"/>
    <mergeCell ref="W1587:W1591"/>
    <mergeCell ref="F1602:F1606"/>
    <mergeCell ref="E1237:E1241"/>
    <mergeCell ref="S117:S121"/>
    <mergeCell ref="Y1372:Y1376"/>
    <mergeCell ref="AB1252:AB1256"/>
    <mergeCell ref="AA1742:AA1746"/>
    <mergeCell ref="W1607:W1611"/>
    <mergeCell ref="S417:S421"/>
    <mergeCell ref="AC137:AC141"/>
    <mergeCell ref="AA677:AA681"/>
    <mergeCell ref="F567:F571"/>
    <mergeCell ref="S112:S116"/>
    <mergeCell ref="U177:U181"/>
    <mergeCell ref="S717:S721"/>
    <mergeCell ref="AC22:AC26"/>
    <mergeCell ref="F867:F871"/>
    <mergeCell ref="E922:E926"/>
    <mergeCell ref="V1232:V1236"/>
    <mergeCell ref="E617:E621"/>
    <mergeCell ref="Y1727:Y1731"/>
    <mergeCell ref="E1222:E1226"/>
    <mergeCell ref="V927:V931"/>
    <mergeCell ref="S1102:S1106"/>
    <mergeCell ref="AB72:AB76"/>
    <mergeCell ref="V1532:V1536"/>
    <mergeCell ref="V1227:V1231"/>
    <mergeCell ref="S1402:S1406"/>
    <mergeCell ref="R37:R41"/>
    <mergeCell ref="AC707:AC711"/>
    <mergeCell ref="AD1487:AD1491"/>
    <mergeCell ref="Z322:Z326"/>
    <mergeCell ref="S1097:S1101"/>
    <mergeCell ref="V1527:V1531"/>
    <mergeCell ref="U1162:U1166"/>
    <mergeCell ref="S1702:S1706"/>
    <mergeCell ref="E1607:E1611"/>
    <mergeCell ref="Y1717:Y1721"/>
    <mergeCell ref="A112:A116"/>
    <mergeCell ref="AA872:AA876"/>
    <mergeCell ref="Y1412:Y1416"/>
    <mergeCell ref="V1587:V1591"/>
    <mergeCell ref="E1602:E1606"/>
    <mergeCell ref="A412:A416"/>
    <mergeCell ref="AA1172:AA1176"/>
    <mergeCell ref="Y1712:Y1716"/>
    <mergeCell ref="X1347:X1351"/>
    <mergeCell ref="R1337:R1341"/>
    <mergeCell ref="R722:R726"/>
    <mergeCell ref="A737:A741"/>
    <mergeCell ref="A712:A716"/>
    <mergeCell ref="A1037:A1041"/>
    <mergeCell ref="R717:R721"/>
    <mergeCell ref="AB22:AB26"/>
    <mergeCell ref="V427:V431"/>
    <mergeCell ref="Y617:Y621"/>
    <mergeCell ref="U1232:U1236"/>
    <mergeCell ref="U1207:U1211"/>
    <mergeCell ref="F682:F686"/>
    <mergeCell ref="AA72:AA76"/>
    <mergeCell ref="Y612:Y616"/>
    <mergeCell ref="U1532:U1536"/>
    <mergeCell ref="U1227:U1231"/>
    <mergeCell ref="T842:T846"/>
    <mergeCell ref="U47:U51"/>
    <mergeCell ref="X1717:X1721"/>
    <mergeCell ref="T837:T841"/>
    <mergeCell ref="X1412:X1416"/>
    <mergeCell ref="A1082:A1086"/>
    <mergeCell ref="Z1477:Z1481"/>
    <mergeCell ref="T852:T856"/>
    <mergeCell ref="X1712:X1716"/>
    <mergeCell ref="AB392:AB396"/>
    <mergeCell ref="AB997:AB1001"/>
    <mergeCell ref="T847:T851"/>
    <mergeCell ref="AD152:AD156"/>
    <mergeCell ref="AB692:AB696"/>
    <mergeCell ref="AD757:AD761"/>
    <mergeCell ref="F752:F756"/>
    <mergeCell ref="AD452:AD456"/>
    <mergeCell ref="AB992:AB996"/>
    <mergeCell ref="F1357:F1361"/>
    <mergeCell ref="AA747:AA751"/>
    <mergeCell ref="F1052:F1056"/>
    <mergeCell ref="F1657:F1661"/>
    <mergeCell ref="F1352:F1356"/>
    <mergeCell ref="AA742:AA746"/>
    <mergeCell ref="W1662:W1666"/>
    <mergeCell ref="U117:U121"/>
    <mergeCell ref="AC807:AC811"/>
    <mergeCell ref="F622:F626"/>
    <mergeCell ref="AA12:AA16"/>
    <mergeCell ref="AA312:AA316"/>
    <mergeCell ref="W177:W181"/>
    <mergeCell ref="S842:S846"/>
    <mergeCell ref="E372:E376"/>
    <mergeCell ref="T47:T51"/>
    <mergeCell ref="S1142:S1146"/>
    <mergeCell ref="E672:E676"/>
    <mergeCell ref="Z62:Z66"/>
    <mergeCell ref="V982:V986"/>
    <mergeCell ref="E367:E371"/>
    <mergeCell ref="Y1062:Y1066"/>
    <mergeCell ref="AD522:AD526"/>
    <mergeCell ref="AA392:AA396"/>
    <mergeCell ref="AD822:AD826"/>
    <mergeCell ref="AC457:AC461"/>
    <mergeCell ref="A482:A486"/>
    <mergeCell ref="AA692:AA696"/>
    <mergeCell ref="AD1122:AD1126"/>
    <mergeCell ref="AC757:AC761"/>
    <mergeCell ref="X1112:X1116"/>
    <mergeCell ref="V1652:V1656"/>
    <mergeCell ref="AC452:AC456"/>
    <mergeCell ref="E1357:E1361"/>
    <mergeCell ref="R462:R466"/>
    <mergeCell ref="Z747:Z751"/>
    <mergeCell ref="A477:A481"/>
    <mergeCell ref="E1657:E1661"/>
    <mergeCell ref="AB507:AB511"/>
    <mergeCell ref="Z1047:Z1051"/>
    <mergeCell ref="R482:R486"/>
    <mergeCell ref="E1352:E1356"/>
    <mergeCell ref="T117:T121"/>
    <mergeCell ref="AB807:AB811"/>
    <mergeCell ref="Z12:Z16"/>
    <mergeCell ref="F122:F126"/>
    <mergeCell ref="AA1597:AA1601"/>
    <mergeCell ref="U972:U976"/>
    <mergeCell ref="Z312:Z316"/>
    <mergeCell ref="V177:V181"/>
    <mergeCell ref="R842:R846"/>
    <mergeCell ref="W732:W736"/>
    <mergeCell ref="U1272:U1276"/>
    <mergeCell ref="R1447:R1451"/>
    <mergeCell ref="AB192:AB196"/>
    <mergeCell ref="W427:W431"/>
    <mergeCell ref="Y367:Y371"/>
    <mergeCell ref="R1142:R1146"/>
    <mergeCell ref="Y62:Y66"/>
    <mergeCell ref="W602:W606"/>
    <mergeCell ref="Y667:Y671"/>
    <mergeCell ref="R1442:R1446"/>
    <mergeCell ref="X1157:X1161"/>
    <mergeCell ref="AC522:AC526"/>
    <mergeCell ref="Y362:Y366"/>
    <mergeCell ref="Z917:Z921"/>
    <mergeCell ref="AC822:AC826"/>
    <mergeCell ref="S37:S41"/>
    <mergeCell ref="Z1242:Z1246"/>
    <mergeCell ref="AD1377:AD1381"/>
    <mergeCell ref="W1417:W1421"/>
    <mergeCell ref="T592:T596"/>
    <mergeCell ref="AB877:AB881"/>
    <mergeCell ref="U1652:U1656"/>
    <mergeCell ref="T287:T291"/>
    <mergeCell ref="Z1542:Z1546"/>
    <mergeCell ref="AD1677:AD1681"/>
    <mergeCell ref="AB572:AB576"/>
    <mergeCell ref="AD1372:AD1376"/>
    <mergeCell ref="AB1177:AB1181"/>
    <mergeCell ref="V47:V51"/>
    <mergeCell ref="T587:T591"/>
    <mergeCell ref="S222:S226"/>
    <mergeCell ref="AB447:AB451"/>
    <mergeCell ref="AC1427:AC1431"/>
    <mergeCell ref="AB142:AB146"/>
    <mergeCell ref="R1642:R1646"/>
    <mergeCell ref="F792:F796"/>
    <mergeCell ref="E427:E431"/>
    <mergeCell ref="AC1727:AC1731"/>
    <mergeCell ref="W1102:W1106"/>
    <mergeCell ref="E122:E126"/>
    <mergeCell ref="AB442:AB446"/>
    <mergeCell ref="Z1597:Z1601"/>
    <mergeCell ref="W797:W801"/>
    <mergeCell ref="T972:T976"/>
    <mergeCell ref="R1512:R1516"/>
    <mergeCell ref="W1402:W1406"/>
    <mergeCell ref="T1577:T1581"/>
    <mergeCell ref="AA497:AA501"/>
    <mergeCell ref="V732:V736"/>
    <mergeCell ref="T1272:T1276"/>
    <mergeCell ref="F802:F806"/>
    <mergeCell ref="AA192:AA196"/>
    <mergeCell ref="T1572:T1576"/>
    <mergeCell ref="AA492:AA496"/>
    <mergeCell ref="E112:E116"/>
    <mergeCell ref="AB1047:AB1051"/>
    <mergeCell ref="AB1347:AB1351"/>
    <mergeCell ref="S292:S296"/>
    <mergeCell ref="S592:S596"/>
    <mergeCell ref="AD677:AD681"/>
    <mergeCell ref="S287:S291"/>
    <mergeCell ref="Y1542:Y1546"/>
    <mergeCell ref="AC1677:AC1681"/>
    <mergeCell ref="U352:U356"/>
    <mergeCell ref="S892:S896"/>
    <mergeCell ref="E797:E801"/>
    <mergeCell ref="AD272:AD276"/>
    <mergeCell ref="AA447:AA451"/>
    <mergeCell ref="AB1427:AB1431"/>
    <mergeCell ref="E1097:E1101"/>
    <mergeCell ref="E792:E796"/>
    <mergeCell ref="AB1727:AB1731"/>
    <mergeCell ref="V1102:V1106"/>
    <mergeCell ref="A232:A236"/>
    <mergeCell ref="AA442:AA446"/>
    <mergeCell ref="V1707:V1711"/>
    <mergeCell ref="X862:X866"/>
    <mergeCell ref="V1402:V1406"/>
    <mergeCell ref="A532:A536"/>
    <mergeCell ref="A227:A231"/>
    <mergeCell ref="AB1297:AB1301"/>
    <mergeCell ref="X1162:X1166"/>
    <mergeCell ref="V1702:V1706"/>
    <mergeCell ref="R232:R236"/>
    <mergeCell ref="AD627:AD631"/>
    <mergeCell ref="AA1047:AA1051"/>
    <mergeCell ref="Y1587:Y1591"/>
    <mergeCell ref="U422:U426"/>
    <mergeCell ref="AA1347:AA1351"/>
    <mergeCell ref="U722:U726"/>
    <mergeCell ref="R897:R901"/>
    <mergeCell ref="F172:F176"/>
    <mergeCell ref="U417:U421"/>
    <mergeCell ref="R592:R596"/>
    <mergeCell ref="Y1182:Y1186"/>
    <mergeCell ref="R892:R896"/>
    <mergeCell ref="AD1557:AD1561"/>
    <mergeCell ref="AD77:AD81"/>
    <mergeCell ref="A297:A301"/>
    <mergeCell ref="Z667:Z671"/>
    <mergeCell ref="X1232:X1236"/>
    <mergeCell ref="X1207:X1211"/>
    <mergeCell ref="U1407:U1411"/>
    <mergeCell ref="AD377:AD381"/>
    <mergeCell ref="A597:A601"/>
    <mergeCell ref="X1532:X1536"/>
    <mergeCell ref="U1707:U1711"/>
    <mergeCell ref="U1402:U1406"/>
    <mergeCell ref="T37:T41"/>
    <mergeCell ref="AB182:AB186"/>
    <mergeCell ref="A782:A786"/>
    <mergeCell ref="F242:F246"/>
    <mergeCell ref="AC1177:AC1181"/>
    <mergeCell ref="AA1717:AA1721"/>
    <mergeCell ref="F847:F851"/>
    <mergeCell ref="A652:A656"/>
    <mergeCell ref="R1392:R1396"/>
    <mergeCell ref="F542:F546"/>
    <mergeCell ref="E177:E181"/>
    <mergeCell ref="AC1477:AC1481"/>
    <mergeCell ref="W852:W856"/>
    <mergeCell ref="T1027:T1031"/>
    <mergeCell ref="Z1347:Z1351"/>
    <mergeCell ref="W547:W551"/>
    <mergeCell ref="T722:T726"/>
    <mergeCell ref="AD27:AD31"/>
    <mergeCell ref="E172:E176"/>
    <mergeCell ref="AD327:AD331"/>
    <mergeCell ref="F927:F931"/>
    <mergeCell ref="S32:S36"/>
    <mergeCell ref="Y1287:Y1291"/>
    <mergeCell ref="F1532:F1536"/>
    <mergeCell ref="F1227:F1231"/>
    <mergeCell ref="S332:S336"/>
    <mergeCell ref="AC77:AC81"/>
    <mergeCell ref="AA617:AA621"/>
    <mergeCell ref="S657:S661"/>
    <mergeCell ref="F1527:F1531"/>
    <mergeCell ref="AC377:AC381"/>
    <mergeCell ref="S957:S961"/>
    <mergeCell ref="W1532:W1536"/>
    <mergeCell ref="A1152:A1156"/>
    <mergeCell ref="A1452:A1456"/>
    <mergeCell ref="X302:X306"/>
    <mergeCell ref="V842:V846"/>
    <mergeCell ref="S1017:S1021"/>
    <mergeCell ref="E547:E551"/>
    <mergeCell ref="E242:E246"/>
    <mergeCell ref="Z1717:Z1721"/>
    <mergeCell ref="E847:E851"/>
    <mergeCell ref="AC62:AC66"/>
    <mergeCell ref="Z237:Z241"/>
    <mergeCell ref="S1012:S1016"/>
    <mergeCell ref="E542:E546"/>
    <mergeCell ref="AB1477:AB1481"/>
    <mergeCell ref="V852:V856"/>
    <mergeCell ref="AD697:AD701"/>
    <mergeCell ref="AD997:AD1001"/>
    <mergeCell ref="U162:U166"/>
    <mergeCell ref="AA1417:AA1421"/>
    <mergeCell ref="AA1112:AA1116"/>
    <mergeCell ref="R32:R36"/>
    <mergeCell ref="Y1652:Y1656"/>
    <mergeCell ref="X1287:X1291"/>
    <mergeCell ref="U462:U466"/>
    <mergeCell ref="R637:R641"/>
    <mergeCell ref="AC747:AC751"/>
    <mergeCell ref="R332:R336"/>
    <mergeCell ref="W222:W226"/>
    <mergeCell ref="AC17:AC21"/>
    <mergeCell ref="R657:R661"/>
    <mergeCell ref="Y1662:Y1666"/>
    <mergeCell ref="AC317:AC321"/>
    <mergeCell ref="AA1472:AA1476"/>
    <mergeCell ref="AC12:AC16"/>
    <mergeCell ref="AD1597:AD1601"/>
    <mergeCell ref="X972:X976"/>
    <mergeCell ref="U1147:U1151"/>
    <mergeCell ref="AB67:AB71"/>
    <mergeCell ref="U842:U846"/>
    <mergeCell ref="W907:W911"/>
    <mergeCell ref="AB367:AB371"/>
    <mergeCell ref="U1142:U1146"/>
    <mergeCell ref="AB62:AB66"/>
    <mergeCell ref="X982:X986"/>
    <mergeCell ref="AA1667:AA1671"/>
    <mergeCell ref="X1332:X1336"/>
    <mergeCell ref="AC697:AC701"/>
    <mergeCell ref="AC997:AC1001"/>
    <mergeCell ref="T162:T166"/>
    <mergeCell ref="Z1417:Z1421"/>
    <mergeCell ref="Z1392:Z1396"/>
    <mergeCell ref="R702:R706"/>
    <mergeCell ref="T767:T771"/>
    <mergeCell ref="Z1112:Z1116"/>
    <mergeCell ref="T462:T466"/>
    <mergeCell ref="AD1547:AD1551"/>
    <mergeCell ref="V222:V226"/>
    <mergeCell ref="T787:T791"/>
    <mergeCell ref="T762:T766"/>
    <mergeCell ref="AC1602:AC1606"/>
    <mergeCell ref="W977:W981"/>
    <mergeCell ref="F967:F971"/>
    <mergeCell ref="W1277:W1281"/>
    <mergeCell ref="W972:W976"/>
    <mergeCell ref="Y1037:Y1041"/>
    <mergeCell ref="AD497:AD501"/>
    <mergeCell ref="Y732:Y736"/>
    <mergeCell ref="AA672:AA676"/>
    <mergeCell ref="W1272:W1276"/>
    <mergeCell ref="S107:S111"/>
    <mergeCell ref="S82:S86"/>
    <mergeCell ref="AA367:AA371"/>
    <mergeCell ref="S407:S411"/>
    <mergeCell ref="Z1462:Z1466"/>
    <mergeCell ref="AC127:AC131"/>
    <mergeCell ref="AA667:AA671"/>
    <mergeCell ref="E287:E291"/>
    <mergeCell ref="AB1247:AB1251"/>
    <mergeCell ref="A902:A906"/>
    <mergeCell ref="V292:V296"/>
    <mergeCell ref="AB1547:AB1551"/>
    <mergeCell ref="AB1522:AB1526"/>
    <mergeCell ref="S467:S471"/>
    <mergeCell ref="V897:V901"/>
    <mergeCell ref="S162:S166"/>
    <mergeCell ref="Y1417:Y1421"/>
    <mergeCell ref="E912:E916"/>
    <mergeCell ref="X52:X56"/>
    <mergeCell ref="V592:V596"/>
    <mergeCell ref="S767:S771"/>
    <mergeCell ref="AD877:AD881"/>
    <mergeCell ref="S462:S466"/>
    <mergeCell ref="X352:X356"/>
    <mergeCell ref="V892:V896"/>
    <mergeCell ref="U222:U226"/>
    <mergeCell ref="S762:S766"/>
    <mergeCell ref="Y1107:Y1111"/>
    <mergeCell ref="AD447:AD451"/>
    <mergeCell ref="V977:V981"/>
    <mergeCell ref="Y1407:Y1411"/>
    <mergeCell ref="T1642:T1646"/>
    <mergeCell ref="Y1102:Y1106"/>
    <mergeCell ref="V1277:V1281"/>
    <mergeCell ref="AA1167:AA1171"/>
    <mergeCell ref="A102:A106"/>
    <mergeCell ref="Y1402:Y1406"/>
    <mergeCell ref="X1037:X1041"/>
    <mergeCell ref="V1577:V1581"/>
    <mergeCell ref="AC497:AC501"/>
    <mergeCell ref="A402:A406"/>
    <mergeCell ref="R82:R86"/>
    <mergeCell ref="AD747:AD751"/>
    <mergeCell ref="AA922:AA926"/>
    <mergeCell ref="R407:R411"/>
    <mergeCell ref="Y1462:Y1466"/>
    <mergeCell ref="AD1047:AD1051"/>
    <mergeCell ref="AB1587:AB1591"/>
    <mergeCell ref="AA1222:AA1226"/>
    <mergeCell ref="X422:X426"/>
    <mergeCell ref="U597:U601"/>
    <mergeCell ref="X1027:X1031"/>
    <mergeCell ref="S1262:S1266"/>
    <mergeCell ref="X117:X121"/>
    <mergeCell ref="F47:F51"/>
    <mergeCell ref="U292:U296"/>
    <mergeCell ref="AD1347:AD1351"/>
    <mergeCell ref="AA1547:AA1551"/>
    <mergeCell ref="AA1522:AA1526"/>
    <mergeCell ref="Z182:Z186"/>
    <mergeCell ref="X722:X726"/>
    <mergeCell ref="U897:U901"/>
    <mergeCell ref="U592:U596"/>
    <mergeCell ref="E1467:E1471"/>
    <mergeCell ref="W352:W356"/>
    <mergeCell ref="U892:U896"/>
    <mergeCell ref="AD1732:AD1736"/>
    <mergeCell ref="X1107:X1111"/>
    <mergeCell ref="X1082:X1086"/>
    <mergeCell ref="AD252:AD256"/>
    <mergeCell ref="A472:A476"/>
    <mergeCell ref="X1407:X1411"/>
    <mergeCell ref="A772:A776"/>
    <mergeCell ref="Z1167:Z1171"/>
    <mergeCell ref="X1707:X1711"/>
    <mergeCell ref="AD1297:AD1301"/>
    <mergeCell ref="F117:F121"/>
    <mergeCell ref="Y477:Y481"/>
    <mergeCell ref="T537:T541"/>
    <mergeCell ref="AC1052:AC1056"/>
    <mergeCell ref="A957:A961"/>
    <mergeCell ref="T887:T891"/>
    <mergeCell ref="F417:F421"/>
    <mergeCell ref="AD1717:AD1721"/>
    <mergeCell ref="AC1352:AC1356"/>
    <mergeCell ref="W727:W731"/>
    <mergeCell ref="F112:F116"/>
    <mergeCell ref="AC1047:AC1051"/>
    <mergeCell ref="A1377:A1381"/>
    <mergeCell ref="R1567:R1571"/>
    <mergeCell ref="F717:F721"/>
    <mergeCell ref="W422:W426"/>
    <mergeCell ref="W1027:W1031"/>
    <mergeCell ref="W722:W726"/>
    <mergeCell ref="AB1287:AB1291"/>
    <mergeCell ref="E37:E41"/>
    <mergeCell ref="AD617:AD621"/>
    <mergeCell ref="Z1537:Z1541"/>
    <mergeCell ref="S832:S836"/>
    <mergeCell ref="V42:V46"/>
    <mergeCell ref="S217:S221"/>
    <mergeCell ref="Z52:Z56"/>
    <mergeCell ref="A1327:A1331"/>
    <mergeCell ref="R1637:R1641"/>
    <mergeCell ref="Z802:Z806"/>
    <mergeCell ref="A1022:A1026"/>
    <mergeCell ref="A1627:A1631"/>
    <mergeCell ref="X477:X481"/>
    <mergeCell ref="V1017:V1021"/>
    <mergeCell ref="R1632:R1636"/>
    <mergeCell ref="R152:R156"/>
    <mergeCell ref="Y852:Y856"/>
    <mergeCell ref="R452:R456"/>
    <mergeCell ref="V1027:V1031"/>
    <mergeCell ref="U337:U341"/>
    <mergeCell ref="AA1592:AA1596"/>
    <mergeCell ref="AA1287:AA1291"/>
    <mergeCell ref="W97:W101"/>
    <mergeCell ref="U662:U666"/>
    <mergeCell ref="U962:U966"/>
    <mergeCell ref="Y1537:Y1541"/>
    <mergeCell ref="R832:R836"/>
    <mergeCell ref="AA552:AA556"/>
    <mergeCell ref="AD1472:AD1476"/>
    <mergeCell ref="E1217:E1221"/>
    <mergeCell ref="Z607:Z611"/>
    <mergeCell ref="X1147:X1151"/>
    <mergeCell ref="R522:R526"/>
    <mergeCell ref="Z302:Z306"/>
    <mergeCell ref="AB242:AB246"/>
    <mergeCell ref="AD1067:AD1071"/>
    <mergeCell ref="Z907:Z911"/>
    <mergeCell ref="E1212:E1216"/>
    <mergeCell ref="T282:T286"/>
    <mergeCell ref="AD2:AD6"/>
    <mergeCell ref="AD1367:AD1371"/>
    <mergeCell ref="AB237:AB241"/>
    <mergeCell ref="T582:T586"/>
    <mergeCell ref="AD1667:AD1671"/>
    <mergeCell ref="Z1292:Z1296"/>
    <mergeCell ref="W467:W471"/>
    <mergeCell ref="Y1707:Y1711"/>
    <mergeCell ref="F482:F486"/>
    <mergeCell ref="W162:W166"/>
    <mergeCell ref="AC1417:AC1421"/>
    <mergeCell ref="T337:T341"/>
    <mergeCell ref="Z1592:Z1596"/>
    <mergeCell ref="Y227:Y231"/>
    <mergeCell ref="Z1287:Z1291"/>
    <mergeCell ref="W462:W466"/>
    <mergeCell ref="V97:V101"/>
    <mergeCell ref="T662:T666"/>
    <mergeCell ref="T637:T641"/>
    <mergeCell ref="Y222:Y226"/>
    <mergeCell ref="T962:T966"/>
    <mergeCell ref="U1517:U1521"/>
    <mergeCell ref="E1587:E1591"/>
    <mergeCell ref="AB437:AB441"/>
    <mergeCell ref="Z977:Z981"/>
    <mergeCell ref="W1152:W1156"/>
    <mergeCell ref="E1282:E1286"/>
    <mergeCell ref="AB737:AB741"/>
    <mergeCell ref="Z1277:Z1281"/>
    <mergeCell ref="W1452:W1456"/>
    <mergeCell ref="AB432:AB436"/>
    <mergeCell ref="AD372:AD376"/>
    <mergeCell ref="Y607:Y611"/>
    <mergeCell ref="W1147:W1151"/>
    <mergeCell ref="E102:E106"/>
    <mergeCell ref="AB1037:AB1041"/>
    <mergeCell ref="Y1212:Y1216"/>
    <mergeCell ref="AD67:AD71"/>
    <mergeCell ref="AB732:AB736"/>
    <mergeCell ref="Y907:Y911"/>
    <mergeCell ref="W1447:W1451"/>
    <mergeCell ref="S282:S286"/>
    <mergeCell ref="AD367:AD371"/>
    <mergeCell ref="A27:A31"/>
    <mergeCell ref="S582:S586"/>
    <mergeCell ref="R1677:R1681"/>
    <mergeCell ref="E462:E466"/>
    <mergeCell ref="V167:V171"/>
    <mergeCell ref="Y597:Y601"/>
    <mergeCell ref="T832:T836"/>
    <mergeCell ref="A1692:A1696"/>
    <mergeCell ref="R1372:R1376"/>
    <mergeCell ref="A1077:A1081"/>
    <mergeCell ref="Y292:Y296"/>
    <mergeCell ref="V467:V471"/>
    <mergeCell ref="AB1722:AB1726"/>
    <mergeCell ref="R1672:R1676"/>
    <mergeCell ref="V162:V166"/>
    <mergeCell ref="AB1417:AB1421"/>
    <mergeCell ref="Y592:Y596"/>
    <mergeCell ref="X227:X231"/>
    <mergeCell ref="V767:V771"/>
    <mergeCell ref="F1337:F1341"/>
    <mergeCell ref="X222:X226"/>
    <mergeCell ref="AB987:AB991"/>
    <mergeCell ref="Y1282:Y1286"/>
    <mergeCell ref="Y977:Y981"/>
    <mergeCell ref="Y1582:Y1586"/>
    <mergeCell ref="AA737:AA741"/>
    <mergeCell ref="Y1277:Y1281"/>
    <mergeCell ref="U87:U91"/>
    <mergeCell ref="AA1342:AA1346"/>
    <mergeCell ref="AA1037:AA1041"/>
    <mergeCell ref="AC1737:AC1741"/>
    <mergeCell ref="Y1577:Y1581"/>
    <mergeCell ref="S952:S956"/>
    <mergeCell ref="E657:E661"/>
    <mergeCell ref="R282:R286"/>
    <mergeCell ref="U712:U716"/>
    <mergeCell ref="E957:E961"/>
    <mergeCell ref="AD922:AD926"/>
    <mergeCell ref="AB1462:AB1466"/>
    <mergeCell ref="R582:R586"/>
    <mergeCell ref="X297:X301"/>
    <mergeCell ref="T137:T141"/>
    <mergeCell ref="S1137:S1141"/>
    <mergeCell ref="AD1222:AD1226"/>
    <mergeCell ref="Z57:Z61"/>
    <mergeCell ref="X597:X601"/>
    <mergeCell ref="X292:X296"/>
    <mergeCell ref="AD1522:AD1526"/>
    <mergeCell ref="S1557:S1561"/>
    <mergeCell ref="Z357:Z361"/>
    <mergeCell ref="X897:X901"/>
    <mergeCell ref="R272:R276"/>
    <mergeCell ref="R887:R891"/>
    <mergeCell ref="E1642:E1646"/>
    <mergeCell ref="R1187:R1191"/>
    <mergeCell ref="Z352:Z356"/>
    <mergeCell ref="E1337:E1341"/>
    <mergeCell ref="AD1117:AD1121"/>
    <mergeCell ref="AB1657:AB1661"/>
    <mergeCell ref="F1717:F1721"/>
    <mergeCell ref="A347:A351"/>
    <mergeCell ref="AA1107:AA1111"/>
    <mergeCell ref="AC867:AC871"/>
    <mergeCell ref="A647:A651"/>
    <mergeCell ref="AA1407:AA1411"/>
    <mergeCell ref="Z1042:Z1046"/>
    <mergeCell ref="X1582:X1586"/>
    <mergeCell ref="W217:W221"/>
    <mergeCell ref="F232:F236"/>
    <mergeCell ref="AC1167:AC1171"/>
    <mergeCell ref="T87:T91"/>
    <mergeCell ref="AA1707:AA1711"/>
    <mergeCell ref="Z1342:Z1346"/>
    <mergeCell ref="R652:R656"/>
    <mergeCell ref="Z1037:Z1041"/>
    <mergeCell ref="T412:T416"/>
    <mergeCell ref="S1507:S1511"/>
    <mergeCell ref="T712:T716"/>
    <mergeCell ref="S1202:S1206"/>
    <mergeCell ref="U1267:U1271"/>
    <mergeCell ref="AB187:AB191"/>
    <mergeCell ref="Z727:Z731"/>
    <mergeCell ref="W902:W906"/>
    <mergeCell ref="U1567:U1571"/>
    <mergeCell ref="Z422:Z426"/>
    <mergeCell ref="S22:S26"/>
    <mergeCell ref="W597:W601"/>
    <mergeCell ref="AB487:AB491"/>
    <mergeCell ref="Z1027:Z1031"/>
    <mergeCell ref="A1247:A1251"/>
    <mergeCell ref="U1262:U1266"/>
    <mergeCell ref="R1557:R1561"/>
    <mergeCell ref="W897:W901"/>
    <mergeCell ref="A517:A521"/>
    <mergeCell ref="X1452:X1456"/>
    <mergeCell ref="A842:A846"/>
    <mergeCell ref="A817:A821"/>
    <mergeCell ref="R1127:R1131"/>
    <mergeCell ref="Z1387:Z1391"/>
    <mergeCell ref="A1142:A1146"/>
    <mergeCell ref="A1117:A1121"/>
    <mergeCell ref="R822:R826"/>
    <mergeCell ref="Z1107:Z1111"/>
    <mergeCell ref="S707:S711"/>
    <mergeCell ref="F602:F606"/>
    <mergeCell ref="AC1537:AC1541"/>
    <mergeCell ref="Z1712:Z1716"/>
    <mergeCell ref="A1442:A1446"/>
    <mergeCell ref="R1122:R1126"/>
    <mergeCell ref="Y42:Y46"/>
    <mergeCell ref="V217:V221"/>
    <mergeCell ref="AB1167:AB1171"/>
    <mergeCell ref="F787:F791"/>
    <mergeCell ref="U1637:U1641"/>
    <mergeCell ref="AA782:AA786"/>
    <mergeCell ref="A1197:A1201"/>
    <mergeCell ref="F1087:F1091"/>
    <mergeCell ref="U1332:U1336"/>
    <mergeCell ref="R1507:R1511"/>
    <mergeCell ref="AA477:AA481"/>
    <mergeCell ref="W1397:W1401"/>
    <mergeCell ref="R27:R31"/>
    <mergeCell ref="AC112:AC116"/>
    <mergeCell ref="Y1032:Y1036"/>
    <mergeCell ref="U152:U156"/>
    <mergeCell ref="Y727:Y731"/>
    <mergeCell ref="R327:R331"/>
    <mergeCell ref="W1392:W1396"/>
    <mergeCell ref="T1567:T1571"/>
    <mergeCell ref="R22:R26"/>
    <mergeCell ref="Y1027:Y1031"/>
    <mergeCell ref="Z1582:Z1586"/>
    <mergeCell ref="AD1292:AD1296"/>
    <mergeCell ref="E407:E411"/>
    <mergeCell ref="AD1287:AD1291"/>
    <mergeCell ref="Z97:Z101"/>
    <mergeCell ref="X662:X666"/>
    <mergeCell ref="AD672:AD676"/>
    <mergeCell ref="F1157:F1161"/>
    <mergeCell ref="X42:X46"/>
    <mergeCell ref="E1092:E1096"/>
    <mergeCell ref="Z482:Z486"/>
    <mergeCell ref="X1022:X1026"/>
    <mergeCell ref="AC912:AC916"/>
    <mergeCell ref="E1392:E1396"/>
    <mergeCell ref="T1637:T1641"/>
    <mergeCell ref="AC607:AC611"/>
    <mergeCell ref="Z782:Z786"/>
    <mergeCell ref="T157:T161"/>
    <mergeCell ref="Z477:Z481"/>
    <mergeCell ref="AC907:AC911"/>
    <mergeCell ref="R392:R396"/>
    <mergeCell ref="T457:T461"/>
    <mergeCell ref="A317:A321"/>
    <mergeCell ref="T152:T156"/>
    <mergeCell ref="A397:A401"/>
    <mergeCell ref="U707:U711"/>
    <mergeCell ref="F32:F36"/>
    <mergeCell ref="AC967:AC971"/>
    <mergeCell ref="Z167:Z171"/>
    <mergeCell ref="S207:S211"/>
    <mergeCell ref="AC1292:AC1296"/>
    <mergeCell ref="AC1267:AC1271"/>
    <mergeCell ref="W642:W646"/>
    <mergeCell ref="Z162:Z166"/>
    <mergeCell ref="F657:F661"/>
    <mergeCell ref="W337:W341"/>
    <mergeCell ref="AC1592:AC1596"/>
    <mergeCell ref="S1257:S1261"/>
    <mergeCell ref="Y402:Y406"/>
    <mergeCell ref="Y97:Y101"/>
    <mergeCell ref="W637:W641"/>
    <mergeCell ref="V392:V396"/>
    <mergeCell ref="A697:A701"/>
    <mergeCell ref="E1462:E1466"/>
    <mergeCell ref="A1302:A1306"/>
    <mergeCell ref="R1007:R1011"/>
    <mergeCell ref="A997:A1001"/>
    <mergeCell ref="U1692:U1696"/>
    <mergeCell ref="V387:V391"/>
    <mergeCell ref="AC857:AC861"/>
    <mergeCell ref="R1307:R1311"/>
    <mergeCell ref="AB612:AB616"/>
    <mergeCell ref="Z1152:Z1156"/>
    <mergeCell ref="E1457:E1461"/>
    <mergeCell ref="A1297:A1301"/>
    <mergeCell ref="A267:A271"/>
    <mergeCell ref="AB912:AB916"/>
    <mergeCell ref="AB607:AB611"/>
    <mergeCell ref="T522:T526"/>
    <mergeCell ref="AB1212:AB1216"/>
    <mergeCell ref="S157:S161"/>
    <mergeCell ref="AB907:AB911"/>
    <mergeCell ref="A892:A896"/>
    <mergeCell ref="V282:V286"/>
    <mergeCell ref="S457:S461"/>
    <mergeCell ref="S757:S761"/>
    <mergeCell ref="T707:T711"/>
    <mergeCell ref="A952:A956"/>
    <mergeCell ref="Y167:Y171"/>
    <mergeCell ref="Y772:Y776"/>
    <mergeCell ref="A1252:A1256"/>
    <mergeCell ref="Y467:Y471"/>
    <mergeCell ref="U1387:U1391"/>
    <mergeCell ref="AA532:AA536"/>
    <mergeCell ref="A947:A951"/>
    <mergeCell ref="AA227:AA231"/>
    <mergeCell ref="Y767:Y771"/>
    <mergeCell ref="S142:S146"/>
    <mergeCell ref="AD742:AD746"/>
    <mergeCell ref="AB1282:AB1286"/>
    <mergeCell ref="W1517:W1521"/>
    <mergeCell ref="Y1457:Y1461"/>
    <mergeCell ref="S327:S331"/>
    <mergeCell ref="AD437:AD441"/>
    <mergeCell ref="AB977:AB981"/>
    <mergeCell ref="Y1152:Y1156"/>
    <mergeCell ref="AD1042:AD1046"/>
    <mergeCell ref="AD737:AD741"/>
    <mergeCell ref="AA912:AA916"/>
    <mergeCell ref="Y1452:Y1456"/>
    <mergeCell ref="X112:X116"/>
    <mergeCell ref="X87:X91"/>
    <mergeCell ref="V652:V656"/>
    <mergeCell ref="AD1342:AD1346"/>
    <mergeCell ref="U262:U266"/>
    <mergeCell ref="AD1037:AD1041"/>
    <mergeCell ref="AA1212:AA1216"/>
    <mergeCell ref="X412:X416"/>
    <mergeCell ref="E832:E836"/>
    <mergeCell ref="Z172:Z176"/>
    <mergeCell ref="V837:V841"/>
    <mergeCell ref="T1377:T1381"/>
    <mergeCell ref="AA297:AA301"/>
    <mergeCell ref="X472:X476"/>
    <mergeCell ref="R877:R881"/>
    <mergeCell ref="AA902:AA906"/>
    <mergeCell ref="V1137:V1141"/>
    <mergeCell ref="T1677:T1681"/>
    <mergeCell ref="X167:X171"/>
    <mergeCell ref="F1207:F1211"/>
    <mergeCell ref="AD1422:AD1426"/>
    <mergeCell ref="AC57:AC61"/>
    <mergeCell ref="AA597:AA601"/>
    <mergeCell ref="Z232:Z236"/>
    <mergeCell ref="V832:V836"/>
    <mergeCell ref="X772:X776"/>
    <mergeCell ref="X467:X471"/>
    <mergeCell ref="AD1722:AD1726"/>
    <mergeCell ref="AC357:AC361"/>
    <mergeCell ref="AA897:AA901"/>
    <mergeCell ref="Z532:Z536"/>
    <mergeCell ref="X1072:X1076"/>
    <mergeCell ref="R447:R451"/>
    <mergeCell ref="S1427:S1431"/>
    <mergeCell ref="E1517:E1521"/>
    <mergeCell ref="Z227:Z231"/>
    <mergeCell ref="R142:R146"/>
    <mergeCell ref="S697:S701"/>
    <mergeCell ref="AD1412:AD1416"/>
    <mergeCell ref="Y1647:Y1651"/>
    <mergeCell ref="U457:U461"/>
    <mergeCell ref="S997:S1001"/>
    <mergeCell ref="AD1107:AD1111"/>
    <mergeCell ref="AC717:AC721"/>
    <mergeCell ref="AA1282:AA1286"/>
    <mergeCell ref="U757:U761"/>
    <mergeCell ref="S1297:S1301"/>
    <mergeCell ref="F82:F86"/>
    <mergeCell ref="F107:F111"/>
    <mergeCell ref="AC1042:AC1046"/>
    <mergeCell ref="AA1582:AA1586"/>
    <mergeCell ref="Z217:Z221"/>
    <mergeCell ref="E1202:E1206"/>
    <mergeCell ref="A1067:A1071"/>
    <mergeCell ref="R747:R751"/>
    <mergeCell ref="F407:F411"/>
    <mergeCell ref="W87:W91"/>
    <mergeCell ref="U627:U631"/>
    <mergeCell ref="AC1342:AC1346"/>
    <mergeCell ref="R1047:R1051"/>
    <mergeCell ref="E1197:E1201"/>
    <mergeCell ref="V142:V146"/>
    <mergeCell ref="AD1592:AD1596"/>
    <mergeCell ref="X967:X971"/>
    <mergeCell ref="V1507:V1511"/>
    <mergeCell ref="Z602:Z606"/>
    <mergeCell ref="S1377:S1381"/>
    <mergeCell ref="U1442:U1446"/>
    <mergeCell ref="Z297:Z301"/>
    <mergeCell ref="AB362:AB366"/>
    <mergeCell ref="Z902:Z906"/>
    <mergeCell ref="E1207:E1211"/>
    <mergeCell ref="Z597:Z601"/>
    <mergeCell ref="T1192:T1196"/>
    <mergeCell ref="AB357:AB361"/>
    <mergeCell ref="R1732:R1736"/>
    <mergeCell ref="T272:T276"/>
    <mergeCell ref="R1427:R1431"/>
    <mergeCell ref="X1627:X1631"/>
    <mergeCell ref="T1492:T1496"/>
    <mergeCell ref="AB1337:AB1341"/>
    <mergeCell ref="F277:F281"/>
    <mergeCell ref="A1017:A1021"/>
    <mergeCell ref="AC1412:AC1416"/>
    <mergeCell ref="F1697:F1701"/>
    <mergeCell ref="A1317:A1321"/>
    <mergeCell ref="R997:R1001"/>
    <mergeCell ref="V707:V711"/>
    <mergeCell ref="F777:F781"/>
    <mergeCell ref="AC1712:AC1716"/>
    <mergeCell ref="A1617:A1621"/>
    <mergeCell ref="T757:T761"/>
    <mergeCell ref="R1322:R1326"/>
    <mergeCell ref="R1297:R1301"/>
    <mergeCell ref="T877:T881"/>
    <mergeCell ref="Y217:Y221"/>
    <mergeCell ref="T1177:T1181"/>
    <mergeCell ref="U1512:U1516"/>
    <mergeCell ref="AD482:AD486"/>
    <mergeCell ref="AC677:AC681"/>
    <mergeCell ref="F962:F966"/>
    <mergeCell ref="S507:S511"/>
    <mergeCell ref="F1262:F1266"/>
    <mergeCell ref="S807:S811"/>
    <mergeCell ref="U1507:U1511"/>
    <mergeCell ref="AD477:AD481"/>
    <mergeCell ref="W1572:W1576"/>
    <mergeCell ref="U27:U31"/>
    <mergeCell ref="AD492:AD496"/>
    <mergeCell ref="AB1032:AB1036"/>
    <mergeCell ref="T1562:T1566"/>
    <mergeCell ref="AB727:AB731"/>
    <mergeCell ref="W1567:W1571"/>
    <mergeCell ref="T1557:T1561"/>
    <mergeCell ref="X212:X216"/>
    <mergeCell ref="AD1467:AD1471"/>
    <mergeCell ref="E582:E586"/>
    <mergeCell ref="T827:T831"/>
    <mergeCell ref="T1432:T1436"/>
    <mergeCell ref="T1127:T1131"/>
    <mergeCell ref="X837:X841"/>
    <mergeCell ref="AB1412:AB1416"/>
    <mergeCell ref="F1332:F1336"/>
    <mergeCell ref="S877:S881"/>
    <mergeCell ref="X217:X221"/>
    <mergeCell ref="S1482:S1486"/>
    <mergeCell ref="F1632:F1636"/>
    <mergeCell ref="S1177:S1181"/>
    <mergeCell ref="AC482:AC486"/>
    <mergeCell ref="W1637:W1641"/>
    <mergeCell ref="S1477:S1481"/>
    <mergeCell ref="AC782:AC786"/>
    <mergeCell ref="S447:S451"/>
    <mergeCell ref="Y1702:Y1706"/>
    <mergeCell ref="W157:W161"/>
    <mergeCell ref="E1382:E1386"/>
    <mergeCell ref="T27:T31"/>
    <mergeCell ref="AA1032:AA1036"/>
    <mergeCell ref="T632:T636"/>
    <mergeCell ref="E1682:E1686"/>
    <mergeCell ref="E652:E656"/>
    <mergeCell ref="A492:A496"/>
    <mergeCell ref="T327:T331"/>
    <mergeCell ref="E347:E351"/>
    <mergeCell ref="E952:E956"/>
    <mergeCell ref="R497:R501"/>
    <mergeCell ref="Z342:Z346"/>
    <mergeCell ref="E647:E651"/>
    <mergeCell ref="AB1582:AB1586"/>
    <mergeCell ref="E1252:E1256"/>
    <mergeCell ref="S1132:S1136"/>
    <mergeCell ref="AB102:AB106"/>
    <mergeCell ref="E947:E951"/>
    <mergeCell ref="Z337:Z341"/>
    <mergeCell ref="V1257:V1261"/>
    <mergeCell ref="S1432:S1436"/>
    <mergeCell ref="AB402:AB406"/>
    <mergeCell ref="T932:T936"/>
    <mergeCell ref="AB97:AB101"/>
    <mergeCell ref="E1637:E1641"/>
    <mergeCell ref="R1182:R1186"/>
    <mergeCell ref="U1612:U1616"/>
    <mergeCell ref="E1332:E1336"/>
    <mergeCell ref="X1692:X1696"/>
    <mergeCell ref="T527:T531"/>
    <mergeCell ref="R1067:R1071"/>
    <mergeCell ref="T942:T946"/>
    <mergeCell ref="R1482:R1486"/>
    <mergeCell ref="AB787:AB791"/>
    <mergeCell ref="Z1327:Z1331"/>
    <mergeCell ref="E1632:E1636"/>
    <mergeCell ref="R1177:R1181"/>
    <mergeCell ref="AB482:AB486"/>
    <mergeCell ref="Z1022:Z1026"/>
    <mergeCell ref="R1367:R1371"/>
    <mergeCell ref="E152:E156"/>
    <mergeCell ref="AB1087:AB1091"/>
    <mergeCell ref="AB782:AB786"/>
    <mergeCell ref="A767:A771"/>
    <mergeCell ref="V157:V161"/>
    <mergeCell ref="T697:T701"/>
    <mergeCell ref="V457:V461"/>
    <mergeCell ref="W1012:W1016"/>
    <mergeCell ref="V757:V761"/>
    <mergeCell ref="AB472:AB476"/>
    <mergeCell ref="W707:W711"/>
    <mergeCell ref="U1247:U1251"/>
    <mergeCell ref="AD1712:AD1716"/>
    <mergeCell ref="W1312:W1316"/>
    <mergeCell ref="AB167:AB171"/>
    <mergeCell ref="Y342:Y346"/>
    <mergeCell ref="AD232:AD236"/>
    <mergeCell ref="AB467:AB471"/>
    <mergeCell ref="AA102:AA106"/>
    <mergeCell ref="Y642:Y646"/>
    <mergeCell ref="AD532:AD536"/>
    <mergeCell ref="S17:S21"/>
    <mergeCell ref="A1672:A1676"/>
    <mergeCell ref="V1062:V1066"/>
    <mergeCell ref="AD227:AD231"/>
    <mergeCell ref="AA402:AA406"/>
    <mergeCell ref="A1367:A1371"/>
    <mergeCell ref="A1667:A1671"/>
    <mergeCell ref="AB1157:AB1161"/>
    <mergeCell ref="V27:V31"/>
    <mergeCell ref="T1612:T1616"/>
    <mergeCell ref="AD917:AD921"/>
    <mergeCell ref="Z1517:Z1521"/>
    <mergeCell ref="AB1457:AB1461"/>
    <mergeCell ref="W1692:W1696"/>
    <mergeCell ref="AD612:AD616"/>
    <mergeCell ref="AB1152:AB1156"/>
    <mergeCell ref="AD1217:AD1221"/>
    <mergeCell ref="AD912:AD916"/>
    <mergeCell ref="X287:X291"/>
    <mergeCell ref="X262:X266"/>
    <mergeCell ref="V827:V831"/>
    <mergeCell ref="AD1212:AD1216"/>
    <mergeCell ref="S1247:S1251"/>
    <mergeCell ref="W1382:W1386"/>
    <mergeCell ref="Z47:Z51"/>
    <mergeCell ref="X587:X591"/>
    <mergeCell ref="R552:R556"/>
    <mergeCell ref="W12:W16"/>
    <mergeCell ref="W1377:W1381"/>
    <mergeCell ref="V1012:V1016"/>
    <mergeCell ref="F1082:F1086"/>
    <mergeCell ref="AA472:AA476"/>
    <mergeCell ref="V1312:V1316"/>
    <mergeCell ref="AC232:AC236"/>
    <mergeCell ref="AA772:AA776"/>
    <mergeCell ref="A1737:A1741"/>
    <mergeCell ref="AC532:AC536"/>
    <mergeCell ref="T82:T86"/>
    <mergeCell ref="U1062:U1066"/>
    <mergeCell ref="S1602:S1606"/>
    <mergeCell ref="AB1627:AB1631"/>
    <mergeCell ref="A252:A256"/>
    <mergeCell ref="U632:U636"/>
    <mergeCell ref="AD1282:AD1286"/>
    <mergeCell ref="Z92:Z96"/>
    <mergeCell ref="E397:E401"/>
    <mergeCell ref="S1497:S1501"/>
    <mergeCell ref="U747:U751"/>
    <mergeCell ref="R922:R926"/>
    <mergeCell ref="Z87:Z91"/>
    <mergeCell ref="W287:W291"/>
    <mergeCell ref="T682:T686"/>
    <mergeCell ref="R1247:R1251"/>
    <mergeCell ref="V1382:V1386"/>
    <mergeCell ref="E1372:E1376"/>
    <mergeCell ref="A207:A211"/>
    <mergeCell ref="X1142:X1146"/>
    <mergeCell ref="R1547:R1551"/>
    <mergeCell ref="V1682:V1686"/>
    <mergeCell ref="R517:R521"/>
    <mergeCell ref="E1387:E1391"/>
    <mergeCell ref="AC602:AC606"/>
    <mergeCell ref="A507:A511"/>
    <mergeCell ref="X1442:X1446"/>
    <mergeCell ref="R817:R821"/>
    <mergeCell ref="AC902:AC906"/>
    <mergeCell ref="AB537:AB541"/>
    <mergeCell ref="X1137:X1141"/>
    <mergeCell ref="Z1077:Z1081"/>
    <mergeCell ref="F1187:F1191"/>
    <mergeCell ref="R512:R516"/>
    <mergeCell ref="A807:A811"/>
    <mergeCell ref="Z772:Z776"/>
    <mergeCell ref="T577:T581"/>
    <mergeCell ref="R1117:R1121"/>
    <mergeCell ref="F882:F886"/>
    <mergeCell ref="U1732:U1736"/>
    <mergeCell ref="AB532:AB536"/>
    <mergeCell ref="T447:T451"/>
    <mergeCell ref="F152:F156"/>
    <mergeCell ref="AA1652:AA1656"/>
    <mergeCell ref="U1002:U1006"/>
    <mergeCell ref="F477:F481"/>
    <mergeCell ref="F452:F456"/>
    <mergeCell ref="U697:U701"/>
    <mergeCell ref="W762:W766"/>
    <mergeCell ref="U1302:U1306"/>
    <mergeCell ref="AC1587:AC1591"/>
    <mergeCell ref="W457:W461"/>
    <mergeCell ref="U997:U1001"/>
    <mergeCell ref="T752:T756"/>
    <mergeCell ref="Y92:Y96"/>
    <mergeCell ref="S497:S501"/>
    <mergeCell ref="W757:W761"/>
    <mergeCell ref="R1497:R1501"/>
    <mergeCell ref="T1052:T1056"/>
    <mergeCell ref="AB217:AB221"/>
    <mergeCell ref="F837:F841"/>
    <mergeCell ref="T747:T751"/>
    <mergeCell ref="V812:V816"/>
    <mergeCell ref="X1512:X1516"/>
    <mergeCell ref="F1137:F1141"/>
    <mergeCell ref="U1382:U1386"/>
    <mergeCell ref="A877:A881"/>
    <mergeCell ref="T17:T21"/>
    <mergeCell ref="Z1272:Z1276"/>
    <mergeCell ref="F832:F836"/>
    <mergeCell ref="E97:E101"/>
    <mergeCell ref="U1682:U1686"/>
    <mergeCell ref="T317:T321"/>
    <mergeCell ref="Z1572:Z1576"/>
    <mergeCell ref="W1747:W1751"/>
    <mergeCell ref="AB602:AB606"/>
    <mergeCell ref="X27:X31"/>
    <mergeCell ref="E272:E276"/>
    <mergeCell ref="AD667:AD671"/>
    <mergeCell ref="Z1267:Z1271"/>
    <mergeCell ref="AB1207:AB1211"/>
    <mergeCell ref="W1442:W1446"/>
    <mergeCell ref="W1562:W1566"/>
    <mergeCell ref="AB902:AB906"/>
    <mergeCell ref="F522:F526"/>
    <mergeCell ref="AC1457:AC1461"/>
    <mergeCell ref="X37:X41"/>
    <mergeCell ref="F822:F826"/>
    <mergeCell ref="W1132:W1136"/>
    <mergeCell ref="W827:W831"/>
    <mergeCell ref="E757:E761"/>
    <mergeCell ref="Z147:Z151"/>
    <mergeCell ref="Y892:Y896"/>
    <mergeCell ref="W1432:W1436"/>
    <mergeCell ref="R1667:R1671"/>
    <mergeCell ref="E452:E456"/>
    <mergeCell ref="E572:E576"/>
    <mergeCell ref="Y587:Y591"/>
    <mergeCell ref="W1127:W1131"/>
    <mergeCell ref="S752:S756"/>
    <mergeCell ref="V1182:V1186"/>
    <mergeCell ref="F1507:F1511"/>
    <mergeCell ref="S1052:S1056"/>
    <mergeCell ref="E142:E146"/>
    <mergeCell ref="A7:A11"/>
    <mergeCell ref="F1202:F1206"/>
    <mergeCell ref="U812:U816"/>
    <mergeCell ref="W1512:W1516"/>
    <mergeCell ref="S1352:S1356"/>
    <mergeCell ref="E442:E446"/>
    <mergeCell ref="AC657:AC661"/>
    <mergeCell ref="W32:W36"/>
    <mergeCell ref="AC957:AC961"/>
    <mergeCell ref="Z157:Z161"/>
    <mergeCell ref="W332:W336"/>
    <mergeCell ref="Y1572:Y1576"/>
    <mergeCell ref="A392:A396"/>
    <mergeCell ref="W27:W31"/>
    <mergeCell ref="AD1032:AD1036"/>
    <mergeCell ref="V1562:V1566"/>
    <mergeCell ref="A692:A696"/>
    <mergeCell ref="R372:R376"/>
    <mergeCell ref="E522:E526"/>
    <mergeCell ref="A387:A391"/>
    <mergeCell ref="X882:X886"/>
    <mergeCell ref="A992:A996"/>
    <mergeCell ref="R697:R701"/>
    <mergeCell ref="R672:R676"/>
    <mergeCell ref="E822:E826"/>
    <mergeCell ref="A687:A691"/>
    <mergeCell ref="Z212:Z216"/>
    <mergeCell ref="V1132:V1136"/>
    <mergeCell ref="AB277:AB281"/>
    <mergeCell ref="E1122:E1126"/>
    <mergeCell ref="V1432:V1436"/>
    <mergeCell ref="W932:W936"/>
    <mergeCell ref="AA1697:AA1701"/>
    <mergeCell ref="S1547:S1551"/>
    <mergeCell ref="F937:F941"/>
    <mergeCell ref="U1182:U1186"/>
    <mergeCell ref="AA1692:AA1696"/>
    <mergeCell ref="W502:W506"/>
    <mergeCell ref="AA1077:AA1081"/>
    <mergeCell ref="U1482:U1486"/>
    <mergeCell ref="U447:U451"/>
    <mergeCell ref="A942:A946"/>
    <mergeCell ref="AA1702:AA1706"/>
    <mergeCell ref="Y157:Y161"/>
    <mergeCell ref="A1162:A1166"/>
    <mergeCell ref="AB347:AB351"/>
    <mergeCell ref="T802:T806"/>
    <mergeCell ref="W882:W886"/>
    <mergeCell ref="T497:T501"/>
    <mergeCell ref="AB342:AB346"/>
    <mergeCell ref="AD407:AD411"/>
    <mergeCell ref="AD102:AD106"/>
    <mergeCell ref="F1007:F1011"/>
    <mergeCell ref="A627:A631"/>
    <mergeCell ref="A1242:A1246"/>
    <mergeCell ref="V1237:V1241"/>
    <mergeCell ref="U1432:U1436"/>
    <mergeCell ref="AD402:AD406"/>
    <mergeCell ref="F1307:F1311"/>
    <mergeCell ref="A1542:A1546"/>
    <mergeCell ref="V932:V936"/>
    <mergeCell ref="Z1697:Z1701"/>
    <mergeCell ref="F272:F276"/>
    <mergeCell ref="AC1207:AC1211"/>
    <mergeCell ref="Z1692:Z1696"/>
    <mergeCell ref="V502:V506"/>
    <mergeCell ref="T1067:T1071"/>
    <mergeCell ref="F597:F601"/>
    <mergeCell ref="F897:F901"/>
    <mergeCell ref="AA287:AA291"/>
    <mergeCell ref="E322:E326"/>
    <mergeCell ref="AC47:AC51"/>
    <mergeCell ref="X762:X766"/>
    <mergeCell ref="E622:E626"/>
    <mergeCell ref="Y1317:Y1321"/>
    <mergeCell ref="AA347:AA351"/>
    <mergeCell ref="Y1012:Y1016"/>
    <mergeCell ref="W1552:W1556"/>
    <mergeCell ref="S387:S391"/>
    <mergeCell ref="F1257:F1261"/>
    <mergeCell ref="S802:S806"/>
    <mergeCell ref="Y1617:Y1621"/>
    <mergeCell ref="AD472:AD476"/>
    <mergeCell ref="AC107:AC111"/>
    <mergeCell ref="AA647:AA651"/>
    <mergeCell ref="F952:F956"/>
    <mergeCell ref="Y1312:Y1316"/>
    <mergeCell ref="U147:U151"/>
    <mergeCell ref="S687:S691"/>
    <mergeCell ref="AC407:AC411"/>
    <mergeCell ref="AA947:AA951"/>
    <mergeCell ref="U322:U326"/>
    <mergeCell ref="AC102:AC106"/>
    <mergeCell ref="S987:S991"/>
    <mergeCell ref="X1367:X1371"/>
    <mergeCell ref="W82:W86"/>
    <mergeCell ref="X1062:X1066"/>
    <mergeCell ref="R437:R441"/>
    <mergeCell ref="A142:A146"/>
    <mergeCell ref="Y1697:Y1701"/>
    <mergeCell ref="X332:X336"/>
    <mergeCell ref="E1192:E1196"/>
    <mergeCell ref="R737:R741"/>
    <mergeCell ref="A442:A446"/>
    <mergeCell ref="AD1157:AD1161"/>
    <mergeCell ref="X632:X636"/>
    <mergeCell ref="V1197:V1201"/>
    <mergeCell ref="R7:R11"/>
    <mergeCell ref="AD1457:AD1461"/>
    <mergeCell ref="AC92:AC96"/>
    <mergeCell ref="Z267:Z271"/>
    <mergeCell ref="V132:V136"/>
    <mergeCell ref="W382:W386"/>
    <mergeCell ref="Z262:Z266"/>
    <mergeCell ref="Y1687:Y1691"/>
    <mergeCell ref="AA842:AA846"/>
    <mergeCell ref="W682:W686"/>
    <mergeCell ref="Y1382:Y1386"/>
    <mergeCell ref="X1017:X1021"/>
    <mergeCell ref="T882:T886"/>
    <mergeCell ref="R1422:R1426"/>
    <mergeCell ref="AA1447:AA1451"/>
    <mergeCell ref="AA1142:AA1146"/>
    <mergeCell ref="Y1682:Y1686"/>
    <mergeCell ref="X1317:X1321"/>
    <mergeCell ref="R1722:R1726"/>
    <mergeCell ref="AC777:AC781"/>
    <mergeCell ref="X1012:X1016"/>
    <mergeCell ref="AA1442:AA1446"/>
    <mergeCell ref="R387:R391"/>
    <mergeCell ref="X1617:X1621"/>
    <mergeCell ref="T452:T456"/>
    <mergeCell ref="AC1077:AC1081"/>
    <mergeCell ref="X1312:X1316"/>
    <mergeCell ref="R687:R691"/>
    <mergeCell ref="W1367:W1371"/>
    <mergeCell ref="X702:X706"/>
    <mergeCell ref="T567:T571"/>
    <mergeCell ref="AD1652:AD1656"/>
    <mergeCell ref="W1667:W1671"/>
    <mergeCell ref="X1002:X1006"/>
    <mergeCell ref="S502:S506"/>
    <mergeCell ref="X697:X701"/>
    <mergeCell ref="W937:W941"/>
    <mergeCell ref="R1292:R1296"/>
    <mergeCell ref="AB397:AB401"/>
    <mergeCell ref="W632:W636"/>
    <mergeCell ref="W752:W756"/>
    <mergeCell ref="T927:T931"/>
    <mergeCell ref="AB92:AB96"/>
    <mergeCell ref="R1592:R1596"/>
    <mergeCell ref="T1227:T1231"/>
    <mergeCell ref="V382:V386"/>
    <mergeCell ref="T922:T926"/>
    <mergeCell ref="Z1147:Z1151"/>
    <mergeCell ref="V987:V991"/>
    <mergeCell ref="X1687:X1691"/>
    <mergeCell ref="V682:V686"/>
    <mergeCell ref="X1382:X1386"/>
    <mergeCell ref="T1222:T1226"/>
    <mergeCell ref="AD527:AD531"/>
    <mergeCell ref="Z1447:Z1451"/>
    <mergeCell ref="Z1142:Z1146"/>
    <mergeCell ref="T517:T521"/>
    <mergeCell ref="E392:E396"/>
    <mergeCell ref="Z1442:Z1446"/>
    <mergeCell ref="Y1197:Y1201"/>
    <mergeCell ref="T817:T821"/>
    <mergeCell ref="W1737:W1741"/>
    <mergeCell ref="V372:V376"/>
    <mergeCell ref="V577:V581"/>
    <mergeCell ref="Y1497:Y1501"/>
    <mergeCell ref="AC1632:AC1636"/>
    <mergeCell ref="AA37:AA41"/>
    <mergeCell ref="F1022:F1026"/>
    <mergeCell ref="S567:S571"/>
    <mergeCell ref="W702:W706"/>
    <mergeCell ref="S1172:S1176"/>
    <mergeCell ref="F1322:F1326"/>
    <mergeCell ref="S867:S871"/>
    <mergeCell ref="W1002:W1006"/>
    <mergeCell ref="T1422:T1426"/>
    <mergeCell ref="E747:E751"/>
    <mergeCell ref="Y762:Y766"/>
    <mergeCell ref="AB1682:AB1686"/>
    <mergeCell ref="W1302:W1306"/>
    <mergeCell ref="S137:S141"/>
    <mergeCell ref="V1057:V1061"/>
    <mergeCell ref="A1362:A1366"/>
    <mergeCell ref="T1722:T1726"/>
    <mergeCell ref="V752:V756"/>
    <mergeCell ref="V1357:V1361"/>
    <mergeCell ref="A1662:A1666"/>
    <mergeCell ref="V1052:V1056"/>
    <mergeCell ref="E342:E346"/>
    <mergeCell ref="A182:A186"/>
    <mergeCell ref="AB1277:AB1281"/>
    <mergeCell ref="X1117:X1121"/>
    <mergeCell ref="Z1512:Z1516"/>
    <mergeCell ref="V1352:V1356"/>
    <mergeCell ref="E642:E646"/>
    <mergeCell ref="R187:R191"/>
    <mergeCell ref="V322:V326"/>
    <mergeCell ref="AB1577:AB1581"/>
    <mergeCell ref="Z32:Z36"/>
    <mergeCell ref="E337:E341"/>
    <mergeCell ref="A177:A181"/>
    <mergeCell ref="AB1272:AB1276"/>
    <mergeCell ref="X82:X86"/>
    <mergeCell ref="V647:V651"/>
    <mergeCell ref="R487:R491"/>
    <mergeCell ref="V622:V626"/>
    <mergeCell ref="E942:E946"/>
    <mergeCell ref="AB1572:AB1576"/>
    <mergeCell ref="V947:V951"/>
    <mergeCell ref="AD1207:AD1211"/>
    <mergeCell ref="U372:U376"/>
    <mergeCell ref="U672:U676"/>
    <mergeCell ref="R872:R876"/>
    <mergeCell ref="Y1437:Y1441"/>
    <mergeCell ref="T1672:T1676"/>
    <mergeCell ref="E1022:E1026"/>
    <mergeCell ref="Y1132:Y1136"/>
    <mergeCell ref="R1172:R1176"/>
    <mergeCell ref="V1002:V1006"/>
    <mergeCell ref="AA892:AA896"/>
    <mergeCell ref="Y1432:Y1436"/>
    <mergeCell ref="S1422:S1426"/>
    <mergeCell ref="X1487:X1491"/>
    <mergeCell ref="S1722:S1726"/>
    <mergeCell ref="A247:A251"/>
    <mergeCell ref="AA1252:AA1256"/>
    <mergeCell ref="AD1707:AD1711"/>
    <mergeCell ref="AB162:AB166"/>
    <mergeCell ref="AD1402:AD1406"/>
    <mergeCell ref="Y32:Y36"/>
    <mergeCell ref="A1062:A1066"/>
    <mergeCell ref="X447:X451"/>
    <mergeCell ref="AD1702:AD1706"/>
    <mergeCell ref="U622:U626"/>
    <mergeCell ref="Y332:Y336"/>
    <mergeCell ref="AD222:AD226"/>
    <mergeCell ref="E1497:E1501"/>
    <mergeCell ref="R1042:R1046"/>
    <mergeCell ref="Z887:Z891"/>
    <mergeCell ref="T677:T681"/>
    <mergeCell ref="R1342:R1346"/>
    <mergeCell ref="T372:T376"/>
    <mergeCell ref="Z1187:Z1191"/>
    <mergeCell ref="W802:W806"/>
    <mergeCell ref="E1492:E1496"/>
    <mergeCell ref="Z882:Z886"/>
    <mergeCell ref="T257:T261"/>
    <mergeCell ref="T672:T676"/>
    <mergeCell ref="AB517:AB521"/>
    <mergeCell ref="X1437:X1441"/>
    <mergeCell ref="AD582:AD586"/>
    <mergeCell ref="T557:T561"/>
    <mergeCell ref="X1132:X1136"/>
    <mergeCell ref="AD277:AD281"/>
    <mergeCell ref="U1552:U1556"/>
    <mergeCell ref="AD577:AD581"/>
    <mergeCell ref="AC1697:AC1701"/>
    <mergeCell ref="W1487:W1491"/>
    <mergeCell ref="W1182:W1186"/>
    <mergeCell ref="F447:F451"/>
    <mergeCell ref="A1407:A1411"/>
    <mergeCell ref="AA162:AA166"/>
    <mergeCell ref="A1732:A1736"/>
    <mergeCell ref="R1412:R1416"/>
    <mergeCell ref="F1072:F1076"/>
    <mergeCell ref="AA462:AA466"/>
    <mergeCell ref="E1562:E1566"/>
    <mergeCell ref="A1427:A1431"/>
    <mergeCell ref="T1172:T1176"/>
    <mergeCell ref="R1712:R1716"/>
    <mergeCell ref="E497:E501"/>
    <mergeCell ref="AB1017:AB1021"/>
    <mergeCell ref="AB1432:AB1436"/>
    <mergeCell ref="AC222:AC226"/>
    <mergeCell ref="AD652:AD656"/>
    <mergeCell ref="Y887:Y891"/>
    <mergeCell ref="S1292:S1296"/>
    <mergeCell ref="AB1317:AB1321"/>
    <mergeCell ref="AD347:AD351"/>
    <mergeCell ref="AB1012:AB1016"/>
    <mergeCell ref="Y1187:Y1191"/>
    <mergeCell ref="U22:U26"/>
    <mergeCell ref="V802:V806"/>
    <mergeCell ref="E92:E96"/>
    <mergeCell ref="AD647:AD651"/>
    <mergeCell ref="F1677:F1681"/>
    <mergeCell ref="AA1067:AA1071"/>
    <mergeCell ref="E87:E91"/>
    <mergeCell ref="Z82:Z86"/>
    <mergeCell ref="A302:A306"/>
    <mergeCell ref="X1237:X1241"/>
    <mergeCell ref="Y572:Y576"/>
    <mergeCell ref="U437:U441"/>
    <mergeCell ref="T72:T76"/>
    <mergeCell ref="R612:R616"/>
    <mergeCell ref="AB1697:AB1701"/>
    <mergeCell ref="Y872:Y876"/>
    <mergeCell ref="X832:X836"/>
    <mergeCell ref="V1372:V1376"/>
    <mergeCell ref="R622:R626"/>
    <mergeCell ref="E692:E696"/>
    <mergeCell ref="U797:U801"/>
    <mergeCell ref="W557:W561"/>
    <mergeCell ref="AA1017:AA1021"/>
    <mergeCell ref="W857:W861"/>
    <mergeCell ref="U1422:U1426"/>
    <mergeCell ref="U392:U396"/>
    <mergeCell ref="AA1622:AA1626"/>
    <mergeCell ref="AA1317:AA1321"/>
    <mergeCell ref="W152:W156"/>
    <mergeCell ref="U692:U696"/>
    <mergeCell ref="U387:U391"/>
    <mergeCell ref="AA1617:AA1621"/>
    <mergeCell ref="W452:W456"/>
    <mergeCell ref="U992:U996"/>
    <mergeCell ref="E1677:E1681"/>
    <mergeCell ref="Z1067:Z1071"/>
    <mergeCell ref="Z1367:Z1371"/>
    <mergeCell ref="V202:V206"/>
    <mergeCell ref="T742:T746"/>
    <mergeCell ref="Y82:Y86"/>
    <mergeCell ref="F527:F531"/>
    <mergeCell ref="X572:X576"/>
    <mergeCell ref="T437:T441"/>
    <mergeCell ref="Z637:Z641"/>
    <mergeCell ref="Z332:Z336"/>
    <mergeCell ref="AB272:AB276"/>
    <mergeCell ref="X872:X876"/>
    <mergeCell ref="Z937:Z941"/>
    <mergeCell ref="U1292:U1296"/>
    <mergeCell ref="R1467:R1471"/>
    <mergeCell ref="Z632:Z636"/>
    <mergeCell ref="T7:T11"/>
    <mergeCell ref="W927:W931"/>
    <mergeCell ref="AB267:AB271"/>
    <mergeCell ref="U1592:U1596"/>
    <mergeCell ref="Y687:Y691"/>
    <mergeCell ref="T307:T311"/>
    <mergeCell ref="F517:F521"/>
    <mergeCell ref="S62:S66"/>
    <mergeCell ref="F212:F216"/>
    <mergeCell ref="AC1147:AC1151"/>
    <mergeCell ref="Y987:Y991"/>
    <mergeCell ref="AA1687:AA1691"/>
    <mergeCell ref="Z1322:Z1326"/>
    <mergeCell ref="S362:S366"/>
    <mergeCell ref="F512:F516"/>
    <mergeCell ref="E147:E151"/>
    <mergeCell ref="S57:S61"/>
    <mergeCell ref="AC1447:AC1451"/>
    <mergeCell ref="Z1622:Z1626"/>
    <mergeCell ref="Z1317:Z1321"/>
    <mergeCell ref="F812:F816"/>
    <mergeCell ref="W517:W521"/>
    <mergeCell ref="S357:S361"/>
    <mergeCell ref="Z1617:Z1621"/>
    <mergeCell ref="T992:T996"/>
    <mergeCell ref="V572:V576"/>
    <mergeCell ref="E562:E566"/>
    <mergeCell ref="Y577:Y581"/>
    <mergeCell ref="A1482:A1486"/>
    <mergeCell ref="Z1007:Z1011"/>
    <mergeCell ref="V872:V876"/>
    <mergeCell ref="Z702:Z706"/>
    <mergeCell ref="S742:S746"/>
    <mergeCell ref="AB767:AB771"/>
    <mergeCell ref="Z1307:Z1311"/>
    <mergeCell ref="E1612:E1616"/>
    <mergeCell ref="AB462:AB466"/>
    <mergeCell ref="Z1002:Z1006"/>
    <mergeCell ref="Y637:Y641"/>
    <mergeCell ref="U502:U506"/>
    <mergeCell ref="S1042:S1046"/>
    <mergeCell ref="E132:E136"/>
    <mergeCell ref="T1597:T1601"/>
    <mergeCell ref="AB762:AB766"/>
    <mergeCell ref="Y937:Y941"/>
    <mergeCell ref="Y1057:Y1061"/>
    <mergeCell ref="T1292:T1296"/>
    <mergeCell ref="AD397:AD401"/>
    <mergeCell ref="A1537:A1541"/>
    <mergeCell ref="Y752:Y756"/>
    <mergeCell ref="S7:S11"/>
    <mergeCell ref="A57:A61"/>
    <mergeCell ref="U192:U196"/>
    <mergeCell ref="R62:R66"/>
    <mergeCell ref="AB1452:AB1456"/>
    <mergeCell ref="Y627:Y631"/>
    <mergeCell ref="U492:U496"/>
    <mergeCell ref="E212:E216"/>
    <mergeCell ref="A52:A56"/>
    <mergeCell ref="Z1687:Z1691"/>
    <mergeCell ref="Y322:Y326"/>
    <mergeCell ref="E817:E821"/>
    <mergeCell ref="R362:R366"/>
    <mergeCell ref="Z207:Z211"/>
    <mergeCell ref="E512:E516"/>
    <mergeCell ref="R57:R61"/>
    <mergeCell ref="AB1447:AB1451"/>
    <mergeCell ref="AA82:AA86"/>
    <mergeCell ref="Y622:Y626"/>
    <mergeCell ref="E1117:E1121"/>
    <mergeCell ref="V822:V826"/>
    <mergeCell ref="Y1742:Y1746"/>
    <mergeCell ref="S1242:S1246"/>
    <mergeCell ref="U247:U251"/>
    <mergeCell ref="AA1502:AA1506"/>
    <mergeCell ref="V1122:V1126"/>
    <mergeCell ref="Y1737:Y1741"/>
    <mergeCell ref="S1542:S1546"/>
    <mergeCell ref="F327:F331"/>
    <mergeCell ref="X372:X376"/>
    <mergeCell ref="W7:W11"/>
    <mergeCell ref="U572:U576"/>
    <mergeCell ref="U547:U551"/>
    <mergeCell ref="W307:W311"/>
    <mergeCell ref="Y1007:Y1011"/>
    <mergeCell ref="U872:U876"/>
    <mergeCell ref="U847:U851"/>
    <mergeCell ref="AA767:AA771"/>
    <mergeCell ref="Y1307:Y1311"/>
    <mergeCell ref="U1172:U1176"/>
    <mergeCell ref="U142:U146"/>
    <mergeCell ref="E1417:E1421"/>
    <mergeCell ref="V1727:V1731"/>
    <mergeCell ref="U442:U446"/>
    <mergeCell ref="V1422:V1426"/>
    <mergeCell ref="X1362:X1366"/>
    <mergeCell ref="S1597:S1601"/>
    <mergeCell ref="A552:A556"/>
    <mergeCell ref="U137:U141"/>
    <mergeCell ref="X1057:X1061"/>
    <mergeCell ref="V1722:V1726"/>
    <mergeCell ref="X1357:X1361"/>
    <mergeCell ref="T192:T196"/>
    <mergeCell ref="X627:X631"/>
    <mergeCell ref="T492:T496"/>
    <mergeCell ref="X322:X326"/>
    <mergeCell ref="AD1577:AD1581"/>
    <mergeCell ref="U742:U746"/>
    <mergeCell ref="A1237:A1241"/>
    <mergeCell ref="S1282:S1286"/>
    <mergeCell ref="X622:X626"/>
    <mergeCell ref="U1042:U1046"/>
    <mergeCell ref="S1582:S1586"/>
    <mergeCell ref="R1217:R1221"/>
    <mergeCell ref="AC887:AC891"/>
    <mergeCell ref="F997:F1001"/>
    <mergeCell ref="W677:W681"/>
    <mergeCell ref="U1342:U1346"/>
    <mergeCell ref="R1542:R1546"/>
    <mergeCell ref="F267:F271"/>
    <mergeCell ref="AC897:AC901"/>
    <mergeCell ref="AA1437:AA1441"/>
    <mergeCell ref="Y1112:Y1116"/>
    <mergeCell ref="F262:F266"/>
    <mergeCell ref="U1727:U1731"/>
    <mergeCell ref="X72:X76"/>
    <mergeCell ref="W267:W271"/>
    <mergeCell ref="E317:E321"/>
    <mergeCell ref="S482:S486"/>
    <mergeCell ref="E12:E16"/>
    <mergeCell ref="Z1487:Z1491"/>
    <mergeCell ref="AA257:AA261"/>
    <mergeCell ref="S492:S496"/>
    <mergeCell ref="AA337:AA341"/>
    <mergeCell ref="F1167:F1171"/>
    <mergeCell ref="R1587:R1591"/>
    <mergeCell ref="AC97:AC101"/>
    <mergeCell ref="AA637:AA641"/>
    <mergeCell ref="A1602:A1606"/>
    <mergeCell ref="R1282:R1286"/>
    <mergeCell ref="T1347:T1351"/>
    <mergeCell ref="AB1192:AB1196"/>
    <mergeCell ref="T1042:T1046"/>
    <mergeCell ref="R1582:R1586"/>
    <mergeCell ref="AB887:AB891"/>
    <mergeCell ref="AB1492:AB1496"/>
    <mergeCell ref="T1342:T1346"/>
    <mergeCell ref="AB1187:AB1191"/>
    <mergeCell ref="X22:X26"/>
    <mergeCell ref="E267:E271"/>
    <mergeCell ref="F1247:F1251"/>
    <mergeCell ref="AA1242:AA1246"/>
    <mergeCell ref="Z1437:Z1441"/>
    <mergeCell ref="V862:V866"/>
    <mergeCell ref="F1547:F1551"/>
    <mergeCell ref="U617:U621"/>
    <mergeCell ref="E262:E266"/>
    <mergeCell ref="F817:F821"/>
    <mergeCell ref="AA1237:AA1241"/>
    <mergeCell ref="AA207:AA211"/>
    <mergeCell ref="W72:W76"/>
    <mergeCell ref="U612:U616"/>
    <mergeCell ref="F1117:F1121"/>
    <mergeCell ref="Z1742:Z1746"/>
    <mergeCell ref="U1362:U1366"/>
    <mergeCell ref="AA507:AA511"/>
    <mergeCell ref="Y1487:Y1491"/>
    <mergeCell ref="E567:E571"/>
    <mergeCell ref="AC142:AC146"/>
    <mergeCell ref="U1662:U1666"/>
    <mergeCell ref="AA832:AA836"/>
    <mergeCell ref="AA807:AA811"/>
    <mergeCell ref="E867:E871"/>
    <mergeCell ref="Z257:Z261"/>
    <mergeCell ref="T1717:T1721"/>
    <mergeCell ref="E1167:E1171"/>
    <mergeCell ref="T1412:T1416"/>
    <mergeCell ref="Z557:Z561"/>
    <mergeCell ref="V1477:V1481"/>
    <mergeCell ref="AD1322:AD1326"/>
    <mergeCell ref="V1172:V1176"/>
    <mergeCell ref="T1712:T1716"/>
    <mergeCell ref="AD1017:AD1021"/>
    <mergeCell ref="AB1557:AB1561"/>
    <mergeCell ref="X392:X396"/>
    <mergeCell ref="AD1622:AD1626"/>
    <mergeCell ref="AA887:AA891"/>
    <mergeCell ref="AD1317:AD1321"/>
    <mergeCell ref="Z127:Z131"/>
    <mergeCell ref="X692:X696"/>
    <mergeCell ref="W327:W331"/>
    <mergeCell ref="E1552:E1556"/>
    <mergeCell ref="X992:X996"/>
    <mergeCell ref="E1547:E1551"/>
    <mergeCell ref="T617:T621"/>
    <mergeCell ref="F1487:F1491"/>
    <mergeCell ref="A987:A991"/>
    <mergeCell ref="S1032:S1036"/>
    <mergeCell ref="AC337:AC341"/>
    <mergeCell ref="AA877:AA881"/>
    <mergeCell ref="W742:W746"/>
    <mergeCell ref="V377:V381"/>
    <mergeCell ref="T917:T921"/>
    <mergeCell ref="AC32:AC36"/>
    <mergeCell ref="V72:V76"/>
    <mergeCell ref="T612:T616"/>
    <mergeCell ref="AC637:AC641"/>
    <mergeCell ref="Z507:Z511"/>
    <mergeCell ref="AC937:AC941"/>
    <mergeCell ref="U1467:U1471"/>
    <mergeCell ref="E1537:E1541"/>
    <mergeCell ref="Z807:Z811"/>
    <mergeCell ref="S1717:S1721"/>
    <mergeCell ref="AC1022:AC1026"/>
    <mergeCell ref="Y862:Y866"/>
    <mergeCell ref="V62:V66"/>
    <mergeCell ref="S237:S241"/>
    <mergeCell ref="Y557:Y561"/>
    <mergeCell ref="AD1687:AD1691"/>
    <mergeCell ref="AC1322:AC1326"/>
    <mergeCell ref="Z497:Z501"/>
    <mergeCell ref="AC1017:AC1021"/>
    <mergeCell ref="Y857:Y861"/>
    <mergeCell ref="W392:W396"/>
    <mergeCell ref="S232:S236"/>
    <mergeCell ref="AC1622:AC1626"/>
    <mergeCell ref="Y127:Y131"/>
    <mergeCell ref="W692:W696"/>
    <mergeCell ref="Y247:Y251"/>
    <mergeCell ref="T1112:T1116"/>
    <mergeCell ref="R1652:R1656"/>
    <mergeCell ref="E437:E441"/>
    <mergeCell ref="Y452:Y456"/>
    <mergeCell ref="AB1372:AB1376"/>
    <mergeCell ref="AA7:AA11"/>
    <mergeCell ref="V747:V751"/>
    <mergeCell ref="A1052:A1056"/>
    <mergeCell ref="AB1672:AB1676"/>
    <mergeCell ref="AA307:AA311"/>
    <mergeCell ref="X507:X511"/>
    <mergeCell ref="V1047:V1051"/>
    <mergeCell ref="A1352:A1356"/>
    <mergeCell ref="R1032:R1036"/>
    <mergeCell ref="Z877:Z881"/>
    <mergeCell ref="V742:V746"/>
    <mergeCell ref="AB942:AB946"/>
    <mergeCell ref="X807:X811"/>
    <mergeCell ref="AB637:AB641"/>
    <mergeCell ref="Z1177:Z1181"/>
    <mergeCell ref="V12:V16"/>
    <mergeCell ref="W1597:W1601"/>
    <mergeCell ref="AB937:AB941"/>
    <mergeCell ref="V312:V316"/>
    <mergeCell ref="T1467:T1471"/>
    <mergeCell ref="AA387:AA391"/>
    <mergeCell ref="Y927:Y931"/>
    <mergeCell ref="AA992:AA996"/>
    <mergeCell ref="F1297:F1301"/>
    <mergeCell ref="U367:U371"/>
    <mergeCell ref="AA687:AA691"/>
    <mergeCell ref="U62:U66"/>
    <mergeCell ref="S602:S606"/>
    <mergeCell ref="T1157:T1161"/>
    <mergeCell ref="Y522:Y526"/>
    <mergeCell ref="U362:U366"/>
    <mergeCell ref="Y822:Y826"/>
    <mergeCell ref="AB1742:AB1746"/>
    <mergeCell ref="V1217:V1221"/>
    <mergeCell ref="AA582:AA586"/>
    <mergeCell ref="X247:X251"/>
    <mergeCell ref="Z7:Z11"/>
    <mergeCell ref="X547:X551"/>
    <mergeCell ref="Z307:Z311"/>
    <mergeCell ref="AB1007:AB1011"/>
    <mergeCell ref="E1292:E1296"/>
    <mergeCell ref="AD1072:AD1076"/>
    <mergeCell ref="AD767:AD771"/>
    <mergeCell ref="AB1307:AB1311"/>
    <mergeCell ref="AA942:AA946"/>
    <mergeCell ref="X142:X146"/>
    <mergeCell ref="E1592:E1596"/>
    <mergeCell ref="A122:A126"/>
    <mergeCell ref="X442:X446"/>
    <mergeCell ref="V1597:V1601"/>
    <mergeCell ref="AA1057:AA1061"/>
    <mergeCell ref="U312:U316"/>
    <mergeCell ref="F187:F191"/>
    <mergeCell ref="T67:T71"/>
    <mergeCell ref="E1187:E1191"/>
    <mergeCell ref="R732:R736"/>
    <mergeCell ref="T367:T371"/>
    <mergeCell ref="T62:T66"/>
    <mergeCell ref="AD1452:AD1456"/>
    <mergeCell ref="AC87:AC91"/>
    <mergeCell ref="AA627:AA631"/>
    <mergeCell ref="V127:V131"/>
    <mergeCell ref="T667:T671"/>
    <mergeCell ref="S1157:S1161"/>
    <mergeCell ref="T362:T366"/>
    <mergeCell ref="AB207:AB211"/>
    <mergeCell ref="U917:U921"/>
    <mergeCell ref="S1457:S1461"/>
    <mergeCell ref="AC82:AC86"/>
    <mergeCell ref="U1217:U1221"/>
    <mergeCell ref="Z677:Z681"/>
    <mergeCell ref="Y1677:Y1681"/>
    <mergeCell ref="U1542:U1546"/>
    <mergeCell ref="Y197:Y201"/>
    <mergeCell ref="A797:A801"/>
    <mergeCell ref="F137:F141"/>
    <mergeCell ref="AD1437:AD1441"/>
    <mergeCell ref="AC1072:AC1076"/>
    <mergeCell ref="AA1612:AA1616"/>
    <mergeCell ref="X1427:X1431"/>
    <mergeCell ref="A1097:A1101"/>
    <mergeCell ref="R777:R781"/>
    <mergeCell ref="A792:A796"/>
    <mergeCell ref="X1727:X1731"/>
    <mergeCell ref="R1102:R1106"/>
    <mergeCell ref="AB822:AB826"/>
    <mergeCell ref="W442:W446"/>
    <mergeCell ref="Z1362:Z1366"/>
    <mergeCell ref="E492:E496"/>
    <mergeCell ref="A1092:A1096"/>
    <mergeCell ref="T862:T866"/>
    <mergeCell ref="R1402:R1406"/>
    <mergeCell ref="E187:E191"/>
    <mergeCell ref="AB707:AB711"/>
    <mergeCell ref="Z1662:Z1666"/>
    <mergeCell ref="V497:V501"/>
    <mergeCell ref="X1297:X1301"/>
    <mergeCell ref="T1162:T1166"/>
    <mergeCell ref="R1702:R1706"/>
    <mergeCell ref="E487:E491"/>
    <mergeCell ref="V192:V196"/>
    <mergeCell ref="F1067:F1071"/>
    <mergeCell ref="R1462:R1466"/>
    <mergeCell ref="Z627:Z631"/>
    <mergeCell ref="V492:V496"/>
    <mergeCell ref="AD337:AD341"/>
    <mergeCell ref="R1157:R1161"/>
    <mergeCell ref="F1367:F1371"/>
    <mergeCell ref="F1342:F1346"/>
    <mergeCell ref="W1047:W1051"/>
    <mergeCell ref="U1587:U1591"/>
    <mergeCell ref="R1457:R1461"/>
    <mergeCell ref="F1667:F1671"/>
    <mergeCell ref="W1347:W1351"/>
    <mergeCell ref="T1522:T1526"/>
    <mergeCell ref="Y982:Y986"/>
    <mergeCell ref="T1217:T1221"/>
    <mergeCell ref="Y677:Y681"/>
    <mergeCell ref="Y562:Y566"/>
    <mergeCell ref="F1422:F1426"/>
    <mergeCell ref="W1732:W1736"/>
    <mergeCell ref="Z77:Z81"/>
    <mergeCell ref="F1722:F1726"/>
    <mergeCell ref="E987:E991"/>
    <mergeCell ref="T1207:T1211"/>
    <mergeCell ref="Z377:Z381"/>
    <mergeCell ref="W1727:W1731"/>
    <mergeCell ref="AD207:AD211"/>
    <mergeCell ref="AC1742:AC1746"/>
    <mergeCell ref="AD507:AD511"/>
    <mergeCell ref="AA707:AA711"/>
    <mergeCell ref="F1412:F1416"/>
    <mergeCell ref="Y1247:Y1251"/>
    <mergeCell ref="F1107:F1111"/>
    <mergeCell ref="E742:E746"/>
    <mergeCell ref="F1617:F1621"/>
    <mergeCell ref="S1162:S1166"/>
    <mergeCell ref="F1407:F1411"/>
    <mergeCell ref="E1042:E1046"/>
    <mergeCell ref="Z432:Z436"/>
    <mergeCell ref="W1717:W1721"/>
    <mergeCell ref="E1367:E1371"/>
    <mergeCell ref="E1342:E1346"/>
    <mergeCell ref="T1587:T1591"/>
    <mergeCell ref="Z732:Z736"/>
    <mergeCell ref="T107:T111"/>
    <mergeCell ref="E1667:E1671"/>
    <mergeCell ref="V1347:V1351"/>
    <mergeCell ref="AD1192:AD1196"/>
    <mergeCell ref="Z27:Z31"/>
    <mergeCell ref="A172:A176"/>
    <mergeCell ref="AD1492:AD1496"/>
    <mergeCell ref="Z327:Z331"/>
    <mergeCell ref="Z22:Z26"/>
    <mergeCell ref="U1287:U1291"/>
    <mergeCell ref="AC1242:AC1246"/>
    <mergeCell ref="Y77:Y81"/>
    <mergeCell ref="Y52:Y56"/>
    <mergeCell ref="W617:W621"/>
    <mergeCell ref="AC212:AC216"/>
    <mergeCell ref="U667:U671"/>
    <mergeCell ref="S1232:S1236"/>
    <mergeCell ref="S1207:S1211"/>
    <mergeCell ref="Y377:Y381"/>
    <mergeCell ref="AC512:AC516"/>
    <mergeCell ref="AC207:AC211"/>
    <mergeCell ref="S1532:S1536"/>
    <mergeCell ref="AC812:AC816"/>
    <mergeCell ref="AC507:AC511"/>
    <mergeCell ref="E1412:E1416"/>
    <mergeCell ref="E1107:E1111"/>
    <mergeCell ref="X1467:X1471"/>
    <mergeCell ref="U1642:U1646"/>
    <mergeCell ref="AB562:AB566"/>
    <mergeCell ref="W182:W186"/>
    <mergeCell ref="A547:A551"/>
    <mergeCell ref="A242:A246"/>
    <mergeCell ref="V1717:V1721"/>
    <mergeCell ref="AB862:AB866"/>
    <mergeCell ref="AD1562:AD1566"/>
    <mergeCell ref="Z1427:Z1431"/>
    <mergeCell ref="A847:A851"/>
    <mergeCell ref="V237:V241"/>
    <mergeCell ref="A542:A546"/>
    <mergeCell ref="X1477:X1481"/>
    <mergeCell ref="R852:R856"/>
    <mergeCell ref="Z997:Z1001"/>
    <mergeCell ref="AB152:AB156"/>
    <mergeCell ref="AB757:AB761"/>
    <mergeCell ref="T1287:T1291"/>
    <mergeCell ref="T1262:T1266"/>
    <mergeCell ref="AA182:AA186"/>
    <mergeCell ref="Y747:Y751"/>
    <mergeCell ref="A1227:A1231"/>
    <mergeCell ref="AC1182:AC1186"/>
    <mergeCell ref="Y17:Y21"/>
    <mergeCell ref="A1527:A1531"/>
    <mergeCell ref="R1207:R1211"/>
    <mergeCell ref="AB512:AB516"/>
    <mergeCell ref="Y317:Y321"/>
    <mergeCell ref="W1472:W1476"/>
    <mergeCell ref="AB812:AB816"/>
    <mergeCell ref="Y12:Y16"/>
    <mergeCell ref="AD392:AD396"/>
    <mergeCell ref="Y312:Y316"/>
    <mergeCell ref="AD692:AD696"/>
    <mergeCell ref="X67:X71"/>
    <mergeCell ref="S302:S306"/>
    <mergeCell ref="S907:S911"/>
    <mergeCell ref="X367:X371"/>
    <mergeCell ref="U542:U546"/>
    <mergeCell ref="U1717:U1721"/>
    <mergeCell ref="X62:X66"/>
    <mergeCell ref="U237:U241"/>
    <mergeCell ref="T1332:T1336"/>
    <mergeCell ref="AB497:AB501"/>
    <mergeCell ref="Y697:Y701"/>
    <mergeCell ref="U537:U541"/>
    <mergeCell ref="Y997:Y1001"/>
    <mergeCell ref="V1417:V1421"/>
    <mergeCell ref="V1392:V1396"/>
    <mergeCell ref="AA247:AA251"/>
    <mergeCell ref="AA757:AA761"/>
    <mergeCell ref="AC312:AC316"/>
    <mergeCell ref="Z1247:Z1251"/>
    <mergeCell ref="V1112:V1116"/>
    <mergeCell ref="S1287:S1291"/>
    <mergeCell ref="AB1312:AB1316"/>
    <mergeCell ref="X747:X751"/>
    <mergeCell ref="E72:E76"/>
    <mergeCell ref="Z1547:Z1551"/>
    <mergeCell ref="R222:R226"/>
    <mergeCell ref="AD642:AD646"/>
    <mergeCell ref="X1047:X1051"/>
    <mergeCell ref="X17:X21"/>
    <mergeCell ref="Y1602:Y1606"/>
    <mergeCell ref="AD942:AD946"/>
    <mergeCell ref="S977:S981"/>
    <mergeCell ref="X317:X321"/>
    <mergeCell ref="AC392:AC396"/>
    <mergeCell ref="S1277:S1281"/>
    <mergeCell ref="F62:F66"/>
    <mergeCell ref="Y1597:Y1601"/>
    <mergeCell ref="U432:U436"/>
    <mergeCell ref="S972:S976"/>
    <mergeCell ref="AC692:AC696"/>
    <mergeCell ref="AA1232:AA1236"/>
    <mergeCell ref="U1037:U1041"/>
    <mergeCell ref="W67:W71"/>
    <mergeCell ref="W42:W46"/>
    <mergeCell ref="AC1297:AC1301"/>
    <mergeCell ref="U732:U736"/>
    <mergeCell ref="S1272:S1276"/>
    <mergeCell ref="R907:R911"/>
    <mergeCell ref="F57:F61"/>
    <mergeCell ref="AC992:AC996"/>
    <mergeCell ref="W367:W371"/>
    <mergeCell ref="V1462:V1466"/>
    <mergeCell ref="AC262:AC266"/>
    <mergeCell ref="W667:W671"/>
    <mergeCell ref="X617:X621"/>
    <mergeCell ref="V1157:V1161"/>
    <mergeCell ref="U792:U796"/>
    <mergeCell ref="S1332:S1336"/>
    <mergeCell ref="V1667:V1671"/>
    <mergeCell ref="A287:A291"/>
    <mergeCell ref="X917:X921"/>
    <mergeCell ref="V1457:V1461"/>
    <mergeCell ref="U1092:U1096"/>
    <mergeCell ref="S1632:S1636"/>
    <mergeCell ref="X1522:X1526"/>
    <mergeCell ref="AB12:AB16"/>
    <mergeCell ref="A282:A286"/>
    <mergeCell ref="X1217:X1221"/>
    <mergeCell ref="U1417:U1421"/>
    <mergeCell ref="U1392:U1396"/>
    <mergeCell ref="AB312:AB316"/>
    <mergeCell ref="F257:F261"/>
    <mergeCell ref="A972:A976"/>
    <mergeCell ref="AA1732:AA1736"/>
    <mergeCell ref="AD1612:AD1616"/>
    <mergeCell ref="AA1427:AA1431"/>
    <mergeCell ref="X1602:X1606"/>
    <mergeCell ref="F557:F561"/>
    <mergeCell ref="A1272:A1276"/>
    <mergeCell ref="R977:R981"/>
    <mergeCell ref="R952:R956"/>
    <mergeCell ref="W317:W321"/>
    <mergeCell ref="F252:F256"/>
    <mergeCell ref="A967:A971"/>
    <mergeCell ref="AA1727:AA1731"/>
    <mergeCell ref="F857:F861"/>
    <mergeCell ref="R1277:R1281"/>
    <mergeCell ref="AC1362:AC1366"/>
    <mergeCell ref="A1267:A1271"/>
    <mergeCell ref="T1037:T1041"/>
    <mergeCell ref="R1577:R1581"/>
    <mergeCell ref="Y497:Y501"/>
    <mergeCell ref="W922:W926"/>
    <mergeCell ref="U1462:U1466"/>
    <mergeCell ref="F1542:F1546"/>
    <mergeCell ref="X1587:X1591"/>
    <mergeCell ref="W1222:W1226"/>
    <mergeCell ref="AA932:AA936"/>
    <mergeCell ref="F1237:F1241"/>
    <mergeCell ref="W1522:W1526"/>
    <mergeCell ref="AA502:AA506"/>
    <mergeCell ref="F807:F811"/>
    <mergeCell ref="S352:S356"/>
    <mergeCell ref="AA197:AA201"/>
    <mergeCell ref="Z1732:Z1736"/>
    <mergeCell ref="T1107:T1111"/>
    <mergeCell ref="T1082:T1086"/>
    <mergeCell ref="Y447:Y451"/>
    <mergeCell ref="E557:E561"/>
    <mergeCell ref="E1162:E1166"/>
    <mergeCell ref="T1407:T1411"/>
    <mergeCell ref="E857:E861"/>
    <mergeCell ref="AD382:AD386"/>
    <mergeCell ref="Z1302:Z1306"/>
    <mergeCell ref="V1167:V1171"/>
    <mergeCell ref="T1707:T1711"/>
    <mergeCell ref="E127:E131"/>
    <mergeCell ref="AD707:AD711"/>
    <mergeCell ref="AD682:AD686"/>
    <mergeCell ref="AA882:AA886"/>
    <mergeCell ref="X497:X501"/>
    <mergeCell ref="F1282:F1286"/>
    <mergeCell ref="Z1297:Z1301"/>
    <mergeCell ref="Y1052:Y1056"/>
    <mergeCell ref="AC432:AC436"/>
    <mergeCell ref="Y1352:Y1356"/>
    <mergeCell ref="S727:S731"/>
    <mergeCell ref="Y1047:Y1051"/>
    <mergeCell ref="E1542:E1546"/>
    <mergeCell ref="F877:F881"/>
    <mergeCell ref="S422:S426"/>
    <mergeCell ref="S1027:S1031"/>
    <mergeCell ref="Y1347:Y1351"/>
    <mergeCell ref="F1177:F1181"/>
    <mergeCell ref="S722:S726"/>
    <mergeCell ref="AC27:AC31"/>
    <mergeCell ref="AA567:AA571"/>
    <mergeCell ref="AA982:AA986"/>
    <mergeCell ref="F1477:F1481"/>
    <mergeCell ref="AC327:AC331"/>
    <mergeCell ref="E927:E931"/>
    <mergeCell ref="Z197:Z201"/>
    <mergeCell ref="E1227:E1231"/>
    <mergeCell ref="S1082:S1086"/>
    <mergeCell ref="A37:A41"/>
    <mergeCell ref="X667:X671"/>
    <mergeCell ref="E1527:E1531"/>
    <mergeCell ref="V1207:V1211"/>
    <mergeCell ref="S1407:S1411"/>
    <mergeCell ref="R42:R46"/>
    <mergeCell ref="Y552:Y556"/>
    <mergeCell ref="S1707:S1711"/>
    <mergeCell ref="Z187:Z191"/>
    <mergeCell ref="AA1182:AA1186"/>
    <mergeCell ref="T477:T481"/>
    <mergeCell ref="F7:F11"/>
    <mergeCell ref="A722:A726"/>
    <mergeCell ref="AA1482:AA1486"/>
    <mergeCell ref="V112:V116"/>
    <mergeCell ref="A417:A421"/>
    <mergeCell ref="X1352:X1356"/>
    <mergeCell ref="F307:F311"/>
    <mergeCell ref="R727:R731"/>
    <mergeCell ref="A717:A721"/>
    <mergeCell ref="V107:V111"/>
    <mergeCell ref="R1027:R1031"/>
    <mergeCell ref="X172:X176"/>
    <mergeCell ref="AB327:AB331"/>
    <mergeCell ref="S1577:S1581"/>
    <mergeCell ref="AC882:AC886"/>
    <mergeCell ref="W1287:W1291"/>
    <mergeCell ref="AA382:AA386"/>
    <mergeCell ref="AA357:AA361"/>
    <mergeCell ref="Y922:Y926"/>
    <mergeCell ref="AA682:AA686"/>
    <mergeCell ref="F987:F991"/>
    <mergeCell ref="AB932:AB936"/>
    <mergeCell ref="Z1472:Z1476"/>
    <mergeCell ref="W1647:W1651"/>
    <mergeCell ref="Y187:Y191"/>
    <mergeCell ref="AD567:AD571"/>
    <mergeCell ref="V607:V611"/>
    <mergeCell ref="Y487:Y491"/>
    <mergeCell ref="AD867:AD871"/>
    <mergeCell ref="AA67:AA71"/>
    <mergeCell ref="W1642:W1646"/>
    <mergeCell ref="V302:V306"/>
    <mergeCell ref="X242:X246"/>
    <mergeCell ref="S477:S481"/>
    <mergeCell ref="AD562:AD566"/>
    <mergeCell ref="V907:V911"/>
    <mergeCell ref="Z1482:Z1486"/>
    <mergeCell ref="AD862:AD866"/>
    <mergeCell ref="X237:X241"/>
    <mergeCell ref="Y792:Y796"/>
    <mergeCell ref="AD132:AD136"/>
    <mergeCell ref="Y1092:Y1096"/>
    <mergeCell ref="V1292:V1296"/>
    <mergeCell ref="AD457:AD461"/>
    <mergeCell ref="AA632:AA636"/>
    <mergeCell ref="F1057:F1061"/>
    <mergeCell ref="F1032:F1036"/>
    <mergeCell ref="V1592:V1596"/>
    <mergeCell ref="AA422:AA426"/>
    <mergeCell ref="AC487:AC491"/>
    <mergeCell ref="V1287:V1291"/>
    <mergeCell ref="R97:R101"/>
    <mergeCell ref="AC182:AC186"/>
    <mergeCell ref="AA17:AA21"/>
    <mergeCell ref="AB1602:AB1606"/>
    <mergeCell ref="S1152:S1156"/>
    <mergeCell ref="AA317:AA321"/>
    <mergeCell ref="Y1472:Y1476"/>
    <mergeCell ref="S1452:S1456"/>
    <mergeCell ref="U607:U611"/>
    <mergeCell ref="S1147:S1151"/>
    <mergeCell ref="E677:E681"/>
    <mergeCell ref="U1212:U1216"/>
    <mergeCell ref="Z67:Z71"/>
    <mergeCell ref="U907:U911"/>
    <mergeCell ref="S1447:S1451"/>
    <mergeCell ref="R1202:R1206"/>
    <mergeCell ref="Z367:Z371"/>
    <mergeCell ref="Y1367:Y1371"/>
    <mergeCell ref="AD802:AD806"/>
    <mergeCell ref="X792:X796"/>
    <mergeCell ref="Y1667:Y1671"/>
    <mergeCell ref="V1332:V1336"/>
    <mergeCell ref="AC132:AC136"/>
    <mergeCell ref="R167:R171"/>
    <mergeCell ref="A157:A161"/>
    <mergeCell ref="Z552:Z556"/>
    <mergeCell ref="U172:U176"/>
    <mergeCell ref="X1092:X1096"/>
    <mergeCell ref="R467:R471"/>
    <mergeCell ref="R162:R166"/>
    <mergeCell ref="AB1552:AB1556"/>
    <mergeCell ref="X1392:X1396"/>
    <mergeCell ref="X1417:X1421"/>
    <mergeCell ref="T227:T231"/>
    <mergeCell ref="R767:R771"/>
    <mergeCell ref="AD1617:AD1621"/>
    <mergeCell ref="T222:T226"/>
    <mergeCell ref="F432:F436"/>
    <mergeCell ref="X987:X991"/>
    <mergeCell ref="AA1602:AA1606"/>
    <mergeCell ref="F732:F736"/>
    <mergeCell ref="U977:U981"/>
    <mergeCell ref="AC1667:AC1671"/>
    <mergeCell ref="R1152:R1156"/>
    <mergeCell ref="F427:F431"/>
    <mergeCell ref="W737:W741"/>
    <mergeCell ref="U1277:U1281"/>
    <mergeCell ref="T912:T916"/>
    <mergeCell ref="R1452:R1456"/>
    <mergeCell ref="Y372:Y376"/>
    <mergeCell ref="R1147:R1151"/>
    <mergeCell ref="W1037:W1041"/>
    <mergeCell ref="U1577:U1581"/>
    <mergeCell ref="T1212:T1216"/>
    <mergeCell ref="Y67:Y71"/>
    <mergeCell ref="AA132:AA136"/>
    <mergeCell ref="AA867:AA871"/>
    <mergeCell ref="Y672:Y676"/>
    <mergeCell ref="T907:T911"/>
    <mergeCell ref="Z922:Z926"/>
    <mergeCell ref="X1462:X1466"/>
    <mergeCell ref="T297:T301"/>
    <mergeCell ref="F1112:F1116"/>
    <mergeCell ref="AB682:AB686"/>
    <mergeCell ref="Z1222:Z1226"/>
    <mergeCell ref="V57:V61"/>
    <mergeCell ref="T597:T601"/>
    <mergeCell ref="AD317:AD321"/>
    <mergeCell ref="E47:E51"/>
    <mergeCell ref="T292:T296"/>
    <mergeCell ref="AD1682:AD1686"/>
    <mergeCell ref="Z1522:Z1526"/>
    <mergeCell ref="AD12:AD16"/>
    <mergeCell ref="V357:V361"/>
    <mergeCell ref="T897:T901"/>
    <mergeCell ref="AD202:AD206"/>
    <mergeCell ref="V52:V56"/>
    <mergeCell ref="AD312:AD316"/>
    <mergeCell ref="A1642:A1646"/>
    <mergeCell ref="V352:V356"/>
    <mergeCell ref="Z1607:Z1611"/>
    <mergeCell ref="AD197:AD201"/>
    <mergeCell ref="F1102:F1106"/>
    <mergeCell ref="A1337:A1341"/>
    <mergeCell ref="R1647:R1651"/>
    <mergeCell ref="F797:F801"/>
    <mergeCell ref="E432:E436"/>
    <mergeCell ref="AC1732:AC1736"/>
    <mergeCell ref="Y542:Y546"/>
    <mergeCell ref="W1107:W1111"/>
    <mergeCell ref="W1082:W1086"/>
    <mergeCell ref="T1282:T1286"/>
    <mergeCell ref="T1257:T1261"/>
    <mergeCell ref="Z1602:Z1606"/>
    <mergeCell ref="E732:E736"/>
    <mergeCell ref="T977:T981"/>
    <mergeCell ref="AB1667:AB1671"/>
    <mergeCell ref="Z122:Z126"/>
    <mergeCell ref="W1407:W1411"/>
    <mergeCell ref="V1042:V1046"/>
    <mergeCell ref="T1582:T1586"/>
    <mergeCell ref="T1277:T1281"/>
    <mergeCell ref="W1707:W1711"/>
    <mergeCell ref="V1342:V1346"/>
    <mergeCell ref="V1037:V1041"/>
    <mergeCell ref="AB752:AB756"/>
    <mergeCell ref="AD882:AD886"/>
    <mergeCell ref="F1457:F1461"/>
    <mergeCell ref="E117:E121"/>
    <mergeCell ref="AB1052:AB1056"/>
    <mergeCell ref="Y1227:Y1231"/>
    <mergeCell ref="W1462:W1466"/>
    <mergeCell ref="E417:E421"/>
    <mergeCell ref="AB1352:AB1356"/>
    <mergeCell ref="Y1527:Y1531"/>
    <mergeCell ref="S902:S906"/>
    <mergeCell ref="Y1222:Y1226"/>
    <mergeCell ref="AC932:AC936"/>
    <mergeCell ref="S597:S601"/>
    <mergeCell ref="Y1522:Y1526"/>
    <mergeCell ref="S897:S901"/>
    <mergeCell ref="AC202:AC206"/>
    <mergeCell ref="E777:E781"/>
    <mergeCell ref="AB1737:AB1741"/>
    <mergeCell ref="W1357:W1361"/>
    <mergeCell ref="AC502:AC506"/>
    <mergeCell ref="T1752:T1756"/>
    <mergeCell ref="E1102:E1106"/>
    <mergeCell ref="V1387:V1391"/>
    <mergeCell ref="AB1732:AB1736"/>
    <mergeCell ref="X542:X546"/>
    <mergeCell ref="V1107:V1111"/>
    <mergeCell ref="V1082:V1086"/>
    <mergeCell ref="E1402:E1406"/>
    <mergeCell ref="AB252:AB256"/>
    <mergeCell ref="V1407:V1411"/>
    <mergeCell ref="AB552:AB556"/>
    <mergeCell ref="F1652:F1656"/>
    <mergeCell ref="R217:R221"/>
    <mergeCell ref="X1167:X1171"/>
    <mergeCell ref="X1517:X1521"/>
    <mergeCell ref="AA1357:AA1361"/>
    <mergeCell ref="W477:W481"/>
    <mergeCell ref="F182:F186"/>
    <mergeCell ref="AA1657:AA1661"/>
    <mergeCell ref="AA1352:AA1356"/>
    <mergeCell ref="U727:U731"/>
    <mergeCell ref="R902:R906"/>
    <mergeCell ref="AC572:AC576"/>
    <mergeCell ref="F177:F181"/>
    <mergeCell ref="U1027:U1031"/>
    <mergeCell ref="AC872:AC876"/>
    <mergeCell ref="W837:W841"/>
    <mergeCell ref="AB202:AB206"/>
    <mergeCell ref="AB502:AB506"/>
    <mergeCell ref="AD57:AD61"/>
    <mergeCell ref="Z672:Z676"/>
    <mergeCell ref="X1537:X1541"/>
    <mergeCell ref="R1502:R1506"/>
    <mergeCell ref="T42:T46"/>
    <mergeCell ref="E1652:E1656"/>
    <mergeCell ref="AC1472:AC1476"/>
    <mergeCell ref="Z1647:Z1651"/>
    <mergeCell ref="V482:V486"/>
    <mergeCell ref="T1022:T1026"/>
    <mergeCell ref="AC1487:AC1491"/>
    <mergeCell ref="A1392:A1396"/>
    <mergeCell ref="F247:F251"/>
    <mergeCell ref="V782:V786"/>
    <mergeCell ref="F852:F856"/>
    <mergeCell ref="A1087:A1091"/>
    <mergeCell ref="V477:V481"/>
    <mergeCell ref="F547:F551"/>
    <mergeCell ref="Z1657:Z1661"/>
    <mergeCell ref="AC2:AC6"/>
    <mergeCell ref="Y967:Y971"/>
    <mergeCell ref="AD332:AD336"/>
    <mergeCell ref="Y1292:Y1296"/>
    <mergeCell ref="AD632:AD636"/>
    <mergeCell ref="F1232:F1236"/>
    <mergeCell ref="S337:S341"/>
    <mergeCell ref="Y1592:Y1596"/>
    <mergeCell ref="AB802:AB806"/>
    <mergeCell ref="U97:U101"/>
    <mergeCell ref="AC382:AC386"/>
    <mergeCell ref="A1462:A1466"/>
    <mergeCell ref="AC682:AC686"/>
    <mergeCell ref="A1157:A1161"/>
    <mergeCell ref="AD1237:AD1241"/>
    <mergeCell ref="X612:X616"/>
    <mergeCell ref="V1152:V1156"/>
    <mergeCell ref="S1327:S1331"/>
    <mergeCell ref="AD932:AD936"/>
    <mergeCell ref="AB1472:AB1476"/>
    <mergeCell ref="A1457:A1461"/>
    <mergeCell ref="U482:U486"/>
    <mergeCell ref="S1022:S1026"/>
    <mergeCell ref="X912:X916"/>
    <mergeCell ref="X607:X611"/>
    <mergeCell ref="U782:U786"/>
    <mergeCell ref="S1322:S1326"/>
    <mergeCell ref="E852:E856"/>
    <mergeCell ref="X1212:X1216"/>
    <mergeCell ref="Z242:Z246"/>
    <mergeCell ref="U477:U481"/>
    <mergeCell ref="AD502:AD506"/>
    <mergeCell ref="X907:X911"/>
    <mergeCell ref="AB2:AB6"/>
    <mergeCell ref="Z542:Z546"/>
    <mergeCell ref="F1707:F1711"/>
    <mergeCell ref="AA1097:AA1101"/>
    <mergeCell ref="F1402:F1406"/>
    <mergeCell ref="AC252:AC256"/>
    <mergeCell ref="A32:A36"/>
    <mergeCell ref="AA792:AA796"/>
    <mergeCell ref="U167:U171"/>
    <mergeCell ref="R342:R346"/>
    <mergeCell ref="F1702:F1706"/>
    <mergeCell ref="AC552:AC556"/>
    <mergeCell ref="A332:A336"/>
    <mergeCell ref="X1292:X1296"/>
    <mergeCell ref="X1267:X1271"/>
    <mergeCell ref="U467:U471"/>
    <mergeCell ref="T102:T106"/>
    <mergeCell ref="R642:R646"/>
    <mergeCell ref="AC752:AC756"/>
    <mergeCell ref="R337:R341"/>
    <mergeCell ref="X1592:X1596"/>
    <mergeCell ref="X1567:X1571"/>
    <mergeCell ref="W227:W231"/>
    <mergeCell ref="T402:T406"/>
    <mergeCell ref="R942:R946"/>
    <mergeCell ref="T97:T101"/>
    <mergeCell ref="AD1607:AD1611"/>
    <mergeCell ref="AC322:AC326"/>
    <mergeCell ref="F607:F611"/>
    <mergeCell ref="X1282:X1286"/>
    <mergeCell ref="S1517:S1521"/>
    <mergeCell ref="F302:F306"/>
    <mergeCell ref="AC622:AC626"/>
    <mergeCell ref="AD1602:AD1606"/>
    <mergeCell ref="AC1237:AC1241"/>
    <mergeCell ref="X977:X981"/>
    <mergeCell ref="F907:F911"/>
    <mergeCell ref="W612:W616"/>
    <mergeCell ref="U1152:U1156"/>
    <mergeCell ref="W587:W591"/>
    <mergeCell ref="W912:W916"/>
    <mergeCell ref="U1452:U1456"/>
    <mergeCell ref="AB372:AB376"/>
    <mergeCell ref="W607:W611"/>
    <mergeCell ref="W1212:W1216"/>
    <mergeCell ref="AB672:AB676"/>
    <mergeCell ref="A832:A836"/>
    <mergeCell ref="Z797:Z801"/>
    <mergeCell ref="A527:A531"/>
    <mergeCell ref="AC1227:AC1231"/>
    <mergeCell ref="AC922:AC926"/>
    <mergeCell ref="Z1097:Z1101"/>
    <mergeCell ref="X1637:X1641"/>
    <mergeCell ref="T472:T476"/>
    <mergeCell ref="F287:F291"/>
    <mergeCell ref="T167:T171"/>
    <mergeCell ref="AB857:AB861"/>
    <mergeCell ref="AC1222:AC1226"/>
    <mergeCell ref="Z1397:Z1401"/>
    <mergeCell ref="V232:V236"/>
    <mergeCell ref="E1702:E1706"/>
    <mergeCell ref="T772:T776"/>
    <mergeCell ref="E222:E226"/>
    <mergeCell ref="T467:T471"/>
    <mergeCell ref="V532:V536"/>
    <mergeCell ref="T1072:T1076"/>
    <mergeCell ref="V227:V231"/>
    <mergeCell ref="AD72:AD76"/>
    <mergeCell ref="F977:F981"/>
    <mergeCell ref="AC1607:AC1611"/>
    <mergeCell ref="AB322:AB326"/>
    <mergeCell ref="F972:F976"/>
    <mergeCell ref="Y742:Y746"/>
    <mergeCell ref="Y717:Y721"/>
    <mergeCell ref="W1282:W1286"/>
    <mergeCell ref="AC122:AC126"/>
    <mergeCell ref="Y1042:Y1046"/>
    <mergeCell ref="W1582:W1586"/>
    <mergeCell ref="Y737:Y741"/>
    <mergeCell ref="F982:F986"/>
    <mergeCell ref="S87:S91"/>
    <mergeCell ref="Y1342:Y1346"/>
    <mergeCell ref="AC1172:AC1176"/>
    <mergeCell ref="AB927:AB931"/>
    <mergeCell ref="E292:E296"/>
    <mergeCell ref="AB1227:AB1231"/>
    <mergeCell ref="V602:V606"/>
    <mergeCell ref="AB922:AB926"/>
    <mergeCell ref="E592:E596"/>
    <mergeCell ref="V297:V301"/>
    <mergeCell ref="AD987:AD991"/>
    <mergeCell ref="AB1527:AB1531"/>
    <mergeCell ref="S472:S476"/>
    <mergeCell ref="X362:X366"/>
    <mergeCell ref="V902:V906"/>
    <mergeCell ref="S1077:S1081"/>
    <mergeCell ref="AB1222:AB1226"/>
    <mergeCell ref="A1207:A1211"/>
    <mergeCell ref="V597:V601"/>
    <mergeCell ref="S772:S776"/>
    <mergeCell ref="AB492:AB496"/>
    <mergeCell ref="X357:X361"/>
    <mergeCell ref="U532:U536"/>
    <mergeCell ref="S1072:S1076"/>
    <mergeCell ref="AC72:AC76"/>
    <mergeCell ref="AA242:AA246"/>
    <mergeCell ref="AA847:AA851"/>
    <mergeCell ref="AA542:AA546"/>
    <mergeCell ref="Y1082:Y1086"/>
    <mergeCell ref="R707:R711"/>
    <mergeCell ref="V1282:V1286"/>
    <mergeCell ref="R92:R96"/>
    <mergeCell ref="S1677:S1681"/>
    <mergeCell ref="A107:A111"/>
    <mergeCell ref="A82:A86"/>
    <mergeCell ref="V1582:V1586"/>
    <mergeCell ref="U217:U221"/>
    <mergeCell ref="R87:R91"/>
    <mergeCell ref="X1342:X1346"/>
    <mergeCell ref="AD1057:AD1061"/>
    <mergeCell ref="AD1357:AD1361"/>
    <mergeCell ref="AD1052:AD1056"/>
    <mergeCell ref="AA1227:AA1231"/>
    <mergeCell ref="S1572:S1576"/>
    <mergeCell ref="F357:F361"/>
    <mergeCell ref="U602:U606"/>
    <mergeCell ref="AD1657:AD1661"/>
    <mergeCell ref="Z492:Z496"/>
    <mergeCell ref="X1032:X1036"/>
    <mergeCell ref="S1267:S1271"/>
    <mergeCell ref="F52:F56"/>
    <mergeCell ref="AD1352:AD1356"/>
    <mergeCell ref="AA1527:AA1531"/>
    <mergeCell ref="X727:X731"/>
    <mergeCell ref="U902:U906"/>
    <mergeCell ref="AA47:AA51"/>
    <mergeCell ref="E1147:E1151"/>
    <mergeCell ref="S1567:S1571"/>
    <mergeCell ref="F352:F356"/>
    <mergeCell ref="E1472:E1476"/>
    <mergeCell ref="T212:T216"/>
    <mergeCell ref="V1452:V1456"/>
    <mergeCell ref="S1627:S1631"/>
    <mergeCell ref="A582:A586"/>
    <mergeCell ref="W1337:W1341"/>
    <mergeCell ref="AC372:AC376"/>
    <mergeCell ref="F42:F46"/>
    <mergeCell ref="A277:A281"/>
    <mergeCell ref="AD257:AD261"/>
    <mergeCell ref="V1752:V1756"/>
    <mergeCell ref="T207:T211"/>
    <mergeCell ref="AC672:AC676"/>
    <mergeCell ref="Z847:Z851"/>
    <mergeCell ref="X1387:X1391"/>
    <mergeCell ref="A577:A581"/>
    <mergeCell ref="AD557:AD561"/>
    <mergeCell ref="F37:F41"/>
    <mergeCell ref="T217:T221"/>
    <mergeCell ref="AD127:AD131"/>
    <mergeCell ref="Y482:Y486"/>
    <mergeCell ref="V657:V661"/>
    <mergeCell ref="F727:F731"/>
    <mergeCell ref="AA117:AA121"/>
    <mergeCell ref="A1567:A1571"/>
    <mergeCell ref="F422:F426"/>
    <mergeCell ref="Y782:Y786"/>
    <mergeCell ref="AC1357:AC1361"/>
    <mergeCell ref="V957:V961"/>
    <mergeCell ref="F1027:F1031"/>
    <mergeCell ref="A1262:A1266"/>
    <mergeCell ref="F722:F726"/>
    <mergeCell ref="AC1657:AC1661"/>
    <mergeCell ref="AA112:AA116"/>
    <mergeCell ref="W1032:W1036"/>
    <mergeCell ref="AC177:AC181"/>
    <mergeCell ref="AD427:AD431"/>
    <mergeCell ref="AB967:AB971"/>
    <mergeCell ref="Y1142:Y1146"/>
    <mergeCell ref="AC172:AC176"/>
    <mergeCell ref="V342:V346"/>
    <mergeCell ref="AB1292:AB1296"/>
    <mergeCell ref="S212:S216"/>
    <mergeCell ref="Y1467:Y1471"/>
    <mergeCell ref="X102:X106"/>
    <mergeCell ref="V337:V341"/>
    <mergeCell ref="AB1592:AB1596"/>
    <mergeCell ref="S512:S516"/>
    <mergeCell ref="E42:E46"/>
    <mergeCell ref="T1507:T1511"/>
    <mergeCell ref="X97:X101"/>
    <mergeCell ref="AB1652:AB1656"/>
    <mergeCell ref="A1637:A1641"/>
    <mergeCell ref="AD192:AD196"/>
    <mergeCell ref="A1332:A1336"/>
    <mergeCell ref="T1692:T1696"/>
    <mergeCell ref="X787:X791"/>
    <mergeCell ref="AB1647:AB1651"/>
    <mergeCell ref="A1632:A1636"/>
    <mergeCell ref="AC247:AC251"/>
    <mergeCell ref="X482:X486"/>
    <mergeCell ref="V1022:V1026"/>
    <mergeCell ref="A152:A156"/>
    <mergeCell ref="X1087:X1091"/>
    <mergeCell ref="X782:X786"/>
    <mergeCell ref="R157:R161"/>
    <mergeCell ref="AC242:AC246"/>
    <mergeCell ref="AB1242:AB1246"/>
    <mergeCell ref="AD797:AD801"/>
    <mergeCell ref="R457:R461"/>
    <mergeCell ref="F1277:F1281"/>
    <mergeCell ref="AD1097:AD1101"/>
    <mergeCell ref="AA1272:AA1276"/>
    <mergeCell ref="F1577:F1581"/>
    <mergeCell ref="AC427:AC431"/>
    <mergeCell ref="AA967:AA971"/>
    <mergeCell ref="F97:F101"/>
    <mergeCell ref="U342:U346"/>
    <mergeCell ref="AA1292:AA1296"/>
    <mergeCell ref="AA1267:AA1271"/>
    <mergeCell ref="W102:W106"/>
    <mergeCell ref="U642:U646"/>
    <mergeCell ref="R1062:R1066"/>
    <mergeCell ref="W402:W406"/>
    <mergeCell ref="V1497:V1501"/>
    <mergeCell ref="AA862:AA866"/>
    <mergeCell ref="T392:T396"/>
    <mergeCell ref="E897:E901"/>
    <mergeCell ref="AA1162:AA1166"/>
    <mergeCell ref="S1692:S1696"/>
    <mergeCell ref="Z612:Z616"/>
    <mergeCell ref="X1152:X1156"/>
    <mergeCell ref="Z1217:Z1221"/>
    <mergeCell ref="AB247:AB251"/>
    <mergeCell ref="E1522:E1526"/>
    <mergeCell ref="Z912:Z916"/>
    <mergeCell ref="AD7:AD11"/>
    <mergeCell ref="AB547:AB551"/>
    <mergeCell ref="Z1212:Z1216"/>
    <mergeCell ref="F167:F171"/>
    <mergeCell ref="X1337:X1341"/>
    <mergeCell ref="AD307:AD311"/>
    <mergeCell ref="AC797:AC801"/>
    <mergeCell ref="AC1402:AC1406"/>
    <mergeCell ref="R1012:R1016"/>
    <mergeCell ref="F162:F166"/>
    <mergeCell ref="Z177:Z181"/>
    <mergeCell ref="AC1097:AC1101"/>
    <mergeCell ref="W472:W476"/>
    <mergeCell ref="T647:T651"/>
    <mergeCell ref="R1312:R1316"/>
    <mergeCell ref="W167:W171"/>
    <mergeCell ref="AC1422:AC1426"/>
    <mergeCell ref="T342:T346"/>
    <mergeCell ref="AC1397:AC1401"/>
    <mergeCell ref="Y232:Y236"/>
    <mergeCell ref="W772:W776"/>
    <mergeCell ref="V407:V411"/>
    <mergeCell ref="T947:T951"/>
    <mergeCell ref="V102:V106"/>
    <mergeCell ref="T642:T646"/>
    <mergeCell ref="Y532:Y536"/>
    <mergeCell ref="V402:V406"/>
    <mergeCell ref="R1697:R1701"/>
    <mergeCell ref="AB417:AB421"/>
    <mergeCell ref="W1157:W1161"/>
    <mergeCell ref="F1147:F1151"/>
    <mergeCell ref="AD177:AD181"/>
    <mergeCell ref="AB742:AB746"/>
    <mergeCell ref="AB717:AB721"/>
    <mergeCell ref="Z1282:Z1286"/>
    <mergeCell ref="Y917:Y921"/>
    <mergeCell ref="W1457:W1461"/>
    <mergeCell ref="R1692:R1696"/>
    <mergeCell ref="V92:V96"/>
    <mergeCell ref="E107:E111"/>
    <mergeCell ref="AB1042:AB1046"/>
    <mergeCell ref="Y1217:Y1221"/>
    <mergeCell ref="Y912:Y916"/>
    <mergeCell ref="V87:V91"/>
    <mergeCell ref="AB1342:AB1346"/>
    <mergeCell ref="S262:S266"/>
    <mergeCell ref="Z1467:Z1471"/>
  </mergeCells>
  <conditionalFormatting sqref="C1:K1">
    <cfRule type="expression" priority="16" dxfId="10">
      <formula>MOD(ROW()-1, 5)=0</formula>
    </cfRule>
  </conditionalFormatting>
  <conditionalFormatting sqref="A1:D2 A7:F7 A12 A17 A22 A27 A32 A37 A42 A47 A52 A57 A62 A67 A72 A77 A82 A87 A92 A97 A102 A107 A112 A117 A122 A127 A132 A137 A142 A147 A152 A157 A162 A167 A172 A177 A182 A187 A192 A197 A202 A207 A212 A217 A222 A227 A232 A237 A242 A247 A252 A257 A262 A267 A272 A277 A282 A287 A292 A297 A302 A307 A312 A317 A322 A327 A332 A337 A342 A347 A352 A357 A362 A367 A372 A377 A382 A387 A392 A397 A402 A407 A412 A417 A422 A427 A432 A437 A442 A447 A452 A457 A462 A467 A472 A477 A482 A487 A492 A497 A502 A507 A512 A517 A522 A527 A532 A537 A542 A547 A552 A557 A562 A567 A572 A577 A582 A587 A592 A597 A602 A607 A612 A617 A622 A627 A632 A637 A642 A647 A652 A657 A662 A667 A672 A677 A682 A687 A692 A697 A702 A707 A712 A717 A722 A727 A732 A737 A742 A747 A752 A757 A762 A767 A772 A777 A782 A787 A792 A797 A802 A807 A812 A817 A822 A827 A832 A837 A842 A847 A852 A857 A862 A867 A872 A877 A882 A887 A892 A897 A902 A907 A912 A917 A922 A927 A932 A937 A942 A947 A952 A957 A962 A967 A972 A977 A982 A987 A992 A997 A1002 A1007 A1012 A1017 A1022 A1027 A1032 A1037 A1042 A1047 A1052 A1057 A1062 A1067 A1072 A1077 A1082 A1087 A1092 A1097 A1102 A1107 A1112 A1117 A1122 A1127 A1132 A1137 A1142 A1147 A1152 A1157 A1162 A1167 A1172 A1177 A1182 A1187 A1192 A1197 A1202 A1207 A1212 A1217 A1222 A1227 A1232 A1237 A1242 A1247 A1252 A1257 A1262 A1267 A1272 A1277 A1282 A1287 A1292 A1297 A1302 A1307 A1312 A1317 A1322 A1327 A1332 A1337 A1342 A1347 A1352 A1357 A1362 A1367 A1372 A1377 A1382 A1387 A1392 A1397 A1402 A1407 A1412 A1417 A1422 A1427 A1432 A1437 A1442 A1447 A1452 A1457 A1462 A1467 A1472 A1477 A1482 A1487 A1492 A1497 A1502 A1507 A1512 A1517 A1522 A1527 A1532 A1537 A1542 A1547 A1552 A1557 A1562 A1567 A1572 A1577 A1582 A1587 A1592 A1597 A1602 A1607 A1612 A1617 A1622 A1627 A1632 A1637 A1642 A1647 A1652 A1657 A1662 A1667 A1672 A1677 A1682 A1687 A1692 A1697 A1702 A1707 A1712 A1717 A1722 A1727 A1732 A1737 A1742 A1747:D1048576 B3:D6 B8:D1746 D3:D26 E1:P1 E2:M2 E12:F12 E17:F17 E22:F22 E27:F27 E32:F32 E37:F37 E42:F42 E47:F47 E52:F52 E57:F57 E62:F62 E67:F67 E72:F72 E77:F77 E82:F82 E87:F87 E92:F92 E97:F97 E102:F102 E107:F107 E112:F112 E117:F117 E122:F122 E127:F127 E132:F132 E137:F137 E142:F142 E147:F147 E152:F152 E157:F157 E162:F162 E167:F167 E172:F172 E177:F177 E182:F182 E187:F187 E192:F192 E197:F197 E202:F202 E207:F207 E212:F212 E217:F217 E222:F222 E227:F227 E232:F232 E237:F237 E242:F242 E247:F247 E252:F252 E257:F257 E262:F262 E267:F267 E272:F272 E277:F277 E282:F282 E287:F287 E292:F292 E297:F297 E302:F302 E307:F307 E312:F312 E317:F317 E322:F322 E327:F327 E332:F332 E337:F337 E342:F342 E347:F347 E352:F352 E357:F357 E362:F362 E367:F367 E372:F372 E377:F377 E382:F382 E387:F387 E392:F392 E397:F397 E402:F402 E407:F407 E412:F412 E417:F417 E422:F422 E427:F427 E432:F432 E437:F437 E442:F442 E447:F447 E452:F452 E457:F457 E462:F462 E467:F467 E472:F472 E477:F477 E482:F482 E487:F487 E492:F492 E497:F497 E502:F502 E507:F507 E512:F512 E517:F517 E522:F522 E527:F527 E532:F532 E537:F537 E542:F542 E547:F547 E552:F552 E557:F557 E562:F562 E567:F567 E572:F572 E577:F577 E582:F582 E587:F587 E592:F592 E597:F597 E602:F602 E607:F607 E612:F612 E617:F617 E622:F622 E627:F627 E632:F632 E637:F637 E642:F642 E647:F647 E652:F652 E657:F657 E662:F662 E667:F667 E672:F672 E677:F677 E682:F682 E687:F687 E692:F692 E697:F697 E702:F702 E707:F707 E712:F712 E717:F717 E722:F722 E727:F727 E732:F732 E737:F737 E742:F742 E747:F747 E752:F752 E757:F757 E762:F762 E767:F767 E772:F772 E777:F777 E782:F782 E787:F787 E792:F792 E797:F797 E802:F802 E807:F807 E812:F812 E817:F817 E822:F822 E827:F827 E832:F832 E837:F837 E842:F842 E847:F847 E852:F852 E857:F857 E862:F862 E867:F867 E872:F872 E877:F877 E882:F882 E887:F887 E892:F892 E897:F897 E902:F902 E907:F907 E912:F912 E917:F917 E922:F922 E927:F927 E932:F932 E937:F937 E942:F942 E947:F947 E952:F952 E957:F957 E962:F962 E967:F967 E972:F972 E977:F977 E982:F982 E987:F987 E992:F992 E997:F997 E1002:F1002 E1007:F1007 E1012:F1012 E1017:F1017 E1022:F1022 E1027:F1027 E1032:F1032 E1037:F1037 E1042:F1042 E1047:F1047 E1052:F1052 E1057:F1057 E1062:F1062 E1067:F1067 E1072:F1072 E1077:F1077 E1082:F1082 E1087:F1087 E1092:F1092 E1097:F1097 E1102:F1102 E1107:F1107 E1112:F1112 E1117:F1117 E1122:F1122 E1127:F1127 E1132:F1132 E1137:F1137 E1142:F1142 E1147:F1147 E1152:F1152 E1157:F1157 E1162:F1162 E1167:F1167 E1172:F1172 E1177:F1177 E1182:F1182 E1187:F1187 E1192:F1192 E1197:F1197 E1202:F1202 E1207:F1207 E1212:F1212 E1217:F1217 E1222:F1222 E1227:F1227 E1232:F1232 E1237:F1237 E1242:F1242 E1247:F1247 E1252:F1252 E1257:F1257 E1262:F1262 E1267:F1267 E1272:F1272 E1277:F1277 E1282:F1282 E1287:F1287 E1292:F1292 E1297:F1297 E1302:F1302 E1307:F1307 E1312:F1312 E1317:F1317 E1322:F1322 E1327:F1327 E1332:F1332 E1337:F1337 E1342:F1342 E1347:F1347 E1352:F1352 E1357:F1357 E1362:F1362 E1367:F1367 E1372:F1372 E1377:F1377 E1382:F1382 E1387:F1387 E1392:F1392 E1397:F1397 E1402:F1402 E1407:F1407 E1412:F1412 E1417:F1417 E1422:F1422 E1427:F1427 E1432:F1432 E1437:F1437 E1442:F1442 E1447:F1447 E1452:F1452 E1457:F1457 E1462:F1462 E1467:F1467 E1472:F1472 E1477:F1477 E1482:F1482 E1487:F1487 E1492:F1492 E1497:F1497 E1502:F1502 E1507:F1507 E1512:F1512 E1517:F1517 E1522:F1522 E1527:F1527 E1532:F1532 E1537:F1537 E1542:F1542 E1547:F1547 E1552:F1552 E1557:F1557 E1562:F1562 E1567:F1567 E1572:F1572 E1577:F1577 E1582:F1582 E1587:F1587 E1592:F1592 E1597:F1597 E1602:F1602 E1607:F1607 E1612:F1612 E1617:F1617 E1622:F1622 E1627:F1627 E1632:F1632 E1637:F1637 E1642:F1642 E1647:F1647 E1652:F1652 E1657:F1657 E1662:F1662 E1667:F1667 E1672:F1672 E1677:F1677 E1682:F1682 E1687:F1687 E1692:F1692 E1697:F1697 E1702:F1702 E1707:E1746 E1747:O1756 E1757:Q1766 E1767:Y1048576 F1707 F1712 F1717 F1722 F1727 F1732 F1737 F1742 G3:H1746 I1:I1746 J3:M1746 P2:Q1551 P1552:AD1552 P1553:Q1756 R2:AB2 R7:AD7 R12:AD12 R17:AD17 R22:AD22 R27:AD27 R32:AD32 R37:AD37 R42:AD42 R47:AD47 R52:AD52 R57:AD57 R62:AD62 R67:AD67 R72:AD72 R77:AD77 R82:AD82 R87:AD87 R92:AD92 R97:AD97 R102:AD102 R107:AD107 R112:AD112 R117:AD117 R122:AD122 R127:AD127 R132:AD132 R137:AD137 R142:AD142 R147:AD147 R152:AD152 R157:AD157 R162:AD162 R167:AD167 R172:AD172 R177:AD177 R182:AD182 R187:AD187 R192:AD192 R197:AD197 R202:AD202 R207:AD207 R212:AD212 R217:AD217 R222:AD222 R227:AD227 R232:AD232 R237:AD237 R242:AD242 R247:AD247 R252:AD252 R257:AD257 R262:AD262 R267:AD267 R272:AD272 R277:AD277 R282:AD282 R287:AD287 R292:AD292 R297:AD297 R302:AD302 R307:AD307 R312:AD312 R317:AD317 R322:AD322 R327:AD327 R332:AD332 R337:AD337 R342:AD342 R347:AD347 R352:AD352 R357:AD357 R362:AD362 R367:AD367 R372:AD372 R377:AD377 R382:AD382 R387:AD387 R392:AD392 R397:AD397 R402:AD402 R407:AD407 R412:AD412 R417:AD417 R422:AD422 R427:AD427 R432:AD432 R437:AD437 R442:AD442 R447:AD447 R452:AD452 R457:AD457 R462:AD462 R467:AD467 R472:AD472 R477:AD477 R482:AD482 R487:AD487 R492:AD492 R497:AD497 R502:AD502 R507:AD507 R512:AD512 R517:AD517 R522:AD522 R527:AD527 R532:AD532 R537:AD537 R542:AD542 R547:AD547 R552:AD552 R557:AD557 R562:AD562 R567:AD567 R572:AD572 R577:AD577 R582:AD582 R587:AD587 R592:AD592 R597:AD597 R602:AD602 R607:AD607 R612:AD612 R617:AD617 R622:AD622 R627:AD627 R632:AD632 R637:AD637 R642:AD642 R647:AD647 R652:AD652 R657:AD657 R662:AD662 R667:AD667 R672:AD672 R677:AD677 R682:AD682 R687:AD687 R692:AD692 R697:AD697 R702:AD702 R707:AD707 R712:AD712 R717:AD717 R722:AD722 R727:AD727 R732:AD732 R737:AD737 R742:AD742 R747:AD747 R752:AD752 R757:AD757 R762:AD762 R767:AD767 R772:AD772 R777:AD777 R782:AD782 R787:AD787 R792:AD792 R797:AD797 R802:AD802 R807:AD807 R812:AD812 R817:AD817 R822:AD822 R827:AD827 R832:AD832 R837:AD837 R842:AD842 R847:AD847 R852:AD852 R857:AD857 R862:AD862 R867:AD867 R872:AD872 R877:AD877 R882:AD882 R887:AD887 R892:AD892 R897:AD897 R902:AD902 R907:AD907 R912:AD912 R917:AD917 R922:AD922 R927:AD927 R932:AD932 R937:AD937 R942:AD942 R947:AD947 R952:AD952 R957:AD957 R962:AD962 R967:AD967 R972:AD972 R977:AD977 R982:AD982 R987:AD987 R992:AD992 R997:AD997 R1002:AD1002 R1007:AD1007 R1012:AD1012 R1017:AD1017 R1022:AD1022 R1027:AD1027 R1032:AD1032 R1037:AD1037 R1042:AD1042 R1047:AD1047 R1052:AD1052 R1057:AD1057 R1062:AD1062 R1067:AD1067 R1072:AD1072 R1077:AD1077 R1082:AD1082 R1087:AD1087 R1092:AD1092 R1097:AD1097 R1102:AD1102 R1107:AD1107 R1112:AD1112 R1117:AD1117 R1122:AD1122 R1127:AD1127 R1132:AD1132 R1137:AD1137 R1142:AD1142 R1147:AD1147 R1152:AD1152 R1157:AD1157 R1162:AD1162 R1167:AD1167 R1172:AD1172 R1177:AD1177 R1182:AD1182 R1187:AD1187 R1192:AD1192 R1197:AD1197 R1202:AD1202 R1207:AD1207 R1212:AD1212 R1217:AD1217 R1222:AD1222 R1227:AD1227 R1232:AD1232 R1237:AD1237 R1242:AD1242 R1247:AD1247 R1252:AD1252 R1257:AD1257 R1262:AD1262 R1267:AD1267 R1272:AD1272 R1277:AD1277 R1282:AD1282 R1287:AD1287 R1292:AD1292 R1297:AD1297 R1302:AD1302 R1307:AD1307 R1312:AD1312 R1317:AD1317 R1322:AD1322 R1327:AD1327 R1332:AD1332 R1337:AD1337 R1342:AD1342 R1347:AD1347 R1352:AD1352 R1357:AD1357 R1362:AD1362 R1367:AD1367 R1372:AD1372 R1377:AD1377 R1382:AD1382 R1387:AD1387 R1392:AD1392 R1397:AD1397 R1402:AD1402 R1407:AD1407 R1412:AD1412 R1417:AD1417 R1422:AD1422 R1427:AD1427 R1432:AD1432 R1437:AD1437 R1442:AD1442 R1447:AD1447 R1452:AD1452 R1457:AD1457 R1462:AD1462 R1467:AD1467 R1472:AD1472 R1477:AD1477 R1482:AD1482 R1487:AD1487 R1492:AD1492 R1497:AD1497 R1502:AD1502 R1507:AD1507 R1512:AD1512 R1517:AD1517 R1522:AD1522 R1527:AD1527 R1532:AD1532 R1537:AD1537 R1542:AD1542 R1547:AD1547 R1557:AD1557 R1562:AD1562 R1567:AD1567 R1572:AD1572 R1577:AD1577 R1582:AD1582 R1587:AD1587 R1592:AD1592 R1597:AD1597 R1602:AD1602 R1607:AD1607 R1612:AD1612 R1617:AD1617 R1622:AD1622 R1627:AD1627 R1632:AD1632 R1637:AD1637 R1642:AD1642 R1647:AD1647 R1652:AD1652 R1657:AD1657 R1662:AD1662 R1667:AD1667 R1672:AD1672 R1677:AD1677 R1682:AD1682 R1687:AD1687 R1692:AD1692 R1697:AD1697 R1702:AD1702 R1707:AD1707 R1712:AD1712 R1717:AD1717 R1722:AD1722 R1727:AD1727 R1732:AD1732 R1737:AD1737 R1742:AD1742 T1:AB1 T1747:W1747 T1752:W1752 T1757:Y1766 X1747:Y1756 Y1747:XFD1048576 AC1:XFD2 AE3:XFD1746">
    <cfRule type="expression" priority="13" dxfId="5">
      <formula>AND(ROW()&gt;1, MOD(ROW()-2,5)=0)</formula>
    </cfRule>
  </conditionalFormatting>
  <conditionalFormatting sqref="L1">
    <cfRule type="expression" priority="12" dxfId="10">
      <formula>MOD(ROW()-1, 5)=0</formula>
    </cfRule>
  </conditionalFormatting>
  <conditionalFormatting sqref="M1">
    <cfRule type="expression" priority="11" dxfId="10">
      <formula>MOD(ROW()-1, 5)=0</formula>
    </cfRule>
  </conditionalFormatting>
  <conditionalFormatting sqref="N2:O41">
    <cfRule type="expression" priority="10" dxfId="6">
      <formula>AND(ROW()&gt;1, MOD(ROW()-1,5)=0)</formula>
    </cfRule>
  </conditionalFormatting>
  <conditionalFormatting sqref="Q1:S1">
    <cfRule type="expression" priority="9" dxfId="5">
      <formula>AND(ROW()&gt;1, MOD(ROW()-2,5)=0)</formula>
    </cfRule>
  </conditionalFormatting>
  <conditionalFormatting sqref="N42:O56">
    <cfRule type="expression" priority="4" dxfId="6">
      <formula>AND(ROW()&gt;1, MOD(ROW()-1,5)=0)</formula>
    </cfRule>
  </conditionalFormatting>
  <conditionalFormatting sqref="N57:O1746">
    <cfRule type="expression" priority="3" dxfId="6">
      <formula>AND(ROW()&gt;1, MOD(ROW()-1,5)=0)</formula>
    </cfRule>
  </conditionalFormatting>
  <conditionalFormatting sqref="Y2 Y7 Y12 Y17 Y22 Y27 Y32 Y37 Y42 Y47 Y52 Y57 Y62 Y67 Y72 Y77 Y82 Y87 Y92 Y97 Y102 Y107 Y112 Y117 Y122 Y127 Y132 Y137 Y142 Y147 Y152 Y157 Y162 Y167 Y172 Y177 Y182 Y187 Y192 Y197 Y202 Y207 Y212 Y217 Y222 Y227 Y232 Y237 Y242 Y247 Y252 Y257 Y262 Y267 Y272 Y277 Y282 Y287 Y292 Y297 Y302 Y307 Y312 Y317 Y322 Y327 Y332 Y337 Y342 Y347 Y352 Y357 Y362 Y367 Y372 Y377 Y382 Y387 Y392 Y397 Y402 Y407 Y412 Y417 Y422 Y427 Y432 Y437 Y442 Y447 Y452 Y457 Y462 Y467 Y472 Y477 Y482 Y487 Y492 Y497 Y502 Y507 Y512 Y517 Y522 Y527 Y532 Y537 Y542 Y547 Y552 Y557 Y562 Y567 Y572 Y577 Y582 Y587 Y592 Y597 Y602 Y607 Y612 Y617 Y622 Y627 Y632 Y637 Y642 Y647 Y652 Y657 Y662 Y667 Y672 Y677 Y682 Y687 Y692 Y697 Y702 Y707 Y712 Y717 Y722 Y727 Y732 Y737 Y742 Y747 Y752 Y757 Y762 Y767 Y772 Y777 Y782 Y787 Y792 Y797 Y802 Y807 Y812 Y817 Y822 Y827 Y832 Y837 Y842 Y847 Y852 Y857 Y862 Y867 Y872 Y877 Y882 Y887 Y892 Y897 Y902 Y907 Y912 Y917 Y922 Y927 Y932 Y937 Y942 Y947 Y952 Y957 Y962 Y967 Y972 Y977 Y982 Y987 Y992 Y997 Y1002 Y1007 Y1012 Y1017 Y1022 Y1027 Y1032 Y1037 Y1042 Y1047 Y1052 Y1057 Y1062 Y1067 Y1072 Y1077 Y1082 Y1087 Y1092 Y1097 Y1102 Y1107 Y1112 Y1117 Y1122 Y1127 Y1132 Y1137 Y1142 Y1147 Y1152 Y1157 Y1162 Y1167 Y1172 Y1177 Y1182 Y1187 Y1192 Y1197 Y1202 Y1207 Y1212 Y1217 Y1222 Y1227 Y1232 Y1237 Y1242 Y1247 Y1252 Y1257 Y1262 Y1267 Y1272 Y1277 Y1282 Y1287 Y1292 Y1297 Y1302 Y1307 Y1312 Y1317 Y1322 Y1327 Y1332 Y1337 Y1342 Y1347 Y1352 Y1357 Y1362 Y1367 Y1372 Y1377 Y1382 Y1387 Y1392 Y1397 Y1402 Y1407 Y1412 Y1417 Y1422 Y1427 Y1432 Y1437 Y1442 Y1447 Y1452 Y1457 Y1462 Y1467 Y1472 Y1477 Y1482 Y1487 Y1492 Y1497 Y1502 Y1507 Y1512 Y1517 Y1522 Y1527 Y1532 Y1537 Y1542 Y1547 Y1552 Y1557 Y1562 Y1567 Y1572 Y1577 Y1582 Y1587 Y1592 Y1597 Y1602 Y1607 Y1612 Y1617 Y1622 Y1627 Y1632 Y1637 Y1642 Y1647 Y1652 Y1657 Y1662 Y1667 Y1672 Y1677 Y1682 Y1687 Y1692 Y1697 Y1702 Y1707 Y1712 Y1717 Y1722 Y1727 Y1732 Y1737 Y1742">
    <cfRule type="expression" priority="2" dxfId="5">
      <formula>AND(ROW()&gt;1, MOD(ROW()-2,5)=0)</formula>
    </cfRule>
  </conditionalFormatting>
  <conditionalFormatting sqref="F1:F1048576">
    <cfRule type="expression" priority="1" dxfId="4">
      <formula>G1="Sale"</formula>
    </cfRule>
  </conditionalFormatting>
  <pageMargins left="0.7" right="0.7" top="0.75" bottom="0.75" header="0.3" footer="0.3"/>
  <pageSetup orientation="portrait" paperSize="9"/>
</worksheet>
</file>

<file path=xl/worksheets/sheet3.xml><?xml version="1.0" encoding="utf-8"?>
<worksheet xmlns="http://schemas.openxmlformats.org/spreadsheetml/2006/main">
  <sheetPr filterMode="1">
    <tabColor rgb="FFFFC000"/>
    <outlinePr summaryBelow="1" summaryRight="1"/>
    <pageSetUpPr/>
  </sheetPr>
  <dimension ref="A1:Q502"/>
  <sheetViews>
    <sheetView tabSelected="1" topLeftCell="P1" zoomScale="85" zoomScaleNormal="85" workbookViewId="0">
      <pane ySplit="1" topLeftCell="A294" activePane="bottomLeft" state="frozen"/>
      <selection pane="bottomLeft" activeCell="S322" sqref="S322"/>
    </sheetView>
  </sheetViews>
  <sheetFormatPr baseColWidth="8" defaultRowHeight="14.6"/>
  <cols>
    <col hidden="1" width="16" customWidth="1" style="47" min="1" max="1"/>
    <col hidden="1" width="5" customWidth="1" style="47" min="2" max="2"/>
    <col hidden="1" width="4.07421875" customWidth="1" style="47" min="3" max="3"/>
    <col hidden="1" width="5" customWidth="1" style="47" min="4" max="4"/>
    <col hidden="1" width="12.07421875" customWidth="1" style="47" min="5" max="5"/>
    <col hidden="1" width="8.84375" customWidth="1" style="47" min="6" max="10"/>
    <col hidden="1" width="11" customWidth="1" style="47" min="11" max="11"/>
    <col hidden="1" width="16.07421875" customWidth="1" style="47" min="12" max="12"/>
    <col hidden="1" width="10.69140625" customWidth="1" style="47" min="13" max="13"/>
    <col hidden="1" width="9" customWidth="1" style="47" min="14" max="14"/>
    <col hidden="1" width="8.84375" customWidth="1" style="47" min="15" max="15"/>
    <col width="29.53515625" bestFit="1" customWidth="1" style="144" min="16" max="16"/>
    <col width="94.69140625" customWidth="1" style="210" min="17" max="17"/>
  </cols>
  <sheetData>
    <row r="1" ht="20.6" customHeight="1" s="55">
      <c r="A1" s="164" t="inlineStr">
        <is>
          <t xml:space="preserve">        [ 'dims' =&gt; [230,140,130], 'prices' =&gt; [1.05,0.92,0.82,0.72,0.62], 'type' =&gt; "Четырехклапанные", 'sale' =&gt; "0" ]</t>
        </is>
      </c>
      <c r="P1" s="163" t="inlineStr">
        <is>
          <t>Каталог включи фильтр "1"</t>
        </is>
      </c>
      <c r="Q1" s="176" t="inlineStr">
        <is>
          <t>Массив, ","- убрать в посл. Строке</t>
        </is>
      </c>
    </row>
    <row r="2">
      <c r="A2" s="166" t="inlineStr">
        <is>
          <t xml:space="preserve">        [ 'dims' =&gt; [</t>
        </is>
      </c>
      <c r="B2" s="166">
        <f>Закуп!R2</f>
        <v/>
      </c>
      <c r="C2" s="166">
        <f>Закуп!S2</f>
        <v/>
      </c>
      <c r="D2" s="166">
        <f>Закуп!T2</f>
        <v/>
      </c>
      <c r="E2" s="166" t="inlineStr">
        <is>
          <t>], 'prices' =&gt; [</t>
        </is>
      </c>
      <c r="F2" s="167">
        <f>SUBSTITUTE(INDEX(Calc!$K:$K,(ROW(A1)-1)*5+COLUMN(A1)+1),",",".")</f>
        <v/>
      </c>
      <c r="G2" s="167">
        <f>SUBSTITUTE(INDEX(Calc!$K:$K,(ROW(B1)-1)*5+COLUMN(B1)+1),",",".")</f>
        <v/>
      </c>
      <c r="H2" s="167">
        <f>SUBSTITUTE(INDEX(Calc!$K:$K,(ROW(C1)-1)*5+COLUMN(C1)+1),",",".")</f>
        <v/>
      </c>
      <c r="I2" s="167">
        <f>SUBSTITUTE(INDEX(Calc!$K:$K,(ROW(D1)-1)*5+COLUMN(D1)+1),",",".")</f>
        <v/>
      </c>
      <c r="J2" s="167">
        <f>SUBSTITUTE(INDEX(Calc!$K:$K,(ROW(E1)-1)*5+COLUMN(E1)+1),",",".")</f>
        <v/>
      </c>
      <c r="K2" s="166" t="inlineStr">
        <is>
          <t>], 'type' =&gt; "</t>
        </is>
      </c>
      <c r="L2" s="167">
        <f>Закуп!AA2</f>
        <v/>
      </c>
      <c r="M2" s="166" t="inlineStr">
        <is>
          <t>", 'sale' =&gt; "</t>
        </is>
      </c>
      <c r="N2" s="166">
        <f>IF(Закуп!L2="",0,Закуп!L2)</f>
        <v/>
      </c>
      <c r="O2" s="166" t="inlineStr">
        <is>
          <t>" ],</t>
        </is>
      </c>
      <c r="P2" s="144">
        <f>Закуп!N2</f>
        <v/>
      </c>
      <c r="Q2" s="210">
        <f>CONCATENATE(A2,B2,",",C2,",",D2,E2,F2,",",G2,",",H2,",",I2,",",J2,K2,L2,M2,N2,O2,)</f>
        <v/>
      </c>
    </row>
    <row r="3">
      <c r="A3" s="166" t="inlineStr">
        <is>
          <t xml:space="preserve">        [ 'dims' =&gt; [</t>
        </is>
      </c>
      <c r="B3" s="166">
        <f>Закуп!R3</f>
        <v/>
      </c>
      <c r="C3" s="166">
        <f>Закуп!S3</f>
        <v/>
      </c>
      <c r="D3" s="166">
        <f>Закуп!T3</f>
        <v/>
      </c>
      <c r="E3" s="166" t="inlineStr">
        <is>
          <t>], 'prices' =&gt; [</t>
        </is>
      </c>
      <c r="F3" s="167">
        <f>SUBSTITUTE(INDEX(Calc!$K:$K,(ROW(A2)-1)*5+COLUMN(A2)+1),",",".")</f>
        <v/>
      </c>
      <c r="G3" s="167">
        <f>SUBSTITUTE(INDEX(Calc!$K:$K,(ROW(B2)-1)*5+COLUMN(B2)+1),",",".")</f>
        <v/>
      </c>
      <c r="H3" s="167">
        <f>SUBSTITUTE(INDEX(Calc!$K:$K,(ROW(C2)-1)*5+COLUMN(C2)+1),",",".")</f>
        <v/>
      </c>
      <c r="I3" s="167">
        <f>SUBSTITUTE(INDEX(Calc!$K:$K,(ROW(D2)-1)*5+COLUMN(D2)+1),",",".")</f>
        <v/>
      </c>
      <c r="J3" s="167">
        <f>SUBSTITUTE(INDEX(Calc!$K:$K,(ROW(E2)-1)*5+COLUMN(E2)+1),",",".")</f>
        <v/>
      </c>
      <c r="K3" s="166" t="inlineStr">
        <is>
          <t>], 'type' =&gt; "</t>
        </is>
      </c>
      <c r="L3" s="167">
        <f>Закуп!AA3</f>
        <v/>
      </c>
      <c r="M3" s="166" t="inlineStr">
        <is>
          <t>", 'sale' =&gt; "</t>
        </is>
      </c>
      <c r="N3" s="166">
        <f>IF(Закуп!L3="",0,Закуп!L3)</f>
        <v/>
      </c>
      <c r="O3" s="166" t="inlineStr">
        <is>
          <t>" ],</t>
        </is>
      </c>
      <c r="P3" s="144">
        <f>Закуп!N3</f>
        <v/>
      </c>
      <c r="Q3" s="210">
        <f>CONCATENATE(A3,B3,",",C3,",",D3,E3,F3,",",G3,",",H3,",",I3,",",J3,K3,L3,M3,N3,O3,)</f>
        <v/>
      </c>
    </row>
    <row r="4">
      <c r="A4" s="166" t="inlineStr">
        <is>
          <t xml:space="preserve">        [ 'dims' =&gt; [</t>
        </is>
      </c>
      <c r="B4" s="166">
        <f>Закуп!R4</f>
        <v/>
      </c>
      <c r="C4" s="166">
        <f>Закуп!S4</f>
        <v/>
      </c>
      <c r="D4" s="166">
        <f>Закуп!T4</f>
        <v/>
      </c>
      <c r="E4" s="166" t="inlineStr">
        <is>
          <t>], 'prices' =&gt; [</t>
        </is>
      </c>
      <c r="F4" s="167">
        <f>SUBSTITUTE(INDEX(Calc!$K:$K,(ROW(A3)-1)*5+COLUMN(A3)+1),",",".")</f>
        <v/>
      </c>
      <c r="G4" s="167">
        <f>SUBSTITUTE(INDEX(Calc!$K:$K,(ROW(B3)-1)*5+COLUMN(B3)+1),",",".")</f>
        <v/>
      </c>
      <c r="H4" s="167">
        <f>SUBSTITUTE(INDEX(Calc!$K:$K,(ROW(C3)-1)*5+COLUMN(C3)+1),",",".")</f>
        <v/>
      </c>
      <c r="I4" s="167">
        <f>SUBSTITUTE(INDEX(Calc!$K:$K,(ROW(D3)-1)*5+COLUMN(D3)+1),",",".")</f>
        <v/>
      </c>
      <c r="J4" s="167">
        <f>SUBSTITUTE(INDEX(Calc!$K:$K,(ROW(E3)-1)*5+COLUMN(E3)+1),",",".")</f>
        <v/>
      </c>
      <c r="K4" s="166" t="inlineStr">
        <is>
          <t>], 'type' =&gt; "</t>
        </is>
      </c>
      <c r="L4" s="167">
        <f>Закуп!AA4</f>
        <v/>
      </c>
      <c r="M4" s="166" t="inlineStr">
        <is>
          <t>", 'sale' =&gt; "</t>
        </is>
      </c>
      <c r="N4" s="166">
        <f>IF(Закуп!L4="",0,Закуп!L4)</f>
        <v/>
      </c>
      <c r="O4" s="166" t="inlineStr">
        <is>
          <t>" ],</t>
        </is>
      </c>
      <c r="P4" s="144">
        <f>Закуп!N4</f>
        <v/>
      </c>
      <c r="Q4" s="210">
        <f>CONCATENATE(A4,B4,",",C4,",",D4,E4,F4,",",G4,",",H4,",",I4,",",J4,K4,L4,M4,N4,O4,)</f>
        <v/>
      </c>
    </row>
    <row r="5">
      <c r="A5" s="166" t="inlineStr">
        <is>
          <t xml:space="preserve">        [ 'dims' =&gt; [</t>
        </is>
      </c>
      <c r="B5" s="166">
        <f>Закуп!R5</f>
        <v/>
      </c>
      <c r="C5" s="166">
        <f>Закуп!S5</f>
        <v/>
      </c>
      <c r="D5" s="166">
        <f>Закуп!T5</f>
        <v/>
      </c>
      <c r="E5" s="166" t="inlineStr">
        <is>
          <t>], 'prices' =&gt; [</t>
        </is>
      </c>
      <c r="F5" s="167">
        <f>SUBSTITUTE(INDEX(Calc!$K:$K,(ROW(A4)-1)*5+COLUMN(A4)+1),",",".")</f>
        <v/>
      </c>
      <c r="G5" s="167">
        <f>SUBSTITUTE(INDEX(Calc!$K:$K,(ROW(B4)-1)*5+COLUMN(B4)+1),",",".")</f>
        <v/>
      </c>
      <c r="H5" s="167">
        <f>SUBSTITUTE(INDEX(Calc!$K:$K,(ROW(C4)-1)*5+COLUMN(C4)+1),",",".")</f>
        <v/>
      </c>
      <c r="I5" s="167">
        <f>SUBSTITUTE(INDEX(Calc!$K:$K,(ROW(D4)-1)*5+COLUMN(D4)+1),",",".")</f>
        <v/>
      </c>
      <c r="J5" s="167">
        <f>SUBSTITUTE(INDEX(Calc!$K:$K,(ROW(E4)-1)*5+COLUMN(E4)+1),",",".")</f>
        <v/>
      </c>
      <c r="K5" s="166" t="inlineStr">
        <is>
          <t>], 'type' =&gt; "</t>
        </is>
      </c>
      <c r="L5" s="167">
        <f>Закуп!AA5</f>
        <v/>
      </c>
      <c r="M5" s="166" t="inlineStr">
        <is>
          <t>", 'sale' =&gt; "</t>
        </is>
      </c>
      <c r="N5" s="166">
        <f>IF(Закуп!L5="",0,Закуп!L5)</f>
        <v/>
      </c>
      <c r="O5" s="166" t="inlineStr">
        <is>
          <t>" ],</t>
        </is>
      </c>
      <c r="P5" s="144">
        <f>Закуп!N5</f>
        <v/>
      </c>
      <c r="Q5" s="210">
        <f>CONCATENATE(A5,B5,",",C5,",",D5,E5,F5,",",G5,",",H5,",",I5,",",J5,K5,L5,M5,N5,O5,)</f>
        <v/>
      </c>
    </row>
    <row r="6">
      <c r="A6" s="166" t="inlineStr">
        <is>
          <t xml:space="preserve">        [ 'dims' =&gt; [</t>
        </is>
      </c>
      <c r="B6" s="166">
        <f>Закуп!R6</f>
        <v/>
      </c>
      <c r="C6" s="166">
        <f>Закуп!S6</f>
        <v/>
      </c>
      <c r="D6" s="166">
        <f>Закуп!T6</f>
        <v/>
      </c>
      <c r="E6" s="166" t="inlineStr">
        <is>
          <t>], 'prices' =&gt; [</t>
        </is>
      </c>
      <c r="F6" s="167">
        <f>SUBSTITUTE(INDEX(Calc!$K:$K,(ROW(A5)-1)*5+COLUMN(A5)+1),",",".")</f>
        <v/>
      </c>
      <c r="G6" s="167">
        <f>SUBSTITUTE(INDEX(Calc!$K:$K,(ROW(B5)-1)*5+COLUMN(B5)+1),",",".")</f>
        <v/>
      </c>
      <c r="H6" s="167">
        <f>SUBSTITUTE(INDEX(Calc!$K:$K,(ROW(C5)-1)*5+COLUMN(C5)+1),",",".")</f>
        <v/>
      </c>
      <c r="I6" s="167">
        <f>SUBSTITUTE(INDEX(Calc!$K:$K,(ROW(D5)-1)*5+COLUMN(D5)+1),",",".")</f>
        <v/>
      </c>
      <c r="J6" s="167">
        <f>SUBSTITUTE(INDEX(Calc!$K:$K,(ROW(E5)-1)*5+COLUMN(E5)+1),",",".")</f>
        <v/>
      </c>
      <c r="K6" s="166" t="inlineStr">
        <is>
          <t>], 'type' =&gt; "</t>
        </is>
      </c>
      <c r="L6" s="167">
        <f>Закуп!AA6</f>
        <v/>
      </c>
      <c r="M6" s="166" t="inlineStr">
        <is>
          <t>", 'sale' =&gt; "</t>
        </is>
      </c>
      <c r="N6" s="166">
        <f>IF(Закуп!L6="",0,Закуп!L6)</f>
        <v/>
      </c>
      <c r="O6" s="166" t="inlineStr">
        <is>
          <t>" ],</t>
        </is>
      </c>
      <c r="P6" s="144">
        <f>Закуп!N6</f>
        <v/>
      </c>
      <c r="Q6" s="210">
        <f>CONCATENATE(A6,B6,",",C6,",",D6,E6,F6,",",G6,",",H6,",",I6,",",J6,K6,L6,M6,N6,O6,)</f>
        <v/>
      </c>
    </row>
    <row r="7">
      <c r="A7" s="166" t="inlineStr">
        <is>
          <t xml:space="preserve">        [ 'dims' =&gt; [</t>
        </is>
      </c>
      <c r="B7" s="166">
        <f>Закуп!R7</f>
        <v/>
      </c>
      <c r="C7" s="166">
        <f>Закуп!S7</f>
        <v/>
      </c>
      <c r="D7" s="166">
        <f>Закуп!T7</f>
        <v/>
      </c>
      <c r="E7" s="166" t="inlineStr">
        <is>
          <t>], 'prices' =&gt; [</t>
        </is>
      </c>
      <c r="F7" s="167">
        <f>SUBSTITUTE(INDEX(Calc!$K:$K,(ROW(A6)-1)*5+COLUMN(A6)+1),",",".")</f>
        <v/>
      </c>
      <c r="G7" s="167">
        <f>SUBSTITUTE(INDEX(Calc!$K:$K,(ROW(B6)-1)*5+COLUMN(B6)+1),",",".")</f>
        <v/>
      </c>
      <c r="H7" s="167">
        <f>SUBSTITUTE(INDEX(Calc!$K:$K,(ROW(C6)-1)*5+COLUMN(C6)+1),",",".")</f>
        <v/>
      </c>
      <c r="I7" s="167">
        <f>SUBSTITUTE(INDEX(Calc!$K:$K,(ROW(D6)-1)*5+COLUMN(D6)+1),",",".")</f>
        <v/>
      </c>
      <c r="J7" s="167">
        <f>SUBSTITUTE(INDEX(Calc!$K:$K,(ROW(E6)-1)*5+COLUMN(E6)+1),",",".")</f>
        <v/>
      </c>
      <c r="K7" s="166" t="inlineStr">
        <is>
          <t>], 'type' =&gt; "</t>
        </is>
      </c>
      <c r="L7" s="167">
        <f>Закуп!AA7</f>
        <v/>
      </c>
      <c r="M7" s="166" t="inlineStr">
        <is>
          <t>", 'sale' =&gt; "</t>
        </is>
      </c>
      <c r="N7" s="166">
        <f>IF(Закуп!L7="",0,Закуп!L7)</f>
        <v/>
      </c>
      <c r="O7" s="166" t="inlineStr">
        <is>
          <t>" ],</t>
        </is>
      </c>
      <c r="P7" s="144">
        <f>Закуп!N7</f>
        <v/>
      </c>
      <c r="Q7" s="210">
        <f>CONCATENATE(A7,B7,",",C7,",",D7,E7,F7,",",G7,",",H7,",",I7,",",J7,K7,L7,M7,N7,O7,)</f>
        <v/>
      </c>
    </row>
    <row r="8">
      <c r="A8" s="166" t="inlineStr">
        <is>
          <t xml:space="preserve">        [ 'dims' =&gt; [</t>
        </is>
      </c>
      <c r="B8" s="166">
        <f>Закуп!R8</f>
        <v/>
      </c>
      <c r="C8" s="166">
        <f>Закуп!S8</f>
        <v/>
      </c>
      <c r="D8" s="166">
        <f>Закуп!T8</f>
        <v/>
      </c>
      <c r="E8" s="166" t="inlineStr">
        <is>
          <t>], 'prices' =&gt; [</t>
        </is>
      </c>
      <c r="F8" s="167">
        <f>SUBSTITUTE(INDEX(Calc!$K:$K,(ROW(A7)-1)*5+COLUMN(A7)+1),",",".")</f>
        <v/>
      </c>
      <c r="G8" s="167">
        <f>SUBSTITUTE(INDEX(Calc!$K:$K,(ROW(B7)-1)*5+COLUMN(B7)+1),",",".")</f>
        <v/>
      </c>
      <c r="H8" s="167">
        <f>SUBSTITUTE(INDEX(Calc!$K:$K,(ROW(C7)-1)*5+COLUMN(C7)+1),",",".")</f>
        <v/>
      </c>
      <c r="I8" s="167">
        <f>SUBSTITUTE(INDEX(Calc!$K:$K,(ROW(D7)-1)*5+COLUMN(D7)+1),",",".")</f>
        <v/>
      </c>
      <c r="J8" s="167">
        <f>SUBSTITUTE(INDEX(Calc!$K:$K,(ROW(E7)-1)*5+COLUMN(E7)+1),",",".")</f>
        <v/>
      </c>
      <c r="K8" s="166" t="inlineStr">
        <is>
          <t>], 'type' =&gt; "</t>
        </is>
      </c>
      <c r="L8" s="167">
        <f>Закуп!AA8</f>
        <v/>
      </c>
      <c r="M8" s="166" t="inlineStr">
        <is>
          <t>", 'sale' =&gt; "</t>
        </is>
      </c>
      <c r="N8" s="166">
        <f>IF(Закуп!L8="",0,Закуп!L8)</f>
        <v/>
      </c>
      <c r="O8" s="166" t="inlineStr">
        <is>
          <t>" ],</t>
        </is>
      </c>
      <c r="P8" s="144">
        <f>Закуп!N8</f>
        <v/>
      </c>
      <c r="Q8" s="210">
        <f>CONCATENATE(A8,B8,",",C8,",",D8,E8,F8,",",G8,",",H8,",",I8,",",J8,K8,L8,M8,N8,O8,)</f>
        <v/>
      </c>
    </row>
    <row r="9">
      <c r="A9" s="166" t="inlineStr">
        <is>
          <t xml:space="preserve">        [ 'dims' =&gt; [</t>
        </is>
      </c>
      <c r="B9" s="166">
        <f>Закуп!R9</f>
        <v/>
      </c>
      <c r="C9" s="166">
        <f>Закуп!S9</f>
        <v/>
      </c>
      <c r="D9" s="166">
        <f>Закуп!T9</f>
        <v/>
      </c>
      <c r="E9" s="166" t="inlineStr">
        <is>
          <t>], 'prices' =&gt; [</t>
        </is>
      </c>
      <c r="F9" s="167">
        <f>SUBSTITUTE(INDEX(Calc!$K:$K,(ROW(A8)-1)*5+COLUMN(A8)+1),",",".")</f>
        <v/>
      </c>
      <c r="G9" s="167">
        <f>SUBSTITUTE(INDEX(Calc!$K:$K,(ROW(B8)-1)*5+COLUMN(B8)+1),",",".")</f>
        <v/>
      </c>
      <c r="H9" s="167">
        <f>SUBSTITUTE(INDEX(Calc!$K:$K,(ROW(C8)-1)*5+COLUMN(C8)+1),",",".")</f>
        <v/>
      </c>
      <c r="I9" s="167">
        <f>SUBSTITUTE(INDEX(Calc!$K:$K,(ROW(D8)-1)*5+COLUMN(D8)+1),",",".")</f>
        <v/>
      </c>
      <c r="J9" s="167">
        <f>SUBSTITUTE(INDEX(Calc!$K:$K,(ROW(E8)-1)*5+COLUMN(E8)+1),",",".")</f>
        <v/>
      </c>
      <c r="K9" s="166" t="inlineStr">
        <is>
          <t>], 'type' =&gt; "</t>
        </is>
      </c>
      <c r="L9" s="167">
        <f>Закуп!AA9</f>
        <v/>
      </c>
      <c r="M9" s="166" t="inlineStr">
        <is>
          <t>", 'sale' =&gt; "</t>
        </is>
      </c>
      <c r="N9" s="166">
        <f>IF(Закуп!L9="",0,Закуп!L9)</f>
        <v/>
      </c>
      <c r="O9" s="166" t="inlineStr">
        <is>
          <t>" ],</t>
        </is>
      </c>
      <c r="P9" s="144">
        <f>Закуп!N9</f>
        <v/>
      </c>
      <c r="Q9" s="210">
        <f>CONCATENATE(A9,B9,",",C9,",",D9,E9,F9,",",G9,",",H9,",",I9,",",J9,K9,L9,M9,N9,O9,)</f>
        <v/>
      </c>
    </row>
    <row r="10">
      <c r="A10" s="166" t="inlineStr">
        <is>
          <t xml:space="preserve">        [ 'dims' =&gt; [</t>
        </is>
      </c>
      <c r="B10" s="166">
        <f>Закуп!R10</f>
        <v/>
      </c>
      <c r="C10" s="166">
        <f>Закуп!S10</f>
        <v/>
      </c>
      <c r="D10" s="166">
        <f>Закуп!T10</f>
        <v/>
      </c>
      <c r="E10" s="166" t="inlineStr">
        <is>
          <t>], 'prices' =&gt; [</t>
        </is>
      </c>
      <c r="F10" s="167">
        <f>SUBSTITUTE(INDEX(Calc!$K:$K,(ROW(A9)-1)*5+COLUMN(A9)+1),",",".")</f>
        <v/>
      </c>
      <c r="G10" s="167">
        <f>SUBSTITUTE(INDEX(Calc!$K:$K,(ROW(B9)-1)*5+COLUMN(B9)+1),",",".")</f>
        <v/>
      </c>
      <c r="H10" s="167">
        <f>SUBSTITUTE(INDEX(Calc!$K:$K,(ROW(C9)-1)*5+COLUMN(C9)+1),",",".")</f>
        <v/>
      </c>
      <c r="I10" s="167">
        <f>SUBSTITUTE(INDEX(Calc!$K:$K,(ROW(D9)-1)*5+COLUMN(D9)+1),",",".")</f>
        <v/>
      </c>
      <c r="J10" s="167">
        <f>SUBSTITUTE(INDEX(Calc!$K:$K,(ROW(E9)-1)*5+COLUMN(E9)+1),",",".")</f>
        <v/>
      </c>
      <c r="K10" s="166" t="inlineStr">
        <is>
          <t>], 'type' =&gt; "</t>
        </is>
      </c>
      <c r="L10" s="167">
        <f>Закуп!AA10</f>
        <v/>
      </c>
      <c r="M10" s="166" t="inlineStr">
        <is>
          <t>", 'sale' =&gt; "</t>
        </is>
      </c>
      <c r="N10" s="166">
        <f>IF(Закуп!L10="",0,Закуп!L10)</f>
        <v/>
      </c>
      <c r="O10" s="166" t="inlineStr">
        <is>
          <t>" ],</t>
        </is>
      </c>
      <c r="P10" s="144">
        <f>Закуп!N10</f>
        <v/>
      </c>
      <c r="Q10" s="210">
        <f>CONCATENATE(A10,B10,",",C10,",",D10,E10,F10,",",G10,",",H10,",",I10,",",J10,K10,L10,M10,N10,O10,)</f>
        <v/>
      </c>
    </row>
    <row r="11">
      <c r="A11" s="166" t="inlineStr">
        <is>
          <t xml:space="preserve">        [ 'dims' =&gt; [</t>
        </is>
      </c>
      <c r="B11" s="166">
        <f>Закуп!R11</f>
        <v/>
      </c>
      <c r="C11" s="166">
        <f>Закуп!S11</f>
        <v/>
      </c>
      <c r="D11" s="166">
        <f>Закуп!T11</f>
        <v/>
      </c>
      <c r="E11" s="166" t="inlineStr">
        <is>
          <t>], 'prices' =&gt; [</t>
        </is>
      </c>
      <c r="F11" s="167">
        <f>SUBSTITUTE(INDEX(Calc!$K:$K,(ROW(A10)-1)*5+COLUMN(A10)+1),",",".")</f>
        <v/>
      </c>
      <c r="G11" s="167">
        <f>SUBSTITUTE(INDEX(Calc!$K:$K,(ROW(B10)-1)*5+COLUMN(B10)+1),",",".")</f>
        <v/>
      </c>
      <c r="H11" s="167">
        <f>SUBSTITUTE(INDEX(Calc!$K:$K,(ROW(C10)-1)*5+COLUMN(C10)+1),",",".")</f>
        <v/>
      </c>
      <c r="I11" s="167">
        <f>SUBSTITUTE(INDEX(Calc!$K:$K,(ROW(D10)-1)*5+COLUMN(D10)+1),",",".")</f>
        <v/>
      </c>
      <c r="J11" s="167">
        <f>SUBSTITUTE(INDEX(Calc!$K:$K,(ROW(E10)-1)*5+COLUMN(E10)+1),",",".")</f>
        <v/>
      </c>
      <c r="K11" s="166" t="inlineStr">
        <is>
          <t>], 'type' =&gt; "</t>
        </is>
      </c>
      <c r="L11" s="167">
        <f>Закуп!AA11</f>
        <v/>
      </c>
      <c r="M11" s="166" t="inlineStr">
        <is>
          <t>", 'sale' =&gt; "</t>
        </is>
      </c>
      <c r="N11" s="166">
        <f>IF(Закуп!L11="",0,Закуп!L11)</f>
        <v/>
      </c>
      <c r="O11" s="166" t="inlineStr">
        <is>
          <t>" ],</t>
        </is>
      </c>
      <c r="P11" s="144">
        <f>Закуп!N11</f>
        <v/>
      </c>
      <c r="Q11" s="210">
        <f>CONCATENATE(A11,B11,",",C11,",",D11,E11,F11,",",G11,",",H11,",",I11,",",J11,K11,L11,M11,N11,O11,)</f>
        <v/>
      </c>
    </row>
    <row r="12">
      <c r="A12" s="166" t="inlineStr">
        <is>
          <t xml:space="preserve">        [ 'dims' =&gt; [</t>
        </is>
      </c>
      <c r="B12" s="166">
        <f>Закуп!R12</f>
        <v/>
      </c>
      <c r="C12" s="166">
        <f>Закуп!S12</f>
        <v/>
      </c>
      <c r="D12" s="166">
        <f>Закуп!T12</f>
        <v/>
      </c>
      <c r="E12" s="166" t="inlineStr">
        <is>
          <t>], 'prices' =&gt; [</t>
        </is>
      </c>
      <c r="F12" s="167">
        <f>SUBSTITUTE(INDEX(Calc!$K:$K,(ROW(A11)-1)*5+COLUMN(A11)+1),",",".")</f>
        <v/>
      </c>
      <c r="G12" s="167">
        <f>SUBSTITUTE(INDEX(Calc!$K:$K,(ROW(B11)-1)*5+COLUMN(B11)+1),",",".")</f>
        <v/>
      </c>
      <c r="H12" s="167">
        <f>SUBSTITUTE(INDEX(Calc!$K:$K,(ROW(C11)-1)*5+COLUMN(C11)+1),",",".")</f>
        <v/>
      </c>
      <c r="I12" s="167">
        <f>SUBSTITUTE(INDEX(Calc!$K:$K,(ROW(D11)-1)*5+COLUMN(D11)+1),",",".")</f>
        <v/>
      </c>
      <c r="J12" s="167">
        <f>SUBSTITUTE(INDEX(Calc!$K:$K,(ROW(E11)-1)*5+COLUMN(E11)+1),",",".")</f>
        <v/>
      </c>
      <c r="K12" s="166" t="inlineStr">
        <is>
          <t>], 'type' =&gt; "</t>
        </is>
      </c>
      <c r="L12" s="167">
        <f>Закуп!AA12</f>
        <v/>
      </c>
      <c r="M12" s="166" t="inlineStr">
        <is>
          <t>", 'sale' =&gt; "</t>
        </is>
      </c>
      <c r="N12" s="166">
        <f>IF(Закуп!L12="",0,Закуп!L12)</f>
        <v/>
      </c>
      <c r="O12" s="166" t="inlineStr">
        <is>
          <t>" ],</t>
        </is>
      </c>
      <c r="P12" s="144">
        <f>Закуп!N12</f>
        <v/>
      </c>
      <c r="Q12" s="210">
        <f>CONCATENATE(A12,B12,",",C12,",",D12,E12,F12,",",G12,",",H12,",",I12,",",J12,K12,L12,M12,N12,O12,)</f>
        <v/>
      </c>
    </row>
    <row r="13">
      <c r="A13" s="166" t="inlineStr">
        <is>
          <t xml:space="preserve">        [ 'dims' =&gt; [</t>
        </is>
      </c>
      <c r="B13" s="166">
        <f>Закуп!R13</f>
        <v/>
      </c>
      <c r="C13" s="166">
        <f>Закуп!S13</f>
        <v/>
      </c>
      <c r="D13" s="166">
        <f>Закуп!T13</f>
        <v/>
      </c>
      <c r="E13" s="166" t="inlineStr">
        <is>
          <t>], 'prices' =&gt; [</t>
        </is>
      </c>
      <c r="F13" s="167">
        <f>SUBSTITUTE(INDEX(Calc!$K:$K,(ROW(A12)-1)*5+COLUMN(A12)+1),",",".")</f>
        <v/>
      </c>
      <c r="G13" s="167">
        <f>SUBSTITUTE(INDEX(Calc!$K:$K,(ROW(B12)-1)*5+COLUMN(B12)+1),",",".")</f>
        <v/>
      </c>
      <c r="H13" s="167">
        <f>SUBSTITUTE(INDEX(Calc!$K:$K,(ROW(C12)-1)*5+COLUMN(C12)+1),",",".")</f>
        <v/>
      </c>
      <c r="I13" s="167">
        <f>SUBSTITUTE(INDEX(Calc!$K:$K,(ROW(D12)-1)*5+COLUMN(D12)+1),",",".")</f>
        <v/>
      </c>
      <c r="J13" s="167">
        <f>SUBSTITUTE(INDEX(Calc!$K:$K,(ROW(E12)-1)*5+COLUMN(E12)+1),",",".")</f>
        <v/>
      </c>
      <c r="K13" s="166" t="inlineStr">
        <is>
          <t>], 'type' =&gt; "</t>
        </is>
      </c>
      <c r="L13" s="167">
        <f>Закуп!AA13</f>
        <v/>
      </c>
      <c r="M13" s="166" t="inlineStr">
        <is>
          <t>", 'sale' =&gt; "</t>
        </is>
      </c>
      <c r="N13" s="166">
        <f>IF(Закуп!L13="",0,Закуп!L13)</f>
        <v/>
      </c>
      <c r="O13" s="166" t="inlineStr">
        <is>
          <t>" ],</t>
        </is>
      </c>
      <c r="P13" s="144">
        <f>Закуп!N13</f>
        <v/>
      </c>
      <c r="Q13" s="210">
        <f>CONCATENATE(A13,B13,",",C13,",",D13,E13,F13,",",G13,",",H13,",",I13,",",J13,K13,L13,M13,N13,O13,)</f>
        <v/>
      </c>
    </row>
    <row r="14">
      <c r="A14" s="166" t="inlineStr">
        <is>
          <t xml:space="preserve">        [ 'dims' =&gt; [</t>
        </is>
      </c>
      <c r="B14" s="166">
        <f>Закуп!R14</f>
        <v/>
      </c>
      <c r="C14" s="166">
        <f>Закуп!S14</f>
        <v/>
      </c>
      <c r="D14" s="166">
        <f>Закуп!T14</f>
        <v/>
      </c>
      <c r="E14" s="166" t="inlineStr">
        <is>
          <t>], 'prices' =&gt; [</t>
        </is>
      </c>
      <c r="F14" s="167">
        <f>SUBSTITUTE(INDEX(Calc!$K:$K,(ROW(A13)-1)*5+COLUMN(A13)+1),",",".")</f>
        <v/>
      </c>
      <c r="G14" s="167">
        <f>SUBSTITUTE(INDEX(Calc!$K:$K,(ROW(B13)-1)*5+COLUMN(B13)+1),",",".")</f>
        <v/>
      </c>
      <c r="H14" s="167">
        <f>SUBSTITUTE(INDEX(Calc!$K:$K,(ROW(C13)-1)*5+COLUMN(C13)+1),",",".")</f>
        <v/>
      </c>
      <c r="I14" s="167">
        <f>SUBSTITUTE(INDEX(Calc!$K:$K,(ROW(D13)-1)*5+COLUMN(D13)+1),",",".")</f>
        <v/>
      </c>
      <c r="J14" s="167">
        <f>SUBSTITUTE(INDEX(Calc!$K:$K,(ROW(E13)-1)*5+COLUMN(E13)+1),",",".")</f>
        <v/>
      </c>
      <c r="K14" s="166" t="inlineStr">
        <is>
          <t>], 'type' =&gt; "</t>
        </is>
      </c>
      <c r="L14" s="167">
        <f>Закуп!AA14</f>
        <v/>
      </c>
      <c r="M14" s="166" t="inlineStr">
        <is>
          <t>", 'sale' =&gt; "</t>
        </is>
      </c>
      <c r="N14" s="166">
        <f>IF(Закуп!L14="",0,Закуп!L14)</f>
        <v/>
      </c>
      <c r="O14" s="166" t="inlineStr">
        <is>
          <t>" ],</t>
        </is>
      </c>
      <c r="P14" s="144">
        <f>Закуп!N14</f>
        <v/>
      </c>
      <c r="Q14" s="210">
        <f>CONCATENATE(A14,B14,",",C14,",",D14,E14,F14,",",G14,",",H14,",",I14,",",J14,K14,L14,M14,N14,O14,)</f>
        <v/>
      </c>
    </row>
    <row r="15">
      <c r="A15" s="166" t="inlineStr">
        <is>
          <t xml:space="preserve">        [ 'dims' =&gt; [</t>
        </is>
      </c>
      <c r="B15" s="166">
        <f>Закуп!R15</f>
        <v/>
      </c>
      <c r="C15" s="166">
        <f>Закуп!S15</f>
        <v/>
      </c>
      <c r="D15" s="166">
        <f>Закуп!T15</f>
        <v/>
      </c>
      <c r="E15" s="166" t="inlineStr">
        <is>
          <t>], 'prices' =&gt; [</t>
        </is>
      </c>
      <c r="F15" s="167">
        <f>SUBSTITUTE(INDEX(Calc!$K:$K,(ROW(A14)-1)*5+COLUMN(A14)+1),",",".")</f>
        <v/>
      </c>
      <c r="G15" s="167">
        <f>SUBSTITUTE(INDEX(Calc!$K:$K,(ROW(B14)-1)*5+COLUMN(B14)+1),",",".")</f>
        <v/>
      </c>
      <c r="H15" s="167">
        <f>SUBSTITUTE(INDEX(Calc!$K:$K,(ROW(C14)-1)*5+COLUMN(C14)+1),",",".")</f>
        <v/>
      </c>
      <c r="I15" s="167">
        <f>SUBSTITUTE(INDEX(Calc!$K:$K,(ROW(D14)-1)*5+COLUMN(D14)+1),",",".")</f>
        <v/>
      </c>
      <c r="J15" s="167">
        <f>SUBSTITUTE(INDEX(Calc!$K:$K,(ROW(E14)-1)*5+COLUMN(E14)+1),",",".")</f>
        <v/>
      </c>
      <c r="K15" s="166" t="inlineStr">
        <is>
          <t>], 'type' =&gt; "</t>
        </is>
      </c>
      <c r="L15" s="167">
        <f>Закуп!AA15</f>
        <v/>
      </c>
      <c r="M15" s="166" t="inlineStr">
        <is>
          <t>", 'sale' =&gt; "</t>
        </is>
      </c>
      <c r="N15" s="166">
        <f>IF(Закуп!L15="",0,Закуп!L15)</f>
        <v/>
      </c>
      <c r="O15" s="166" t="inlineStr">
        <is>
          <t>" ],</t>
        </is>
      </c>
      <c r="P15" s="144">
        <f>Закуп!N15</f>
        <v/>
      </c>
      <c r="Q15" s="210">
        <f>CONCATENATE(A15,B15,",",C15,",",D15,E15,F15,",",G15,",",H15,",",I15,",",J15,K15,L15,M15,N15,O15,)</f>
        <v/>
      </c>
    </row>
    <row r="16">
      <c r="A16" s="166" t="inlineStr">
        <is>
          <t xml:space="preserve">        [ 'dims' =&gt; [</t>
        </is>
      </c>
      <c r="B16" s="166">
        <f>Закуп!R16</f>
        <v/>
      </c>
      <c r="C16" s="166">
        <f>Закуп!S16</f>
        <v/>
      </c>
      <c r="D16" s="166">
        <f>Закуп!T16</f>
        <v/>
      </c>
      <c r="E16" s="166" t="inlineStr">
        <is>
          <t>], 'prices' =&gt; [</t>
        </is>
      </c>
      <c r="F16" s="167">
        <f>SUBSTITUTE(INDEX(Calc!$K:$K,(ROW(A15)-1)*5+COLUMN(A15)+1),",",".")</f>
        <v/>
      </c>
      <c r="G16" s="167">
        <f>SUBSTITUTE(INDEX(Calc!$K:$K,(ROW(B15)-1)*5+COLUMN(B15)+1),",",".")</f>
        <v/>
      </c>
      <c r="H16" s="167">
        <f>SUBSTITUTE(INDEX(Calc!$K:$K,(ROW(C15)-1)*5+COLUMN(C15)+1),",",".")</f>
        <v/>
      </c>
      <c r="I16" s="167">
        <f>SUBSTITUTE(INDEX(Calc!$K:$K,(ROW(D15)-1)*5+COLUMN(D15)+1),",",".")</f>
        <v/>
      </c>
      <c r="J16" s="167">
        <f>SUBSTITUTE(INDEX(Calc!$K:$K,(ROW(E15)-1)*5+COLUMN(E15)+1),",",".")</f>
        <v/>
      </c>
      <c r="K16" s="166" t="inlineStr">
        <is>
          <t>], 'type' =&gt; "</t>
        </is>
      </c>
      <c r="L16" s="167">
        <f>Закуп!AA16</f>
        <v/>
      </c>
      <c r="M16" s="166" t="inlineStr">
        <is>
          <t>", 'sale' =&gt; "</t>
        </is>
      </c>
      <c r="N16" s="166">
        <f>IF(Закуп!L16="",0,Закуп!L16)</f>
        <v/>
      </c>
      <c r="O16" s="166" t="inlineStr">
        <is>
          <t>" ],</t>
        </is>
      </c>
      <c r="P16" s="144">
        <f>Закуп!N16</f>
        <v/>
      </c>
      <c r="Q16" s="210">
        <f>CONCATENATE(A16,B16,",",C16,",",D16,E16,F16,",",G16,",",H16,",",I16,",",J16,K16,L16,M16,N16,O16,)</f>
        <v/>
      </c>
    </row>
    <row r="17">
      <c r="A17" s="166" t="inlineStr">
        <is>
          <t xml:space="preserve">        [ 'dims' =&gt; [</t>
        </is>
      </c>
      <c r="B17" s="166">
        <f>Закуп!R17</f>
        <v/>
      </c>
      <c r="C17" s="166">
        <f>Закуп!S17</f>
        <v/>
      </c>
      <c r="D17" s="166">
        <f>Закуп!T17</f>
        <v/>
      </c>
      <c r="E17" s="166" t="inlineStr">
        <is>
          <t>], 'prices' =&gt; [</t>
        </is>
      </c>
      <c r="F17" s="167">
        <f>SUBSTITUTE(INDEX(Calc!$K:$K,(ROW(A16)-1)*5+COLUMN(A16)+1),",",".")</f>
        <v/>
      </c>
      <c r="G17" s="167">
        <f>SUBSTITUTE(INDEX(Calc!$K:$K,(ROW(B16)-1)*5+COLUMN(B16)+1),",",".")</f>
        <v/>
      </c>
      <c r="H17" s="167">
        <f>SUBSTITUTE(INDEX(Calc!$K:$K,(ROW(C16)-1)*5+COLUMN(C16)+1),",",".")</f>
        <v/>
      </c>
      <c r="I17" s="167">
        <f>SUBSTITUTE(INDEX(Calc!$K:$K,(ROW(D16)-1)*5+COLUMN(D16)+1),",",".")</f>
        <v/>
      </c>
      <c r="J17" s="167">
        <f>SUBSTITUTE(INDEX(Calc!$K:$K,(ROW(E16)-1)*5+COLUMN(E16)+1),",",".")</f>
        <v/>
      </c>
      <c r="K17" s="166" t="inlineStr">
        <is>
          <t>], 'type' =&gt; "</t>
        </is>
      </c>
      <c r="L17" s="167">
        <f>Закуп!AA17</f>
        <v/>
      </c>
      <c r="M17" s="166" t="inlineStr">
        <is>
          <t>", 'sale' =&gt; "</t>
        </is>
      </c>
      <c r="N17" s="166">
        <f>IF(Закуп!L17="",0,Закуп!L17)</f>
        <v/>
      </c>
      <c r="O17" s="166" t="inlineStr">
        <is>
          <t>" ],</t>
        </is>
      </c>
      <c r="P17" s="144">
        <f>Закуп!N17</f>
        <v/>
      </c>
      <c r="Q17" s="210">
        <f>CONCATENATE(A17,B17,",",C17,",",D17,E17,F17,",",G17,",",H17,",",I17,",",J17,K17,L17,M17,N17,O17,)</f>
        <v/>
      </c>
    </row>
    <row r="18">
      <c r="A18" s="166" t="inlineStr">
        <is>
          <t xml:space="preserve">        [ 'dims' =&gt; [</t>
        </is>
      </c>
      <c r="B18" s="166">
        <f>Закуп!R18</f>
        <v/>
      </c>
      <c r="C18" s="166">
        <f>Закуп!S18</f>
        <v/>
      </c>
      <c r="D18" s="166">
        <f>Закуп!T18</f>
        <v/>
      </c>
      <c r="E18" s="166" t="inlineStr">
        <is>
          <t>], 'prices' =&gt; [</t>
        </is>
      </c>
      <c r="F18" s="167">
        <f>SUBSTITUTE(INDEX(Calc!$K:$K,(ROW(A17)-1)*5+COLUMN(A17)+1),",",".")</f>
        <v/>
      </c>
      <c r="G18" s="167">
        <f>SUBSTITUTE(INDEX(Calc!$K:$K,(ROW(B17)-1)*5+COLUMN(B17)+1),",",".")</f>
        <v/>
      </c>
      <c r="H18" s="167">
        <f>SUBSTITUTE(INDEX(Calc!$K:$K,(ROW(C17)-1)*5+COLUMN(C17)+1),",",".")</f>
        <v/>
      </c>
      <c r="I18" s="167">
        <f>SUBSTITUTE(INDEX(Calc!$K:$K,(ROW(D17)-1)*5+COLUMN(D17)+1),",",".")</f>
        <v/>
      </c>
      <c r="J18" s="167">
        <f>SUBSTITUTE(INDEX(Calc!$K:$K,(ROW(E17)-1)*5+COLUMN(E17)+1),",",".")</f>
        <v/>
      </c>
      <c r="K18" s="166" t="inlineStr">
        <is>
          <t>], 'type' =&gt; "</t>
        </is>
      </c>
      <c r="L18" s="167">
        <f>Закуп!AA18</f>
        <v/>
      </c>
      <c r="M18" s="166" t="inlineStr">
        <is>
          <t>", 'sale' =&gt; "</t>
        </is>
      </c>
      <c r="N18" s="166">
        <f>IF(Закуп!L18="",0,Закуп!L18)</f>
        <v/>
      </c>
      <c r="O18" s="166" t="inlineStr">
        <is>
          <t>" ],</t>
        </is>
      </c>
      <c r="P18" s="144">
        <f>Закуп!N18</f>
        <v/>
      </c>
      <c r="Q18" s="210">
        <f>CONCATENATE(A18,B18,",",C18,",",D18,E18,F18,",",G18,",",H18,",",I18,",",J18,K18,L18,M18,N18,O18,)</f>
        <v/>
      </c>
    </row>
    <row r="19">
      <c r="A19" s="166" t="inlineStr">
        <is>
          <t xml:space="preserve">        [ 'dims' =&gt; [</t>
        </is>
      </c>
      <c r="B19" s="166">
        <f>Закуп!R19</f>
        <v/>
      </c>
      <c r="C19" s="166">
        <f>Закуп!S19</f>
        <v/>
      </c>
      <c r="D19" s="166">
        <f>Закуп!T19</f>
        <v/>
      </c>
      <c r="E19" s="166" t="inlineStr">
        <is>
          <t>], 'prices' =&gt; [</t>
        </is>
      </c>
      <c r="F19" s="167">
        <f>SUBSTITUTE(INDEX(Calc!$K:$K,(ROW(A18)-1)*5+COLUMN(A18)+1),",",".")</f>
        <v/>
      </c>
      <c r="G19" s="167">
        <f>SUBSTITUTE(INDEX(Calc!$K:$K,(ROW(B18)-1)*5+COLUMN(B18)+1),",",".")</f>
        <v/>
      </c>
      <c r="H19" s="167">
        <f>SUBSTITUTE(INDEX(Calc!$K:$K,(ROW(C18)-1)*5+COLUMN(C18)+1),",",".")</f>
        <v/>
      </c>
      <c r="I19" s="167">
        <f>SUBSTITUTE(INDEX(Calc!$K:$K,(ROW(D18)-1)*5+COLUMN(D18)+1),",",".")</f>
        <v/>
      </c>
      <c r="J19" s="167">
        <f>SUBSTITUTE(INDEX(Calc!$K:$K,(ROW(E18)-1)*5+COLUMN(E18)+1),",",".")</f>
        <v/>
      </c>
      <c r="K19" s="166" t="inlineStr">
        <is>
          <t>], 'type' =&gt; "</t>
        </is>
      </c>
      <c r="L19" s="167">
        <f>Закуп!AA19</f>
        <v/>
      </c>
      <c r="M19" s="166" t="inlineStr">
        <is>
          <t>", 'sale' =&gt; "</t>
        </is>
      </c>
      <c r="N19" s="166">
        <f>IF(Закуп!L19="",0,Закуп!L19)</f>
        <v/>
      </c>
      <c r="O19" s="166" t="inlineStr">
        <is>
          <t>" ],</t>
        </is>
      </c>
      <c r="P19" s="144">
        <f>Закуп!N19</f>
        <v/>
      </c>
      <c r="Q19" s="210">
        <f>CONCATENATE(A19,B19,",",C19,",",D19,E19,F19,",",G19,",",H19,",",I19,",",J19,K19,L19,M19,N19,O19,)</f>
        <v/>
      </c>
    </row>
    <row r="20">
      <c r="A20" s="166" t="inlineStr">
        <is>
          <t xml:space="preserve">        [ 'dims' =&gt; [</t>
        </is>
      </c>
      <c r="B20" s="166">
        <f>Закуп!R20</f>
        <v/>
      </c>
      <c r="C20" s="166">
        <f>Закуп!S20</f>
        <v/>
      </c>
      <c r="D20" s="166">
        <f>Закуп!T20</f>
        <v/>
      </c>
      <c r="E20" s="166" t="inlineStr">
        <is>
          <t>], 'prices' =&gt; [</t>
        </is>
      </c>
      <c r="F20" s="167">
        <f>SUBSTITUTE(INDEX(Calc!$K:$K,(ROW(A19)-1)*5+COLUMN(A19)+1),",",".")</f>
        <v/>
      </c>
      <c r="G20" s="167">
        <f>SUBSTITUTE(INDEX(Calc!$K:$K,(ROW(B19)-1)*5+COLUMN(B19)+1),",",".")</f>
        <v/>
      </c>
      <c r="H20" s="167">
        <f>SUBSTITUTE(INDEX(Calc!$K:$K,(ROW(C19)-1)*5+COLUMN(C19)+1),",",".")</f>
        <v/>
      </c>
      <c r="I20" s="167">
        <f>SUBSTITUTE(INDEX(Calc!$K:$K,(ROW(D19)-1)*5+COLUMN(D19)+1),",",".")</f>
        <v/>
      </c>
      <c r="J20" s="167">
        <f>SUBSTITUTE(INDEX(Calc!$K:$K,(ROW(E19)-1)*5+COLUMN(E19)+1),",",".")</f>
        <v/>
      </c>
      <c r="K20" s="166" t="inlineStr">
        <is>
          <t>], 'type' =&gt; "</t>
        </is>
      </c>
      <c r="L20" s="167">
        <f>Закуп!AA20</f>
        <v/>
      </c>
      <c r="M20" s="166" t="inlineStr">
        <is>
          <t>", 'sale' =&gt; "</t>
        </is>
      </c>
      <c r="N20" s="166">
        <f>IF(Закуп!L20="",0,Закуп!L20)</f>
        <v/>
      </c>
      <c r="O20" s="166" t="inlineStr">
        <is>
          <t>" ],</t>
        </is>
      </c>
      <c r="P20" s="144">
        <f>Закуп!N20</f>
        <v/>
      </c>
      <c r="Q20" s="210">
        <f>CONCATENATE(A20,B20,",",C20,",",D20,E20,F20,",",G20,",",H20,",",I20,",",J20,K20,L20,M20,N20,O20,)</f>
        <v/>
      </c>
    </row>
    <row r="21">
      <c r="A21" s="166" t="inlineStr">
        <is>
          <t xml:space="preserve">        [ 'dims' =&gt; [</t>
        </is>
      </c>
      <c r="B21" s="166">
        <f>Закуп!R21</f>
        <v/>
      </c>
      <c r="C21" s="166">
        <f>Закуп!S21</f>
        <v/>
      </c>
      <c r="D21" s="166">
        <f>Закуп!T21</f>
        <v/>
      </c>
      <c r="E21" s="166" t="inlineStr">
        <is>
          <t>], 'prices' =&gt; [</t>
        </is>
      </c>
      <c r="F21" s="167">
        <f>SUBSTITUTE(INDEX(Calc!$K:$K,(ROW(A20)-1)*5+COLUMN(A20)+1),",",".")</f>
        <v/>
      </c>
      <c r="G21" s="167">
        <f>SUBSTITUTE(INDEX(Calc!$K:$K,(ROW(B20)-1)*5+COLUMN(B20)+1),",",".")</f>
        <v/>
      </c>
      <c r="H21" s="167">
        <f>SUBSTITUTE(INDEX(Calc!$K:$K,(ROW(C20)-1)*5+COLUMN(C20)+1),",",".")</f>
        <v/>
      </c>
      <c r="I21" s="167">
        <f>SUBSTITUTE(INDEX(Calc!$K:$K,(ROW(D20)-1)*5+COLUMN(D20)+1),",",".")</f>
        <v/>
      </c>
      <c r="J21" s="167">
        <f>SUBSTITUTE(INDEX(Calc!$K:$K,(ROW(E20)-1)*5+COLUMN(E20)+1),",",".")</f>
        <v/>
      </c>
      <c r="K21" s="166" t="inlineStr">
        <is>
          <t>], 'type' =&gt; "</t>
        </is>
      </c>
      <c r="L21" s="167">
        <f>Закуп!AA21</f>
        <v/>
      </c>
      <c r="M21" s="166" t="inlineStr">
        <is>
          <t>", 'sale' =&gt; "</t>
        </is>
      </c>
      <c r="N21" s="166">
        <f>IF(Закуп!L21="",0,Закуп!L21)</f>
        <v/>
      </c>
      <c r="O21" s="166" t="inlineStr">
        <is>
          <t>" ],</t>
        </is>
      </c>
      <c r="P21" s="144">
        <f>Закуп!N21</f>
        <v/>
      </c>
      <c r="Q21" s="210">
        <f>CONCATENATE(A21,B21,",",C21,",",D21,E21,F21,",",G21,",",H21,",",I21,",",J21,K21,L21,M21,N21,O21,)</f>
        <v/>
      </c>
    </row>
    <row r="22">
      <c r="A22" s="166" t="inlineStr">
        <is>
          <t xml:space="preserve">        [ 'dims' =&gt; [</t>
        </is>
      </c>
      <c r="B22" s="166">
        <f>Закуп!R22</f>
        <v/>
      </c>
      <c r="C22" s="166">
        <f>Закуп!S22</f>
        <v/>
      </c>
      <c r="D22" s="166">
        <f>Закуп!T22</f>
        <v/>
      </c>
      <c r="E22" s="166" t="inlineStr">
        <is>
          <t>], 'prices' =&gt; [</t>
        </is>
      </c>
      <c r="F22" s="167">
        <f>SUBSTITUTE(INDEX(Calc!$K:$K,(ROW(A21)-1)*5+COLUMN(A21)+1),",",".")</f>
        <v/>
      </c>
      <c r="G22" s="167">
        <f>SUBSTITUTE(INDEX(Calc!$K:$K,(ROW(B21)-1)*5+COLUMN(B21)+1),",",".")</f>
        <v/>
      </c>
      <c r="H22" s="167">
        <f>SUBSTITUTE(INDEX(Calc!$K:$K,(ROW(C21)-1)*5+COLUMN(C21)+1),",",".")</f>
        <v/>
      </c>
      <c r="I22" s="167">
        <f>SUBSTITUTE(INDEX(Calc!$K:$K,(ROW(D21)-1)*5+COLUMN(D21)+1),",",".")</f>
        <v/>
      </c>
      <c r="J22" s="167">
        <f>SUBSTITUTE(INDEX(Calc!$K:$K,(ROW(E21)-1)*5+COLUMN(E21)+1),",",".")</f>
        <v/>
      </c>
      <c r="K22" s="166" t="inlineStr">
        <is>
          <t>], 'type' =&gt; "</t>
        </is>
      </c>
      <c r="L22" s="167">
        <f>Закуп!AA22</f>
        <v/>
      </c>
      <c r="M22" s="166" t="inlineStr">
        <is>
          <t>", 'sale' =&gt; "</t>
        </is>
      </c>
      <c r="N22" s="166">
        <f>IF(Закуп!L22="",0,Закуп!L22)</f>
        <v/>
      </c>
      <c r="O22" s="166" t="inlineStr">
        <is>
          <t>" ],</t>
        </is>
      </c>
      <c r="P22" s="144">
        <f>Закуп!N22</f>
        <v/>
      </c>
      <c r="Q22" s="210">
        <f>CONCATENATE(A22,B22,",",C22,",",D22,E22,F22,",",G22,",",H22,",",I22,",",J22,K22,L22,M22,N22,O22,)</f>
        <v/>
      </c>
    </row>
    <row r="23">
      <c r="A23" s="166" t="inlineStr">
        <is>
          <t xml:space="preserve">        [ 'dims' =&gt; [</t>
        </is>
      </c>
      <c r="B23" s="166">
        <f>Закуп!R23</f>
        <v/>
      </c>
      <c r="C23" s="166">
        <f>Закуп!S23</f>
        <v/>
      </c>
      <c r="D23" s="166">
        <f>Закуп!T23</f>
        <v/>
      </c>
      <c r="E23" s="166" t="inlineStr">
        <is>
          <t>], 'prices' =&gt; [</t>
        </is>
      </c>
      <c r="F23" s="167">
        <f>SUBSTITUTE(INDEX(Calc!$K:$K,(ROW(A22)-1)*5+COLUMN(A22)+1),",",".")</f>
        <v/>
      </c>
      <c r="G23" s="167">
        <f>SUBSTITUTE(INDEX(Calc!$K:$K,(ROW(B22)-1)*5+COLUMN(B22)+1),",",".")</f>
        <v/>
      </c>
      <c r="H23" s="167">
        <f>SUBSTITUTE(INDEX(Calc!$K:$K,(ROW(C22)-1)*5+COLUMN(C22)+1),",",".")</f>
        <v/>
      </c>
      <c r="I23" s="167">
        <f>SUBSTITUTE(INDEX(Calc!$K:$K,(ROW(D22)-1)*5+COLUMN(D22)+1),",",".")</f>
        <v/>
      </c>
      <c r="J23" s="167">
        <f>SUBSTITUTE(INDEX(Calc!$K:$K,(ROW(E22)-1)*5+COLUMN(E22)+1),",",".")</f>
        <v/>
      </c>
      <c r="K23" s="166" t="inlineStr">
        <is>
          <t>], 'type' =&gt; "</t>
        </is>
      </c>
      <c r="L23" s="167">
        <f>Закуп!AA23</f>
        <v/>
      </c>
      <c r="M23" s="166" t="inlineStr">
        <is>
          <t>", 'sale' =&gt; "</t>
        </is>
      </c>
      <c r="N23" s="166">
        <f>IF(Закуп!L23="",0,Закуп!L23)</f>
        <v/>
      </c>
      <c r="O23" s="166" t="inlineStr">
        <is>
          <t>" ],</t>
        </is>
      </c>
      <c r="P23" s="144">
        <f>Закуп!N23</f>
        <v/>
      </c>
      <c r="Q23" s="210">
        <f>CONCATENATE(A23,B23,",",C23,",",D23,E23,F23,",",G23,",",H23,",",I23,",",J23,K23,L23,M23,N23,O23,)</f>
        <v/>
      </c>
    </row>
    <row r="24">
      <c r="A24" s="166" t="inlineStr">
        <is>
          <t xml:space="preserve">        [ 'dims' =&gt; [</t>
        </is>
      </c>
      <c r="B24" s="166">
        <f>Закуп!R24</f>
        <v/>
      </c>
      <c r="C24" s="166">
        <f>Закуп!S24</f>
        <v/>
      </c>
      <c r="D24" s="166">
        <f>Закуп!T24</f>
        <v/>
      </c>
      <c r="E24" s="166" t="inlineStr">
        <is>
          <t>], 'prices' =&gt; [</t>
        </is>
      </c>
      <c r="F24" s="167">
        <f>SUBSTITUTE(INDEX(Calc!$K:$K,(ROW(A23)-1)*5+COLUMN(A23)+1),",",".")</f>
        <v/>
      </c>
      <c r="G24" s="167">
        <f>SUBSTITUTE(INDEX(Calc!$K:$K,(ROW(B23)-1)*5+COLUMN(B23)+1),",",".")</f>
        <v/>
      </c>
      <c r="H24" s="167">
        <f>SUBSTITUTE(INDEX(Calc!$K:$K,(ROW(C23)-1)*5+COLUMN(C23)+1),",",".")</f>
        <v/>
      </c>
      <c r="I24" s="167">
        <f>SUBSTITUTE(INDEX(Calc!$K:$K,(ROW(D23)-1)*5+COLUMN(D23)+1),",",".")</f>
        <v/>
      </c>
      <c r="J24" s="167">
        <f>SUBSTITUTE(INDEX(Calc!$K:$K,(ROW(E23)-1)*5+COLUMN(E23)+1),",",".")</f>
        <v/>
      </c>
      <c r="K24" s="166" t="inlineStr">
        <is>
          <t>], 'type' =&gt; "</t>
        </is>
      </c>
      <c r="L24" s="167">
        <f>Закуп!AA24</f>
        <v/>
      </c>
      <c r="M24" s="166" t="inlineStr">
        <is>
          <t>", 'sale' =&gt; "</t>
        </is>
      </c>
      <c r="N24" s="166">
        <f>IF(Закуп!L24="",0,Закуп!L24)</f>
        <v/>
      </c>
      <c r="O24" s="166" t="inlineStr">
        <is>
          <t>" ],</t>
        </is>
      </c>
      <c r="P24" s="144">
        <f>Закуп!N24</f>
        <v/>
      </c>
      <c r="Q24" s="210">
        <f>CONCATENATE(A24,B24,",",C24,",",D24,E24,F24,",",G24,",",H24,",",I24,",",J24,K24,L24,M24,N24,O24,)</f>
        <v/>
      </c>
    </row>
    <row r="25">
      <c r="A25" s="166" t="inlineStr">
        <is>
          <t xml:space="preserve">        [ 'dims' =&gt; [</t>
        </is>
      </c>
      <c r="B25" s="166">
        <f>Закуп!R25</f>
        <v/>
      </c>
      <c r="C25" s="166">
        <f>Закуп!S25</f>
        <v/>
      </c>
      <c r="D25" s="166">
        <f>Закуп!T25</f>
        <v/>
      </c>
      <c r="E25" s="166" t="inlineStr">
        <is>
          <t>], 'prices' =&gt; [</t>
        </is>
      </c>
      <c r="F25" s="167">
        <f>SUBSTITUTE(INDEX(Calc!$K:$K,(ROW(A24)-1)*5+COLUMN(A24)+1),",",".")</f>
        <v/>
      </c>
      <c r="G25" s="167">
        <f>SUBSTITUTE(INDEX(Calc!$K:$K,(ROW(B24)-1)*5+COLUMN(B24)+1),",",".")</f>
        <v/>
      </c>
      <c r="H25" s="167">
        <f>SUBSTITUTE(INDEX(Calc!$K:$K,(ROW(C24)-1)*5+COLUMN(C24)+1),",",".")</f>
        <v/>
      </c>
      <c r="I25" s="167">
        <f>SUBSTITUTE(INDEX(Calc!$K:$K,(ROW(D24)-1)*5+COLUMN(D24)+1),",",".")</f>
        <v/>
      </c>
      <c r="J25" s="167">
        <f>SUBSTITUTE(INDEX(Calc!$K:$K,(ROW(E24)-1)*5+COLUMN(E24)+1),",",".")</f>
        <v/>
      </c>
      <c r="K25" s="166" t="inlineStr">
        <is>
          <t>], 'type' =&gt; "</t>
        </is>
      </c>
      <c r="L25" s="167">
        <f>Закуп!AA25</f>
        <v/>
      </c>
      <c r="M25" s="166" t="inlineStr">
        <is>
          <t>", 'sale' =&gt; "</t>
        </is>
      </c>
      <c r="N25" s="166">
        <f>IF(Закуп!L25="",0,Закуп!L25)</f>
        <v/>
      </c>
      <c r="O25" s="166" t="inlineStr">
        <is>
          <t>" ],</t>
        </is>
      </c>
      <c r="P25" s="144">
        <f>Закуп!N25</f>
        <v/>
      </c>
      <c r="Q25" s="210">
        <f>CONCATENATE(A25,B25,",",C25,",",D25,E25,F25,",",G25,",",H25,",",I25,",",J25,K25,L25,M25,N25,O25,)</f>
        <v/>
      </c>
    </row>
    <row r="26">
      <c r="A26" s="166" t="inlineStr">
        <is>
          <t xml:space="preserve">        [ 'dims' =&gt; [</t>
        </is>
      </c>
      <c r="B26" s="166">
        <f>Закуп!R26</f>
        <v/>
      </c>
      <c r="C26" s="166">
        <f>Закуп!S26</f>
        <v/>
      </c>
      <c r="D26" s="166">
        <f>Закуп!T26</f>
        <v/>
      </c>
      <c r="E26" s="166" t="inlineStr">
        <is>
          <t>], 'prices' =&gt; [</t>
        </is>
      </c>
      <c r="F26" s="167">
        <f>SUBSTITUTE(INDEX(Calc!$K:$K,(ROW(A25)-1)*5+COLUMN(A25)+1),",",".")</f>
        <v/>
      </c>
      <c r="G26" s="167">
        <f>SUBSTITUTE(INDEX(Calc!$K:$K,(ROW(B25)-1)*5+COLUMN(B25)+1),",",".")</f>
        <v/>
      </c>
      <c r="H26" s="167">
        <f>SUBSTITUTE(INDEX(Calc!$K:$K,(ROW(C25)-1)*5+COLUMN(C25)+1),",",".")</f>
        <v/>
      </c>
      <c r="I26" s="167">
        <f>SUBSTITUTE(INDEX(Calc!$K:$K,(ROW(D25)-1)*5+COLUMN(D25)+1),",",".")</f>
        <v/>
      </c>
      <c r="J26" s="167">
        <f>SUBSTITUTE(INDEX(Calc!$K:$K,(ROW(E25)-1)*5+COLUMN(E25)+1),",",".")</f>
        <v/>
      </c>
      <c r="K26" s="166" t="inlineStr">
        <is>
          <t>], 'type' =&gt; "</t>
        </is>
      </c>
      <c r="L26" s="167">
        <f>Закуп!AA26</f>
        <v/>
      </c>
      <c r="M26" s="166" t="inlineStr">
        <is>
          <t>", 'sale' =&gt; "</t>
        </is>
      </c>
      <c r="N26" s="166">
        <f>IF(Закуп!L26="",0,Закуп!L26)</f>
        <v/>
      </c>
      <c r="O26" s="166" t="inlineStr">
        <is>
          <t>" ],</t>
        </is>
      </c>
      <c r="P26" s="144">
        <f>Закуп!N26</f>
        <v/>
      </c>
      <c r="Q26" s="210">
        <f>CONCATENATE(A26,B26,",",C26,",",D26,E26,F26,",",G26,",",H26,",",I26,",",J26,K26,L26,M26,N26,O26,)</f>
        <v/>
      </c>
    </row>
    <row r="27">
      <c r="A27" s="166" t="inlineStr">
        <is>
          <t xml:space="preserve">        [ 'dims' =&gt; [</t>
        </is>
      </c>
      <c r="B27" s="166">
        <f>Закуп!R27</f>
        <v/>
      </c>
      <c r="C27" s="166">
        <f>Закуп!S27</f>
        <v/>
      </c>
      <c r="D27" s="166">
        <f>Закуп!T27</f>
        <v/>
      </c>
      <c r="E27" s="166" t="inlineStr">
        <is>
          <t>], 'prices' =&gt; [</t>
        </is>
      </c>
      <c r="F27" s="167">
        <f>SUBSTITUTE(INDEX(Calc!$K:$K,(ROW(A26)-1)*5+COLUMN(A26)+1),",",".")</f>
        <v/>
      </c>
      <c r="G27" s="167">
        <f>SUBSTITUTE(INDEX(Calc!$K:$K,(ROW(B26)-1)*5+COLUMN(B26)+1),",",".")</f>
        <v/>
      </c>
      <c r="H27" s="167">
        <f>SUBSTITUTE(INDEX(Calc!$K:$K,(ROW(C26)-1)*5+COLUMN(C26)+1),",",".")</f>
        <v/>
      </c>
      <c r="I27" s="167">
        <f>SUBSTITUTE(INDEX(Calc!$K:$K,(ROW(D26)-1)*5+COLUMN(D26)+1),",",".")</f>
        <v/>
      </c>
      <c r="J27" s="167">
        <f>SUBSTITUTE(INDEX(Calc!$K:$K,(ROW(E26)-1)*5+COLUMN(E26)+1),",",".")</f>
        <v/>
      </c>
      <c r="K27" s="166" t="inlineStr">
        <is>
          <t>], 'type' =&gt; "</t>
        </is>
      </c>
      <c r="L27" s="167">
        <f>Закуп!AA27</f>
        <v/>
      </c>
      <c r="M27" s="166" t="inlineStr">
        <is>
          <t>", 'sale' =&gt; "</t>
        </is>
      </c>
      <c r="N27" s="166">
        <f>IF(Закуп!L27="",0,Закуп!L27)</f>
        <v/>
      </c>
      <c r="O27" s="166" t="inlineStr">
        <is>
          <t>" ],</t>
        </is>
      </c>
      <c r="P27" s="144">
        <f>Закуп!N27</f>
        <v/>
      </c>
      <c r="Q27" s="210">
        <f>CONCATENATE(A27,B27,",",C27,",",D27,E27,F27,",",G27,",",H27,",",I27,",",J27,K27,L27,M27,N27,O27,)</f>
        <v/>
      </c>
    </row>
    <row r="28">
      <c r="A28" s="166" t="inlineStr">
        <is>
          <t xml:space="preserve">        [ 'dims' =&gt; [</t>
        </is>
      </c>
      <c r="B28" s="166">
        <f>Закуп!R28</f>
        <v/>
      </c>
      <c r="C28" s="166">
        <f>Закуп!S28</f>
        <v/>
      </c>
      <c r="D28" s="166">
        <f>Закуп!T28</f>
        <v/>
      </c>
      <c r="E28" s="166" t="inlineStr">
        <is>
          <t>], 'prices' =&gt; [</t>
        </is>
      </c>
      <c r="F28" s="167">
        <f>SUBSTITUTE(INDEX(Calc!$K:$K,(ROW(A27)-1)*5+COLUMN(A27)+1),",",".")</f>
        <v/>
      </c>
      <c r="G28" s="167">
        <f>SUBSTITUTE(INDEX(Calc!$K:$K,(ROW(B27)-1)*5+COLUMN(B27)+1),",",".")</f>
        <v/>
      </c>
      <c r="H28" s="167">
        <f>SUBSTITUTE(INDEX(Calc!$K:$K,(ROW(C27)-1)*5+COLUMN(C27)+1),",",".")</f>
        <v/>
      </c>
      <c r="I28" s="167">
        <f>SUBSTITUTE(INDEX(Calc!$K:$K,(ROW(D27)-1)*5+COLUMN(D27)+1),",",".")</f>
        <v/>
      </c>
      <c r="J28" s="167">
        <f>SUBSTITUTE(INDEX(Calc!$K:$K,(ROW(E27)-1)*5+COLUMN(E27)+1),",",".")</f>
        <v/>
      </c>
      <c r="K28" s="166" t="inlineStr">
        <is>
          <t>], 'type' =&gt; "</t>
        </is>
      </c>
      <c r="L28" s="167">
        <f>Закуп!AA28</f>
        <v/>
      </c>
      <c r="M28" s="166" t="inlineStr">
        <is>
          <t>", 'sale' =&gt; "</t>
        </is>
      </c>
      <c r="N28" s="166">
        <f>IF(Закуп!L28="",0,Закуп!L28)</f>
        <v/>
      </c>
      <c r="O28" s="166" t="inlineStr">
        <is>
          <t>" ],</t>
        </is>
      </c>
      <c r="P28" s="144">
        <f>Закуп!N28</f>
        <v/>
      </c>
      <c r="Q28" s="210">
        <f>CONCATENATE(A28,B28,",",C28,",",D28,E28,F28,",",G28,",",H28,",",I28,",",J28,K28,L28,M28,N28,O28,)</f>
        <v/>
      </c>
    </row>
    <row r="29">
      <c r="A29" s="166" t="inlineStr">
        <is>
          <t xml:space="preserve">        [ 'dims' =&gt; [</t>
        </is>
      </c>
      <c r="B29" s="166">
        <f>Закуп!R29</f>
        <v/>
      </c>
      <c r="C29" s="166">
        <f>Закуп!S29</f>
        <v/>
      </c>
      <c r="D29" s="166">
        <f>Закуп!T29</f>
        <v/>
      </c>
      <c r="E29" s="166" t="inlineStr">
        <is>
          <t>], 'prices' =&gt; [</t>
        </is>
      </c>
      <c r="F29" s="167">
        <f>SUBSTITUTE(INDEX(Calc!$K:$K,(ROW(A28)-1)*5+COLUMN(A28)+1),",",".")</f>
        <v/>
      </c>
      <c r="G29" s="167">
        <f>SUBSTITUTE(INDEX(Calc!$K:$K,(ROW(B28)-1)*5+COLUMN(B28)+1),",",".")</f>
        <v/>
      </c>
      <c r="H29" s="167">
        <f>SUBSTITUTE(INDEX(Calc!$K:$K,(ROW(C28)-1)*5+COLUMN(C28)+1),",",".")</f>
        <v/>
      </c>
      <c r="I29" s="167">
        <f>SUBSTITUTE(INDEX(Calc!$K:$K,(ROW(D28)-1)*5+COLUMN(D28)+1),",",".")</f>
        <v/>
      </c>
      <c r="J29" s="167">
        <f>SUBSTITUTE(INDEX(Calc!$K:$K,(ROW(E28)-1)*5+COLUMN(E28)+1),",",".")</f>
        <v/>
      </c>
      <c r="K29" s="166" t="inlineStr">
        <is>
          <t>], 'type' =&gt; "</t>
        </is>
      </c>
      <c r="L29" s="167">
        <f>Закуп!AA29</f>
        <v/>
      </c>
      <c r="M29" s="166" t="inlineStr">
        <is>
          <t>", 'sale' =&gt; "</t>
        </is>
      </c>
      <c r="N29" s="166">
        <f>IF(Закуп!L29="",0,Закуп!L29)</f>
        <v/>
      </c>
      <c r="O29" s="166" t="inlineStr">
        <is>
          <t>" ],</t>
        </is>
      </c>
      <c r="P29" s="144">
        <f>Закуп!N29</f>
        <v/>
      </c>
      <c r="Q29" s="210">
        <f>CONCATENATE(A29,B29,",",C29,",",D29,E29,F29,",",G29,",",H29,",",I29,",",J29,K29,L29,M29,N29,O29,)</f>
        <v/>
      </c>
    </row>
    <row r="30">
      <c r="A30" s="166" t="inlineStr">
        <is>
          <t xml:space="preserve">        [ 'dims' =&gt; [</t>
        </is>
      </c>
      <c r="B30" s="166">
        <f>Закуп!R30</f>
        <v/>
      </c>
      <c r="C30" s="166">
        <f>Закуп!S30</f>
        <v/>
      </c>
      <c r="D30" s="166">
        <f>Закуп!T30</f>
        <v/>
      </c>
      <c r="E30" s="166" t="inlineStr">
        <is>
          <t>], 'prices' =&gt; [</t>
        </is>
      </c>
      <c r="F30" s="167">
        <f>SUBSTITUTE(INDEX(Calc!$K:$K,(ROW(A29)-1)*5+COLUMN(A29)+1),",",".")</f>
        <v/>
      </c>
      <c r="G30" s="167">
        <f>SUBSTITUTE(INDEX(Calc!$K:$K,(ROW(B29)-1)*5+COLUMN(B29)+1),",",".")</f>
        <v/>
      </c>
      <c r="H30" s="167">
        <f>SUBSTITUTE(INDEX(Calc!$K:$K,(ROW(C29)-1)*5+COLUMN(C29)+1),",",".")</f>
        <v/>
      </c>
      <c r="I30" s="167">
        <f>SUBSTITUTE(INDEX(Calc!$K:$K,(ROW(D29)-1)*5+COLUMN(D29)+1),",",".")</f>
        <v/>
      </c>
      <c r="J30" s="167">
        <f>SUBSTITUTE(INDEX(Calc!$K:$K,(ROW(E29)-1)*5+COLUMN(E29)+1),",",".")</f>
        <v/>
      </c>
      <c r="K30" s="166" t="inlineStr">
        <is>
          <t>], 'type' =&gt; "</t>
        </is>
      </c>
      <c r="L30" s="167">
        <f>Закуп!AA30</f>
        <v/>
      </c>
      <c r="M30" s="166" t="inlineStr">
        <is>
          <t>", 'sale' =&gt; "</t>
        </is>
      </c>
      <c r="N30" s="166">
        <f>IF(Закуп!L30="",0,Закуп!L30)</f>
        <v/>
      </c>
      <c r="O30" s="166" t="inlineStr">
        <is>
          <t>" ],</t>
        </is>
      </c>
      <c r="P30" s="144">
        <f>Закуп!N30</f>
        <v/>
      </c>
      <c r="Q30" s="210">
        <f>CONCATENATE(A30,B30,",",C30,",",D30,E30,F30,",",G30,",",H30,",",I30,",",J30,K30,L30,M30,N30,O30,)</f>
        <v/>
      </c>
    </row>
    <row r="31">
      <c r="A31" s="166" t="inlineStr">
        <is>
          <t xml:space="preserve">        [ 'dims' =&gt; [</t>
        </is>
      </c>
      <c r="B31" s="166">
        <f>Закуп!R31</f>
        <v/>
      </c>
      <c r="C31" s="166">
        <f>Закуп!S31</f>
        <v/>
      </c>
      <c r="D31" s="166">
        <f>Закуп!T31</f>
        <v/>
      </c>
      <c r="E31" s="166" t="inlineStr">
        <is>
          <t>], 'prices' =&gt; [</t>
        </is>
      </c>
      <c r="F31" s="167">
        <f>SUBSTITUTE(INDEX(Calc!$K:$K,(ROW(A30)-1)*5+COLUMN(A30)+1),",",".")</f>
        <v/>
      </c>
      <c r="G31" s="167">
        <f>SUBSTITUTE(INDEX(Calc!$K:$K,(ROW(B30)-1)*5+COLUMN(B30)+1),",",".")</f>
        <v/>
      </c>
      <c r="H31" s="167">
        <f>SUBSTITUTE(INDEX(Calc!$K:$K,(ROW(C30)-1)*5+COLUMN(C30)+1),",",".")</f>
        <v/>
      </c>
      <c r="I31" s="167">
        <f>SUBSTITUTE(INDEX(Calc!$K:$K,(ROW(D30)-1)*5+COLUMN(D30)+1),",",".")</f>
        <v/>
      </c>
      <c r="J31" s="167">
        <f>SUBSTITUTE(INDEX(Calc!$K:$K,(ROW(E30)-1)*5+COLUMN(E30)+1),",",".")</f>
        <v/>
      </c>
      <c r="K31" s="166" t="inlineStr">
        <is>
          <t>], 'type' =&gt; "</t>
        </is>
      </c>
      <c r="L31" s="167">
        <f>Закуп!AA31</f>
        <v/>
      </c>
      <c r="M31" s="166" t="inlineStr">
        <is>
          <t>", 'sale' =&gt; "</t>
        </is>
      </c>
      <c r="N31" s="166">
        <f>IF(Закуп!L31="",0,Закуп!L31)</f>
        <v/>
      </c>
      <c r="O31" s="166" t="inlineStr">
        <is>
          <t>" ],</t>
        </is>
      </c>
      <c r="P31" s="144">
        <f>Закуп!N31</f>
        <v/>
      </c>
      <c r="Q31" s="210">
        <f>CONCATENATE(A31,B31,",",C31,",",D31,E31,F31,",",G31,",",H31,",",I31,",",J31,K31,L31,M31,N31,O31,)</f>
        <v/>
      </c>
    </row>
    <row r="32">
      <c r="A32" s="166" t="inlineStr">
        <is>
          <t xml:space="preserve">        [ 'dims' =&gt; [</t>
        </is>
      </c>
      <c r="B32" s="166">
        <f>Закуп!R32</f>
        <v/>
      </c>
      <c r="C32" s="166">
        <f>Закуп!S32</f>
        <v/>
      </c>
      <c r="D32" s="166">
        <f>Закуп!T32</f>
        <v/>
      </c>
      <c r="E32" s="166" t="inlineStr">
        <is>
          <t>], 'prices' =&gt; [</t>
        </is>
      </c>
      <c r="F32" s="167">
        <f>SUBSTITUTE(INDEX(Calc!$K:$K,(ROW(A31)-1)*5+COLUMN(A31)+1),",",".")</f>
        <v/>
      </c>
      <c r="G32" s="167">
        <f>SUBSTITUTE(INDEX(Calc!$K:$K,(ROW(B31)-1)*5+COLUMN(B31)+1),",",".")</f>
        <v/>
      </c>
      <c r="H32" s="167">
        <f>SUBSTITUTE(INDEX(Calc!$K:$K,(ROW(C31)-1)*5+COLUMN(C31)+1),",",".")</f>
        <v/>
      </c>
      <c r="I32" s="167">
        <f>SUBSTITUTE(INDEX(Calc!$K:$K,(ROW(D31)-1)*5+COLUMN(D31)+1),",",".")</f>
        <v/>
      </c>
      <c r="J32" s="167">
        <f>SUBSTITUTE(INDEX(Calc!$K:$K,(ROW(E31)-1)*5+COLUMN(E31)+1),",",".")</f>
        <v/>
      </c>
      <c r="K32" s="166" t="inlineStr">
        <is>
          <t>], 'type' =&gt; "</t>
        </is>
      </c>
      <c r="L32" s="167">
        <f>Закуп!AA32</f>
        <v/>
      </c>
      <c r="M32" s="166" t="inlineStr">
        <is>
          <t>", 'sale' =&gt; "</t>
        </is>
      </c>
      <c r="N32" s="166">
        <f>IF(Закуп!L32="",0,Закуп!L32)</f>
        <v/>
      </c>
      <c r="O32" s="166" t="inlineStr">
        <is>
          <t>" ],</t>
        </is>
      </c>
      <c r="P32" s="144">
        <f>Закуп!N32</f>
        <v/>
      </c>
      <c r="Q32" s="210">
        <f>CONCATENATE(A32,B32,",",C32,",",D32,E32,F32,",",G32,",",H32,",",I32,",",J32,K32,L32,M32,N32,O32,)</f>
        <v/>
      </c>
    </row>
    <row r="33">
      <c r="A33" s="166" t="inlineStr">
        <is>
          <t xml:space="preserve">        [ 'dims' =&gt; [</t>
        </is>
      </c>
      <c r="B33" s="166">
        <f>Закуп!R33</f>
        <v/>
      </c>
      <c r="C33" s="166">
        <f>Закуп!S33</f>
        <v/>
      </c>
      <c r="D33" s="166">
        <f>Закуп!T33</f>
        <v/>
      </c>
      <c r="E33" s="166" t="inlineStr">
        <is>
          <t>], 'prices' =&gt; [</t>
        </is>
      </c>
      <c r="F33" s="167">
        <f>SUBSTITUTE(INDEX(Calc!$K:$K,(ROW(A32)-1)*5+COLUMN(A32)+1),",",".")</f>
        <v/>
      </c>
      <c r="G33" s="167">
        <f>SUBSTITUTE(INDEX(Calc!$K:$K,(ROW(B32)-1)*5+COLUMN(B32)+1),",",".")</f>
        <v/>
      </c>
      <c r="H33" s="167">
        <f>SUBSTITUTE(INDEX(Calc!$K:$K,(ROW(C32)-1)*5+COLUMN(C32)+1),",",".")</f>
        <v/>
      </c>
      <c r="I33" s="167">
        <f>SUBSTITUTE(INDEX(Calc!$K:$K,(ROW(D32)-1)*5+COLUMN(D32)+1),",",".")</f>
        <v/>
      </c>
      <c r="J33" s="167">
        <f>SUBSTITUTE(INDEX(Calc!$K:$K,(ROW(E32)-1)*5+COLUMN(E32)+1),",",".")</f>
        <v/>
      </c>
      <c r="K33" s="166" t="inlineStr">
        <is>
          <t>], 'type' =&gt; "</t>
        </is>
      </c>
      <c r="L33" s="167">
        <f>Закуп!AA33</f>
        <v/>
      </c>
      <c r="M33" s="166" t="inlineStr">
        <is>
          <t>", 'sale' =&gt; "</t>
        </is>
      </c>
      <c r="N33" s="166">
        <f>IF(Закуп!L33="",0,Закуп!L33)</f>
        <v/>
      </c>
      <c r="O33" s="166" t="inlineStr">
        <is>
          <t>" ],</t>
        </is>
      </c>
      <c r="P33" s="144">
        <f>Закуп!N33</f>
        <v/>
      </c>
      <c r="Q33" s="210">
        <f>CONCATENATE(A33,B33,",",C33,",",D33,E33,F33,",",G33,",",H33,",",I33,",",J33,K33,L33,M33,N33,O33,)</f>
        <v/>
      </c>
    </row>
    <row r="34">
      <c r="A34" s="166" t="inlineStr">
        <is>
          <t xml:space="preserve">        [ 'dims' =&gt; [</t>
        </is>
      </c>
      <c r="B34" s="166">
        <f>Закуп!R34</f>
        <v/>
      </c>
      <c r="C34" s="166">
        <f>Закуп!S34</f>
        <v/>
      </c>
      <c r="D34" s="166">
        <f>Закуп!T34</f>
        <v/>
      </c>
      <c r="E34" s="166" t="inlineStr">
        <is>
          <t>], 'prices' =&gt; [</t>
        </is>
      </c>
      <c r="F34" s="167">
        <f>SUBSTITUTE(INDEX(Calc!$K:$K,(ROW(A33)-1)*5+COLUMN(A33)+1),",",".")</f>
        <v/>
      </c>
      <c r="G34" s="167">
        <f>SUBSTITUTE(INDEX(Calc!$K:$K,(ROW(B33)-1)*5+COLUMN(B33)+1),",",".")</f>
        <v/>
      </c>
      <c r="H34" s="167">
        <f>SUBSTITUTE(INDEX(Calc!$K:$K,(ROW(C33)-1)*5+COLUMN(C33)+1),",",".")</f>
        <v/>
      </c>
      <c r="I34" s="167">
        <f>SUBSTITUTE(INDEX(Calc!$K:$K,(ROW(D33)-1)*5+COLUMN(D33)+1),",",".")</f>
        <v/>
      </c>
      <c r="J34" s="167">
        <f>SUBSTITUTE(INDEX(Calc!$K:$K,(ROW(E33)-1)*5+COLUMN(E33)+1),",",".")</f>
        <v/>
      </c>
      <c r="K34" s="166" t="inlineStr">
        <is>
          <t>], 'type' =&gt; "</t>
        </is>
      </c>
      <c r="L34" s="167">
        <f>Закуп!AA34</f>
        <v/>
      </c>
      <c r="M34" s="166" t="inlineStr">
        <is>
          <t>", 'sale' =&gt; "</t>
        </is>
      </c>
      <c r="N34" s="166">
        <f>IF(Закуп!L34="",0,Закуп!L34)</f>
        <v/>
      </c>
      <c r="O34" s="166" t="inlineStr">
        <is>
          <t>" ],</t>
        </is>
      </c>
      <c r="P34" s="144">
        <f>Закуп!N34</f>
        <v/>
      </c>
      <c r="Q34" s="210">
        <f>CONCATENATE(A34,B34,",",C34,",",D34,E34,F34,",",G34,",",H34,",",I34,",",J34,K34,L34,M34,N34,O34,)</f>
        <v/>
      </c>
    </row>
    <row r="35">
      <c r="A35" s="166" t="inlineStr">
        <is>
          <t xml:space="preserve">        [ 'dims' =&gt; [</t>
        </is>
      </c>
      <c r="B35" s="166">
        <f>Закуп!R35</f>
        <v/>
      </c>
      <c r="C35" s="166">
        <f>Закуп!S35</f>
        <v/>
      </c>
      <c r="D35" s="166">
        <f>Закуп!T35</f>
        <v/>
      </c>
      <c r="E35" s="166" t="inlineStr">
        <is>
          <t>], 'prices' =&gt; [</t>
        </is>
      </c>
      <c r="F35" s="167">
        <f>SUBSTITUTE(INDEX(Calc!$K:$K,(ROW(A34)-1)*5+COLUMN(A34)+1),",",".")</f>
        <v/>
      </c>
      <c r="G35" s="167">
        <f>SUBSTITUTE(INDEX(Calc!$K:$K,(ROW(B34)-1)*5+COLUMN(B34)+1),",",".")</f>
        <v/>
      </c>
      <c r="H35" s="167">
        <f>SUBSTITUTE(INDEX(Calc!$K:$K,(ROW(C34)-1)*5+COLUMN(C34)+1),",",".")</f>
        <v/>
      </c>
      <c r="I35" s="167">
        <f>SUBSTITUTE(INDEX(Calc!$K:$K,(ROW(D34)-1)*5+COLUMN(D34)+1),",",".")</f>
        <v/>
      </c>
      <c r="J35" s="167">
        <f>SUBSTITUTE(INDEX(Calc!$K:$K,(ROW(E34)-1)*5+COLUMN(E34)+1),",",".")</f>
        <v/>
      </c>
      <c r="K35" s="166" t="inlineStr">
        <is>
          <t>], 'type' =&gt; "</t>
        </is>
      </c>
      <c r="L35" s="167">
        <f>Закуп!AA35</f>
        <v/>
      </c>
      <c r="M35" s="166" t="inlineStr">
        <is>
          <t>", 'sale' =&gt; "</t>
        </is>
      </c>
      <c r="N35" s="166">
        <f>IF(Закуп!L35="",0,Закуп!L35)</f>
        <v/>
      </c>
      <c r="O35" s="166" t="inlineStr">
        <is>
          <t>" ],</t>
        </is>
      </c>
      <c r="P35" s="144">
        <f>Закуп!N35</f>
        <v/>
      </c>
      <c r="Q35" s="210">
        <f>CONCATENATE(A35,B35,",",C35,",",D35,E35,F35,",",G35,",",H35,",",I35,",",J35,K35,L35,M35,N35,O35,)</f>
        <v/>
      </c>
    </row>
    <row r="36">
      <c r="A36" s="166" t="inlineStr">
        <is>
          <t xml:space="preserve">        [ 'dims' =&gt; [</t>
        </is>
      </c>
      <c r="B36" s="166">
        <f>Закуп!R36</f>
        <v/>
      </c>
      <c r="C36" s="166">
        <f>Закуп!S36</f>
        <v/>
      </c>
      <c r="D36" s="166">
        <f>Закуп!T36</f>
        <v/>
      </c>
      <c r="E36" s="166" t="inlineStr">
        <is>
          <t>], 'prices' =&gt; [</t>
        </is>
      </c>
      <c r="F36" s="167">
        <f>SUBSTITUTE(INDEX(Calc!$K:$K,(ROW(A35)-1)*5+COLUMN(A35)+1),",",".")</f>
        <v/>
      </c>
      <c r="G36" s="167">
        <f>SUBSTITUTE(INDEX(Calc!$K:$K,(ROW(B35)-1)*5+COLUMN(B35)+1),",",".")</f>
        <v/>
      </c>
      <c r="H36" s="167">
        <f>SUBSTITUTE(INDEX(Calc!$K:$K,(ROW(C35)-1)*5+COLUMN(C35)+1),",",".")</f>
        <v/>
      </c>
      <c r="I36" s="167">
        <f>SUBSTITUTE(INDEX(Calc!$K:$K,(ROW(D35)-1)*5+COLUMN(D35)+1),",",".")</f>
        <v/>
      </c>
      <c r="J36" s="167">
        <f>SUBSTITUTE(INDEX(Calc!$K:$K,(ROW(E35)-1)*5+COLUMN(E35)+1),",",".")</f>
        <v/>
      </c>
      <c r="K36" s="166" t="inlineStr">
        <is>
          <t>], 'type' =&gt; "</t>
        </is>
      </c>
      <c r="L36" s="167">
        <f>Закуп!AA36</f>
        <v/>
      </c>
      <c r="M36" s="166" t="inlineStr">
        <is>
          <t>", 'sale' =&gt; "</t>
        </is>
      </c>
      <c r="N36" s="166">
        <f>IF(Закуп!L36="",0,Закуп!L36)</f>
        <v/>
      </c>
      <c r="O36" s="166" t="inlineStr">
        <is>
          <t>" ],</t>
        </is>
      </c>
      <c r="P36" s="144">
        <f>Закуп!N36</f>
        <v/>
      </c>
      <c r="Q36" s="210">
        <f>CONCATENATE(A36,B36,",",C36,",",D36,E36,F36,",",G36,",",H36,",",I36,",",J36,K36,L36,M36,N36,O36,)</f>
        <v/>
      </c>
    </row>
    <row r="37">
      <c r="A37" s="166" t="inlineStr">
        <is>
          <t xml:space="preserve">        [ 'dims' =&gt; [</t>
        </is>
      </c>
      <c r="B37" s="166">
        <f>Закуп!R37</f>
        <v/>
      </c>
      <c r="C37" s="166">
        <f>Закуп!S37</f>
        <v/>
      </c>
      <c r="D37" s="166">
        <f>Закуп!T37</f>
        <v/>
      </c>
      <c r="E37" s="166" t="inlineStr">
        <is>
          <t>], 'prices' =&gt; [</t>
        </is>
      </c>
      <c r="F37" s="167">
        <f>SUBSTITUTE(INDEX(Calc!$K:$K,(ROW(A36)-1)*5+COLUMN(A36)+1),",",".")</f>
        <v/>
      </c>
      <c r="G37" s="167">
        <f>SUBSTITUTE(INDEX(Calc!$K:$K,(ROW(B36)-1)*5+COLUMN(B36)+1),",",".")</f>
        <v/>
      </c>
      <c r="H37" s="167">
        <f>SUBSTITUTE(INDEX(Calc!$K:$K,(ROW(C36)-1)*5+COLUMN(C36)+1),",",".")</f>
        <v/>
      </c>
      <c r="I37" s="167">
        <f>SUBSTITUTE(INDEX(Calc!$K:$K,(ROW(D36)-1)*5+COLUMN(D36)+1),",",".")</f>
        <v/>
      </c>
      <c r="J37" s="167">
        <f>SUBSTITUTE(INDEX(Calc!$K:$K,(ROW(E36)-1)*5+COLUMN(E36)+1),",",".")</f>
        <v/>
      </c>
      <c r="K37" s="166" t="inlineStr">
        <is>
          <t>], 'type' =&gt; "</t>
        </is>
      </c>
      <c r="L37" s="167">
        <f>Закуп!AA37</f>
        <v/>
      </c>
      <c r="M37" s="166" t="inlineStr">
        <is>
          <t>", 'sale' =&gt; "</t>
        </is>
      </c>
      <c r="N37" s="166">
        <f>IF(Закуп!L37="",0,Закуп!L37)</f>
        <v/>
      </c>
      <c r="O37" s="166" t="inlineStr">
        <is>
          <t>" ],</t>
        </is>
      </c>
      <c r="P37" s="144">
        <f>Закуп!N37</f>
        <v/>
      </c>
      <c r="Q37" s="210">
        <f>CONCATENATE(A37,B37,",",C37,",",D37,E37,F37,",",G37,",",H37,",",I37,",",J37,K37,L37,M37,N37,O37,)</f>
        <v/>
      </c>
    </row>
    <row r="38">
      <c r="A38" s="166" t="inlineStr">
        <is>
          <t xml:space="preserve">        [ 'dims' =&gt; [</t>
        </is>
      </c>
      <c r="B38" s="166">
        <f>Закуп!R38</f>
        <v/>
      </c>
      <c r="C38" s="166">
        <f>Закуп!S38</f>
        <v/>
      </c>
      <c r="D38" s="166">
        <f>Закуп!T38</f>
        <v/>
      </c>
      <c r="E38" s="166" t="inlineStr">
        <is>
          <t>], 'prices' =&gt; [</t>
        </is>
      </c>
      <c r="F38" s="167">
        <f>SUBSTITUTE(INDEX(Calc!$K:$K,(ROW(A37)-1)*5+COLUMN(A37)+1),",",".")</f>
        <v/>
      </c>
      <c r="G38" s="167">
        <f>SUBSTITUTE(INDEX(Calc!$K:$K,(ROW(B37)-1)*5+COLUMN(B37)+1),",",".")</f>
        <v/>
      </c>
      <c r="H38" s="167">
        <f>SUBSTITUTE(INDEX(Calc!$K:$K,(ROW(C37)-1)*5+COLUMN(C37)+1),",",".")</f>
        <v/>
      </c>
      <c r="I38" s="167">
        <f>SUBSTITUTE(INDEX(Calc!$K:$K,(ROW(D37)-1)*5+COLUMN(D37)+1),",",".")</f>
        <v/>
      </c>
      <c r="J38" s="167">
        <f>SUBSTITUTE(INDEX(Calc!$K:$K,(ROW(E37)-1)*5+COLUMN(E37)+1),",",".")</f>
        <v/>
      </c>
      <c r="K38" s="166" t="inlineStr">
        <is>
          <t>], 'type' =&gt; "</t>
        </is>
      </c>
      <c r="L38" s="167">
        <f>Закуп!AA38</f>
        <v/>
      </c>
      <c r="M38" s="166" t="inlineStr">
        <is>
          <t>", 'sale' =&gt; "</t>
        </is>
      </c>
      <c r="N38" s="166">
        <f>IF(Закуп!L38="",0,Закуп!L38)</f>
        <v/>
      </c>
      <c r="O38" s="166" t="inlineStr">
        <is>
          <t>" ],</t>
        </is>
      </c>
      <c r="P38" s="144">
        <f>Закуп!N38</f>
        <v/>
      </c>
      <c r="Q38" s="210">
        <f>CONCATENATE(A38,B38,",",C38,",",D38,E38,F38,",",G38,",",H38,",",I38,",",J38,K38,L38,M38,N38,O38,)</f>
        <v/>
      </c>
    </row>
    <row r="39">
      <c r="A39" s="166" t="inlineStr">
        <is>
          <t xml:space="preserve">        [ 'dims' =&gt; [</t>
        </is>
      </c>
      <c r="B39" s="166">
        <f>Закуп!R39</f>
        <v/>
      </c>
      <c r="C39" s="166">
        <f>Закуп!S39</f>
        <v/>
      </c>
      <c r="D39" s="166">
        <f>Закуп!T39</f>
        <v/>
      </c>
      <c r="E39" s="166" t="inlineStr">
        <is>
          <t>], 'prices' =&gt; [</t>
        </is>
      </c>
      <c r="F39" s="167">
        <f>SUBSTITUTE(INDEX(Calc!$K:$K,(ROW(A38)-1)*5+COLUMN(A38)+1),",",".")</f>
        <v/>
      </c>
      <c r="G39" s="167">
        <f>SUBSTITUTE(INDEX(Calc!$K:$K,(ROW(B38)-1)*5+COLUMN(B38)+1),",",".")</f>
        <v/>
      </c>
      <c r="H39" s="167">
        <f>SUBSTITUTE(INDEX(Calc!$K:$K,(ROW(C38)-1)*5+COLUMN(C38)+1),",",".")</f>
        <v/>
      </c>
      <c r="I39" s="167">
        <f>SUBSTITUTE(INDEX(Calc!$K:$K,(ROW(D38)-1)*5+COLUMN(D38)+1),",",".")</f>
        <v/>
      </c>
      <c r="J39" s="167">
        <f>SUBSTITUTE(INDEX(Calc!$K:$K,(ROW(E38)-1)*5+COLUMN(E38)+1),",",".")</f>
        <v/>
      </c>
      <c r="K39" s="166" t="inlineStr">
        <is>
          <t>], 'type' =&gt; "</t>
        </is>
      </c>
      <c r="L39" s="167">
        <f>Закуп!AA39</f>
        <v/>
      </c>
      <c r="M39" s="166" t="inlineStr">
        <is>
          <t>", 'sale' =&gt; "</t>
        </is>
      </c>
      <c r="N39" s="166">
        <f>IF(Закуп!L39="",0,Закуп!L39)</f>
        <v/>
      </c>
      <c r="O39" s="166" t="inlineStr">
        <is>
          <t>" ],</t>
        </is>
      </c>
      <c r="P39" s="144">
        <f>Закуп!N39</f>
        <v/>
      </c>
      <c r="Q39" s="210">
        <f>CONCATENATE(A39,B39,",",C39,",",D39,E39,F39,",",G39,",",H39,",",I39,",",J39,K39,L39,M39,N39,O39,)</f>
        <v/>
      </c>
    </row>
    <row r="40">
      <c r="A40" s="166" t="inlineStr">
        <is>
          <t xml:space="preserve">        [ 'dims' =&gt; [</t>
        </is>
      </c>
      <c r="B40" s="166">
        <f>Закуп!R40</f>
        <v/>
      </c>
      <c r="C40" s="166">
        <f>Закуп!S40</f>
        <v/>
      </c>
      <c r="D40" s="166">
        <f>Закуп!T40</f>
        <v/>
      </c>
      <c r="E40" s="166" t="inlineStr">
        <is>
          <t>], 'prices' =&gt; [</t>
        </is>
      </c>
      <c r="F40" s="167">
        <f>SUBSTITUTE(INDEX(Calc!$K:$K,(ROW(A39)-1)*5+COLUMN(A39)+1),",",".")</f>
        <v/>
      </c>
      <c r="G40" s="167">
        <f>SUBSTITUTE(INDEX(Calc!$K:$K,(ROW(B39)-1)*5+COLUMN(B39)+1),",",".")</f>
        <v/>
      </c>
      <c r="H40" s="167">
        <f>SUBSTITUTE(INDEX(Calc!$K:$K,(ROW(C39)-1)*5+COLUMN(C39)+1),",",".")</f>
        <v/>
      </c>
      <c r="I40" s="167">
        <f>SUBSTITUTE(INDEX(Calc!$K:$K,(ROW(D39)-1)*5+COLUMN(D39)+1),",",".")</f>
        <v/>
      </c>
      <c r="J40" s="167">
        <f>SUBSTITUTE(INDEX(Calc!$K:$K,(ROW(E39)-1)*5+COLUMN(E39)+1),",",".")</f>
        <v/>
      </c>
      <c r="K40" s="166" t="inlineStr">
        <is>
          <t>], 'type' =&gt; "</t>
        </is>
      </c>
      <c r="L40" s="167">
        <f>Закуп!AA40</f>
        <v/>
      </c>
      <c r="M40" s="166" t="inlineStr">
        <is>
          <t>", 'sale' =&gt; "</t>
        </is>
      </c>
      <c r="N40" s="166">
        <f>IF(Закуп!L40="",0,Закуп!L40)</f>
        <v/>
      </c>
      <c r="O40" s="166" t="inlineStr">
        <is>
          <t>" ],</t>
        </is>
      </c>
      <c r="P40" s="144">
        <f>Закуп!N40</f>
        <v/>
      </c>
      <c r="Q40" s="210">
        <f>CONCATENATE(A40,B40,",",C40,",",D40,E40,F40,",",G40,",",H40,",",I40,",",J40,K40,L40,M40,N40,O40,)</f>
        <v/>
      </c>
    </row>
    <row r="41">
      <c r="A41" s="166" t="inlineStr">
        <is>
          <t xml:space="preserve">        [ 'dims' =&gt; [</t>
        </is>
      </c>
      <c r="B41" s="166">
        <f>Закуп!R41</f>
        <v/>
      </c>
      <c r="C41" s="166">
        <f>Закуп!S41</f>
        <v/>
      </c>
      <c r="D41" s="166">
        <f>Закуп!T41</f>
        <v/>
      </c>
      <c r="E41" s="166" t="inlineStr">
        <is>
          <t>], 'prices' =&gt; [</t>
        </is>
      </c>
      <c r="F41" s="167">
        <f>SUBSTITUTE(INDEX(Calc!$K:$K,(ROW(A40)-1)*5+COLUMN(A40)+1),",",".")</f>
        <v/>
      </c>
      <c r="G41" s="167">
        <f>SUBSTITUTE(INDEX(Calc!$K:$K,(ROW(B40)-1)*5+COLUMN(B40)+1),",",".")</f>
        <v/>
      </c>
      <c r="H41" s="167">
        <f>SUBSTITUTE(INDEX(Calc!$K:$K,(ROW(C40)-1)*5+COLUMN(C40)+1),",",".")</f>
        <v/>
      </c>
      <c r="I41" s="167">
        <f>SUBSTITUTE(INDEX(Calc!$K:$K,(ROW(D40)-1)*5+COLUMN(D40)+1),",",".")</f>
        <v/>
      </c>
      <c r="J41" s="167">
        <f>SUBSTITUTE(INDEX(Calc!$K:$K,(ROW(E40)-1)*5+COLUMN(E40)+1),",",".")</f>
        <v/>
      </c>
      <c r="K41" s="166" t="inlineStr">
        <is>
          <t>], 'type' =&gt; "</t>
        </is>
      </c>
      <c r="L41" s="167">
        <f>Закуп!AA41</f>
        <v/>
      </c>
      <c r="M41" s="166" t="inlineStr">
        <is>
          <t>", 'sale' =&gt; "</t>
        </is>
      </c>
      <c r="N41" s="166">
        <f>IF(Закуп!L41="",0,Закуп!L41)</f>
        <v/>
      </c>
      <c r="O41" s="166" t="inlineStr">
        <is>
          <t>" ],</t>
        </is>
      </c>
      <c r="P41" s="144">
        <f>Закуп!N41</f>
        <v/>
      </c>
      <c r="Q41" s="210">
        <f>CONCATENATE(A41,B41,",",C41,",",D41,E41,F41,",",G41,",",H41,",",I41,",",J41,K41,L41,M41,N41,O41,)</f>
        <v/>
      </c>
    </row>
    <row r="42">
      <c r="A42" s="166" t="inlineStr">
        <is>
          <t xml:space="preserve">        [ 'dims' =&gt; [</t>
        </is>
      </c>
      <c r="B42" s="166">
        <f>Закуп!R42</f>
        <v/>
      </c>
      <c r="C42" s="166">
        <f>Закуп!S42</f>
        <v/>
      </c>
      <c r="D42" s="166">
        <f>Закуп!T42</f>
        <v/>
      </c>
      <c r="E42" s="166" t="inlineStr">
        <is>
          <t>], 'prices' =&gt; [</t>
        </is>
      </c>
      <c r="F42" s="167">
        <f>SUBSTITUTE(INDEX(Calc!$K:$K,(ROW(A41)-1)*5+COLUMN(A41)+1),",",".")</f>
        <v/>
      </c>
      <c r="G42" s="167">
        <f>SUBSTITUTE(INDEX(Calc!$K:$K,(ROW(B41)-1)*5+COLUMN(B41)+1),",",".")</f>
        <v/>
      </c>
      <c r="H42" s="167">
        <f>SUBSTITUTE(INDEX(Calc!$K:$K,(ROW(C41)-1)*5+COLUMN(C41)+1),",",".")</f>
        <v/>
      </c>
      <c r="I42" s="167">
        <f>SUBSTITUTE(INDEX(Calc!$K:$K,(ROW(D41)-1)*5+COLUMN(D41)+1),",",".")</f>
        <v/>
      </c>
      <c r="J42" s="167">
        <f>SUBSTITUTE(INDEX(Calc!$K:$K,(ROW(E41)-1)*5+COLUMN(E41)+1),",",".")</f>
        <v/>
      </c>
      <c r="K42" s="166" t="inlineStr">
        <is>
          <t>], 'type' =&gt; "</t>
        </is>
      </c>
      <c r="L42" s="167">
        <f>Закуп!AA42</f>
        <v/>
      </c>
      <c r="M42" s="166" t="inlineStr">
        <is>
          <t>", 'sale' =&gt; "</t>
        </is>
      </c>
      <c r="N42" s="166">
        <f>IF(Закуп!L42="",0,Закуп!L42)</f>
        <v/>
      </c>
      <c r="O42" s="166" t="inlineStr">
        <is>
          <t>" ],</t>
        </is>
      </c>
      <c r="P42" s="144">
        <f>Закуп!N42</f>
        <v/>
      </c>
      <c r="Q42" s="210">
        <f>CONCATENATE(A42,B42,",",C42,",",D42,E42,F42,",",G42,",",H42,",",I42,",",J42,K42,L42,M42,N42,O42,)</f>
        <v/>
      </c>
    </row>
    <row r="43">
      <c r="A43" s="166" t="inlineStr">
        <is>
          <t xml:space="preserve">        [ 'dims' =&gt; [</t>
        </is>
      </c>
      <c r="B43" s="166">
        <f>Закуп!R43</f>
        <v/>
      </c>
      <c r="C43" s="166">
        <f>Закуп!S43</f>
        <v/>
      </c>
      <c r="D43" s="166">
        <f>Закуп!T43</f>
        <v/>
      </c>
      <c r="E43" s="166" t="inlineStr">
        <is>
          <t>], 'prices' =&gt; [</t>
        </is>
      </c>
      <c r="F43" s="167">
        <f>SUBSTITUTE(INDEX(Calc!$K:$K,(ROW(A42)-1)*5+COLUMN(A42)+1),",",".")</f>
        <v/>
      </c>
      <c r="G43" s="167">
        <f>SUBSTITUTE(INDEX(Calc!$K:$K,(ROW(B42)-1)*5+COLUMN(B42)+1),",",".")</f>
        <v/>
      </c>
      <c r="H43" s="167">
        <f>SUBSTITUTE(INDEX(Calc!$K:$K,(ROW(C42)-1)*5+COLUMN(C42)+1),",",".")</f>
        <v/>
      </c>
      <c r="I43" s="167">
        <f>SUBSTITUTE(INDEX(Calc!$K:$K,(ROW(D42)-1)*5+COLUMN(D42)+1),",",".")</f>
        <v/>
      </c>
      <c r="J43" s="167">
        <f>SUBSTITUTE(INDEX(Calc!$K:$K,(ROW(E42)-1)*5+COLUMN(E42)+1),",",".")</f>
        <v/>
      </c>
      <c r="K43" s="166" t="inlineStr">
        <is>
          <t>], 'type' =&gt; "</t>
        </is>
      </c>
      <c r="L43" s="167">
        <f>Закуп!AA43</f>
        <v/>
      </c>
      <c r="M43" s="166" t="inlineStr">
        <is>
          <t>", 'sale' =&gt; "</t>
        </is>
      </c>
      <c r="N43" s="166">
        <f>IF(Закуп!L43="",0,Закуп!L43)</f>
        <v/>
      </c>
      <c r="O43" s="166" t="inlineStr">
        <is>
          <t>" ],</t>
        </is>
      </c>
      <c r="P43" s="144">
        <f>Закуп!N43</f>
        <v/>
      </c>
      <c r="Q43" s="210">
        <f>CONCATENATE(A43,B43,",",C43,",",D43,E43,F43,",",G43,",",H43,",",I43,",",J43,K43,L43,M43,N43,O43,)</f>
        <v/>
      </c>
    </row>
    <row r="44">
      <c r="A44" s="166" t="inlineStr">
        <is>
          <t xml:space="preserve">        [ 'dims' =&gt; [</t>
        </is>
      </c>
      <c r="B44" s="166">
        <f>Закуп!R44</f>
        <v/>
      </c>
      <c r="C44" s="166">
        <f>Закуп!S44</f>
        <v/>
      </c>
      <c r="D44" s="166">
        <f>Закуп!T44</f>
        <v/>
      </c>
      <c r="E44" s="166" t="inlineStr">
        <is>
          <t>], 'prices' =&gt; [</t>
        </is>
      </c>
      <c r="F44" s="167">
        <f>SUBSTITUTE(INDEX(Calc!$K:$K,(ROW(A43)-1)*5+COLUMN(A43)+1),",",".")</f>
        <v/>
      </c>
      <c r="G44" s="167">
        <f>SUBSTITUTE(INDEX(Calc!$K:$K,(ROW(B43)-1)*5+COLUMN(B43)+1),",",".")</f>
        <v/>
      </c>
      <c r="H44" s="167">
        <f>SUBSTITUTE(INDEX(Calc!$K:$K,(ROW(C43)-1)*5+COLUMN(C43)+1),",",".")</f>
        <v/>
      </c>
      <c r="I44" s="167">
        <f>SUBSTITUTE(INDEX(Calc!$K:$K,(ROW(D43)-1)*5+COLUMN(D43)+1),",",".")</f>
        <v/>
      </c>
      <c r="J44" s="167">
        <f>SUBSTITUTE(INDEX(Calc!$K:$K,(ROW(E43)-1)*5+COLUMN(E43)+1),",",".")</f>
        <v/>
      </c>
      <c r="K44" s="166" t="inlineStr">
        <is>
          <t>], 'type' =&gt; "</t>
        </is>
      </c>
      <c r="L44" s="167">
        <f>Закуп!AA44</f>
        <v/>
      </c>
      <c r="M44" s="166" t="inlineStr">
        <is>
          <t>", 'sale' =&gt; "</t>
        </is>
      </c>
      <c r="N44" s="166">
        <f>IF(Закуп!L44="",0,Закуп!L44)</f>
        <v/>
      </c>
      <c r="O44" s="166" t="inlineStr">
        <is>
          <t>" ],</t>
        </is>
      </c>
      <c r="P44" s="144">
        <f>Закуп!N44</f>
        <v/>
      </c>
      <c r="Q44" s="210">
        <f>CONCATENATE(A44,B44,",",C44,",",D44,E44,F44,",",G44,",",H44,",",I44,",",J44,K44,L44,M44,N44,O44,)</f>
        <v/>
      </c>
    </row>
    <row r="45">
      <c r="A45" s="166" t="inlineStr">
        <is>
          <t xml:space="preserve">        [ 'dims' =&gt; [</t>
        </is>
      </c>
      <c r="B45" s="166">
        <f>Закуп!R45</f>
        <v/>
      </c>
      <c r="C45" s="166">
        <f>Закуп!S45</f>
        <v/>
      </c>
      <c r="D45" s="166">
        <f>Закуп!T45</f>
        <v/>
      </c>
      <c r="E45" s="166" t="inlineStr">
        <is>
          <t>], 'prices' =&gt; [</t>
        </is>
      </c>
      <c r="F45" s="167">
        <f>SUBSTITUTE(INDEX(Calc!$K:$K,(ROW(A44)-1)*5+COLUMN(A44)+1),",",".")</f>
        <v/>
      </c>
      <c r="G45" s="167">
        <f>SUBSTITUTE(INDEX(Calc!$K:$K,(ROW(B44)-1)*5+COLUMN(B44)+1),",",".")</f>
        <v/>
      </c>
      <c r="H45" s="167">
        <f>SUBSTITUTE(INDEX(Calc!$K:$K,(ROW(C44)-1)*5+COLUMN(C44)+1),",",".")</f>
        <v/>
      </c>
      <c r="I45" s="167">
        <f>SUBSTITUTE(INDEX(Calc!$K:$K,(ROW(D44)-1)*5+COLUMN(D44)+1),",",".")</f>
        <v/>
      </c>
      <c r="J45" s="167">
        <f>SUBSTITUTE(INDEX(Calc!$K:$K,(ROW(E44)-1)*5+COLUMN(E44)+1),",",".")</f>
        <v/>
      </c>
      <c r="K45" s="166" t="inlineStr">
        <is>
          <t>], 'type' =&gt; "</t>
        </is>
      </c>
      <c r="L45" s="167">
        <f>Закуп!AA45</f>
        <v/>
      </c>
      <c r="M45" s="166" t="inlineStr">
        <is>
          <t>", 'sale' =&gt; "</t>
        </is>
      </c>
      <c r="N45" s="166">
        <f>IF(Закуп!L45="",0,Закуп!L45)</f>
        <v/>
      </c>
      <c r="O45" s="166" t="inlineStr">
        <is>
          <t>" ],</t>
        </is>
      </c>
      <c r="P45" s="144">
        <f>Закуп!N45</f>
        <v/>
      </c>
      <c r="Q45" s="210">
        <f>CONCATENATE(A45,B45,",",C45,",",D45,E45,F45,",",G45,",",H45,",",I45,",",J45,K45,L45,M45,N45,O45,)</f>
        <v/>
      </c>
    </row>
    <row r="46">
      <c r="A46" s="166" t="inlineStr">
        <is>
          <t xml:space="preserve">        [ 'dims' =&gt; [</t>
        </is>
      </c>
      <c r="B46" s="166">
        <f>Закуп!R46</f>
        <v/>
      </c>
      <c r="C46" s="166">
        <f>Закуп!S46</f>
        <v/>
      </c>
      <c r="D46" s="166">
        <f>Закуп!T46</f>
        <v/>
      </c>
      <c r="E46" s="166" t="inlineStr">
        <is>
          <t>], 'prices' =&gt; [</t>
        </is>
      </c>
      <c r="F46" s="167">
        <f>SUBSTITUTE(INDEX(Calc!$K:$K,(ROW(A45)-1)*5+COLUMN(A45)+1),",",".")</f>
        <v/>
      </c>
      <c r="G46" s="167">
        <f>SUBSTITUTE(INDEX(Calc!$K:$K,(ROW(B45)-1)*5+COLUMN(B45)+1),",",".")</f>
        <v/>
      </c>
      <c r="H46" s="167">
        <f>SUBSTITUTE(INDEX(Calc!$K:$K,(ROW(C45)-1)*5+COLUMN(C45)+1),",",".")</f>
        <v/>
      </c>
      <c r="I46" s="167">
        <f>SUBSTITUTE(INDEX(Calc!$K:$K,(ROW(D45)-1)*5+COLUMN(D45)+1),",",".")</f>
        <v/>
      </c>
      <c r="J46" s="167">
        <f>SUBSTITUTE(INDEX(Calc!$K:$K,(ROW(E45)-1)*5+COLUMN(E45)+1),",",".")</f>
        <v/>
      </c>
      <c r="K46" s="166" t="inlineStr">
        <is>
          <t>], 'type' =&gt; "</t>
        </is>
      </c>
      <c r="L46" s="167">
        <f>Закуп!AA46</f>
        <v/>
      </c>
      <c r="M46" s="166" t="inlineStr">
        <is>
          <t>", 'sale' =&gt; "</t>
        </is>
      </c>
      <c r="N46" s="166">
        <f>IF(Закуп!L46="",0,Закуп!L46)</f>
        <v/>
      </c>
      <c r="O46" s="166" t="inlineStr">
        <is>
          <t>" ],</t>
        </is>
      </c>
      <c r="P46" s="144">
        <f>Закуп!N46</f>
        <v/>
      </c>
      <c r="Q46" s="210">
        <f>CONCATENATE(A46,B46,",",C46,",",D46,E46,F46,",",G46,",",H46,",",I46,",",J46,K46,L46,M46,N46,O46,)</f>
        <v/>
      </c>
    </row>
    <row r="47">
      <c r="A47" s="166" t="inlineStr">
        <is>
          <t xml:space="preserve">        [ 'dims' =&gt; [</t>
        </is>
      </c>
      <c r="B47" s="166">
        <f>Закуп!R47</f>
        <v/>
      </c>
      <c r="C47" s="166">
        <f>Закуп!S47</f>
        <v/>
      </c>
      <c r="D47" s="166">
        <f>Закуп!T47</f>
        <v/>
      </c>
      <c r="E47" s="166" t="inlineStr">
        <is>
          <t>], 'prices' =&gt; [</t>
        </is>
      </c>
      <c r="F47" s="167">
        <f>SUBSTITUTE(INDEX(Calc!$K:$K,(ROW(A46)-1)*5+COLUMN(A46)+1),",",".")</f>
        <v/>
      </c>
      <c r="G47" s="167">
        <f>SUBSTITUTE(INDEX(Calc!$K:$K,(ROW(B46)-1)*5+COLUMN(B46)+1),",",".")</f>
        <v/>
      </c>
      <c r="H47" s="167">
        <f>SUBSTITUTE(INDEX(Calc!$K:$K,(ROW(C46)-1)*5+COLUMN(C46)+1),",",".")</f>
        <v/>
      </c>
      <c r="I47" s="167">
        <f>SUBSTITUTE(INDEX(Calc!$K:$K,(ROW(D46)-1)*5+COLUMN(D46)+1),",",".")</f>
        <v/>
      </c>
      <c r="J47" s="167">
        <f>SUBSTITUTE(INDEX(Calc!$K:$K,(ROW(E46)-1)*5+COLUMN(E46)+1),",",".")</f>
        <v/>
      </c>
      <c r="K47" s="166" t="inlineStr">
        <is>
          <t>], 'type' =&gt; "</t>
        </is>
      </c>
      <c r="L47" s="167">
        <f>Закуп!AA47</f>
        <v/>
      </c>
      <c r="M47" s="166" t="inlineStr">
        <is>
          <t>", 'sale' =&gt; "</t>
        </is>
      </c>
      <c r="N47" s="166">
        <f>IF(Закуп!L47="",0,Закуп!L47)</f>
        <v/>
      </c>
      <c r="O47" s="166" t="inlineStr">
        <is>
          <t>" ],</t>
        </is>
      </c>
      <c r="P47" s="144">
        <f>Закуп!N47</f>
        <v/>
      </c>
      <c r="Q47" s="210">
        <f>CONCATENATE(A47,B47,",",C47,",",D47,E47,F47,",",G47,",",H47,",",I47,",",J47,K47,L47,M47,N47,O47,)</f>
        <v/>
      </c>
    </row>
    <row r="48">
      <c r="A48" s="166" t="inlineStr">
        <is>
          <t xml:space="preserve">        [ 'dims' =&gt; [</t>
        </is>
      </c>
      <c r="B48" s="166">
        <f>Закуп!R48</f>
        <v/>
      </c>
      <c r="C48" s="166">
        <f>Закуп!S48</f>
        <v/>
      </c>
      <c r="D48" s="166">
        <f>Закуп!T48</f>
        <v/>
      </c>
      <c r="E48" s="166" t="inlineStr">
        <is>
          <t>], 'prices' =&gt; [</t>
        </is>
      </c>
      <c r="F48" s="167">
        <f>SUBSTITUTE(INDEX(Calc!$K:$K,(ROW(A47)-1)*5+COLUMN(A47)+1),",",".")</f>
        <v/>
      </c>
      <c r="G48" s="167">
        <f>SUBSTITUTE(INDEX(Calc!$K:$K,(ROW(B47)-1)*5+COLUMN(B47)+1),",",".")</f>
        <v/>
      </c>
      <c r="H48" s="167">
        <f>SUBSTITUTE(INDEX(Calc!$K:$K,(ROW(C47)-1)*5+COLUMN(C47)+1),",",".")</f>
        <v/>
      </c>
      <c r="I48" s="167">
        <f>SUBSTITUTE(INDEX(Calc!$K:$K,(ROW(D47)-1)*5+COLUMN(D47)+1),",",".")</f>
        <v/>
      </c>
      <c r="J48" s="167">
        <f>SUBSTITUTE(INDEX(Calc!$K:$K,(ROW(E47)-1)*5+COLUMN(E47)+1),",",".")</f>
        <v/>
      </c>
      <c r="K48" s="166" t="inlineStr">
        <is>
          <t>], 'type' =&gt; "</t>
        </is>
      </c>
      <c r="L48" s="167">
        <f>Закуп!AA48</f>
        <v/>
      </c>
      <c r="M48" s="166" t="inlineStr">
        <is>
          <t>", 'sale' =&gt; "</t>
        </is>
      </c>
      <c r="N48" s="166">
        <f>IF(Закуп!L48="",0,Закуп!L48)</f>
        <v/>
      </c>
      <c r="O48" s="166" t="inlineStr">
        <is>
          <t>" ],</t>
        </is>
      </c>
      <c r="P48" s="144">
        <f>Закуп!N48</f>
        <v/>
      </c>
      <c r="Q48" s="210">
        <f>CONCATENATE(A48,B48,",",C48,",",D48,E48,F48,",",G48,",",H48,",",I48,",",J48,K48,L48,M48,N48,O48,)</f>
        <v/>
      </c>
    </row>
    <row r="49">
      <c r="A49" s="166" t="inlineStr">
        <is>
          <t xml:space="preserve">        [ 'dims' =&gt; [</t>
        </is>
      </c>
      <c r="B49" s="166">
        <f>Закуп!R49</f>
        <v/>
      </c>
      <c r="C49" s="166">
        <f>Закуп!S49</f>
        <v/>
      </c>
      <c r="D49" s="166">
        <f>Закуп!T49</f>
        <v/>
      </c>
      <c r="E49" s="166" t="inlineStr">
        <is>
          <t>], 'prices' =&gt; [</t>
        </is>
      </c>
      <c r="F49" s="167">
        <f>SUBSTITUTE(INDEX(Calc!$K:$K,(ROW(A48)-1)*5+COLUMN(A48)+1),",",".")</f>
        <v/>
      </c>
      <c r="G49" s="167">
        <f>SUBSTITUTE(INDEX(Calc!$K:$K,(ROW(B48)-1)*5+COLUMN(B48)+1),",",".")</f>
        <v/>
      </c>
      <c r="H49" s="167">
        <f>SUBSTITUTE(INDEX(Calc!$K:$K,(ROW(C48)-1)*5+COLUMN(C48)+1),",",".")</f>
        <v/>
      </c>
      <c r="I49" s="167">
        <f>SUBSTITUTE(INDEX(Calc!$K:$K,(ROW(D48)-1)*5+COLUMN(D48)+1),",",".")</f>
        <v/>
      </c>
      <c r="J49" s="167">
        <f>SUBSTITUTE(INDEX(Calc!$K:$K,(ROW(E48)-1)*5+COLUMN(E48)+1),",",".")</f>
        <v/>
      </c>
      <c r="K49" s="166" t="inlineStr">
        <is>
          <t>], 'type' =&gt; "</t>
        </is>
      </c>
      <c r="L49" s="167">
        <f>Закуп!AA49</f>
        <v/>
      </c>
      <c r="M49" s="166" t="inlineStr">
        <is>
          <t>", 'sale' =&gt; "</t>
        </is>
      </c>
      <c r="N49" s="166">
        <f>IF(Закуп!L49="",0,Закуп!L49)</f>
        <v/>
      </c>
      <c r="O49" s="166" t="inlineStr">
        <is>
          <t>" ],</t>
        </is>
      </c>
      <c r="P49" s="144">
        <f>Закуп!N49</f>
        <v/>
      </c>
      <c r="Q49" s="210">
        <f>CONCATENATE(A49,B49,",",C49,",",D49,E49,F49,",",G49,",",H49,",",I49,",",J49,K49,L49,M49,N49,O49,)</f>
        <v/>
      </c>
    </row>
    <row r="50">
      <c r="A50" s="166" t="inlineStr">
        <is>
          <t xml:space="preserve">        [ 'dims' =&gt; [</t>
        </is>
      </c>
      <c r="B50" s="166">
        <f>Закуп!R50</f>
        <v/>
      </c>
      <c r="C50" s="166">
        <f>Закуп!S50</f>
        <v/>
      </c>
      <c r="D50" s="166">
        <f>Закуп!T50</f>
        <v/>
      </c>
      <c r="E50" s="166" t="inlineStr">
        <is>
          <t>], 'prices' =&gt; [</t>
        </is>
      </c>
      <c r="F50" s="167">
        <f>SUBSTITUTE(INDEX(Calc!$K:$K,(ROW(A49)-1)*5+COLUMN(A49)+1),",",".")</f>
        <v/>
      </c>
      <c r="G50" s="167">
        <f>SUBSTITUTE(INDEX(Calc!$K:$K,(ROW(B49)-1)*5+COLUMN(B49)+1),",",".")</f>
        <v/>
      </c>
      <c r="H50" s="167">
        <f>SUBSTITUTE(INDEX(Calc!$K:$K,(ROW(C49)-1)*5+COLUMN(C49)+1),",",".")</f>
        <v/>
      </c>
      <c r="I50" s="167">
        <f>SUBSTITUTE(INDEX(Calc!$K:$K,(ROW(D49)-1)*5+COLUMN(D49)+1),",",".")</f>
        <v/>
      </c>
      <c r="J50" s="167">
        <f>SUBSTITUTE(INDEX(Calc!$K:$K,(ROW(E49)-1)*5+COLUMN(E49)+1),",",".")</f>
        <v/>
      </c>
      <c r="K50" s="166" t="inlineStr">
        <is>
          <t>], 'type' =&gt; "</t>
        </is>
      </c>
      <c r="L50" s="167">
        <f>Закуп!AA50</f>
        <v/>
      </c>
      <c r="M50" s="166" t="inlineStr">
        <is>
          <t>", 'sale' =&gt; "</t>
        </is>
      </c>
      <c r="N50" s="166">
        <f>IF(Закуп!L50="",0,Закуп!L50)</f>
        <v/>
      </c>
      <c r="O50" s="166" t="inlineStr">
        <is>
          <t>" ],</t>
        </is>
      </c>
      <c r="P50" s="144">
        <f>Закуп!N50</f>
        <v/>
      </c>
      <c r="Q50" s="210">
        <f>CONCATENATE(A50,B50,",",C50,",",D50,E50,F50,",",G50,",",H50,",",I50,",",J50,K50,L50,M50,N50,O50,)</f>
        <v/>
      </c>
    </row>
    <row r="51">
      <c r="A51" s="166" t="inlineStr">
        <is>
          <t xml:space="preserve">        [ 'dims' =&gt; [</t>
        </is>
      </c>
      <c r="B51" s="166">
        <f>Закуп!R51</f>
        <v/>
      </c>
      <c r="C51" s="166">
        <f>Закуп!S51</f>
        <v/>
      </c>
      <c r="D51" s="166">
        <f>Закуп!T51</f>
        <v/>
      </c>
      <c r="E51" s="166" t="inlineStr">
        <is>
          <t>], 'prices' =&gt; [</t>
        </is>
      </c>
      <c r="F51" s="167">
        <f>SUBSTITUTE(INDEX(Calc!$K:$K,(ROW(A50)-1)*5+COLUMN(A50)+1),",",".")</f>
        <v/>
      </c>
      <c r="G51" s="167">
        <f>SUBSTITUTE(INDEX(Calc!$K:$K,(ROW(B50)-1)*5+COLUMN(B50)+1),",",".")</f>
        <v/>
      </c>
      <c r="H51" s="167">
        <f>SUBSTITUTE(INDEX(Calc!$K:$K,(ROW(C50)-1)*5+COLUMN(C50)+1),",",".")</f>
        <v/>
      </c>
      <c r="I51" s="167">
        <f>SUBSTITUTE(INDEX(Calc!$K:$K,(ROW(D50)-1)*5+COLUMN(D50)+1),",",".")</f>
        <v/>
      </c>
      <c r="J51" s="167">
        <f>SUBSTITUTE(INDEX(Calc!$K:$K,(ROW(E50)-1)*5+COLUMN(E50)+1),",",".")</f>
        <v/>
      </c>
      <c r="K51" s="166" t="inlineStr">
        <is>
          <t>], 'type' =&gt; "</t>
        </is>
      </c>
      <c r="L51" s="167">
        <f>Закуп!AA51</f>
        <v/>
      </c>
      <c r="M51" s="166" t="inlineStr">
        <is>
          <t>", 'sale' =&gt; "</t>
        </is>
      </c>
      <c r="N51" s="166">
        <f>IF(Закуп!L51="",0,Закуп!L51)</f>
        <v/>
      </c>
      <c r="O51" s="166" t="inlineStr">
        <is>
          <t>" ],</t>
        </is>
      </c>
      <c r="P51" s="144">
        <f>Закуп!N51</f>
        <v/>
      </c>
      <c r="Q51" s="210">
        <f>CONCATENATE(A51,B51,",",C51,",",D51,E51,F51,",",G51,",",H51,",",I51,",",J51,K51,L51,M51,N51,O51,)</f>
        <v/>
      </c>
    </row>
    <row r="52">
      <c r="A52" s="166" t="inlineStr">
        <is>
          <t xml:space="preserve">        [ 'dims' =&gt; [</t>
        </is>
      </c>
      <c r="B52" s="166">
        <f>Закуп!R52</f>
        <v/>
      </c>
      <c r="C52" s="166">
        <f>Закуп!S52</f>
        <v/>
      </c>
      <c r="D52" s="166">
        <f>Закуп!T52</f>
        <v/>
      </c>
      <c r="E52" s="166" t="inlineStr">
        <is>
          <t>], 'prices' =&gt; [</t>
        </is>
      </c>
      <c r="F52" s="167">
        <f>SUBSTITUTE(INDEX(Calc!$K:$K,(ROW(A51)-1)*5+COLUMN(A51)+1),",",".")</f>
        <v/>
      </c>
      <c r="G52" s="167">
        <f>SUBSTITUTE(INDEX(Calc!$K:$K,(ROW(B51)-1)*5+COLUMN(B51)+1),",",".")</f>
        <v/>
      </c>
      <c r="H52" s="167">
        <f>SUBSTITUTE(INDEX(Calc!$K:$K,(ROW(C51)-1)*5+COLUMN(C51)+1),",",".")</f>
        <v/>
      </c>
      <c r="I52" s="167">
        <f>SUBSTITUTE(INDEX(Calc!$K:$K,(ROW(D51)-1)*5+COLUMN(D51)+1),",",".")</f>
        <v/>
      </c>
      <c r="J52" s="167">
        <f>SUBSTITUTE(INDEX(Calc!$K:$K,(ROW(E51)-1)*5+COLUMN(E51)+1),",",".")</f>
        <v/>
      </c>
      <c r="K52" s="166" t="inlineStr">
        <is>
          <t>], 'type' =&gt; "</t>
        </is>
      </c>
      <c r="L52" s="167">
        <f>Закуп!AA52</f>
        <v/>
      </c>
      <c r="M52" s="166" t="inlineStr">
        <is>
          <t>", 'sale' =&gt; "</t>
        </is>
      </c>
      <c r="N52" s="166">
        <f>IF(Закуп!L52="",0,Закуп!L52)</f>
        <v/>
      </c>
      <c r="O52" s="166" t="inlineStr">
        <is>
          <t>" ],</t>
        </is>
      </c>
      <c r="P52" s="144">
        <f>Закуп!N52</f>
        <v/>
      </c>
      <c r="Q52" s="210">
        <f>CONCATENATE(A52,B52,",",C52,",",D52,E52,F52,",",G52,",",H52,",",I52,",",J52,K52,L52,M52,N52,O52,)</f>
        <v/>
      </c>
    </row>
    <row r="53">
      <c r="A53" s="166" t="inlineStr">
        <is>
          <t xml:space="preserve">        [ 'dims' =&gt; [</t>
        </is>
      </c>
      <c r="B53" s="166">
        <f>Закуп!R53</f>
        <v/>
      </c>
      <c r="C53" s="166">
        <f>Закуп!S53</f>
        <v/>
      </c>
      <c r="D53" s="166">
        <f>Закуп!T53</f>
        <v/>
      </c>
      <c r="E53" s="166" t="inlineStr">
        <is>
          <t>], 'prices' =&gt; [</t>
        </is>
      </c>
      <c r="F53" s="167">
        <f>SUBSTITUTE(INDEX(Calc!$K:$K,(ROW(A52)-1)*5+COLUMN(A52)+1),",",".")</f>
        <v/>
      </c>
      <c r="G53" s="167">
        <f>SUBSTITUTE(INDEX(Calc!$K:$K,(ROW(B52)-1)*5+COLUMN(B52)+1),",",".")</f>
        <v/>
      </c>
      <c r="H53" s="167">
        <f>SUBSTITUTE(INDEX(Calc!$K:$K,(ROW(C52)-1)*5+COLUMN(C52)+1),",",".")</f>
        <v/>
      </c>
      <c r="I53" s="167">
        <f>SUBSTITUTE(INDEX(Calc!$K:$K,(ROW(D52)-1)*5+COLUMN(D52)+1),",",".")</f>
        <v/>
      </c>
      <c r="J53" s="167">
        <f>SUBSTITUTE(INDEX(Calc!$K:$K,(ROW(E52)-1)*5+COLUMN(E52)+1),",",".")</f>
        <v/>
      </c>
      <c r="K53" s="166" t="inlineStr">
        <is>
          <t>], 'type' =&gt; "</t>
        </is>
      </c>
      <c r="L53" s="167">
        <f>Закуп!AA53</f>
        <v/>
      </c>
      <c r="M53" s="166" t="inlineStr">
        <is>
          <t>", 'sale' =&gt; "</t>
        </is>
      </c>
      <c r="N53" s="166">
        <f>IF(Закуп!L53="",0,Закуп!L53)</f>
        <v/>
      </c>
      <c r="O53" s="166" t="inlineStr">
        <is>
          <t>" ],</t>
        </is>
      </c>
      <c r="P53" s="144">
        <f>Закуп!N53</f>
        <v/>
      </c>
      <c r="Q53" s="210">
        <f>CONCATENATE(A53,B53,",",C53,",",D53,E53,F53,",",G53,",",H53,",",I53,",",J53,K53,L53,M53,N53,O53,)</f>
        <v/>
      </c>
    </row>
    <row r="54">
      <c r="A54" s="166" t="inlineStr">
        <is>
          <t xml:space="preserve">        [ 'dims' =&gt; [</t>
        </is>
      </c>
      <c r="B54" s="166">
        <f>Закуп!R54</f>
        <v/>
      </c>
      <c r="C54" s="166">
        <f>Закуп!S54</f>
        <v/>
      </c>
      <c r="D54" s="166">
        <f>Закуп!T54</f>
        <v/>
      </c>
      <c r="E54" s="166" t="inlineStr">
        <is>
          <t>], 'prices' =&gt; [</t>
        </is>
      </c>
      <c r="F54" s="167">
        <f>SUBSTITUTE(INDEX(Calc!$K:$K,(ROW(A53)-1)*5+COLUMN(A53)+1),",",".")</f>
        <v/>
      </c>
      <c r="G54" s="167">
        <f>SUBSTITUTE(INDEX(Calc!$K:$K,(ROW(B53)-1)*5+COLUMN(B53)+1),",",".")</f>
        <v/>
      </c>
      <c r="H54" s="167">
        <f>SUBSTITUTE(INDEX(Calc!$K:$K,(ROW(C53)-1)*5+COLUMN(C53)+1),",",".")</f>
        <v/>
      </c>
      <c r="I54" s="167">
        <f>SUBSTITUTE(INDEX(Calc!$K:$K,(ROW(D53)-1)*5+COLUMN(D53)+1),",",".")</f>
        <v/>
      </c>
      <c r="J54" s="167">
        <f>SUBSTITUTE(INDEX(Calc!$K:$K,(ROW(E53)-1)*5+COLUMN(E53)+1),",",".")</f>
        <v/>
      </c>
      <c r="K54" s="166" t="inlineStr">
        <is>
          <t>], 'type' =&gt; "</t>
        </is>
      </c>
      <c r="L54" s="167">
        <f>Закуп!AA54</f>
        <v/>
      </c>
      <c r="M54" s="166" t="inlineStr">
        <is>
          <t>", 'sale' =&gt; "</t>
        </is>
      </c>
      <c r="N54" s="166">
        <f>IF(Закуп!L54="",0,Закуп!L54)</f>
        <v/>
      </c>
      <c r="O54" s="166" t="inlineStr">
        <is>
          <t>" ],</t>
        </is>
      </c>
      <c r="P54" s="144">
        <f>Закуп!N54</f>
        <v/>
      </c>
      <c r="Q54" s="210">
        <f>CONCATENATE(A54,B54,",",C54,",",D54,E54,F54,",",G54,",",H54,",",I54,",",J54,K54,L54,M54,N54,O54,)</f>
        <v/>
      </c>
    </row>
    <row r="55">
      <c r="A55" s="166" t="inlineStr">
        <is>
          <t xml:space="preserve">        [ 'dims' =&gt; [</t>
        </is>
      </c>
      <c r="B55" s="166">
        <f>Закуп!R55</f>
        <v/>
      </c>
      <c r="C55" s="166">
        <f>Закуп!S55</f>
        <v/>
      </c>
      <c r="D55" s="166">
        <f>Закуп!T55</f>
        <v/>
      </c>
      <c r="E55" s="166" t="inlineStr">
        <is>
          <t>], 'prices' =&gt; [</t>
        </is>
      </c>
      <c r="F55" s="167">
        <f>SUBSTITUTE(INDEX(Calc!$K:$K,(ROW(A54)-1)*5+COLUMN(A54)+1),",",".")</f>
        <v/>
      </c>
      <c r="G55" s="167">
        <f>SUBSTITUTE(INDEX(Calc!$K:$K,(ROW(B54)-1)*5+COLUMN(B54)+1),",",".")</f>
        <v/>
      </c>
      <c r="H55" s="167">
        <f>SUBSTITUTE(INDEX(Calc!$K:$K,(ROW(C54)-1)*5+COLUMN(C54)+1),",",".")</f>
        <v/>
      </c>
      <c r="I55" s="167">
        <f>SUBSTITUTE(INDEX(Calc!$K:$K,(ROW(D54)-1)*5+COLUMN(D54)+1),",",".")</f>
        <v/>
      </c>
      <c r="J55" s="167">
        <f>SUBSTITUTE(INDEX(Calc!$K:$K,(ROW(E54)-1)*5+COLUMN(E54)+1),",",".")</f>
        <v/>
      </c>
      <c r="K55" s="166" t="inlineStr">
        <is>
          <t>], 'type' =&gt; "</t>
        </is>
      </c>
      <c r="L55" s="167">
        <f>Закуп!AA55</f>
        <v/>
      </c>
      <c r="M55" s="166" t="inlineStr">
        <is>
          <t>", 'sale' =&gt; "</t>
        </is>
      </c>
      <c r="N55" s="166">
        <f>IF(Закуп!L55="",0,Закуп!L55)</f>
        <v/>
      </c>
      <c r="O55" s="166" t="inlineStr">
        <is>
          <t>" ],</t>
        </is>
      </c>
      <c r="P55" s="144">
        <f>Закуп!N55</f>
        <v/>
      </c>
      <c r="Q55" s="210">
        <f>CONCATENATE(A55,B55,",",C55,",",D55,E55,F55,",",G55,",",H55,",",I55,",",J55,K55,L55,M55,N55,O55,)</f>
        <v/>
      </c>
    </row>
    <row r="56">
      <c r="A56" s="166" t="inlineStr">
        <is>
          <t xml:space="preserve">        [ 'dims' =&gt; [</t>
        </is>
      </c>
      <c r="B56" s="166">
        <f>Закуп!R56</f>
        <v/>
      </c>
      <c r="C56" s="166">
        <f>Закуп!S56</f>
        <v/>
      </c>
      <c r="D56" s="166">
        <f>Закуп!T56</f>
        <v/>
      </c>
      <c r="E56" s="166" t="inlineStr">
        <is>
          <t>], 'prices' =&gt; [</t>
        </is>
      </c>
      <c r="F56" s="167">
        <f>SUBSTITUTE(INDEX(Calc!$K:$K,(ROW(A55)-1)*5+COLUMN(A55)+1),",",".")</f>
        <v/>
      </c>
      <c r="G56" s="167">
        <f>SUBSTITUTE(INDEX(Calc!$K:$K,(ROW(B55)-1)*5+COLUMN(B55)+1),",",".")</f>
        <v/>
      </c>
      <c r="H56" s="167">
        <f>SUBSTITUTE(INDEX(Calc!$K:$K,(ROW(C55)-1)*5+COLUMN(C55)+1),",",".")</f>
        <v/>
      </c>
      <c r="I56" s="167">
        <f>SUBSTITUTE(INDEX(Calc!$K:$K,(ROW(D55)-1)*5+COLUMN(D55)+1),",",".")</f>
        <v/>
      </c>
      <c r="J56" s="167">
        <f>SUBSTITUTE(INDEX(Calc!$K:$K,(ROW(E55)-1)*5+COLUMN(E55)+1),",",".")</f>
        <v/>
      </c>
      <c r="K56" s="166" t="inlineStr">
        <is>
          <t>], 'type' =&gt; "</t>
        </is>
      </c>
      <c r="L56" s="167">
        <f>Закуп!AA56</f>
        <v/>
      </c>
      <c r="M56" s="166" t="inlineStr">
        <is>
          <t>", 'sale' =&gt; "</t>
        </is>
      </c>
      <c r="N56" s="166">
        <f>IF(Закуп!L56="",0,Закуп!L56)</f>
        <v/>
      </c>
      <c r="O56" s="166" t="inlineStr">
        <is>
          <t>" ],</t>
        </is>
      </c>
      <c r="P56" s="144">
        <f>Закуп!N56</f>
        <v/>
      </c>
      <c r="Q56" s="210">
        <f>CONCATENATE(A56,B56,",",C56,",",D56,E56,F56,",",G56,",",H56,",",I56,",",J56,K56,L56,M56,N56,O56,)</f>
        <v/>
      </c>
    </row>
    <row r="57">
      <c r="A57" s="166" t="inlineStr">
        <is>
          <t xml:space="preserve">        [ 'dims' =&gt; [</t>
        </is>
      </c>
      <c r="B57" s="166">
        <f>Закуп!R57</f>
        <v/>
      </c>
      <c r="C57" s="166">
        <f>Закуп!S57</f>
        <v/>
      </c>
      <c r="D57" s="166">
        <f>Закуп!T57</f>
        <v/>
      </c>
      <c r="E57" s="166" t="inlineStr">
        <is>
          <t>], 'prices' =&gt; [</t>
        </is>
      </c>
      <c r="F57" s="167">
        <f>SUBSTITUTE(INDEX(Calc!$K:$K,(ROW(A56)-1)*5+COLUMN(A56)+1),",",".")</f>
        <v/>
      </c>
      <c r="G57" s="167">
        <f>SUBSTITUTE(INDEX(Calc!$K:$K,(ROW(B56)-1)*5+COLUMN(B56)+1),",",".")</f>
        <v/>
      </c>
      <c r="H57" s="167">
        <f>SUBSTITUTE(INDEX(Calc!$K:$K,(ROW(C56)-1)*5+COLUMN(C56)+1),",",".")</f>
        <v/>
      </c>
      <c r="I57" s="167">
        <f>SUBSTITUTE(INDEX(Calc!$K:$K,(ROW(D56)-1)*5+COLUMN(D56)+1),",",".")</f>
        <v/>
      </c>
      <c r="J57" s="167">
        <f>SUBSTITUTE(INDEX(Calc!$K:$K,(ROW(E56)-1)*5+COLUMN(E56)+1),",",".")</f>
        <v/>
      </c>
      <c r="K57" s="166" t="inlineStr">
        <is>
          <t>], 'type' =&gt; "</t>
        </is>
      </c>
      <c r="L57" s="167">
        <f>Закуп!AA57</f>
        <v/>
      </c>
      <c r="M57" s="166" t="inlineStr">
        <is>
          <t>", 'sale' =&gt; "</t>
        </is>
      </c>
      <c r="N57" s="166">
        <f>IF(Закуп!L57="",0,Закуп!L57)</f>
        <v/>
      </c>
      <c r="O57" s="166" t="inlineStr">
        <is>
          <t>" ],</t>
        </is>
      </c>
      <c r="P57" s="144">
        <f>Закуп!N57</f>
        <v/>
      </c>
      <c r="Q57" s="210">
        <f>CONCATENATE(A57,B57,",",C57,",",D57,E57,F57,",",G57,",",H57,",",I57,",",J57,K57,L57,M57,N57,O57,)</f>
        <v/>
      </c>
    </row>
    <row r="58">
      <c r="A58" s="166" t="inlineStr">
        <is>
          <t xml:space="preserve">        [ 'dims' =&gt; [</t>
        </is>
      </c>
      <c r="B58" s="166">
        <f>Закуп!R58</f>
        <v/>
      </c>
      <c r="C58" s="166">
        <f>Закуп!S58</f>
        <v/>
      </c>
      <c r="D58" s="166">
        <f>Закуп!T58</f>
        <v/>
      </c>
      <c r="E58" s="166" t="inlineStr">
        <is>
          <t>], 'prices' =&gt; [</t>
        </is>
      </c>
      <c r="F58" s="167">
        <f>SUBSTITUTE(INDEX(Calc!$K:$K,(ROW(A57)-1)*5+COLUMN(A57)+1),",",".")</f>
        <v/>
      </c>
      <c r="G58" s="167">
        <f>SUBSTITUTE(INDEX(Calc!$K:$K,(ROW(B57)-1)*5+COLUMN(B57)+1),",",".")</f>
        <v/>
      </c>
      <c r="H58" s="167">
        <f>SUBSTITUTE(INDEX(Calc!$K:$K,(ROW(C57)-1)*5+COLUMN(C57)+1),",",".")</f>
        <v/>
      </c>
      <c r="I58" s="167">
        <f>SUBSTITUTE(INDEX(Calc!$K:$K,(ROW(D57)-1)*5+COLUMN(D57)+1),",",".")</f>
        <v/>
      </c>
      <c r="J58" s="167">
        <f>SUBSTITUTE(INDEX(Calc!$K:$K,(ROW(E57)-1)*5+COLUMN(E57)+1),",",".")</f>
        <v/>
      </c>
      <c r="K58" s="166" t="inlineStr">
        <is>
          <t>], 'type' =&gt; "</t>
        </is>
      </c>
      <c r="L58" s="167">
        <f>Закуп!AA58</f>
        <v/>
      </c>
      <c r="M58" s="166" t="inlineStr">
        <is>
          <t>", 'sale' =&gt; "</t>
        </is>
      </c>
      <c r="N58" s="166">
        <f>IF(Закуп!L58="",0,Закуп!L58)</f>
        <v/>
      </c>
      <c r="O58" s="166" t="inlineStr">
        <is>
          <t>" ],</t>
        </is>
      </c>
      <c r="P58" s="144">
        <f>Закуп!N58</f>
        <v/>
      </c>
      <c r="Q58" s="210">
        <f>CONCATENATE(A58,B58,",",C58,",",D58,E58,F58,",",G58,",",H58,",",I58,",",J58,K58,L58,M58,N58,O58,)</f>
        <v/>
      </c>
    </row>
    <row r="59">
      <c r="A59" s="166" t="inlineStr">
        <is>
          <t xml:space="preserve">        [ 'dims' =&gt; [</t>
        </is>
      </c>
      <c r="B59" s="166">
        <f>Закуп!R59</f>
        <v/>
      </c>
      <c r="C59" s="166">
        <f>Закуп!S59</f>
        <v/>
      </c>
      <c r="D59" s="166">
        <f>Закуп!T59</f>
        <v/>
      </c>
      <c r="E59" s="166" t="inlineStr">
        <is>
          <t>], 'prices' =&gt; [</t>
        </is>
      </c>
      <c r="F59" s="167">
        <f>SUBSTITUTE(INDEX(Calc!$K:$K,(ROW(A58)-1)*5+COLUMN(A58)+1),",",".")</f>
        <v/>
      </c>
      <c r="G59" s="167">
        <f>SUBSTITUTE(INDEX(Calc!$K:$K,(ROW(B58)-1)*5+COLUMN(B58)+1),",",".")</f>
        <v/>
      </c>
      <c r="H59" s="167">
        <f>SUBSTITUTE(INDEX(Calc!$K:$K,(ROW(C58)-1)*5+COLUMN(C58)+1),",",".")</f>
        <v/>
      </c>
      <c r="I59" s="167">
        <f>SUBSTITUTE(INDEX(Calc!$K:$K,(ROW(D58)-1)*5+COLUMN(D58)+1),",",".")</f>
        <v/>
      </c>
      <c r="J59" s="167">
        <f>SUBSTITUTE(INDEX(Calc!$K:$K,(ROW(E58)-1)*5+COLUMN(E58)+1),",",".")</f>
        <v/>
      </c>
      <c r="K59" s="166" t="inlineStr">
        <is>
          <t>], 'type' =&gt; "</t>
        </is>
      </c>
      <c r="L59" s="167">
        <f>Закуп!AA59</f>
        <v/>
      </c>
      <c r="M59" s="166" t="inlineStr">
        <is>
          <t>", 'sale' =&gt; "</t>
        </is>
      </c>
      <c r="N59" s="166">
        <f>IF(Закуп!L59="",0,Закуп!L59)</f>
        <v/>
      </c>
      <c r="O59" s="166" t="inlineStr">
        <is>
          <t>" ],</t>
        </is>
      </c>
      <c r="P59" s="144">
        <f>Закуп!N59</f>
        <v/>
      </c>
      <c r="Q59" s="210">
        <f>CONCATENATE(A59,B59,",",C59,",",D59,E59,F59,",",G59,",",H59,",",I59,",",J59,K59,L59,M59,N59,O59,)</f>
        <v/>
      </c>
    </row>
    <row r="60">
      <c r="A60" s="166" t="inlineStr">
        <is>
          <t xml:space="preserve">        [ 'dims' =&gt; [</t>
        </is>
      </c>
      <c r="B60" s="166">
        <f>Закуп!R60</f>
        <v/>
      </c>
      <c r="C60" s="166">
        <f>Закуп!S60</f>
        <v/>
      </c>
      <c r="D60" s="166">
        <f>Закуп!T60</f>
        <v/>
      </c>
      <c r="E60" s="166" t="inlineStr">
        <is>
          <t>], 'prices' =&gt; [</t>
        </is>
      </c>
      <c r="F60" s="167">
        <f>SUBSTITUTE(INDEX(Calc!$K:$K,(ROW(A59)-1)*5+COLUMN(A59)+1),",",".")</f>
        <v/>
      </c>
      <c r="G60" s="167">
        <f>SUBSTITUTE(INDEX(Calc!$K:$K,(ROW(B59)-1)*5+COLUMN(B59)+1),",",".")</f>
        <v/>
      </c>
      <c r="H60" s="167">
        <f>SUBSTITUTE(INDEX(Calc!$K:$K,(ROW(C59)-1)*5+COLUMN(C59)+1),",",".")</f>
        <v/>
      </c>
      <c r="I60" s="167">
        <f>SUBSTITUTE(INDEX(Calc!$K:$K,(ROW(D59)-1)*5+COLUMN(D59)+1),",",".")</f>
        <v/>
      </c>
      <c r="J60" s="167">
        <f>SUBSTITUTE(INDEX(Calc!$K:$K,(ROW(E59)-1)*5+COLUMN(E59)+1),",",".")</f>
        <v/>
      </c>
      <c r="K60" s="166" t="inlineStr">
        <is>
          <t>], 'type' =&gt; "</t>
        </is>
      </c>
      <c r="L60" s="167">
        <f>Закуп!AA60</f>
        <v/>
      </c>
      <c r="M60" s="166" t="inlineStr">
        <is>
          <t>", 'sale' =&gt; "</t>
        </is>
      </c>
      <c r="N60" s="166">
        <f>IF(Закуп!L60="",0,Закуп!L60)</f>
        <v/>
      </c>
      <c r="O60" s="166" t="inlineStr">
        <is>
          <t>" ],</t>
        </is>
      </c>
      <c r="P60" s="144">
        <f>Закуп!N60</f>
        <v/>
      </c>
      <c r="Q60" s="210">
        <f>CONCATENATE(A60,B60,",",C60,",",D60,E60,F60,",",G60,",",H60,",",I60,",",J60,K60,L60,M60,N60,O60,)</f>
        <v/>
      </c>
    </row>
    <row r="61">
      <c r="A61" s="166" t="inlineStr">
        <is>
          <t xml:space="preserve">        [ 'dims' =&gt; [</t>
        </is>
      </c>
      <c r="B61" s="166">
        <f>Закуп!R61</f>
        <v/>
      </c>
      <c r="C61" s="166">
        <f>Закуп!S61</f>
        <v/>
      </c>
      <c r="D61" s="166">
        <f>Закуп!T61</f>
        <v/>
      </c>
      <c r="E61" s="166" t="inlineStr">
        <is>
          <t>], 'prices' =&gt; [</t>
        </is>
      </c>
      <c r="F61" s="167">
        <f>SUBSTITUTE(INDEX(Calc!$K:$K,(ROW(A60)-1)*5+COLUMN(A60)+1),",",".")</f>
        <v/>
      </c>
      <c r="G61" s="167">
        <f>SUBSTITUTE(INDEX(Calc!$K:$K,(ROW(B60)-1)*5+COLUMN(B60)+1),",",".")</f>
        <v/>
      </c>
      <c r="H61" s="167">
        <f>SUBSTITUTE(INDEX(Calc!$K:$K,(ROW(C60)-1)*5+COLUMN(C60)+1),",",".")</f>
        <v/>
      </c>
      <c r="I61" s="167">
        <f>SUBSTITUTE(INDEX(Calc!$K:$K,(ROW(D60)-1)*5+COLUMN(D60)+1),",",".")</f>
        <v/>
      </c>
      <c r="J61" s="167">
        <f>SUBSTITUTE(INDEX(Calc!$K:$K,(ROW(E60)-1)*5+COLUMN(E60)+1),",",".")</f>
        <v/>
      </c>
      <c r="K61" s="166" t="inlineStr">
        <is>
          <t>], 'type' =&gt; "</t>
        </is>
      </c>
      <c r="L61" s="167">
        <f>Закуп!AA61</f>
        <v/>
      </c>
      <c r="M61" s="166" t="inlineStr">
        <is>
          <t>", 'sale' =&gt; "</t>
        </is>
      </c>
      <c r="N61" s="166">
        <f>IF(Закуп!L61="",0,Закуп!L61)</f>
        <v/>
      </c>
      <c r="O61" s="166" t="inlineStr">
        <is>
          <t>" ],</t>
        </is>
      </c>
      <c r="P61" s="144">
        <f>Закуп!N61</f>
        <v/>
      </c>
      <c r="Q61" s="210">
        <f>CONCATENATE(A61,B61,",",C61,",",D61,E61,F61,",",G61,",",H61,",",I61,",",J61,K61,L61,M61,N61,O61,)</f>
        <v/>
      </c>
    </row>
    <row r="62">
      <c r="A62" s="166" t="inlineStr">
        <is>
          <t xml:space="preserve">        [ 'dims' =&gt; [</t>
        </is>
      </c>
      <c r="B62" s="166">
        <f>Закуп!R62</f>
        <v/>
      </c>
      <c r="C62" s="166">
        <f>Закуп!S62</f>
        <v/>
      </c>
      <c r="D62" s="166">
        <f>Закуп!T62</f>
        <v/>
      </c>
      <c r="E62" s="166" t="inlineStr">
        <is>
          <t>], 'prices' =&gt; [</t>
        </is>
      </c>
      <c r="F62" s="167">
        <f>SUBSTITUTE(INDEX(Calc!$K:$K,(ROW(A61)-1)*5+COLUMN(A61)+1),",",".")</f>
        <v/>
      </c>
      <c r="G62" s="167">
        <f>SUBSTITUTE(INDEX(Calc!$K:$K,(ROW(B61)-1)*5+COLUMN(B61)+1),",",".")</f>
        <v/>
      </c>
      <c r="H62" s="167">
        <f>SUBSTITUTE(INDEX(Calc!$K:$K,(ROW(C61)-1)*5+COLUMN(C61)+1),",",".")</f>
        <v/>
      </c>
      <c r="I62" s="167">
        <f>SUBSTITUTE(INDEX(Calc!$K:$K,(ROW(D61)-1)*5+COLUMN(D61)+1),",",".")</f>
        <v/>
      </c>
      <c r="J62" s="167">
        <f>SUBSTITUTE(INDEX(Calc!$K:$K,(ROW(E61)-1)*5+COLUMN(E61)+1),",",".")</f>
        <v/>
      </c>
      <c r="K62" s="166" t="inlineStr">
        <is>
          <t>], 'type' =&gt; "</t>
        </is>
      </c>
      <c r="L62" s="167">
        <f>Закуп!AA62</f>
        <v/>
      </c>
      <c r="M62" s="166" t="inlineStr">
        <is>
          <t>", 'sale' =&gt; "</t>
        </is>
      </c>
      <c r="N62" s="166">
        <f>IF(Закуп!L62="",0,Закуп!L62)</f>
        <v/>
      </c>
      <c r="O62" s="166" t="inlineStr">
        <is>
          <t>" ],</t>
        </is>
      </c>
      <c r="P62" s="144">
        <f>Закуп!N62</f>
        <v/>
      </c>
      <c r="Q62" s="210">
        <f>CONCATENATE(A62,B62,",",C62,",",D62,E62,F62,",",G62,",",H62,",",I62,",",J62,K62,L62,M62,N62,O62,)</f>
        <v/>
      </c>
    </row>
    <row r="63">
      <c r="A63" s="166" t="inlineStr">
        <is>
          <t xml:space="preserve">        [ 'dims' =&gt; [</t>
        </is>
      </c>
      <c r="B63" s="166">
        <f>Закуп!R63</f>
        <v/>
      </c>
      <c r="C63" s="166">
        <f>Закуп!S63</f>
        <v/>
      </c>
      <c r="D63" s="166">
        <f>Закуп!T63</f>
        <v/>
      </c>
      <c r="E63" s="166" t="inlineStr">
        <is>
          <t>], 'prices' =&gt; [</t>
        </is>
      </c>
      <c r="F63" s="167">
        <f>SUBSTITUTE(INDEX(Calc!$K:$K,(ROW(A62)-1)*5+COLUMN(A62)+1),",",".")</f>
        <v/>
      </c>
      <c r="G63" s="167">
        <f>SUBSTITUTE(INDEX(Calc!$K:$K,(ROW(B62)-1)*5+COLUMN(B62)+1),",",".")</f>
        <v/>
      </c>
      <c r="H63" s="167">
        <f>SUBSTITUTE(INDEX(Calc!$K:$K,(ROW(C62)-1)*5+COLUMN(C62)+1),",",".")</f>
        <v/>
      </c>
      <c r="I63" s="167">
        <f>SUBSTITUTE(INDEX(Calc!$K:$K,(ROW(D62)-1)*5+COLUMN(D62)+1),",",".")</f>
        <v/>
      </c>
      <c r="J63" s="167">
        <f>SUBSTITUTE(INDEX(Calc!$K:$K,(ROW(E62)-1)*5+COLUMN(E62)+1),",",".")</f>
        <v/>
      </c>
      <c r="K63" s="166" t="inlineStr">
        <is>
          <t>], 'type' =&gt; "</t>
        </is>
      </c>
      <c r="L63" s="167">
        <f>Закуп!AA63</f>
        <v/>
      </c>
      <c r="M63" s="166" t="inlineStr">
        <is>
          <t>", 'sale' =&gt; "</t>
        </is>
      </c>
      <c r="N63" s="166">
        <f>IF(Закуп!L63="",0,Закуп!L63)</f>
        <v/>
      </c>
      <c r="O63" s="166" t="inlineStr">
        <is>
          <t>" ],</t>
        </is>
      </c>
      <c r="P63" s="144">
        <f>Закуп!N63</f>
        <v/>
      </c>
      <c r="Q63" s="210">
        <f>CONCATENATE(A63,B63,",",C63,",",D63,E63,F63,",",G63,",",H63,",",I63,",",J63,K63,L63,M63,N63,O63,)</f>
        <v/>
      </c>
    </row>
    <row r="64">
      <c r="A64" s="166" t="inlineStr">
        <is>
          <t xml:space="preserve">        [ 'dims' =&gt; [</t>
        </is>
      </c>
      <c r="B64" s="166">
        <f>Закуп!R64</f>
        <v/>
      </c>
      <c r="C64" s="166">
        <f>Закуп!S64</f>
        <v/>
      </c>
      <c r="D64" s="166">
        <f>Закуп!T64</f>
        <v/>
      </c>
      <c r="E64" s="166" t="inlineStr">
        <is>
          <t>], 'prices' =&gt; [</t>
        </is>
      </c>
      <c r="F64" s="167">
        <f>SUBSTITUTE(INDEX(Calc!$K:$K,(ROW(A63)-1)*5+COLUMN(A63)+1),",",".")</f>
        <v/>
      </c>
      <c r="G64" s="167">
        <f>SUBSTITUTE(INDEX(Calc!$K:$K,(ROW(B63)-1)*5+COLUMN(B63)+1),",",".")</f>
        <v/>
      </c>
      <c r="H64" s="167">
        <f>SUBSTITUTE(INDEX(Calc!$K:$K,(ROW(C63)-1)*5+COLUMN(C63)+1),",",".")</f>
        <v/>
      </c>
      <c r="I64" s="167">
        <f>SUBSTITUTE(INDEX(Calc!$K:$K,(ROW(D63)-1)*5+COLUMN(D63)+1),",",".")</f>
        <v/>
      </c>
      <c r="J64" s="167">
        <f>SUBSTITUTE(INDEX(Calc!$K:$K,(ROW(E63)-1)*5+COLUMN(E63)+1),",",".")</f>
        <v/>
      </c>
      <c r="K64" s="166" t="inlineStr">
        <is>
          <t>], 'type' =&gt; "</t>
        </is>
      </c>
      <c r="L64" s="167">
        <f>Закуп!AA64</f>
        <v/>
      </c>
      <c r="M64" s="166" t="inlineStr">
        <is>
          <t>", 'sale' =&gt; "</t>
        </is>
      </c>
      <c r="N64" s="166">
        <f>IF(Закуп!L64="",0,Закуп!L64)</f>
        <v/>
      </c>
      <c r="O64" s="166" t="inlineStr">
        <is>
          <t>" ],</t>
        </is>
      </c>
      <c r="P64" s="144">
        <f>Закуп!N64</f>
        <v/>
      </c>
      <c r="Q64" s="210">
        <f>CONCATENATE(A64,B64,",",C64,",",D64,E64,F64,",",G64,",",H64,",",I64,",",J64,K64,L64,M64,N64,O64,)</f>
        <v/>
      </c>
    </row>
    <row r="65">
      <c r="A65" s="166" t="inlineStr">
        <is>
          <t xml:space="preserve">        [ 'dims' =&gt; [</t>
        </is>
      </c>
      <c r="B65" s="166">
        <f>Закуп!R65</f>
        <v/>
      </c>
      <c r="C65" s="166">
        <f>Закуп!S65</f>
        <v/>
      </c>
      <c r="D65" s="166">
        <f>Закуп!T65</f>
        <v/>
      </c>
      <c r="E65" s="166" t="inlineStr">
        <is>
          <t>], 'prices' =&gt; [</t>
        </is>
      </c>
      <c r="F65" s="167">
        <f>SUBSTITUTE(INDEX(Calc!$K:$K,(ROW(A64)-1)*5+COLUMN(A64)+1),",",".")</f>
        <v/>
      </c>
      <c r="G65" s="167">
        <f>SUBSTITUTE(INDEX(Calc!$K:$K,(ROW(B64)-1)*5+COLUMN(B64)+1),",",".")</f>
        <v/>
      </c>
      <c r="H65" s="167">
        <f>SUBSTITUTE(INDEX(Calc!$K:$K,(ROW(C64)-1)*5+COLUMN(C64)+1),",",".")</f>
        <v/>
      </c>
      <c r="I65" s="167">
        <f>SUBSTITUTE(INDEX(Calc!$K:$K,(ROW(D64)-1)*5+COLUMN(D64)+1),",",".")</f>
        <v/>
      </c>
      <c r="J65" s="167">
        <f>SUBSTITUTE(INDEX(Calc!$K:$K,(ROW(E64)-1)*5+COLUMN(E64)+1),",",".")</f>
        <v/>
      </c>
      <c r="K65" s="166" t="inlineStr">
        <is>
          <t>], 'type' =&gt; "</t>
        </is>
      </c>
      <c r="L65" s="167">
        <f>Закуп!AA65</f>
        <v/>
      </c>
      <c r="M65" s="166" t="inlineStr">
        <is>
          <t>", 'sale' =&gt; "</t>
        </is>
      </c>
      <c r="N65" s="166">
        <f>IF(Закуп!L65="",0,Закуп!L65)</f>
        <v/>
      </c>
      <c r="O65" s="166" t="inlineStr">
        <is>
          <t>" ],</t>
        </is>
      </c>
      <c r="P65" s="144">
        <f>Закуп!N65</f>
        <v/>
      </c>
      <c r="Q65" s="210">
        <f>CONCATENATE(A65,B65,",",C65,",",D65,E65,F65,",",G65,",",H65,",",I65,",",J65,K65,L65,M65,N65,O65,)</f>
        <v/>
      </c>
    </row>
    <row r="66">
      <c r="A66" s="166" t="inlineStr">
        <is>
          <t xml:space="preserve">        [ 'dims' =&gt; [</t>
        </is>
      </c>
      <c r="B66" s="166">
        <f>Закуп!R66</f>
        <v/>
      </c>
      <c r="C66" s="166">
        <f>Закуп!S66</f>
        <v/>
      </c>
      <c r="D66" s="166">
        <f>Закуп!T66</f>
        <v/>
      </c>
      <c r="E66" s="166" t="inlineStr">
        <is>
          <t>], 'prices' =&gt; [</t>
        </is>
      </c>
      <c r="F66" s="167">
        <f>SUBSTITUTE(INDEX(Calc!$K:$K,(ROW(A65)-1)*5+COLUMN(A65)+1),",",".")</f>
        <v/>
      </c>
      <c r="G66" s="167">
        <f>SUBSTITUTE(INDEX(Calc!$K:$K,(ROW(B65)-1)*5+COLUMN(B65)+1),",",".")</f>
        <v/>
      </c>
      <c r="H66" s="167">
        <f>SUBSTITUTE(INDEX(Calc!$K:$K,(ROW(C65)-1)*5+COLUMN(C65)+1),",",".")</f>
        <v/>
      </c>
      <c r="I66" s="167">
        <f>SUBSTITUTE(INDEX(Calc!$K:$K,(ROW(D65)-1)*5+COLUMN(D65)+1),",",".")</f>
        <v/>
      </c>
      <c r="J66" s="167">
        <f>SUBSTITUTE(INDEX(Calc!$K:$K,(ROW(E65)-1)*5+COLUMN(E65)+1),",",".")</f>
        <v/>
      </c>
      <c r="K66" s="166" t="inlineStr">
        <is>
          <t>], 'type' =&gt; "</t>
        </is>
      </c>
      <c r="L66" s="167">
        <f>Закуп!AA66</f>
        <v/>
      </c>
      <c r="M66" s="166" t="inlineStr">
        <is>
          <t>", 'sale' =&gt; "</t>
        </is>
      </c>
      <c r="N66" s="166">
        <f>IF(Закуп!L66="",0,Закуп!L66)</f>
        <v/>
      </c>
      <c r="O66" s="166" t="inlineStr">
        <is>
          <t>" ],</t>
        </is>
      </c>
      <c r="P66" s="144">
        <f>Закуп!N66</f>
        <v/>
      </c>
      <c r="Q66" s="210">
        <f>CONCATENATE(A66,B66,",",C66,",",D66,E66,F66,",",G66,",",H66,",",I66,",",J66,K66,L66,M66,N66,O66,)</f>
        <v/>
      </c>
    </row>
    <row r="67">
      <c r="A67" s="166" t="inlineStr">
        <is>
          <t xml:space="preserve">        [ 'dims' =&gt; [</t>
        </is>
      </c>
      <c r="B67" s="166">
        <f>Закуп!R67</f>
        <v/>
      </c>
      <c r="C67" s="166">
        <f>Закуп!S67</f>
        <v/>
      </c>
      <c r="D67" s="166">
        <f>Закуп!T67</f>
        <v/>
      </c>
      <c r="E67" s="166" t="inlineStr">
        <is>
          <t>], 'prices' =&gt; [</t>
        </is>
      </c>
      <c r="F67" s="167">
        <f>SUBSTITUTE(INDEX(Calc!$K:$K,(ROW(A66)-1)*5+COLUMN(A66)+1),",",".")</f>
        <v/>
      </c>
      <c r="G67" s="167">
        <f>SUBSTITUTE(INDEX(Calc!$K:$K,(ROW(B66)-1)*5+COLUMN(B66)+1),",",".")</f>
        <v/>
      </c>
      <c r="H67" s="167">
        <f>SUBSTITUTE(INDEX(Calc!$K:$K,(ROW(C66)-1)*5+COLUMN(C66)+1),",",".")</f>
        <v/>
      </c>
      <c r="I67" s="167">
        <f>SUBSTITUTE(INDEX(Calc!$K:$K,(ROW(D66)-1)*5+COLUMN(D66)+1),",",".")</f>
        <v/>
      </c>
      <c r="J67" s="167">
        <f>SUBSTITUTE(INDEX(Calc!$K:$K,(ROW(E66)-1)*5+COLUMN(E66)+1),",",".")</f>
        <v/>
      </c>
      <c r="K67" s="166" t="inlineStr">
        <is>
          <t>], 'type' =&gt; "</t>
        </is>
      </c>
      <c r="L67" s="167">
        <f>Закуп!AA67</f>
        <v/>
      </c>
      <c r="M67" s="166" t="inlineStr">
        <is>
          <t>", 'sale' =&gt; "</t>
        </is>
      </c>
      <c r="N67" s="166">
        <f>IF(Закуп!L67="",0,Закуп!L67)</f>
        <v/>
      </c>
      <c r="O67" s="166" t="inlineStr">
        <is>
          <t>" ],</t>
        </is>
      </c>
      <c r="P67" s="144">
        <f>Закуп!N67</f>
        <v/>
      </c>
      <c r="Q67" s="210">
        <f>CONCATENATE(A67,B67,",",C67,",",D67,E67,F67,",",G67,",",H67,",",I67,",",J67,K67,L67,M67,N67,O67,)</f>
        <v/>
      </c>
    </row>
    <row r="68">
      <c r="A68" s="166" t="inlineStr">
        <is>
          <t xml:space="preserve">        [ 'dims' =&gt; [</t>
        </is>
      </c>
      <c r="B68" s="166">
        <f>Закуп!R68</f>
        <v/>
      </c>
      <c r="C68" s="166">
        <f>Закуп!S68</f>
        <v/>
      </c>
      <c r="D68" s="166">
        <f>Закуп!T68</f>
        <v/>
      </c>
      <c r="E68" s="166" t="inlineStr">
        <is>
          <t>], 'prices' =&gt; [</t>
        </is>
      </c>
      <c r="F68" s="167">
        <f>SUBSTITUTE(INDEX(Calc!$K:$K,(ROW(A67)-1)*5+COLUMN(A67)+1),",",".")</f>
        <v/>
      </c>
      <c r="G68" s="167">
        <f>SUBSTITUTE(INDEX(Calc!$K:$K,(ROW(B67)-1)*5+COLUMN(B67)+1),",",".")</f>
        <v/>
      </c>
      <c r="H68" s="167">
        <f>SUBSTITUTE(INDEX(Calc!$K:$K,(ROW(C67)-1)*5+COLUMN(C67)+1),",",".")</f>
        <v/>
      </c>
      <c r="I68" s="167">
        <f>SUBSTITUTE(INDEX(Calc!$K:$K,(ROW(D67)-1)*5+COLUMN(D67)+1),",",".")</f>
        <v/>
      </c>
      <c r="J68" s="167">
        <f>SUBSTITUTE(INDEX(Calc!$K:$K,(ROW(E67)-1)*5+COLUMN(E67)+1),",",".")</f>
        <v/>
      </c>
      <c r="K68" s="166" t="inlineStr">
        <is>
          <t>], 'type' =&gt; "</t>
        </is>
      </c>
      <c r="L68" s="167">
        <f>Закуп!AA68</f>
        <v/>
      </c>
      <c r="M68" s="166" t="inlineStr">
        <is>
          <t>", 'sale' =&gt; "</t>
        </is>
      </c>
      <c r="N68" s="166">
        <f>IF(Закуп!L68="",0,Закуп!L68)</f>
        <v/>
      </c>
      <c r="O68" s="166" t="inlineStr">
        <is>
          <t>" ],</t>
        </is>
      </c>
      <c r="P68" s="144">
        <f>Закуп!N68</f>
        <v/>
      </c>
      <c r="Q68" s="210">
        <f>CONCATENATE(A68,B68,",",C68,",",D68,E68,F68,",",G68,",",H68,",",I68,",",J68,K68,L68,M68,N68,O68,)</f>
        <v/>
      </c>
    </row>
    <row r="69">
      <c r="A69" s="166" t="inlineStr">
        <is>
          <t xml:space="preserve">        [ 'dims' =&gt; [</t>
        </is>
      </c>
      <c r="B69" s="166">
        <f>Закуп!R69</f>
        <v/>
      </c>
      <c r="C69" s="166">
        <f>Закуп!S69</f>
        <v/>
      </c>
      <c r="D69" s="166">
        <f>Закуп!T69</f>
        <v/>
      </c>
      <c r="E69" s="166" t="inlineStr">
        <is>
          <t>], 'prices' =&gt; [</t>
        </is>
      </c>
      <c r="F69" s="167">
        <f>SUBSTITUTE(INDEX(Calc!$K:$K,(ROW(A68)-1)*5+COLUMN(A68)+1),",",".")</f>
        <v/>
      </c>
      <c r="G69" s="167">
        <f>SUBSTITUTE(INDEX(Calc!$K:$K,(ROW(B68)-1)*5+COLUMN(B68)+1),",",".")</f>
        <v/>
      </c>
      <c r="H69" s="167">
        <f>SUBSTITUTE(INDEX(Calc!$K:$K,(ROW(C68)-1)*5+COLUMN(C68)+1),",",".")</f>
        <v/>
      </c>
      <c r="I69" s="167">
        <f>SUBSTITUTE(INDEX(Calc!$K:$K,(ROW(D68)-1)*5+COLUMN(D68)+1),",",".")</f>
        <v/>
      </c>
      <c r="J69" s="167">
        <f>SUBSTITUTE(INDEX(Calc!$K:$K,(ROW(E68)-1)*5+COLUMN(E68)+1),",",".")</f>
        <v/>
      </c>
      <c r="K69" s="166" t="inlineStr">
        <is>
          <t>], 'type' =&gt; "</t>
        </is>
      </c>
      <c r="L69" s="167">
        <f>Закуп!AA69</f>
        <v/>
      </c>
      <c r="M69" s="166" t="inlineStr">
        <is>
          <t>", 'sale' =&gt; "</t>
        </is>
      </c>
      <c r="N69" s="166">
        <f>IF(Закуп!L69="",0,Закуп!L69)</f>
        <v/>
      </c>
      <c r="O69" s="166" t="inlineStr">
        <is>
          <t>" ],</t>
        </is>
      </c>
      <c r="P69" s="144">
        <f>Закуп!N69</f>
        <v/>
      </c>
      <c r="Q69" s="210">
        <f>CONCATENATE(A69,B69,",",C69,",",D69,E69,F69,",",G69,",",H69,",",I69,",",J69,K69,L69,M69,N69,O69,)</f>
        <v/>
      </c>
    </row>
    <row r="70">
      <c r="A70" s="166" t="inlineStr">
        <is>
          <t xml:space="preserve">        [ 'dims' =&gt; [</t>
        </is>
      </c>
      <c r="B70" s="166">
        <f>Закуп!R70</f>
        <v/>
      </c>
      <c r="C70" s="166">
        <f>Закуп!S70</f>
        <v/>
      </c>
      <c r="D70" s="166">
        <f>Закуп!T70</f>
        <v/>
      </c>
      <c r="E70" s="166" t="inlineStr">
        <is>
          <t>], 'prices' =&gt; [</t>
        </is>
      </c>
      <c r="F70" s="167">
        <f>SUBSTITUTE(INDEX(Calc!$K:$K,(ROW(A69)-1)*5+COLUMN(A69)+1),",",".")</f>
        <v/>
      </c>
      <c r="G70" s="167">
        <f>SUBSTITUTE(INDEX(Calc!$K:$K,(ROW(B69)-1)*5+COLUMN(B69)+1),",",".")</f>
        <v/>
      </c>
      <c r="H70" s="167">
        <f>SUBSTITUTE(INDEX(Calc!$K:$K,(ROW(C69)-1)*5+COLUMN(C69)+1),",",".")</f>
        <v/>
      </c>
      <c r="I70" s="167">
        <f>SUBSTITUTE(INDEX(Calc!$K:$K,(ROW(D69)-1)*5+COLUMN(D69)+1),",",".")</f>
        <v/>
      </c>
      <c r="J70" s="167">
        <f>SUBSTITUTE(INDEX(Calc!$K:$K,(ROW(E69)-1)*5+COLUMN(E69)+1),",",".")</f>
        <v/>
      </c>
      <c r="K70" s="166" t="inlineStr">
        <is>
          <t>], 'type' =&gt; "</t>
        </is>
      </c>
      <c r="L70" s="167">
        <f>Закуп!AA70</f>
        <v/>
      </c>
      <c r="M70" s="166" t="inlineStr">
        <is>
          <t>", 'sale' =&gt; "</t>
        </is>
      </c>
      <c r="N70" s="166">
        <f>IF(Закуп!L70="",0,Закуп!L70)</f>
        <v/>
      </c>
      <c r="O70" s="166" t="inlineStr">
        <is>
          <t>" ],</t>
        </is>
      </c>
      <c r="P70" s="144">
        <f>Закуп!N70</f>
        <v/>
      </c>
      <c r="Q70" s="210">
        <f>CONCATENATE(A70,B70,",",C70,",",D70,E70,F70,",",G70,",",H70,",",I70,",",J70,K70,L70,M70,N70,O70,)</f>
        <v/>
      </c>
    </row>
    <row r="71">
      <c r="A71" s="166" t="inlineStr">
        <is>
          <t xml:space="preserve">        [ 'dims' =&gt; [</t>
        </is>
      </c>
      <c r="B71" s="166">
        <f>Закуп!R71</f>
        <v/>
      </c>
      <c r="C71" s="166">
        <f>Закуп!S71</f>
        <v/>
      </c>
      <c r="D71" s="166">
        <f>Закуп!T71</f>
        <v/>
      </c>
      <c r="E71" s="166" t="inlineStr">
        <is>
          <t>], 'prices' =&gt; [</t>
        </is>
      </c>
      <c r="F71" s="167">
        <f>SUBSTITUTE(INDEX(Calc!$K:$K,(ROW(A70)-1)*5+COLUMN(A70)+1),",",".")</f>
        <v/>
      </c>
      <c r="G71" s="167">
        <f>SUBSTITUTE(INDEX(Calc!$K:$K,(ROW(B70)-1)*5+COLUMN(B70)+1),",",".")</f>
        <v/>
      </c>
      <c r="H71" s="167">
        <f>SUBSTITUTE(INDEX(Calc!$K:$K,(ROW(C70)-1)*5+COLUMN(C70)+1),",",".")</f>
        <v/>
      </c>
      <c r="I71" s="167">
        <f>SUBSTITUTE(INDEX(Calc!$K:$K,(ROW(D70)-1)*5+COLUMN(D70)+1),",",".")</f>
        <v/>
      </c>
      <c r="J71" s="167">
        <f>SUBSTITUTE(INDEX(Calc!$K:$K,(ROW(E70)-1)*5+COLUMN(E70)+1),",",".")</f>
        <v/>
      </c>
      <c r="K71" s="166" t="inlineStr">
        <is>
          <t>], 'type' =&gt; "</t>
        </is>
      </c>
      <c r="L71" s="167">
        <f>Закуп!AA71</f>
        <v/>
      </c>
      <c r="M71" s="166" t="inlineStr">
        <is>
          <t>", 'sale' =&gt; "</t>
        </is>
      </c>
      <c r="N71" s="166">
        <f>IF(Закуп!L71="",0,Закуп!L71)</f>
        <v/>
      </c>
      <c r="O71" s="166" t="inlineStr">
        <is>
          <t>" ],</t>
        </is>
      </c>
      <c r="P71" s="144">
        <f>Закуп!N71</f>
        <v/>
      </c>
      <c r="Q71" s="210">
        <f>CONCATENATE(A71,B71,",",C71,",",D71,E71,F71,",",G71,",",H71,",",I71,",",J71,K71,L71,M71,N71,O71,)</f>
        <v/>
      </c>
    </row>
    <row r="72">
      <c r="A72" s="166" t="inlineStr">
        <is>
          <t xml:space="preserve">        [ 'dims' =&gt; [</t>
        </is>
      </c>
      <c r="B72" s="166">
        <f>Закуп!R72</f>
        <v/>
      </c>
      <c r="C72" s="166">
        <f>Закуп!S72</f>
        <v/>
      </c>
      <c r="D72" s="166">
        <f>Закуп!T72</f>
        <v/>
      </c>
      <c r="E72" s="166" t="inlineStr">
        <is>
          <t>], 'prices' =&gt; [</t>
        </is>
      </c>
      <c r="F72" s="167">
        <f>SUBSTITUTE(INDEX(Calc!$K:$K,(ROW(A71)-1)*5+COLUMN(A71)+1),",",".")</f>
        <v/>
      </c>
      <c r="G72" s="167">
        <f>SUBSTITUTE(INDEX(Calc!$K:$K,(ROW(B71)-1)*5+COLUMN(B71)+1),",",".")</f>
        <v/>
      </c>
      <c r="H72" s="167">
        <f>SUBSTITUTE(INDEX(Calc!$K:$K,(ROW(C71)-1)*5+COLUMN(C71)+1),",",".")</f>
        <v/>
      </c>
      <c r="I72" s="167">
        <f>SUBSTITUTE(INDEX(Calc!$K:$K,(ROW(D71)-1)*5+COLUMN(D71)+1),",",".")</f>
        <v/>
      </c>
      <c r="J72" s="167">
        <f>SUBSTITUTE(INDEX(Calc!$K:$K,(ROW(E71)-1)*5+COLUMN(E71)+1),",",".")</f>
        <v/>
      </c>
      <c r="K72" s="166" t="inlineStr">
        <is>
          <t>], 'type' =&gt; "</t>
        </is>
      </c>
      <c r="L72" s="167">
        <f>Закуп!AA72</f>
        <v/>
      </c>
      <c r="M72" s="166" t="inlineStr">
        <is>
          <t>", 'sale' =&gt; "</t>
        </is>
      </c>
      <c r="N72" s="166">
        <f>IF(Закуп!L72="",0,Закуп!L72)</f>
        <v/>
      </c>
      <c r="O72" s="166" t="inlineStr">
        <is>
          <t>" ],</t>
        </is>
      </c>
      <c r="P72" s="144">
        <f>Закуп!N72</f>
        <v/>
      </c>
      <c r="Q72" s="210">
        <f>CONCATENATE(A72,B72,",",C72,",",D72,E72,F72,",",G72,",",H72,",",I72,",",J72,K72,L72,M72,N72,O72,)</f>
        <v/>
      </c>
    </row>
    <row r="73">
      <c r="A73" s="166" t="inlineStr">
        <is>
          <t xml:space="preserve">        [ 'dims' =&gt; [</t>
        </is>
      </c>
      <c r="B73" s="166">
        <f>Закуп!R73</f>
        <v/>
      </c>
      <c r="C73" s="166">
        <f>Закуп!S73</f>
        <v/>
      </c>
      <c r="D73" s="166">
        <f>Закуп!T73</f>
        <v/>
      </c>
      <c r="E73" s="166" t="inlineStr">
        <is>
          <t>], 'prices' =&gt; [</t>
        </is>
      </c>
      <c r="F73" s="167">
        <f>SUBSTITUTE(INDEX(Calc!$K:$K,(ROW(A72)-1)*5+COLUMN(A72)+1),",",".")</f>
        <v/>
      </c>
      <c r="G73" s="167">
        <f>SUBSTITUTE(INDEX(Calc!$K:$K,(ROW(B72)-1)*5+COLUMN(B72)+1),",",".")</f>
        <v/>
      </c>
      <c r="H73" s="167">
        <f>SUBSTITUTE(INDEX(Calc!$K:$K,(ROW(C72)-1)*5+COLUMN(C72)+1),",",".")</f>
        <v/>
      </c>
      <c r="I73" s="167">
        <f>SUBSTITUTE(INDEX(Calc!$K:$K,(ROW(D72)-1)*5+COLUMN(D72)+1),",",".")</f>
        <v/>
      </c>
      <c r="J73" s="167">
        <f>SUBSTITUTE(INDEX(Calc!$K:$K,(ROW(E72)-1)*5+COLUMN(E72)+1),",",".")</f>
        <v/>
      </c>
      <c r="K73" s="166" t="inlineStr">
        <is>
          <t>], 'type' =&gt; "</t>
        </is>
      </c>
      <c r="L73" s="167">
        <f>Закуп!AA73</f>
        <v/>
      </c>
      <c r="M73" s="166" t="inlineStr">
        <is>
          <t>", 'sale' =&gt; "</t>
        </is>
      </c>
      <c r="N73" s="166">
        <f>IF(Закуп!L73="",0,Закуп!L73)</f>
        <v/>
      </c>
      <c r="O73" s="166" t="inlineStr">
        <is>
          <t>" ],</t>
        </is>
      </c>
      <c r="P73" s="144">
        <f>Закуп!N73</f>
        <v/>
      </c>
      <c r="Q73" s="210">
        <f>CONCATENATE(A73,B73,",",C73,",",D73,E73,F73,",",G73,",",H73,",",I73,",",J73,K73,L73,M73,N73,O73,)</f>
        <v/>
      </c>
    </row>
    <row r="74">
      <c r="A74" s="166" t="inlineStr">
        <is>
          <t xml:space="preserve">        [ 'dims' =&gt; [</t>
        </is>
      </c>
      <c r="B74" s="166">
        <f>Закуп!R74</f>
        <v/>
      </c>
      <c r="C74" s="166">
        <f>Закуп!S74</f>
        <v/>
      </c>
      <c r="D74" s="166">
        <f>Закуп!T74</f>
        <v/>
      </c>
      <c r="E74" s="166" t="inlineStr">
        <is>
          <t>], 'prices' =&gt; [</t>
        </is>
      </c>
      <c r="F74" s="167">
        <f>SUBSTITUTE(INDEX(Calc!$K:$K,(ROW(A73)-1)*5+COLUMN(A73)+1),",",".")</f>
        <v/>
      </c>
      <c r="G74" s="167">
        <f>SUBSTITUTE(INDEX(Calc!$K:$K,(ROW(B73)-1)*5+COLUMN(B73)+1),",",".")</f>
        <v/>
      </c>
      <c r="H74" s="167">
        <f>SUBSTITUTE(INDEX(Calc!$K:$K,(ROW(C73)-1)*5+COLUMN(C73)+1),",",".")</f>
        <v/>
      </c>
      <c r="I74" s="167">
        <f>SUBSTITUTE(INDEX(Calc!$K:$K,(ROW(D73)-1)*5+COLUMN(D73)+1),",",".")</f>
        <v/>
      </c>
      <c r="J74" s="167">
        <f>SUBSTITUTE(INDEX(Calc!$K:$K,(ROW(E73)-1)*5+COLUMN(E73)+1),",",".")</f>
        <v/>
      </c>
      <c r="K74" s="166" t="inlineStr">
        <is>
          <t>], 'type' =&gt; "</t>
        </is>
      </c>
      <c r="L74" s="167">
        <f>Закуп!AA74</f>
        <v/>
      </c>
      <c r="M74" s="166" t="inlineStr">
        <is>
          <t>", 'sale' =&gt; "</t>
        </is>
      </c>
      <c r="N74" s="166">
        <f>IF(Закуп!L74="",0,Закуп!L74)</f>
        <v/>
      </c>
      <c r="O74" s="166" t="inlineStr">
        <is>
          <t>" ],</t>
        </is>
      </c>
      <c r="P74" s="144">
        <f>Закуп!N74</f>
        <v/>
      </c>
      <c r="Q74" s="210">
        <f>CONCATENATE(A74,B74,",",C74,",",D74,E74,F74,",",G74,",",H74,",",I74,",",J74,K74,L74,M74,N74,O74,)</f>
        <v/>
      </c>
    </row>
    <row r="75">
      <c r="A75" s="166" t="inlineStr">
        <is>
          <t xml:space="preserve">        [ 'dims' =&gt; [</t>
        </is>
      </c>
      <c r="B75" s="166">
        <f>Закуп!R75</f>
        <v/>
      </c>
      <c r="C75" s="166">
        <f>Закуп!S75</f>
        <v/>
      </c>
      <c r="D75" s="166">
        <f>Закуп!T75</f>
        <v/>
      </c>
      <c r="E75" s="166" t="inlineStr">
        <is>
          <t>], 'prices' =&gt; [</t>
        </is>
      </c>
      <c r="F75" s="167">
        <f>SUBSTITUTE(INDEX(Calc!$K:$K,(ROW(A74)-1)*5+COLUMN(A74)+1),",",".")</f>
        <v/>
      </c>
      <c r="G75" s="167">
        <f>SUBSTITUTE(INDEX(Calc!$K:$K,(ROW(B74)-1)*5+COLUMN(B74)+1),",",".")</f>
        <v/>
      </c>
      <c r="H75" s="167">
        <f>SUBSTITUTE(INDEX(Calc!$K:$K,(ROW(C74)-1)*5+COLUMN(C74)+1),",",".")</f>
        <v/>
      </c>
      <c r="I75" s="167">
        <f>SUBSTITUTE(INDEX(Calc!$K:$K,(ROW(D74)-1)*5+COLUMN(D74)+1),",",".")</f>
        <v/>
      </c>
      <c r="J75" s="167">
        <f>SUBSTITUTE(INDEX(Calc!$K:$K,(ROW(E74)-1)*5+COLUMN(E74)+1),",",".")</f>
        <v/>
      </c>
      <c r="K75" s="166" t="inlineStr">
        <is>
          <t>], 'type' =&gt; "</t>
        </is>
      </c>
      <c r="L75" s="167">
        <f>Закуп!AA75</f>
        <v/>
      </c>
      <c r="M75" s="166" t="inlineStr">
        <is>
          <t>", 'sale' =&gt; "</t>
        </is>
      </c>
      <c r="N75" s="166">
        <f>IF(Закуп!L75="",0,Закуп!L75)</f>
        <v/>
      </c>
      <c r="O75" s="166" t="inlineStr">
        <is>
          <t>" ],</t>
        </is>
      </c>
      <c r="P75" s="144">
        <f>Закуп!N75</f>
        <v/>
      </c>
      <c r="Q75" s="210">
        <f>CONCATENATE(A75,B75,",",C75,",",D75,E75,F75,",",G75,",",H75,",",I75,",",J75,K75,L75,M75,N75,O75,)</f>
        <v/>
      </c>
    </row>
    <row r="76">
      <c r="A76" s="166" t="inlineStr">
        <is>
          <t xml:space="preserve">        [ 'dims' =&gt; [</t>
        </is>
      </c>
      <c r="B76" s="166">
        <f>Закуп!R76</f>
        <v/>
      </c>
      <c r="C76" s="166">
        <f>Закуп!S76</f>
        <v/>
      </c>
      <c r="D76" s="166">
        <f>Закуп!T76</f>
        <v/>
      </c>
      <c r="E76" s="166" t="inlineStr">
        <is>
          <t>], 'prices' =&gt; [</t>
        </is>
      </c>
      <c r="F76" s="167">
        <f>SUBSTITUTE(INDEX(Calc!$K:$K,(ROW(A75)-1)*5+COLUMN(A75)+1),",",".")</f>
        <v/>
      </c>
      <c r="G76" s="167">
        <f>SUBSTITUTE(INDEX(Calc!$K:$K,(ROW(B75)-1)*5+COLUMN(B75)+1),",",".")</f>
        <v/>
      </c>
      <c r="H76" s="167">
        <f>SUBSTITUTE(INDEX(Calc!$K:$K,(ROW(C75)-1)*5+COLUMN(C75)+1),",",".")</f>
        <v/>
      </c>
      <c r="I76" s="167">
        <f>SUBSTITUTE(INDEX(Calc!$K:$K,(ROW(D75)-1)*5+COLUMN(D75)+1),",",".")</f>
        <v/>
      </c>
      <c r="J76" s="167">
        <f>SUBSTITUTE(INDEX(Calc!$K:$K,(ROW(E75)-1)*5+COLUMN(E75)+1),",",".")</f>
        <v/>
      </c>
      <c r="K76" s="166" t="inlineStr">
        <is>
          <t>], 'type' =&gt; "</t>
        </is>
      </c>
      <c r="L76" s="167">
        <f>Закуп!AA76</f>
        <v/>
      </c>
      <c r="M76" s="166" t="inlineStr">
        <is>
          <t>", 'sale' =&gt; "</t>
        </is>
      </c>
      <c r="N76" s="166">
        <f>IF(Закуп!L76="",0,Закуп!L76)</f>
        <v/>
      </c>
      <c r="O76" s="166" t="inlineStr">
        <is>
          <t>" ],</t>
        </is>
      </c>
      <c r="P76" s="144">
        <f>Закуп!N76</f>
        <v/>
      </c>
      <c r="Q76" s="210">
        <f>CONCATENATE(A76,B76,",",C76,",",D76,E76,F76,",",G76,",",H76,",",I76,",",J76,K76,L76,M76,N76,O76,)</f>
        <v/>
      </c>
    </row>
    <row r="77">
      <c r="A77" s="166" t="inlineStr">
        <is>
          <t xml:space="preserve">        [ 'dims' =&gt; [</t>
        </is>
      </c>
      <c r="B77" s="166">
        <f>Закуп!R77</f>
        <v/>
      </c>
      <c r="C77" s="166">
        <f>Закуп!S77</f>
        <v/>
      </c>
      <c r="D77" s="166">
        <f>Закуп!T77</f>
        <v/>
      </c>
      <c r="E77" s="166" t="inlineStr">
        <is>
          <t>], 'prices' =&gt; [</t>
        </is>
      </c>
      <c r="F77" s="167">
        <f>SUBSTITUTE(INDEX(Calc!$K:$K,(ROW(A76)-1)*5+COLUMN(A76)+1),",",".")</f>
        <v/>
      </c>
      <c r="G77" s="167">
        <f>SUBSTITUTE(INDEX(Calc!$K:$K,(ROW(B76)-1)*5+COLUMN(B76)+1),",",".")</f>
        <v/>
      </c>
      <c r="H77" s="167">
        <f>SUBSTITUTE(INDEX(Calc!$K:$K,(ROW(C76)-1)*5+COLUMN(C76)+1),",",".")</f>
        <v/>
      </c>
      <c r="I77" s="167">
        <f>SUBSTITUTE(INDEX(Calc!$K:$K,(ROW(D76)-1)*5+COLUMN(D76)+1),",",".")</f>
        <v/>
      </c>
      <c r="J77" s="167">
        <f>SUBSTITUTE(INDEX(Calc!$K:$K,(ROW(E76)-1)*5+COLUMN(E76)+1),",",".")</f>
        <v/>
      </c>
      <c r="K77" s="166" t="inlineStr">
        <is>
          <t>], 'type' =&gt; "</t>
        </is>
      </c>
      <c r="L77" s="167">
        <f>Закуп!AA77</f>
        <v/>
      </c>
      <c r="M77" s="166" t="inlineStr">
        <is>
          <t>", 'sale' =&gt; "</t>
        </is>
      </c>
      <c r="N77" s="166">
        <f>IF(Закуп!L77="",0,Закуп!L77)</f>
        <v/>
      </c>
      <c r="O77" s="166" t="inlineStr">
        <is>
          <t>" ],</t>
        </is>
      </c>
      <c r="P77" s="144">
        <f>Закуп!N77</f>
        <v/>
      </c>
      <c r="Q77" s="210">
        <f>CONCATENATE(A77,B77,",",C77,",",D77,E77,F77,",",G77,",",H77,",",I77,",",J77,K77,L77,M77,N77,O77,)</f>
        <v/>
      </c>
    </row>
    <row r="78">
      <c r="A78" s="166" t="inlineStr">
        <is>
          <t xml:space="preserve">        [ 'dims' =&gt; [</t>
        </is>
      </c>
      <c r="B78" s="166">
        <f>Закуп!R78</f>
        <v/>
      </c>
      <c r="C78" s="166">
        <f>Закуп!S78</f>
        <v/>
      </c>
      <c r="D78" s="166">
        <f>Закуп!T78</f>
        <v/>
      </c>
      <c r="E78" s="166" t="inlineStr">
        <is>
          <t>], 'prices' =&gt; [</t>
        </is>
      </c>
      <c r="F78" s="167">
        <f>SUBSTITUTE(INDEX(Calc!$K:$K,(ROW(A77)-1)*5+COLUMN(A77)+1),",",".")</f>
        <v/>
      </c>
      <c r="G78" s="167">
        <f>SUBSTITUTE(INDEX(Calc!$K:$K,(ROW(B77)-1)*5+COLUMN(B77)+1),",",".")</f>
        <v/>
      </c>
      <c r="H78" s="167">
        <f>SUBSTITUTE(INDEX(Calc!$K:$K,(ROW(C77)-1)*5+COLUMN(C77)+1),",",".")</f>
        <v/>
      </c>
      <c r="I78" s="167">
        <f>SUBSTITUTE(INDEX(Calc!$K:$K,(ROW(D77)-1)*5+COLUMN(D77)+1),",",".")</f>
        <v/>
      </c>
      <c r="J78" s="167">
        <f>SUBSTITUTE(INDEX(Calc!$K:$K,(ROW(E77)-1)*5+COLUMN(E77)+1),",",".")</f>
        <v/>
      </c>
      <c r="K78" s="166" t="inlineStr">
        <is>
          <t>], 'type' =&gt; "</t>
        </is>
      </c>
      <c r="L78" s="167">
        <f>Закуп!AA78</f>
        <v/>
      </c>
      <c r="M78" s="166" t="inlineStr">
        <is>
          <t>", 'sale' =&gt; "</t>
        </is>
      </c>
      <c r="N78" s="166">
        <f>IF(Закуп!L78="",0,Закуп!L78)</f>
        <v/>
      </c>
      <c r="O78" s="166" t="inlineStr">
        <is>
          <t>" ],</t>
        </is>
      </c>
      <c r="P78" s="144">
        <f>Закуп!N78</f>
        <v/>
      </c>
      <c r="Q78" s="210">
        <f>CONCATENATE(A78,B78,",",C78,",",D78,E78,F78,",",G78,",",H78,",",I78,",",J78,K78,L78,M78,N78,O78,)</f>
        <v/>
      </c>
    </row>
    <row r="79">
      <c r="A79" s="166" t="inlineStr">
        <is>
          <t xml:space="preserve">        [ 'dims' =&gt; [</t>
        </is>
      </c>
      <c r="B79" s="166">
        <f>Закуп!R79</f>
        <v/>
      </c>
      <c r="C79" s="166">
        <f>Закуп!S79</f>
        <v/>
      </c>
      <c r="D79" s="166">
        <f>Закуп!T79</f>
        <v/>
      </c>
      <c r="E79" s="166" t="inlineStr">
        <is>
          <t>], 'prices' =&gt; [</t>
        </is>
      </c>
      <c r="F79" s="167">
        <f>SUBSTITUTE(INDEX(Calc!$K:$K,(ROW(A78)-1)*5+COLUMN(A78)+1),",",".")</f>
        <v/>
      </c>
      <c r="G79" s="167">
        <f>SUBSTITUTE(INDEX(Calc!$K:$K,(ROW(B78)-1)*5+COLUMN(B78)+1),",",".")</f>
        <v/>
      </c>
      <c r="H79" s="167">
        <f>SUBSTITUTE(INDEX(Calc!$K:$K,(ROW(C78)-1)*5+COLUMN(C78)+1),",",".")</f>
        <v/>
      </c>
      <c r="I79" s="167">
        <f>SUBSTITUTE(INDEX(Calc!$K:$K,(ROW(D78)-1)*5+COLUMN(D78)+1),",",".")</f>
        <v/>
      </c>
      <c r="J79" s="167">
        <f>SUBSTITUTE(INDEX(Calc!$K:$K,(ROW(E78)-1)*5+COLUMN(E78)+1),",",".")</f>
        <v/>
      </c>
      <c r="K79" s="166" t="inlineStr">
        <is>
          <t>], 'type' =&gt; "</t>
        </is>
      </c>
      <c r="L79" s="167">
        <f>Закуп!AA79</f>
        <v/>
      </c>
      <c r="M79" s="166" t="inlineStr">
        <is>
          <t>", 'sale' =&gt; "</t>
        </is>
      </c>
      <c r="N79" s="166">
        <f>IF(Закуп!L79="",0,Закуп!L79)</f>
        <v/>
      </c>
      <c r="O79" s="166" t="inlineStr">
        <is>
          <t>" ],</t>
        </is>
      </c>
      <c r="P79" s="144">
        <f>Закуп!N79</f>
        <v/>
      </c>
      <c r="Q79" s="210">
        <f>CONCATENATE(A79,B79,",",C79,",",D79,E79,F79,",",G79,",",H79,",",I79,",",J79,K79,L79,M79,N79,O79,)</f>
        <v/>
      </c>
    </row>
    <row r="80">
      <c r="A80" s="166" t="inlineStr">
        <is>
          <t xml:space="preserve">        [ 'dims' =&gt; [</t>
        </is>
      </c>
      <c r="B80" s="166">
        <f>Закуп!R80</f>
        <v/>
      </c>
      <c r="C80" s="166">
        <f>Закуп!S80</f>
        <v/>
      </c>
      <c r="D80" s="166">
        <f>Закуп!T80</f>
        <v/>
      </c>
      <c r="E80" s="166" t="inlineStr">
        <is>
          <t>], 'prices' =&gt; [</t>
        </is>
      </c>
      <c r="F80" s="167">
        <f>SUBSTITUTE(INDEX(Calc!$K:$K,(ROW(A79)-1)*5+COLUMN(A79)+1),",",".")</f>
        <v/>
      </c>
      <c r="G80" s="167">
        <f>SUBSTITUTE(INDEX(Calc!$K:$K,(ROW(B79)-1)*5+COLUMN(B79)+1),",",".")</f>
        <v/>
      </c>
      <c r="H80" s="167">
        <f>SUBSTITUTE(INDEX(Calc!$K:$K,(ROW(C79)-1)*5+COLUMN(C79)+1),",",".")</f>
        <v/>
      </c>
      <c r="I80" s="167">
        <f>SUBSTITUTE(INDEX(Calc!$K:$K,(ROW(D79)-1)*5+COLUMN(D79)+1),",",".")</f>
        <v/>
      </c>
      <c r="J80" s="167">
        <f>SUBSTITUTE(INDEX(Calc!$K:$K,(ROW(E79)-1)*5+COLUMN(E79)+1),",",".")</f>
        <v/>
      </c>
      <c r="K80" s="166" t="inlineStr">
        <is>
          <t>], 'type' =&gt; "</t>
        </is>
      </c>
      <c r="L80" s="167">
        <f>Закуп!AA80</f>
        <v/>
      </c>
      <c r="M80" s="166" t="inlineStr">
        <is>
          <t>", 'sale' =&gt; "</t>
        </is>
      </c>
      <c r="N80" s="166">
        <f>IF(Закуп!L80="",0,Закуп!L80)</f>
        <v/>
      </c>
      <c r="O80" s="166" t="inlineStr">
        <is>
          <t>" ],</t>
        </is>
      </c>
      <c r="P80" s="144">
        <f>Закуп!N80</f>
        <v/>
      </c>
      <c r="Q80" s="210">
        <f>CONCATENATE(A80,B80,",",C80,",",D80,E80,F80,",",G80,",",H80,",",I80,",",J80,K80,L80,M80,N80,O80,)</f>
        <v/>
      </c>
    </row>
    <row r="81">
      <c r="A81" s="166" t="inlineStr">
        <is>
          <t xml:space="preserve">        [ 'dims' =&gt; [</t>
        </is>
      </c>
      <c r="B81" s="166">
        <f>Закуп!R81</f>
        <v/>
      </c>
      <c r="C81" s="166">
        <f>Закуп!S81</f>
        <v/>
      </c>
      <c r="D81" s="166">
        <f>Закуп!T81</f>
        <v/>
      </c>
      <c r="E81" s="166" t="inlineStr">
        <is>
          <t>], 'prices' =&gt; [</t>
        </is>
      </c>
      <c r="F81" s="167">
        <f>SUBSTITUTE(INDEX(Calc!$K:$K,(ROW(A80)-1)*5+COLUMN(A80)+1),",",".")</f>
        <v/>
      </c>
      <c r="G81" s="167">
        <f>SUBSTITUTE(INDEX(Calc!$K:$K,(ROW(B80)-1)*5+COLUMN(B80)+1),",",".")</f>
        <v/>
      </c>
      <c r="H81" s="167">
        <f>SUBSTITUTE(INDEX(Calc!$K:$K,(ROW(C80)-1)*5+COLUMN(C80)+1),",",".")</f>
        <v/>
      </c>
      <c r="I81" s="167">
        <f>SUBSTITUTE(INDEX(Calc!$K:$K,(ROW(D80)-1)*5+COLUMN(D80)+1),",",".")</f>
        <v/>
      </c>
      <c r="J81" s="167">
        <f>SUBSTITUTE(INDEX(Calc!$K:$K,(ROW(E80)-1)*5+COLUMN(E80)+1),",",".")</f>
        <v/>
      </c>
      <c r="K81" s="166" t="inlineStr">
        <is>
          <t>], 'type' =&gt; "</t>
        </is>
      </c>
      <c r="L81" s="167">
        <f>Закуп!AA81</f>
        <v/>
      </c>
      <c r="M81" s="166" t="inlineStr">
        <is>
          <t>", 'sale' =&gt; "</t>
        </is>
      </c>
      <c r="N81" s="166">
        <f>IF(Закуп!L81="",0,Закуп!L81)</f>
        <v/>
      </c>
      <c r="O81" s="166" t="inlineStr">
        <is>
          <t>" ],</t>
        </is>
      </c>
      <c r="P81" s="144">
        <f>Закуп!N81</f>
        <v/>
      </c>
      <c r="Q81" s="210">
        <f>CONCATENATE(A81,B81,",",C81,",",D81,E81,F81,",",G81,",",H81,",",I81,",",J81,K81,L81,M81,N81,O81,)</f>
        <v/>
      </c>
    </row>
    <row r="82">
      <c r="A82" s="166" t="inlineStr">
        <is>
          <t xml:space="preserve">        [ 'dims' =&gt; [</t>
        </is>
      </c>
      <c r="B82" s="166">
        <f>Закуп!R82</f>
        <v/>
      </c>
      <c r="C82" s="166">
        <f>Закуп!S82</f>
        <v/>
      </c>
      <c r="D82" s="166">
        <f>Закуп!T82</f>
        <v/>
      </c>
      <c r="E82" s="166" t="inlineStr">
        <is>
          <t>], 'prices' =&gt; [</t>
        </is>
      </c>
      <c r="F82" s="167">
        <f>SUBSTITUTE(INDEX(Calc!$K:$K,(ROW(A81)-1)*5+COLUMN(A81)+1),",",".")</f>
        <v/>
      </c>
      <c r="G82" s="167">
        <f>SUBSTITUTE(INDEX(Calc!$K:$K,(ROW(B81)-1)*5+COLUMN(B81)+1),",",".")</f>
        <v/>
      </c>
      <c r="H82" s="167">
        <f>SUBSTITUTE(INDEX(Calc!$K:$K,(ROW(C81)-1)*5+COLUMN(C81)+1),",",".")</f>
        <v/>
      </c>
      <c r="I82" s="167">
        <f>SUBSTITUTE(INDEX(Calc!$K:$K,(ROW(D81)-1)*5+COLUMN(D81)+1),",",".")</f>
        <v/>
      </c>
      <c r="J82" s="167">
        <f>SUBSTITUTE(INDEX(Calc!$K:$K,(ROW(E81)-1)*5+COLUMN(E81)+1),",",".")</f>
        <v/>
      </c>
      <c r="K82" s="166" t="inlineStr">
        <is>
          <t>], 'type' =&gt; "</t>
        </is>
      </c>
      <c r="L82" s="167">
        <f>Закуп!AA82</f>
        <v/>
      </c>
      <c r="M82" s="166" t="inlineStr">
        <is>
          <t>", 'sale' =&gt; "</t>
        </is>
      </c>
      <c r="N82" s="166">
        <f>IF(Закуп!L82="",0,Закуп!L82)</f>
        <v/>
      </c>
      <c r="O82" s="166" t="inlineStr">
        <is>
          <t>" ],</t>
        </is>
      </c>
      <c r="P82" s="144">
        <f>Закуп!N82</f>
        <v/>
      </c>
      <c r="Q82" s="210">
        <f>CONCATENATE(A82,B82,",",C82,",",D82,E82,F82,",",G82,",",H82,",",I82,",",J82,K82,L82,M82,N82,O82,)</f>
        <v/>
      </c>
    </row>
    <row r="83">
      <c r="A83" s="166" t="inlineStr">
        <is>
          <t xml:space="preserve">        [ 'dims' =&gt; [</t>
        </is>
      </c>
      <c r="B83" s="166">
        <f>Закуп!R83</f>
        <v/>
      </c>
      <c r="C83" s="166">
        <f>Закуп!S83</f>
        <v/>
      </c>
      <c r="D83" s="166">
        <f>Закуп!T83</f>
        <v/>
      </c>
      <c r="E83" s="166" t="inlineStr">
        <is>
          <t>], 'prices' =&gt; [</t>
        </is>
      </c>
      <c r="F83" s="167">
        <f>SUBSTITUTE(INDEX(Calc!$K:$K,(ROW(A82)-1)*5+COLUMN(A82)+1),",",".")</f>
        <v/>
      </c>
      <c r="G83" s="167">
        <f>SUBSTITUTE(INDEX(Calc!$K:$K,(ROW(B82)-1)*5+COLUMN(B82)+1),",",".")</f>
        <v/>
      </c>
      <c r="H83" s="167">
        <f>SUBSTITUTE(INDEX(Calc!$K:$K,(ROW(C82)-1)*5+COLUMN(C82)+1),",",".")</f>
        <v/>
      </c>
      <c r="I83" s="167">
        <f>SUBSTITUTE(INDEX(Calc!$K:$K,(ROW(D82)-1)*5+COLUMN(D82)+1),",",".")</f>
        <v/>
      </c>
      <c r="J83" s="167">
        <f>SUBSTITUTE(INDEX(Calc!$K:$K,(ROW(E82)-1)*5+COLUMN(E82)+1),",",".")</f>
        <v/>
      </c>
      <c r="K83" s="166" t="inlineStr">
        <is>
          <t>], 'type' =&gt; "</t>
        </is>
      </c>
      <c r="L83" s="167">
        <f>Закуп!AA83</f>
        <v/>
      </c>
      <c r="M83" s="166" t="inlineStr">
        <is>
          <t>", 'sale' =&gt; "</t>
        </is>
      </c>
      <c r="N83" s="166">
        <f>IF(Закуп!L83="",0,Закуп!L83)</f>
        <v/>
      </c>
      <c r="O83" s="166" t="inlineStr">
        <is>
          <t>" ],</t>
        </is>
      </c>
      <c r="P83" s="144">
        <f>Закуп!N83</f>
        <v/>
      </c>
      <c r="Q83" s="210">
        <f>CONCATENATE(A83,B83,",",C83,",",D83,E83,F83,",",G83,",",H83,",",I83,",",J83,K83,L83,M83,N83,O83,)</f>
        <v/>
      </c>
    </row>
    <row r="84">
      <c r="A84" s="166" t="inlineStr">
        <is>
          <t xml:space="preserve">        [ 'dims' =&gt; [</t>
        </is>
      </c>
      <c r="B84" s="166">
        <f>Закуп!R84</f>
        <v/>
      </c>
      <c r="C84" s="166">
        <f>Закуп!S84</f>
        <v/>
      </c>
      <c r="D84" s="166">
        <f>Закуп!T84</f>
        <v/>
      </c>
      <c r="E84" s="166" t="inlineStr">
        <is>
          <t>], 'prices' =&gt; [</t>
        </is>
      </c>
      <c r="F84" s="167">
        <f>SUBSTITUTE(INDEX(Calc!$K:$K,(ROW(A83)-1)*5+COLUMN(A83)+1),",",".")</f>
        <v/>
      </c>
      <c r="G84" s="167">
        <f>SUBSTITUTE(INDEX(Calc!$K:$K,(ROW(B83)-1)*5+COLUMN(B83)+1),",",".")</f>
        <v/>
      </c>
      <c r="H84" s="167">
        <f>SUBSTITUTE(INDEX(Calc!$K:$K,(ROW(C83)-1)*5+COLUMN(C83)+1),",",".")</f>
        <v/>
      </c>
      <c r="I84" s="167">
        <f>SUBSTITUTE(INDEX(Calc!$K:$K,(ROW(D83)-1)*5+COLUMN(D83)+1),",",".")</f>
        <v/>
      </c>
      <c r="J84" s="167">
        <f>SUBSTITUTE(INDEX(Calc!$K:$K,(ROW(E83)-1)*5+COLUMN(E83)+1),",",".")</f>
        <v/>
      </c>
      <c r="K84" s="166" t="inlineStr">
        <is>
          <t>], 'type' =&gt; "</t>
        </is>
      </c>
      <c r="L84" s="167">
        <f>Закуп!AA84</f>
        <v/>
      </c>
      <c r="M84" s="166" t="inlineStr">
        <is>
          <t>", 'sale' =&gt; "</t>
        </is>
      </c>
      <c r="N84" s="166">
        <f>IF(Закуп!L84="",0,Закуп!L84)</f>
        <v/>
      </c>
      <c r="O84" s="166" t="inlineStr">
        <is>
          <t>" ],</t>
        </is>
      </c>
      <c r="P84" s="144">
        <f>Закуп!N84</f>
        <v/>
      </c>
      <c r="Q84" s="210">
        <f>CONCATENATE(A84,B84,",",C84,",",D84,E84,F84,",",G84,",",H84,",",I84,",",J84,K84,L84,M84,N84,O84,)</f>
        <v/>
      </c>
    </row>
    <row r="85">
      <c r="A85" s="166" t="inlineStr">
        <is>
          <t xml:space="preserve">        [ 'dims' =&gt; [</t>
        </is>
      </c>
      <c r="B85" s="166">
        <f>Закуп!R85</f>
        <v/>
      </c>
      <c r="C85" s="166">
        <f>Закуп!S85</f>
        <v/>
      </c>
      <c r="D85" s="166">
        <f>Закуп!T85</f>
        <v/>
      </c>
      <c r="E85" s="166" t="inlineStr">
        <is>
          <t>], 'prices' =&gt; [</t>
        </is>
      </c>
      <c r="F85" s="167">
        <f>SUBSTITUTE(INDEX(Calc!$K:$K,(ROW(A84)-1)*5+COLUMN(A84)+1),",",".")</f>
        <v/>
      </c>
      <c r="G85" s="167">
        <f>SUBSTITUTE(INDEX(Calc!$K:$K,(ROW(B84)-1)*5+COLUMN(B84)+1),",",".")</f>
        <v/>
      </c>
      <c r="H85" s="167">
        <f>SUBSTITUTE(INDEX(Calc!$K:$K,(ROW(C84)-1)*5+COLUMN(C84)+1),",",".")</f>
        <v/>
      </c>
      <c r="I85" s="167">
        <f>SUBSTITUTE(INDEX(Calc!$K:$K,(ROW(D84)-1)*5+COLUMN(D84)+1),",",".")</f>
        <v/>
      </c>
      <c r="J85" s="167">
        <f>SUBSTITUTE(INDEX(Calc!$K:$K,(ROW(E84)-1)*5+COLUMN(E84)+1),",",".")</f>
        <v/>
      </c>
      <c r="K85" s="166" t="inlineStr">
        <is>
          <t>], 'type' =&gt; "</t>
        </is>
      </c>
      <c r="L85" s="167">
        <f>Закуп!AA85</f>
        <v/>
      </c>
      <c r="M85" s="166" t="inlineStr">
        <is>
          <t>", 'sale' =&gt; "</t>
        </is>
      </c>
      <c r="N85" s="166">
        <f>IF(Закуп!L85="",0,Закуп!L85)</f>
        <v/>
      </c>
      <c r="O85" s="166" t="inlineStr">
        <is>
          <t>" ],</t>
        </is>
      </c>
      <c r="P85" s="144">
        <f>Закуп!N85</f>
        <v/>
      </c>
      <c r="Q85" s="210">
        <f>CONCATENATE(A85,B85,",",C85,",",D85,E85,F85,",",G85,",",H85,",",I85,",",J85,K85,L85,M85,N85,O85,)</f>
        <v/>
      </c>
    </row>
    <row r="86">
      <c r="A86" s="166" t="inlineStr">
        <is>
          <t xml:space="preserve">        [ 'dims' =&gt; [</t>
        </is>
      </c>
      <c r="B86" s="166">
        <f>Закуп!R86</f>
        <v/>
      </c>
      <c r="C86" s="166">
        <f>Закуп!S86</f>
        <v/>
      </c>
      <c r="D86" s="166">
        <f>Закуп!T86</f>
        <v/>
      </c>
      <c r="E86" s="166" t="inlineStr">
        <is>
          <t>], 'prices' =&gt; [</t>
        </is>
      </c>
      <c r="F86" s="167">
        <f>SUBSTITUTE(INDEX(Calc!$K:$K,(ROW(A85)-1)*5+COLUMN(A85)+1),",",".")</f>
        <v/>
      </c>
      <c r="G86" s="167">
        <f>SUBSTITUTE(INDEX(Calc!$K:$K,(ROW(B85)-1)*5+COLUMN(B85)+1),",",".")</f>
        <v/>
      </c>
      <c r="H86" s="167">
        <f>SUBSTITUTE(INDEX(Calc!$K:$K,(ROW(C85)-1)*5+COLUMN(C85)+1),",",".")</f>
        <v/>
      </c>
      <c r="I86" s="167">
        <f>SUBSTITUTE(INDEX(Calc!$K:$K,(ROW(D85)-1)*5+COLUMN(D85)+1),",",".")</f>
        <v/>
      </c>
      <c r="J86" s="167">
        <f>SUBSTITUTE(INDEX(Calc!$K:$K,(ROW(E85)-1)*5+COLUMN(E85)+1),",",".")</f>
        <v/>
      </c>
      <c r="K86" s="166" t="inlineStr">
        <is>
          <t>], 'type' =&gt; "</t>
        </is>
      </c>
      <c r="L86" s="167">
        <f>Закуп!AA86</f>
        <v/>
      </c>
      <c r="M86" s="166" t="inlineStr">
        <is>
          <t>", 'sale' =&gt; "</t>
        </is>
      </c>
      <c r="N86" s="166">
        <f>IF(Закуп!L86="",0,Закуп!L86)</f>
        <v/>
      </c>
      <c r="O86" s="166" t="inlineStr">
        <is>
          <t>" ],</t>
        </is>
      </c>
      <c r="P86" s="144">
        <f>Закуп!N86</f>
        <v/>
      </c>
      <c r="Q86" s="210">
        <f>CONCATENATE(A86,B86,",",C86,",",D86,E86,F86,",",G86,",",H86,",",I86,",",J86,K86,L86,M86,N86,O86,)</f>
        <v/>
      </c>
    </row>
    <row r="87">
      <c r="A87" s="166" t="inlineStr">
        <is>
          <t xml:space="preserve">        [ 'dims' =&gt; [</t>
        </is>
      </c>
      <c r="B87" s="166">
        <f>Закуп!R87</f>
        <v/>
      </c>
      <c r="C87" s="166">
        <f>Закуп!S87</f>
        <v/>
      </c>
      <c r="D87" s="166">
        <f>Закуп!T87</f>
        <v/>
      </c>
      <c r="E87" s="166" t="inlineStr">
        <is>
          <t>], 'prices' =&gt; [</t>
        </is>
      </c>
      <c r="F87" s="167">
        <f>SUBSTITUTE(INDEX(Calc!$K:$K,(ROW(A86)-1)*5+COLUMN(A86)+1),",",".")</f>
        <v/>
      </c>
      <c r="G87" s="167">
        <f>SUBSTITUTE(INDEX(Calc!$K:$K,(ROW(B86)-1)*5+COLUMN(B86)+1),",",".")</f>
        <v/>
      </c>
      <c r="H87" s="167">
        <f>SUBSTITUTE(INDEX(Calc!$K:$K,(ROW(C86)-1)*5+COLUMN(C86)+1),",",".")</f>
        <v/>
      </c>
      <c r="I87" s="167">
        <f>SUBSTITUTE(INDEX(Calc!$K:$K,(ROW(D86)-1)*5+COLUMN(D86)+1),",",".")</f>
        <v/>
      </c>
      <c r="J87" s="167">
        <f>SUBSTITUTE(INDEX(Calc!$K:$K,(ROW(E86)-1)*5+COLUMN(E86)+1),",",".")</f>
        <v/>
      </c>
      <c r="K87" s="166" t="inlineStr">
        <is>
          <t>], 'type' =&gt; "</t>
        </is>
      </c>
      <c r="L87" s="167">
        <f>Закуп!AA87</f>
        <v/>
      </c>
      <c r="M87" s="166" t="inlineStr">
        <is>
          <t>", 'sale' =&gt; "</t>
        </is>
      </c>
      <c r="N87" s="166">
        <f>IF(Закуп!L87="",0,Закуп!L87)</f>
        <v/>
      </c>
      <c r="O87" s="166" t="inlineStr">
        <is>
          <t>" ],</t>
        </is>
      </c>
      <c r="P87" s="144">
        <f>Закуп!N87</f>
        <v/>
      </c>
      <c r="Q87" s="210">
        <f>CONCATENATE(A87,B87,",",C87,",",D87,E87,F87,",",G87,",",H87,",",I87,",",J87,K87,L87,M87,N87,O87,)</f>
        <v/>
      </c>
    </row>
    <row r="88">
      <c r="A88" s="166" t="inlineStr">
        <is>
          <t xml:space="preserve">        [ 'dims' =&gt; [</t>
        </is>
      </c>
      <c r="B88" s="166">
        <f>Закуп!R88</f>
        <v/>
      </c>
      <c r="C88" s="166">
        <f>Закуп!S88</f>
        <v/>
      </c>
      <c r="D88" s="166">
        <f>Закуп!T88</f>
        <v/>
      </c>
      <c r="E88" s="166" t="inlineStr">
        <is>
          <t>], 'prices' =&gt; [</t>
        </is>
      </c>
      <c r="F88" s="167">
        <f>SUBSTITUTE(INDEX(Calc!$K:$K,(ROW(A87)-1)*5+COLUMN(A87)+1),",",".")</f>
        <v/>
      </c>
      <c r="G88" s="167">
        <f>SUBSTITUTE(INDEX(Calc!$K:$K,(ROW(B87)-1)*5+COLUMN(B87)+1),",",".")</f>
        <v/>
      </c>
      <c r="H88" s="167">
        <f>SUBSTITUTE(INDEX(Calc!$K:$K,(ROW(C87)-1)*5+COLUMN(C87)+1),",",".")</f>
        <v/>
      </c>
      <c r="I88" s="167">
        <f>SUBSTITUTE(INDEX(Calc!$K:$K,(ROW(D87)-1)*5+COLUMN(D87)+1),",",".")</f>
        <v/>
      </c>
      <c r="J88" s="167">
        <f>SUBSTITUTE(INDEX(Calc!$K:$K,(ROW(E87)-1)*5+COLUMN(E87)+1),",",".")</f>
        <v/>
      </c>
      <c r="K88" s="166" t="inlineStr">
        <is>
          <t>], 'type' =&gt; "</t>
        </is>
      </c>
      <c r="L88" s="167">
        <f>Закуп!AA88</f>
        <v/>
      </c>
      <c r="M88" s="166" t="inlineStr">
        <is>
          <t>", 'sale' =&gt; "</t>
        </is>
      </c>
      <c r="N88" s="166">
        <f>IF(Закуп!L88="",0,Закуп!L88)</f>
        <v/>
      </c>
      <c r="O88" s="166" t="inlineStr">
        <is>
          <t>" ],</t>
        </is>
      </c>
      <c r="P88" s="144">
        <f>Закуп!N88</f>
        <v/>
      </c>
      <c r="Q88" s="210">
        <f>CONCATENATE(A88,B88,",",C88,",",D88,E88,F88,",",G88,",",H88,",",I88,",",J88,K88,L88,M88,N88,O88,)</f>
        <v/>
      </c>
    </row>
    <row r="89">
      <c r="A89" s="166" t="inlineStr">
        <is>
          <t xml:space="preserve">        [ 'dims' =&gt; [</t>
        </is>
      </c>
      <c r="B89" s="166">
        <f>Закуп!R89</f>
        <v/>
      </c>
      <c r="C89" s="166">
        <f>Закуп!S89</f>
        <v/>
      </c>
      <c r="D89" s="166">
        <f>Закуп!T89</f>
        <v/>
      </c>
      <c r="E89" s="166" t="inlineStr">
        <is>
          <t>], 'prices' =&gt; [</t>
        </is>
      </c>
      <c r="F89" s="167">
        <f>SUBSTITUTE(INDEX(Calc!$K:$K,(ROW(A88)-1)*5+COLUMN(A88)+1),",",".")</f>
        <v/>
      </c>
      <c r="G89" s="167">
        <f>SUBSTITUTE(INDEX(Calc!$K:$K,(ROW(B88)-1)*5+COLUMN(B88)+1),",",".")</f>
        <v/>
      </c>
      <c r="H89" s="167">
        <f>SUBSTITUTE(INDEX(Calc!$K:$K,(ROW(C88)-1)*5+COLUMN(C88)+1),",",".")</f>
        <v/>
      </c>
      <c r="I89" s="167">
        <f>SUBSTITUTE(INDEX(Calc!$K:$K,(ROW(D88)-1)*5+COLUMN(D88)+1),",",".")</f>
        <v/>
      </c>
      <c r="J89" s="167">
        <f>SUBSTITUTE(INDEX(Calc!$K:$K,(ROW(E88)-1)*5+COLUMN(E88)+1),",",".")</f>
        <v/>
      </c>
      <c r="K89" s="166" t="inlineStr">
        <is>
          <t>], 'type' =&gt; "</t>
        </is>
      </c>
      <c r="L89" s="167">
        <f>Закуп!AA89</f>
        <v/>
      </c>
      <c r="M89" s="166" t="inlineStr">
        <is>
          <t>", 'sale' =&gt; "</t>
        </is>
      </c>
      <c r="N89" s="166">
        <f>IF(Закуп!L89="",0,Закуп!L89)</f>
        <v/>
      </c>
      <c r="O89" s="166" t="inlineStr">
        <is>
          <t>" ],</t>
        </is>
      </c>
      <c r="P89" s="144">
        <f>Закуп!N89</f>
        <v/>
      </c>
      <c r="Q89" s="210">
        <f>CONCATENATE(A89,B89,",",C89,",",D89,E89,F89,",",G89,",",H89,",",I89,",",J89,K89,L89,M89,N89,O89,)</f>
        <v/>
      </c>
    </row>
    <row r="90">
      <c r="A90" s="166" t="inlineStr">
        <is>
          <t xml:space="preserve">        [ 'dims' =&gt; [</t>
        </is>
      </c>
      <c r="B90" s="166">
        <f>Закуп!R90</f>
        <v/>
      </c>
      <c r="C90" s="166">
        <f>Закуп!S90</f>
        <v/>
      </c>
      <c r="D90" s="166">
        <f>Закуп!T90</f>
        <v/>
      </c>
      <c r="E90" s="166" t="inlineStr">
        <is>
          <t>], 'prices' =&gt; [</t>
        </is>
      </c>
      <c r="F90" s="167">
        <f>SUBSTITUTE(INDEX(Calc!$K:$K,(ROW(A89)-1)*5+COLUMN(A89)+1),",",".")</f>
        <v/>
      </c>
      <c r="G90" s="167">
        <f>SUBSTITUTE(INDEX(Calc!$K:$K,(ROW(B89)-1)*5+COLUMN(B89)+1),",",".")</f>
        <v/>
      </c>
      <c r="H90" s="167">
        <f>SUBSTITUTE(INDEX(Calc!$K:$K,(ROW(C89)-1)*5+COLUMN(C89)+1),",",".")</f>
        <v/>
      </c>
      <c r="I90" s="167">
        <f>SUBSTITUTE(INDEX(Calc!$K:$K,(ROW(D89)-1)*5+COLUMN(D89)+1),",",".")</f>
        <v/>
      </c>
      <c r="J90" s="167">
        <f>SUBSTITUTE(INDEX(Calc!$K:$K,(ROW(E89)-1)*5+COLUMN(E89)+1),",",".")</f>
        <v/>
      </c>
      <c r="K90" s="166" t="inlineStr">
        <is>
          <t>], 'type' =&gt; "</t>
        </is>
      </c>
      <c r="L90" s="167">
        <f>Закуп!AA90</f>
        <v/>
      </c>
      <c r="M90" s="166" t="inlineStr">
        <is>
          <t>", 'sale' =&gt; "</t>
        </is>
      </c>
      <c r="N90" s="166">
        <f>IF(Закуп!L90="",0,Закуп!L90)</f>
        <v/>
      </c>
      <c r="O90" s="166" t="inlineStr">
        <is>
          <t>" ],</t>
        </is>
      </c>
      <c r="P90" s="144">
        <f>Закуп!N90</f>
        <v/>
      </c>
      <c r="Q90" s="210">
        <f>CONCATENATE(A90,B90,",",C90,",",D90,E90,F90,",",G90,",",H90,",",I90,",",J90,K90,L90,M90,N90,O90,)</f>
        <v/>
      </c>
    </row>
    <row r="91">
      <c r="A91" s="166" t="inlineStr">
        <is>
          <t xml:space="preserve">        [ 'dims' =&gt; [</t>
        </is>
      </c>
      <c r="B91" s="166">
        <f>Закуп!R91</f>
        <v/>
      </c>
      <c r="C91" s="166">
        <f>Закуп!S91</f>
        <v/>
      </c>
      <c r="D91" s="166">
        <f>Закуп!T91</f>
        <v/>
      </c>
      <c r="E91" s="166" t="inlineStr">
        <is>
          <t>], 'prices' =&gt; [</t>
        </is>
      </c>
      <c r="F91" s="167">
        <f>SUBSTITUTE(INDEX(Calc!$K:$K,(ROW(A90)-1)*5+COLUMN(A90)+1),",",".")</f>
        <v/>
      </c>
      <c r="G91" s="167">
        <f>SUBSTITUTE(INDEX(Calc!$K:$K,(ROW(B90)-1)*5+COLUMN(B90)+1),",",".")</f>
        <v/>
      </c>
      <c r="H91" s="167">
        <f>SUBSTITUTE(INDEX(Calc!$K:$K,(ROW(C90)-1)*5+COLUMN(C90)+1),",",".")</f>
        <v/>
      </c>
      <c r="I91" s="167">
        <f>SUBSTITUTE(INDEX(Calc!$K:$K,(ROW(D90)-1)*5+COLUMN(D90)+1),",",".")</f>
        <v/>
      </c>
      <c r="J91" s="167">
        <f>SUBSTITUTE(INDEX(Calc!$K:$K,(ROW(E90)-1)*5+COLUMN(E90)+1),",",".")</f>
        <v/>
      </c>
      <c r="K91" s="166" t="inlineStr">
        <is>
          <t>], 'type' =&gt; "</t>
        </is>
      </c>
      <c r="L91" s="167">
        <f>Закуп!AA91</f>
        <v/>
      </c>
      <c r="M91" s="166" t="inlineStr">
        <is>
          <t>", 'sale' =&gt; "</t>
        </is>
      </c>
      <c r="N91" s="166">
        <f>IF(Закуп!L91="",0,Закуп!L91)</f>
        <v/>
      </c>
      <c r="O91" s="166" t="inlineStr">
        <is>
          <t>" ],</t>
        </is>
      </c>
      <c r="P91" s="144">
        <f>Закуп!N91</f>
        <v/>
      </c>
      <c r="Q91" s="210">
        <f>CONCATENATE(A91,B91,",",C91,",",D91,E91,F91,",",G91,",",H91,",",I91,",",J91,K91,L91,M91,N91,O91,)</f>
        <v/>
      </c>
    </row>
    <row r="92">
      <c r="A92" s="166" t="inlineStr">
        <is>
          <t xml:space="preserve">        [ 'dims' =&gt; [</t>
        </is>
      </c>
      <c r="B92" s="166">
        <f>Закуп!R92</f>
        <v/>
      </c>
      <c r="C92" s="166">
        <f>Закуп!S92</f>
        <v/>
      </c>
      <c r="D92" s="166">
        <f>Закуп!T92</f>
        <v/>
      </c>
      <c r="E92" s="166" t="inlineStr">
        <is>
          <t>], 'prices' =&gt; [</t>
        </is>
      </c>
      <c r="F92" s="167">
        <f>SUBSTITUTE(INDEX(Calc!$K:$K,(ROW(A91)-1)*5+COLUMN(A91)+1),",",".")</f>
        <v/>
      </c>
      <c r="G92" s="167">
        <f>SUBSTITUTE(INDEX(Calc!$K:$K,(ROW(B91)-1)*5+COLUMN(B91)+1),",",".")</f>
        <v/>
      </c>
      <c r="H92" s="167">
        <f>SUBSTITUTE(INDEX(Calc!$K:$K,(ROW(C91)-1)*5+COLUMN(C91)+1),",",".")</f>
        <v/>
      </c>
      <c r="I92" s="167">
        <f>SUBSTITUTE(INDEX(Calc!$K:$K,(ROW(D91)-1)*5+COLUMN(D91)+1),",",".")</f>
        <v/>
      </c>
      <c r="J92" s="167">
        <f>SUBSTITUTE(INDEX(Calc!$K:$K,(ROW(E91)-1)*5+COLUMN(E91)+1),",",".")</f>
        <v/>
      </c>
      <c r="K92" s="166" t="inlineStr">
        <is>
          <t>], 'type' =&gt; "</t>
        </is>
      </c>
      <c r="L92" s="167">
        <f>Закуп!AA92</f>
        <v/>
      </c>
      <c r="M92" s="166" t="inlineStr">
        <is>
          <t>", 'sale' =&gt; "</t>
        </is>
      </c>
      <c r="N92" s="166">
        <f>IF(Закуп!L92="",0,Закуп!L92)</f>
        <v/>
      </c>
      <c r="O92" s="166" t="inlineStr">
        <is>
          <t>" ],</t>
        </is>
      </c>
      <c r="P92" s="144">
        <f>Закуп!N92</f>
        <v/>
      </c>
      <c r="Q92" s="210">
        <f>CONCATENATE(A92,B92,",",C92,",",D92,E92,F92,",",G92,",",H92,",",I92,",",J92,K92,L92,M92,N92,O92,)</f>
        <v/>
      </c>
    </row>
    <row r="93">
      <c r="A93" s="166" t="inlineStr">
        <is>
          <t xml:space="preserve">        [ 'dims' =&gt; [</t>
        </is>
      </c>
      <c r="B93" s="166">
        <f>Закуп!R93</f>
        <v/>
      </c>
      <c r="C93" s="166">
        <f>Закуп!S93</f>
        <v/>
      </c>
      <c r="D93" s="166">
        <f>Закуп!T93</f>
        <v/>
      </c>
      <c r="E93" s="166" t="inlineStr">
        <is>
          <t>], 'prices' =&gt; [</t>
        </is>
      </c>
      <c r="F93" s="167">
        <f>SUBSTITUTE(INDEX(Calc!$K:$K,(ROW(A92)-1)*5+COLUMN(A92)+1),",",".")</f>
        <v/>
      </c>
      <c r="G93" s="167">
        <f>SUBSTITUTE(INDEX(Calc!$K:$K,(ROW(B92)-1)*5+COLUMN(B92)+1),",",".")</f>
        <v/>
      </c>
      <c r="H93" s="167">
        <f>SUBSTITUTE(INDEX(Calc!$K:$K,(ROW(C92)-1)*5+COLUMN(C92)+1),",",".")</f>
        <v/>
      </c>
      <c r="I93" s="167">
        <f>SUBSTITUTE(INDEX(Calc!$K:$K,(ROW(D92)-1)*5+COLUMN(D92)+1),",",".")</f>
        <v/>
      </c>
      <c r="J93" s="167">
        <f>SUBSTITUTE(INDEX(Calc!$K:$K,(ROW(E92)-1)*5+COLUMN(E92)+1),",",".")</f>
        <v/>
      </c>
      <c r="K93" s="166" t="inlineStr">
        <is>
          <t>], 'type' =&gt; "</t>
        </is>
      </c>
      <c r="L93" s="167">
        <f>Закуп!AA93</f>
        <v/>
      </c>
      <c r="M93" s="166" t="inlineStr">
        <is>
          <t>", 'sale' =&gt; "</t>
        </is>
      </c>
      <c r="N93" s="166">
        <f>IF(Закуп!L93="",0,Закуп!L93)</f>
        <v/>
      </c>
      <c r="O93" s="166" t="inlineStr">
        <is>
          <t>" ],</t>
        </is>
      </c>
      <c r="P93" s="144">
        <f>Закуп!N93</f>
        <v/>
      </c>
      <c r="Q93" s="210">
        <f>CONCATENATE(A93,B93,",",C93,",",D93,E93,F93,",",G93,",",H93,",",I93,",",J93,K93,L93,M93,N93,O93,)</f>
        <v/>
      </c>
    </row>
    <row r="94">
      <c r="A94" s="166" t="inlineStr">
        <is>
          <t xml:space="preserve">        [ 'dims' =&gt; [</t>
        </is>
      </c>
      <c r="B94" s="166">
        <f>Закуп!R94</f>
        <v/>
      </c>
      <c r="C94" s="166">
        <f>Закуп!S94</f>
        <v/>
      </c>
      <c r="D94" s="166">
        <f>Закуп!T94</f>
        <v/>
      </c>
      <c r="E94" s="166" t="inlineStr">
        <is>
          <t>], 'prices' =&gt; [</t>
        </is>
      </c>
      <c r="F94" s="167">
        <f>SUBSTITUTE(INDEX(Calc!$K:$K,(ROW(A93)-1)*5+COLUMN(A93)+1),",",".")</f>
        <v/>
      </c>
      <c r="G94" s="167">
        <f>SUBSTITUTE(INDEX(Calc!$K:$K,(ROW(B93)-1)*5+COLUMN(B93)+1),",",".")</f>
        <v/>
      </c>
      <c r="H94" s="167">
        <f>SUBSTITUTE(INDEX(Calc!$K:$K,(ROW(C93)-1)*5+COLUMN(C93)+1),",",".")</f>
        <v/>
      </c>
      <c r="I94" s="167">
        <f>SUBSTITUTE(INDEX(Calc!$K:$K,(ROW(D93)-1)*5+COLUMN(D93)+1),",",".")</f>
        <v/>
      </c>
      <c r="J94" s="167">
        <f>SUBSTITUTE(INDEX(Calc!$K:$K,(ROW(E93)-1)*5+COLUMN(E93)+1),",",".")</f>
        <v/>
      </c>
      <c r="K94" s="166" t="inlineStr">
        <is>
          <t>], 'type' =&gt; "</t>
        </is>
      </c>
      <c r="L94" s="167">
        <f>Закуп!AA94</f>
        <v/>
      </c>
      <c r="M94" s="166" t="inlineStr">
        <is>
          <t>", 'sale' =&gt; "</t>
        </is>
      </c>
      <c r="N94" s="166">
        <f>IF(Закуп!L94="",0,Закуп!L94)</f>
        <v/>
      </c>
      <c r="O94" s="166" t="inlineStr">
        <is>
          <t>" ],</t>
        </is>
      </c>
      <c r="P94" s="144">
        <f>Закуп!N94</f>
        <v/>
      </c>
      <c r="Q94" s="210">
        <f>CONCATENATE(A94,B94,",",C94,",",D94,E94,F94,",",G94,",",H94,",",I94,",",J94,K94,L94,M94,N94,O94,)</f>
        <v/>
      </c>
    </row>
    <row r="95">
      <c r="A95" s="166" t="inlineStr">
        <is>
          <t xml:space="preserve">        [ 'dims' =&gt; [</t>
        </is>
      </c>
      <c r="B95" s="166">
        <f>Закуп!R95</f>
        <v/>
      </c>
      <c r="C95" s="166">
        <f>Закуп!S95</f>
        <v/>
      </c>
      <c r="D95" s="166">
        <f>Закуп!T95</f>
        <v/>
      </c>
      <c r="E95" s="166" t="inlineStr">
        <is>
          <t>], 'prices' =&gt; [</t>
        </is>
      </c>
      <c r="F95" s="167">
        <f>SUBSTITUTE(INDEX(Calc!$K:$K,(ROW(A94)-1)*5+COLUMN(A94)+1),",",".")</f>
        <v/>
      </c>
      <c r="G95" s="167">
        <f>SUBSTITUTE(INDEX(Calc!$K:$K,(ROW(B94)-1)*5+COLUMN(B94)+1),",",".")</f>
        <v/>
      </c>
      <c r="H95" s="167">
        <f>SUBSTITUTE(INDEX(Calc!$K:$K,(ROW(C94)-1)*5+COLUMN(C94)+1),",",".")</f>
        <v/>
      </c>
      <c r="I95" s="167">
        <f>SUBSTITUTE(INDEX(Calc!$K:$K,(ROW(D94)-1)*5+COLUMN(D94)+1),",",".")</f>
        <v/>
      </c>
      <c r="J95" s="167">
        <f>SUBSTITUTE(INDEX(Calc!$K:$K,(ROW(E94)-1)*5+COLUMN(E94)+1),",",".")</f>
        <v/>
      </c>
      <c r="K95" s="166" t="inlineStr">
        <is>
          <t>], 'type' =&gt; "</t>
        </is>
      </c>
      <c r="L95" s="167">
        <f>Закуп!AA95</f>
        <v/>
      </c>
      <c r="M95" s="166" t="inlineStr">
        <is>
          <t>", 'sale' =&gt; "</t>
        </is>
      </c>
      <c r="N95" s="166">
        <f>IF(Закуп!L95="",0,Закуп!L95)</f>
        <v/>
      </c>
      <c r="O95" s="166" t="inlineStr">
        <is>
          <t>" ],</t>
        </is>
      </c>
      <c r="P95" s="144">
        <f>Закуп!N95</f>
        <v/>
      </c>
      <c r="Q95" s="210">
        <f>CONCATENATE(A95,B95,",",C95,",",D95,E95,F95,",",G95,",",H95,",",I95,",",J95,K95,L95,M95,N95,O95,)</f>
        <v/>
      </c>
    </row>
    <row r="96">
      <c r="A96" s="166" t="inlineStr">
        <is>
          <t xml:space="preserve">        [ 'dims' =&gt; [</t>
        </is>
      </c>
      <c r="B96" s="166">
        <f>Закуп!R96</f>
        <v/>
      </c>
      <c r="C96" s="166">
        <f>Закуп!S96</f>
        <v/>
      </c>
      <c r="D96" s="166">
        <f>Закуп!T96</f>
        <v/>
      </c>
      <c r="E96" s="166" t="inlineStr">
        <is>
          <t>], 'prices' =&gt; [</t>
        </is>
      </c>
      <c r="F96" s="167">
        <f>SUBSTITUTE(INDEX(Calc!$K:$K,(ROW(A95)-1)*5+COLUMN(A95)+1),",",".")</f>
        <v/>
      </c>
      <c r="G96" s="167">
        <f>SUBSTITUTE(INDEX(Calc!$K:$K,(ROW(B95)-1)*5+COLUMN(B95)+1),",",".")</f>
        <v/>
      </c>
      <c r="H96" s="167">
        <f>SUBSTITUTE(INDEX(Calc!$K:$K,(ROW(C95)-1)*5+COLUMN(C95)+1),",",".")</f>
        <v/>
      </c>
      <c r="I96" s="167">
        <f>SUBSTITUTE(INDEX(Calc!$K:$K,(ROW(D95)-1)*5+COLUMN(D95)+1),",",".")</f>
        <v/>
      </c>
      <c r="J96" s="167">
        <f>SUBSTITUTE(INDEX(Calc!$K:$K,(ROW(E95)-1)*5+COLUMN(E95)+1),",",".")</f>
        <v/>
      </c>
      <c r="K96" s="166" t="inlineStr">
        <is>
          <t>], 'type' =&gt; "</t>
        </is>
      </c>
      <c r="L96" s="167">
        <f>Закуп!AA96</f>
        <v/>
      </c>
      <c r="M96" s="166" t="inlineStr">
        <is>
          <t>", 'sale' =&gt; "</t>
        </is>
      </c>
      <c r="N96" s="166">
        <f>IF(Закуп!L96="",0,Закуп!L96)</f>
        <v/>
      </c>
      <c r="O96" s="166" t="inlineStr">
        <is>
          <t>" ],</t>
        </is>
      </c>
      <c r="P96" s="144">
        <f>Закуп!N96</f>
        <v/>
      </c>
      <c r="Q96" s="210">
        <f>CONCATENATE(A96,B96,",",C96,",",D96,E96,F96,",",G96,",",H96,",",I96,",",J96,K96,L96,M96,N96,O96,)</f>
        <v/>
      </c>
    </row>
    <row r="97">
      <c r="A97" s="166" t="inlineStr">
        <is>
          <t xml:space="preserve">        [ 'dims' =&gt; [</t>
        </is>
      </c>
      <c r="B97" s="166">
        <f>Закуп!R97</f>
        <v/>
      </c>
      <c r="C97" s="166">
        <f>Закуп!S97</f>
        <v/>
      </c>
      <c r="D97" s="166">
        <f>Закуп!T97</f>
        <v/>
      </c>
      <c r="E97" s="166" t="inlineStr">
        <is>
          <t>], 'prices' =&gt; [</t>
        </is>
      </c>
      <c r="F97" s="167">
        <f>SUBSTITUTE(INDEX(Calc!$K:$K,(ROW(A96)-1)*5+COLUMN(A96)+1),",",".")</f>
        <v/>
      </c>
      <c r="G97" s="167">
        <f>SUBSTITUTE(INDEX(Calc!$K:$K,(ROW(B96)-1)*5+COLUMN(B96)+1),",",".")</f>
        <v/>
      </c>
      <c r="H97" s="167">
        <f>SUBSTITUTE(INDEX(Calc!$K:$K,(ROW(C96)-1)*5+COLUMN(C96)+1),",",".")</f>
        <v/>
      </c>
      <c r="I97" s="167">
        <f>SUBSTITUTE(INDEX(Calc!$K:$K,(ROW(D96)-1)*5+COLUMN(D96)+1),",",".")</f>
        <v/>
      </c>
      <c r="J97" s="167">
        <f>SUBSTITUTE(INDEX(Calc!$K:$K,(ROW(E96)-1)*5+COLUMN(E96)+1),",",".")</f>
        <v/>
      </c>
      <c r="K97" s="166" t="inlineStr">
        <is>
          <t>], 'type' =&gt; "</t>
        </is>
      </c>
      <c r="L97" s="167">
        <f>Закуп!AA97</f>
        <v/>
      </c>
      <c r="M97" s="166" t="inlineStr">
        <is>
          <t>", 'sale' =&gt; "</t>
        </is>
      </c>
      <c r="N97" s="166">
        <f>IF(Закуп!L97="",0,Закуп!L97)</f>
        <v/>
      </c>
      <c r="O97" s="166" t="inlineStr">
        <is>
          <t>" ],</t>
        </is>
      </c>
      <c r="P97" s="144">
        <f>Закуп!N97</f>
        <v/>
      </c>
      <c r="Q97" s="210">
        <f>CONCATENATE(A97,B97,",",C97,",",D97,E97,F97,",",G97,",",H97,",",I97,",",J97,K97,L97,M97,N97,O97,)</f>
        <v/>
      </c>
    </row>
    <row r="98">
      <c r="A98" s="166" t="inlineStr">
        <is>
          <t xml:space="preserve">        [ 'dims' =&gt; [</t>
        </is>
      </c>
      <c r="B98" s="166">
        <f>Закуп!R98</f>
        <v/>
      </c>
      <c r="C98" s="166">
        <f>Закуп!S98</f>
        <v/>
      </c>
      <c r="D98" s="166">
        <f>Закуп!T98</f>
        <v/>
      </c>
      <c r="E98" s="166" t="inlineStr">
        <is>
          <t>], 'prices' =&gt; [</t>
        </is>
      </c>
      <c r="F98" s="167">
        <f>SUBSTITUTE(INDEX(Calc!$K:$K,(ROW(A97)-1)*5+COLUMN(A97)+1),",",".")</f>
        <v/>
      </c>
      <c r="G98" s="167">
        <f>SUBSTITUTE(INDEX(Calc!$K:$K,(ROW(B97)-1)*5+COLUMN(B97)+1),",",".")</f>
        <v/>
      </c>
      <c r="H98" s="167">
        <f>SUBSTITUTE(INDEX(Calc!$K:$K,(ROW(C97)-1)*5+COLUMN(C97)+1),",",".")</f>
        <v/>
      </c>
      <c r="I98" s="167">
        <f>SUBSTITUTE(INDEX(Calc!$K:$K,(ROW(D97)-1)*5+COLUMN(D97)+1),",",".")</f>
        <v/>
      </c>
      <c r="J98" s="167">
        <f>SUBSTITUTE(INDEX(Calc!$K:$K,(ROW(E97)-1)*5+COLUMN(E97)+1),",",".")</f>
        <v/>
      </c>
      <c r="K98" s="166" t="inlineStr">
        <is>
          <t>], 'type' =&gt; "</t>
        </is>
      </c>
      <c r="L98" s="167">
        <f>Закуп!AA98</f>
        <v/>
      </c>
      <c r="M98" s="166" t="inlineStr">
        <is>
          <t>", 'sale' =&gt; "</t>
        </is>
      </c>
      <c r="N98" s="166">
        <f>IF(Закуп!L98="",0,Закуп!L98)</f>
        <v/>
      </c>
      <c r="O98" s="166" t="inlineStr">
        <is>
          <t>" ],</t>
        </is>
      </c>
      <c r="P98" s="144">
        <f>Закуп!N98</f>
        <v/>
      </c>
      <c r="Q98" s="210">
        <f>CONCATENATE(A98,B98,",",C98,",",D98,E98,F98,",",G98,",",H98,",",I98,",",J98,K98,L98,M98,N98,O98,)</f>
        <v/>
      </c>
    </row>
    <row r="99">
      <c r="A99" s="166" t="inlineStr">
        <is>
          <t xml:space="preserve">        [ 'dims' =&gt; [</t>
        </is>
      </c>
      <c r="B99" s="166">
        <f>Закуп!R99</f>
        <v/>
      </c>
      <c r="C99" s="166">
        <f>Закуп!S99</f>
        <v/>
      </c>
      <c r="D99" s="166">
        <f>Закуп!T99</f>
        <v/>
      </c>
      <c r="E99" s="166" t="inlineStr">
        <is>
          <t>], 'prices' =&gt; [</t>
        </is>
      </c>
      <c r="F99" s="167">
        <f>SUBSTITUTE(INDEX(Calc!$K:$K,(ROW(A98)-1)*5+COLUMN(A98)+1),",",".")</f>
        <v/>
      </c>
      <c r="G99" s="167">
        <f>SUBSTITUTE(INDEX(Calc!$K:$K,(ROW(B98)-1)*5+COLUMN(B98)+1),",",".")</f>
        <v/>
      </c>
      <c r="H99" s="167">
        <f>SUBSTITUTE(INDEX(Calc!$K:$K,(ROW(C98)-1)*5+COLUMN(C98)+1),",",".")</f>
        <v/>
      </c>
      <c r="I99" s="167">
        <f>SUBSTITUTE(INDEX(Calc!$K:$K,(ROW(D98)-1)*5+COLUMN(D98)+1),",",".")</f>
        <v/>
      </c>
      <c r="J99" s="167">
        <f>SUBSTITUTE(INDEX(Calc!$K:$K,(ROW(E98)-1)*5+COLUMN(E98)+1),",",".")</f>
        <v/>
      </c>
      <c r="K99" s="166" t="inlineStr">
        <is>
          <t>], 'type' =&gt; "</t>
        </is>
      </c>
      <c r="L99" s="167">
        <f>Закуп!AA99</f>
        <v/>
      </c>
      <c r="M99" s="166" t="inlineStr">
        <is>
          <t>", 'sale' =&gt; "</t>
        </is>
      </c>
      <c r="N99" s="166">
        <f>IF(Закуп!L99="",0,Закуп!L99)</f>
        <v/>
      </c>
      <c r="O99" s="166" t="inlineStr">
        <is>
          <t>" ],</t>
        </is>
      </c>
      <c r="P99" s="144">
        <f>Закуп!N99</f>
        <v/>
      </c>
      <c r="Q99" s="210">
        <f>CONCATENATE(A99,B99,",",C99,",",D99,E99,F99,",",G99,",",H99,",",I99,",",J99,K99,L99,M99,N99,O99,)</f>
        <v/>
      </c>
    </row>
    <row r="100">
      <c r="A100" s="166" t="inlineStr">
        <is>
          <t xml:space="preserve">        [ 'dims' =&gt; [</t>
        </is>
      </c>
      <c r="B100" s="166">
        <f>Закуп!R100</f>
        <v/>
      </c>
      <c r="C100" s="166">
        <f>Закуп!S100</f>
        <v/>
      </c>
      <c r="D100" s="166">
        <f>Закуп!T100</f>
        <v/>
      </c>
      <c r="E100" s="166" t="inlineStr">
        <is>
          <t>], 'prices' =&gt; [</t>
        </is>
      </c>
      <c r="F100" s="167">
        <f>SUBSTITUTE(INDEX(Calc!$K:$K,(ROW(A99)-1)*5+COLUMN(A99)+1),",",".")</f>
        <v/>
      </c>
      <c r="G100" s="167">
        <f>SUBSTITUTE(INDEX(Calc!$K:$K,(ROW(B99)-1)*5+COLUMN(B99)+1),",",".")</f>
        <v/>
      </c>
      <c r="H100" s="167">
        <f>SUBSTITUTE(INDEX(Calc!$K:$K,(ROW(C99)-1)*5+COLUMN(C99)+1),",",".")</f>
        <v/>
      </c>
      <c r="I100" s="167">
        <f>SUBSTITUTE(INDEX(Calc!$K:$K,(ROW(D99)-1)*5+COLUMN(D99)+1),",",".")</f>
        <v/>
      </c>
      <c r="J100" s="167">
        <f>SUBSTITUTE(INDEX(Calc!$K:$K,(ROW(E99)-1)*5+COLUMN(E99)+1),",",".")</f>
        <v/>
      </c>
      <c r="K100" s="166" t="inlineStr">
        <is>
          <t>], 'type' =&gt; "</t>
        </is>
      </c>
      <c r="L100" s="167">
        <f>Закуп!AA100</f>
        <v/>
      </c>
      <c r="M100" s="166" t="inlineStr">
        <is>
          <t>", 'sale' =&gt; "</t>
        </is>
      </c>
      <c r="N100" s="166">
        <f>IF(Закуп!L100="",0,Закуп!L100)</f>
        <v/>
      </c>
      <c r="O100" s="166" t="inlineStr">
        <is>
          <t>" ],</t>
        </is>
      </c>
      <c r="P100" s="144">
        <f>Закуп!N100</f>
        <v/>
      </c>
      <c r="Q100" s="210">
        <f>CONCATENATE(A100,B100,",",C100,",",D100,E100,F100,",",G100,",",H100,",",I100,",",J100,K100,L100,M100,N100,O100,)</f>
        <v/>
      </c>
    </row>
    <row r="101">
      <c r="A101" s="166" t="inlineStr">
        <is>
          <t xml:space="preserve">        [ 'dims' =&gt; [</t>
        </is>
      </c>
      <c r="B101" s="166">
        <f>Закуп!R101</f>
        <v/>
      </c>
      <c r="C101" s="166">
        <f>Закуп!S101</f>
        <v/>
      </c>
      <c r="D101" s="166">
        <f>Закуп!T101</f>
        <v/>
      </c>
      <c r="E101" s="166" t="inlineStr">
        <is>
          <t>], 'prices' =&gt; [</t>
        </is>
      </c>
      <c r="F101" s="167">
        <f>SUBSTITUTE(INDEX(Calc!$K:$K,(ROW(A100)-1)*5+COLUMN(A100)+1),",",".")</f>
        <v/>
      </c>
      <c r="G101" s="167">
        <f>SUBSTITUTE(INDEX(Calc!$K:$K,(ROW(B100)-1)*5+COLUMN(B100)+1),",",".")</f>
        <v/>
      </c>
      <c r="H101" s="167">
        <f>SUBSTITUTE(INDEX(Calc!$K:$K,(ROW(C100)-1)*5+COLUMN(C100)+1),",",".")</f>
        <v/>
      </c>
      <c r="I101" s="167">
        <f>SUBSTITUTE(INDEX(Calc!$K:$K,(ROW(D100)-1)*5+COLUMN(D100)+1),",",".")</f>
        <v/>
      </c>
      <c r="J101" s="167">
        <f>SUBSTITUTE(INDEX(Calc!$K:$K,(ROW(E100)-1)*5+COLUMN(E100)+1),",",".")</f>
        <v/>
      </c>
      <c r="K101" s="166" t="inlineStr">
        <is>
          <t>], 'type' =&gt; "</t>
        </is>
      </c>
      <c r="L101" s="167">
        <f>Закуп!AA101</f>
        <v/>
      </c>
      <c r="M101" s="166" t="inlineStr">
        <is>
          <t>", 'sale' =&gt; "</t>
        </is>
      </c>
      <c r="N101" s="166">
        <f>IF(Закуп!L101="",0,Закуп!L101)</f>
        <v/>
      </c>
      <c r="O101" s="166" t="inlineStr">
        <is>
          <t>" ],</t>
        </is>
      </c>
      <c r="P101" s="144">
        <f>Закуп!N101</f>
        <v/>
      </c>
      <c r="Q101" s="210">
        <f>CONCATENATE(A101,B101,",",C101,",",D101,E101,F101,",",G101,",",H101,",",I101,",",J101,K101,L101,M101,N101,O101,)</f>
        <v/>
      </c>
    </row>
    <row r="102">
      <c r="A102" s="166" t="inlineStr">
        <is>
          <t xml:space="preserve">        [ 'dims' =&gt; [</t>
        </is>
      </c>
      <c r="B102" s="166">
        <f>Закуп!R102</f>
        <v/>
      </c>
      <c r="C102" s="166">
        <f>Закуп!S102</f>
        <v/>
      </c>
      <c r="D102" s="166">
        <f>Закуп!T102</f>
        <v/>
      </c>
      <c r="E102" s="166" t="inlineStr">
        <is>
          <t>], 'prices' =&gt; [</t>
        </is>
      </c>
      <c r="F102" s="167">
        <f>SUBSTITUTE(INDEX(Calc!$K:$K,(ROW(A101)-1)*5+COLUMN(A101)+1),",",".")</f>
        <v/>
      </c>
      <c r="G102" s="167">
        <f>SUBSTITUTE(INDEX(Calc!$K:$K,(ROW(B101)-1)*5+COLUMN(B101)+1),",",".")</f>
        <v/>
      </c>
      <c r="H102" s="167">
        <f>SUBSTITUTE(INDEX(Calc!$K:$K,(ROW(C101)-1)*5+COLUMN(C101)+1),",",".")</f>
        <v/>
      </c>
      <c r="I102" s="167">
        <f>SUBSTITUTE(INDEX(Calc!$K:$K,(ROW(D101)-1)*5+COLUMN(D101)+1),",",".")</f>
        <v/>
      </c>
      <c r="J102" s="167">
        <f>SUBSTITUTE(INDEX(Calc!$K:$K,(ROW(E101)-1)*5+COLUMN(E101)+1),",",".")</f>
        <v/>
      </c>
      <c r="K102" s="166" t="inlineStr">
        <is>
          <t>], 'type' =&gt; "</t>
        </is>
      </c>
      <c r="L102" s="167">
        <f>Закуп!AA102</f>
        <v/>
      </c>
      <c r="M102" s="166" t="inlineStr">
        <is>
          <t>", 'sale' =&gt; "</t>
        </is>
      </c>
      <c r="N102" s="166">
        <f>IF(Закуп!L102="",0,Закуп!L102)</f>
        <v/>
      </c>
      <c r="O102" s="166" t="inlineStr">
        <is>
          <t>" ],</t>
        </is>
      </c>
      <c r="P102" s="144">
        <f>Закуп!N102</f>
        <v/>
      </c>
      <c r="Q102" s="210">
        <f>CONCATENATE(A102,B102,",",C102,",",D102,E102,F102,",",G102,",",H102,",",I102,",",J102,K102,L102,M102,N102,O102,)</f>
        <v/>
      </c>
    </row>
    <row r="103">
      <c r="A103" s="166" t="inlineStr">
        <is>
          <t xml:space="preserve">        [ 'dims' =&gt; [</t>
        </is>
      </c>
      <c r="B103" s="166">
        <f>Закуп!R103</f>
        <v/>
      </c>
      <c r="C103" s="166">
        <f>Закуп!S103</f>
        <v/>
      </c>
      <c r="D103" s="166">
        <f>Закуп!T103</f>
        <v/>
      </c>
      <c r="E103" s="166" t="inlineStr">
        <is>
          <t>], 'prices' =&gt; [</t>
        </is>
      </c>
      <c r="F103" s="167">
        <f>SUBSTITUTE(INDEX(Calc!$K:$K,(ROW(A102)-1)*5+COLUMN(A102)+1),",",".")</f>
        <v/>
      </c>
      <c r="G103" s="167">
        <f>SUBSTITUTE(INDEX(Calc!$K:$K,(ROW(B102)-1)*5+COLUMN(B102)+1),",",".")</f>
        <v/>
      </c>
      <c r="H103" s="167">
        <f>SUBSTITUTE(INDEX(Calc!$K:$K,(ROW(C102)-1)*5+COLUMN(C102)+1),",",".")</f>
        <v/>
      </c>
      <c r="I103" s="167">
        <f>SUBSTITUTE(INDEX(Calc!$K:$K,(ROW(D102)-1)*5+COLUMN(D102)+1),",",".")</f>
        <v/>
      </c>
      <c r="J103" s="167">
        <f>SUBSTITUTE(INDEX(Calc!$K:$K,(ROW(E102)-1)*5+COLUMN(E102)+1),",",".")</f>
        <v/>
      </c>
      <c r="K103" s="166" t="inlineStr">
        <is>
          <t>], 'type' =&gt; "</t>
        </is>
      </c>
      <c r="L103" s="167">
        <f>Закуп!AA103</f>
        <v/>
      </c>
      <c r="M103" s="166" t="inlineStr">
        <is>
          <t>", 'sale' =&gt; "</t>
        </is>
      </c>
      <c r="N103" s="166">
        <f>IF(Закуп!L103="",0,Закуп!L103)</f>
        <v/>
      </c>
      <c r="O103" s="166" t="inlineStr">
        <is>
          <t>" ],</t>
        </is>
      </c>
      <c r="P103" s="144">
        <f>Закуп!N103</f>
        <v/>
      </c>
      <c r="Q103" s="210">
        <f>CONCATENATE(A103,B103,",",C103,",",D103,E103,F103,",",G103,",",H103,",",I103,",",J103,K103,L103,M103,N103,O103,)</f>
        <v/>
      </c>
    </row>
    <row r="104">
      <c r="A104" s="166" t="inlineStr">
        <is>
          <t xml:space="preserve">        [ 'dims' =&gt; [</t>
        </is>
      </c>
      <c r="B104" s="166">
        <f>Закуп!R104</f>
        <v/>
      </c>
      <c r="C104" s="166">
        <f>Закуп!S104</f>
        <v/>
      </c>
      <c r="D104" s="166">
        <f>Закуп!T104</f>
        <v/>
      </c>
      <c r="E104" s="166" t="inlineStr">
        <is>
          <t>], 'prices' =&gt; [</t>
        </is>
      </c>
      <c r="F104" s="167">
        <f>SUBSTITUTE(INDEX(Calc!$K:$K,(ROW(A103)-1)*5+COLUMN(A103)+1),",",".")</f>
        <v/>
      </c>
      <c r="G104" s="167">
        <f>SUBSTITUTE(INDEX(Calc!$K:$K,(ROW(B103)-1)*5+COLUMN(B103)+1),",",".")</f>
        <v/>
      </c>
      <c r="H104" s="167">
        <f>SUBSTITUTE(INDEX(Calc!$K:$K,(ROW(C103)-1)*5+COLUMN(C103)+1),",",".")</f>
        <v/>
      </c>
      <c r="I104" s="167">
        <f>SUBSTITUTE(INDEX(Calc!$K:$K,(ROW(D103)-1)*5+COLUMN(D103)+1),",",".")</f>
        <v/>
      </c>
      <c r="J104" s="167">
        <f>SUBSTITUTE(INDEX(Calc!$K:$K,(ROW(E103)-1)*5+COLUMN(E103)+1),",",".")</f>
        <v/>
      </c>
      <c r="K104" s="166" t="inlineStr">
        <is>
          <t>], 'type' =&gt; "</t>
        </is>
      </c>
      <c r="L104" s="167">
        <f>Закуп!AA104</f>
        <v/>
      </c>
      <c r="M104" s="166" t="inlineStr">
        <is>
          <t>", 'sale' =&gt; "</t>
        </is>
      </c>
      <c r="N104" s="166">
        <f>IF(Закуп!L104="",0,Закуп!L104)</f>
        <v/>
      </c>
      <c r="O104" s="166" t="inlineStr">
        <is>
          <t>" ],</t>
        </is>
      </c>
      <c r="P104" s="144">
        <f>Закуп!N104</f>
        <v/>
      </c>
      <c r="Q104" s="210">
        <f>CONCATENATE(A104,B104,",",C104,",",D104,E104,F104,",",G104,",",H104,",",I104,",",J104,K104,L104,M104,N104,O104,)</f>
        <v/>
      </c>
    </row>
    <row r="105">
      <c r="A105" s="166" t="inlineStr">
        <is>
          <t xml:space="preserve">        [ 'dims' =&gt; [</t>
        </is>
      </c>
      <c r="B105" s="166">
        <f>Закуп!R105</f>
        <v/>
      </c>
      <c r="C105" s="166">
        <f>Закуп!S105</f>
        <v/>
      </c>
      <c r="D105" s="166">
        <f>Закуп!T105</f>
        <v/>
      </c>
      <c r="E105" s="166" t="inlineStr">
        <is>
          <t>], 'prices' =&gt; [</t>
        </is>
      </c>
      <c r="F105" s="167">
        <f>SUBSTITUTE(INDEX(Calc!$K:$K,(ROW(A104)-1)*5+COLUMN(A104)+1),",",".")</f>
        <v/>
      </c>
      <c r="G105" s="167">
        <f>SUBSTITUTE(INDEX(Calc!$K:$K,(ROW(B104)-1)*5+COLUMN(B104)+1),",",".")</f>
        <v/>
      </c>
      <c r="H105" s="167">
        <f>SUBSTITUTE(INDEX(Calc!$K:$K,(ROW(C104)-1)*5+COLUMN(C104)+1),",",".")</f>
        <v/>
      </c>
      <c r="I105" s="167">
        <f>SUBSTITUTE(INDEX(Calc!$K:$K,(ROW(D104)-1)*5+COLUMN(D104)+1),",",".")</f>
        <v/>
      </c>
      <c r="J105" s="167">
        <f>SUBSTITUTE(INDEX(Calc!$K:$K,(ROW(E104)-1)*5+COLUMN(E104)+1),",",".")</f>
        <v/>
      </c>
      <c r="K105" s="166" t="inlineStr">
        <is>
          <t>], 'type' =&gt; "</t>
        </is>
      </c>
      <c r="L105" s="167">
        <f>Закуп!AA105</f>
        <v/>
      </c>
      <c r="M105" s="166" t="inlineStr">
        <is>
          <t>", 'sale' =&gt; "</t>
        </is>
      </c>
      <c r="N105" s="166">
        <f>IF(Закуп!L105="",0,Закуп!L105)</f>
        <v/>
      </c>
      <c r="O105" s="166" t="inlineStr">
        <is>
          <t>" ],</t>
        </is>
      </c>
      <c r="P105" s="144">
        <f>Закуп!N105</f>
        <v/>
      </c>
      <c r="Q105" s="210">
        <f>CONCATENATE(A105,B105,",",C105,",",D105,E105,F105,",",G105,",",H105,",",I105,",",J105,K105,L105,M105,N105,O105,)</f>
        <v/>
      </c>
    </row>
    <row r="106">
      <c r="A106" s="166" t="inlineStr">
        <is>
          <t xml:space="preserve">        [ 'dims' =&gt; [</t>
        </is>
      </c>
      <c r="B106" s="166">
        <f>Закуп!R106</f>
        <v/>
      </c>
      <c r="C106" s="166">
        <f>Закуп!S106</f>
        <v/>
      </c>
      <c r="D106" s="166">
        <f>Закуп!T106</f>
        <v/>
      </c>
      <c r="E106" s="166" t="inlineStr">
        <is>
          <t>], 'prices' =&gt; [</t>
        </is>
      </c>
      <c r="F106" s="167">
        <f>SUBSTITUTE(INDEX(Calc!$K:$K,(ROW(A105)-1)*5+COLUMN(A105)+1),",",".")</f>
        <v/>
      </c>
      <c r="G106" s="167">
        <f>SUBSTITUTE(INDEX(Calc!$K:$K,(ROW(B105)-1)*5+COLUMN(B105)+1),",",".")</f>
        <v/>
      </c>
      <c r="H106" s="167">
        <f>SUBSTITUTE(INDEX(Calc!$K:$K,(ROW(C105)-1)*5+COLUMN(C105)+1),",",".")</f>
        <v/>
      </c>
      <c r="I106" s="167">
        <f>SUBSTITUTE(INDEX(Calc!$K:$K,(ROW(D105)-1)*5+COLUMN(D105)+1),",",".")</f>
        <v/>
      </c>
      <c r="J106" s="167">
        <f>SUBSTITUTE(INDEX(Calc!$K:$K,(ROW(E105)-1)*5+COLUMN(E105)+1),",",".")</f>
        <v/>
      </c>
      <c r="K106" s="166" t="inlineStr">
        <is>
          <t>], 'type' =&gt; "</t>
        </is>
      </c>
      <c r="L106" s="167">
        <f>Закуп!AA106</f>
        <v/>
      </c>
      <c r="M106" s="166" t="inlineStr">
        <is>
          <t>", 'sale' =&gt; "</t>
        </is>
      </c>
      <c r="N106" s="166">
        <f>IF(Закуп!L106="",0,Закуп!L106)</f>
        <v/>
      </c>
      <c r="O106" s="166" t="inlineStr">
        <is>
          <t>" ],</t>
        </is>
      </c>
      <c r="P106" s="144">
        <f>Закуп!N106</f>
        <v/>
      </c>
      <c r="Q106" s="210">
        <f>CONCATENATE(A106,B106,",",C106,",",D106,E106,F106,",",G106,",",H106,",",I106,",",J106,K106,L106,M106,N106,O106,)</f>
        <v/>
      </c>
    </row>
    <row r="107">
      <c r="A107" s="166" t="inlineStr">
        <is>
          <t xml:space="preserve">        [ 'dims' =&gt; [</t>
        </is>
      </c>
      <c r="B107" s="166">
        <f>Закуп!R107</f>
        <v/>
      </c>
      <c r="C107" s="166">
        <f>Закуп!S107</f>
        <v/>
      </c>
      <c r="D107" s="166">
        <f>Закуп!T107</f>
        <v/>
      </c>
      <c r="E107" s="166" t="inlineStr">
        <is>
          <t>], 'prices' =&gt; [</t>
        </is>
      </c>
      <c r="F107" s="167">
        <f>SUBSTITUTE(INDEX(Calc!$K:$K,(ROW(A106)-1)*5+COLUMN(A106)+1),",",".")</f>
        <v/>
      </c>
      <c r="G107" s="167">
        <f>SUBSTITUTE(INDEX(Calc!$K:$K,(ROW(B106)-1)*5+COLUMN(B106)+1),",",".")</f>
        <v/>
      </c>
      <c r="H107" s="167">
        <f>SUBSTITUTE(INDEX(Calc!$K:$K,(ROW(C106)-1)*5+COLUMN(C106)+1),",",".")</f>
        <v/>
      </c>
      <c r="I107" s="167">
        <f>SUBSTITUTE(INDEX(Calc!$K:$K,(ROW(D106)-1)*5+COLUMN(D106)+1),",",".")</f>
        <v/>
      </c>
      <c r="J107" s="167">
        <f>SUBSTITUTE(INDEX(Calc!$K:$K,(ROW(E106)-1)*5+COLUMN(E106)+1),",",".")</f>
        <v/>
      </c>
      <c r="K107" s="166" t="inlineStr">
        <is>
          <t>], 'type' =&gt; "</t>
        </is>
      </c>
      <c r="L107" s="167">
        <f>Закуп!AA107</f>
        <v/>
      </c>
      <c r="M107" s="166" t="inlineStr">
        <is>
          <t>", 'sale' =&gt; "</t>
        </is>
      </c>
      <c r="N107" s="166">
        <f>IF(Закуп!L107="",0,Закуп!L107)</f>
        <v/>
      </c>
      <c r="O107" s="166" t="inlineStr">
        <is>
          <t>" ],</t>
        </is>
      </c>
      <c r="P107" s="144">
        <f>Закуп!N107</f>
        <v/>
      </c>
      <c r="Q107" s="210">
        <f>CONCATENATE(A107,B107,",",C107,",",D107,E107,F107,",",G107,",",H107,",",I107,",",J107,K107,L107,M107,N107,O107,)</f>
        <v/>
      </c>
    </row>
    <row r="108">
      <c r="A108" s="166" t="inlineStr">
        <is>
          <t xml:space="preserve">        [ 'dims' =&gt; [</t>
        </is>
      </c>
      <c r="B108" s="166">
        <f>Закуп!R108</f>
        <v/>
      </c>
      <c r="C108" s="166">
        <f>Закуп!S108</f>
        <v/>
      </c>
      <c r="D108" s="166">
        <f>Закуп!T108</f>
        <v/>
      </c>
      <c r="E108" s="166" t="inlineStr">
        <is>
          <t>], 'prices' =&gt; [</t>
        </is>
      </c>
      <c r="F108" s="167">
        <f>SUBSTITUTE(INDEX(Calc!$K:$K,(ROW(A107)-1)*5+COLUMN(A107)+1),",",".")</f>
        <v/>
      </c>
      <c r="G108" s="167">
        <f>SUBSTITUTE(INDEX(Calc!$K:$K,(ROW(B107)-1)*5+COLUMN(B107)+1),",",".")</f>
        <v/>
      </c>
      <c r="H108" s="167">
        <f>SUBSTITUTE(INDEX(Calc!$K:$K,(ROW(C107)-1)*5+COLUMN(C107)+1),",",".")</f>
        <v/>
      </c>
      <c r="I108" s="167">
        <f>SUBSTITUTE(INDEX(Calc!$K:$K,(ROW(D107)-1)*5+COLUMN(D107)+1),",",".")</f>
        <v/>
      </c>
      <c r="J108" s="167">
        <f>SUBSTITUTE(INDEX(Calc!$K:$K,(ROW(E107)-1)*5+COLUMN(E107)+1),",",".")</f>
        <v/>
      </c>
      <c r="K108" s="166" t="inlineStr">
        <is>
          <t>], 'type' =&gt; "</t>
        </is>
      </c>
      <c r="L108" s="167">
        <f>Закуп!AA108</f>
        <v/>
      </c>
      <c r="M108" s="166" t="inlineStr">
        <is>
          <t>", 'sale' =&gt; "</t>
        </is>
      </c>
      <c r="N108" s="166">
        <f>IF(Закуп!L108="",0,Закуп!L108)</f>
        <v/>
      </c>
      <c r="O108" s="166" t="inlineStr">
        <is>
          <t>" ],</t>
        </is>
      </c>
      <c r="P108" s="144">
        <f>Закуп!N108</f>
        <v/>
      </c>
      <c r="Q108" s="210">
        <f>CONCATENATE(A108,B108,",",C108,",",D108,E108,F108,",",G108,",",H108,",",I108,",",J108,K108,L108,M108,N108,O108,)</f>
        <v/>
      </c>
    </row>
    <row r="109">
      <c r="A109" s="166" t="inlineStr">
        <is>
          <t xml:space="preserve">        [ 'dims' =&gt; [</t>
        </is>
      </c>
      <c r="B109" s="166">
        <f>Закуп!R109</f>
        <v/>
      </c>
      <c r="C109" s="166">
        <f>Закуп!S109</f>
        <v/>
      </c>
      <c r="D109" s="166">
        <f>Закуп!T109</f>
        <v/>
      </c>
      <c r="E109" s="166" t="inlineStr">
        <is>
          <t>], 'prices' =&gt; [</t>
        </is>
      </c>
      <c r="F109" s="167">
        <f>SUBSTITUTE(INDEX(Calc!$K:$K,(ROW(A108)-1)*5+COLUMN(A108)+1),",",".")</f>
        <v/>
      </c>
      <c r="G109" s="167">
        <f>SUBSTITUTE(INDEX(Calc!$K:$K,(ROW(B108)-1)*5+COLUMN(B108)+1),",",".")</f>
        <v/>
      </c>
      <c r="H109" s="167">
        <f>SUBSTITUTE(INDEX(Calc!$K:$K,(ROW(C108)-1)*5+COLUMN(C108)+1),",",".")</f>
        <v/>
      </c>
      <c r="I109" s="167">
        <f>SUBSTITUTE(INDEX(Calc!$K:$K,(ROW(D108)-1)*5+COLUMN(D108)+1),",",".")</f>
        <v/>
      </c>
      <c r="J109" s="167">
        <f>SUBSTITUTE(INDEX(Calc!$K:$K,(ROW(E108)-1)*5+COLUMN(E108)+1),",",".")</f>
        <v/>
      </c>
      <c r="K109" s="166" t="inlineStr">
        <is>
          <t>], 'type' =&gt; "</t>
        </is>
      </c>
      <c r="L109" s="167">
        <f>Закуп!AA109</f>
        <v/>
      </c>
      <c r="M109" s="166" t="inlineStr">
        <is>
          <t>", 'sale' =&gt; "</t>
        </is>
      </c>
      <c r="N109" s="166">
        <f>IF(Закуп!L109="",0,Закуп!L109)</f>
        <v/>
      </c>
      <c r="O109" s="166" t="inlineStr">
        <is>
          <t>" ],</t>
        </is>
      </c>
      <c r="P109" s="144">
        <f>Закуп!N109</f>
        <v/>
      </c>
      <c r="Q109" s="210">
        <f>CONCATENATE(A109,B109,",",C109,",",D109,E109,F109,",",G109,",",H109,",",I109,",",J109,K109,L109,M109,N109,O109,)</f>
        <v/>
      </c>
    </row>
    <row r="110">
      <c r="A110" s="166" t="inlineStr">
        <is>
          <t xml:space="preserve">        [ 'dims' =&gt; [</t>
        </is>
      </c>
      <c r="B110" s="166">
        <f>Закуп!R110</f>
        <v/>
      </c>
      <c r="C110" s="166">
        <f>Закуп!S110</f>
        <v/>
      </c>
      <c r="D110" s="166">
        <f>Закуп!T110</f>
        <v/>
      </c>
      <c r="E110" s="166" t="inlineStr">
        <is>
          <t>], 'prices' =&gt; [</t>
        </is>
      </c>
      <c r="F110" s="167">
        <f>SUBSTITUTE(INDEX(Calc!$K:$K,(ROW(A109)-1)*5+COLUMN(A109)+1),",",".")</f>
        <v/>
      </c>
      <c r="G110" s="167">
        <f>SUBSTITUTE(INDEX(Calc!$K:$K,(ROW(B109)-1)*5+COLUMN(B109)+1),",",".")</f>
        <v/>
      </c>
      <c r="H110" s="167">
        <f>SUBSTITUTE(INDEX(Calc!$K:$K,(ROW(C109)-1)*5+COLUMN(C109)+1),",",".")</f>
        <v/>
      </c>
      <c r="I110" s="167">
        <f>SUBSTITUTE(INDEX(Calc!$K:$K,(ROW(D109)-1)*5+COLUMN(D109)+1),",",".")</f>
        <v/>
      </c>
      <c r="J110" s="167">
        <f>SUBSTITUTE(INDEX(Calc!$K:$K,(ROW(E109)-1)*5+COLUMN(E109)+1),",",".")</f>
        <v/>
      </c>
      <c r="K110" s="166" t="inlineStr">
        <is>
          <t>], 'type' =&gt; "</t>
        </is>
      </c>
      <c r="L110" s="167">
        <f>Закуп!AA110</f>
        <v/>
      </c>
      <c r="M110" s="166" t="inlineStr">
        <is>
          <t>", 'sale' =&gt; "</t>
        </is>
      </c>
      <c r="N110" s="166">
        <f>IF(Закуп!L110="",0,Закуп!L110)</f>
        <v/>
      </c>
      <c r="O110" s="166" t="inlineStr">
        <is>
          <t>" ],</t>
        </is>
      </c>
      <c r="P110" s="144">
        <f>Закуп!N110</f>
        <v/>
      </c>
      <c r="Q110" s="210">
        <f>CONCATENATE(A110,B110,",",C110,",",D110,E110,F110,",",G110,",",H110,",",I110,",",J110,K110,L110,M110,N110,O110,)</f>
        <v/>
      </c>
    </row>
    <row r="111">
      <c r="A111" s="166" t="inlineStr">
        <is>
          <t xml:space="preserve">        [ 'dims' =&gt; [</t>
        </is>
      </c>
      <c r="B111" s="166">
        <f>Закуп!R111</f>
        <v/>
      </c>
      <c r="C111" s="166">
        <f>Закуп!S111</f>
        <v/>
      </c>
      <c r="D111" s="166">
        <f>Закуп!T111</f>
        <v/>
      </c>
      <c r="E111" s="166" t="inlineStr">
        <is>
          <t>], 'prices' =&gt; [</t>
        </is>
      </c>
      <c r="F111" s="167">
        <f>SUBSTITUTE(INDEX(Calc!$K:$K,(ROW(A110)-1)*5+COLUMN(A110)+1),",",".")</f>
        <v/>
      </c>
      <c r="G111" s="167">
        <f>SUBSTITUTE(INDEX(Calc!$K:$K,(ROW(B110)-1)*5+COLUMN(B110)+1),",",".")</f>
        <v/>
      </c>
      <c r="H111" s="167">
        <f>SUBSTITUTE(INDEX(Calc!$K:$K,(ROW(C110)-1)*5+COLUMN(C110)+1),",",".")</f>
        <v/>
      </c>
      <c r="I111" s="167">
        <f>SUBSTITUTE(INDEX(Calc!$K:$K,(ROW(D110)-1)*5+COLUMN(D110)+1),",",".")</f>
        <v/>
      </c>
      <c r="J111" s="167">
        <f>SUBSTITUTE(INDEX(Calc!$K:$K,(ROW(E110)-1)*5+COLUMN(E110)+1),",",".")</f>
        <v/>
      </c>
      <c r="K111" s="166" t="inlineStr">
        <is>
          <t>], 'type' =&gt; "</t>
        </is>
      </c>
      <c r="L111" s="167">
        <f>Закуп!AA111</f>
        <v/>
      </c>
      <c r="M111" s="166" t="inlineStr">
        <is>
          <t>", 'sale' =&gt; "</t>
        </is>
      </c>
      <c r="N111" s="166">
        <f>IF(Закуп!L111="",0,Закуп!L111)</f>
        <v/>
      </c>
      <c r="O111" s="166" t="inlineStr">
        <is>
          <t>" ],</t>
        </is>
      </c>
      <c r="P111" s="144">
        <f>Закуп!N111</f>
        <v/>
      </c>
      <c r="Q111" s="210">
        <f>CONCATENATE(A111,B111,",",C111,",",D111,E111,F111,",",G111,",",H111,",",I111,",",J111,K111,L111,M111,N111,O111,)</f>
        <v/>
      </c>
    </row>
    <row r="112">
      <c r="A112" s="166" t="inlineStr">
        <is>
          <t xml:space="preserve">        [ 'dims' =&gt; [</t>
        </is>
      </c>
      <c r="B112" s="166">
        <f>Закуп!R112</f>
        <v/>
      </c>
      <c r="C112" s="166">
        <f>Закуп!S112</f>
        <v/>
      </c>
      <c r="D112" s="166">
        <f>Закуп!T112</f>
        <v/>
      </c>
      <c r="E112" s="166" t="inlineStr">
        <is>
          <t>], 'prices' =&gt; [</t>
        </is>
      </c>
      <c r="F112" s="167">
        <f>SUBSTITUTE(INDEX(Calc!$K:$K,(ROW(A111)-1)*5+COLUMN(A111)+1),",",".")</f>
        <v/>
      </c>
      <c r="G112" s="167">
        <f>SUBSTITUTE(INDEX(Calc!$K:$K,(ROW(B111)-1)*5+COLUMN(B111)+1),",",".")</f>
        <v/>
      </c>
      <c r="H112" s="167">
        <f>SUBSTITUTE(INDEX(Calc!$K:$K,(ROW(C111)-1)*5+COLUMN(C111)+1),",",".")</f>
        <v/>
      </c>
      <c r="I112" s="167">
        <f>SUBSTITUTE(INDEX(Calc!$K:$K,(ROW(D111)-1)*5+COLUMN(D111)+1),",",".")</f>
        <v/>
      </c>
      <c r="J112" s="167">
        <f>SUBSTITUTE(INDEX(Calc!$K:$K,(ROW(E111)-1)*5+COLUMN(E111)+1),",",".")</f>
        <v/>
      </c>
      <c r="K112" s="166" t="inlineStr">
        <is>
          <t>], 'type' =&gt; "</t>
        </is>
      </c>
      <c r="L112" s="167">
        <f>Закуп!AA112</f>
        <v/>
      </c>
      <c r="M112" s="166" t="inlineStr">
        <is>
          <t>", 'sale' =&gt; "</t>
        </is>
      </c>
      <c r="N112" s="166">
        <f>IF(Закуп!L112="",0,Закуп!L112)</f>
        <v/>
      </c>
      <c r="O112" s="166" t="inlineStr">
        <is>
          <t>" ],</t>
        </is>
      </c>
      <c r="P112" s="144">
        <f>Закуп!N112</f>
        <v/>
      </c>
      <c r="Q112" s="210">
        <f>CONCATENATE(A112,B112,",",C112,",",D112,E112,F112,",",G112,",",H112,",",I112,",",J112,K112,L112,M112,N112,O112,)</f>
        <v/>
      </c>
    </row>
    <row r="113">
      <c r="A113" s="166" t="inlineStr">
        <is>
          <t xml:space="preserve">        [ 'dims' =&gt; [</t>
        </is>
      </c>
      <c r="B113" s="166">
        <f>Закуп!R113</f>
        <v/>
      </c>
      <c r="C113" s="166">
        <f>Закуп!S113</f>
        <v/>
      </c>
      <c r="D113" s="166">
        <f>Закуп!T113</f>
        <v/>
      </c>
      <c r="E113" s="166" t="inlineStr">
        <is>
          <t>], 'prices' =&gt; [</t>
        </is>
      </c>
      <c r="F113" s="167">
        <f>SUBSTITUTE(INDEX(Calc!$K:$K,(ROW(A112)-1)*5+COLUMN(A112)+1),",",".")</f>
        <v/>
      </c>
      <c r="G113" s="167">
        <f>SUBSTITUTE(INDEX(Calc!$K:$K,(ROW(B112)-1)*5+COLUMN(B112)+1),",",".")</f>
        <v/>
      </c>
      <c r="H113" s="167">
        <f>SUBSTITUTE(INDEX(Calc!$K:$K,(ROW(C112)-1)*5+COLUMN(C112)+1),",",".")</f>
        <v/>
      </c>
      <c r="I113" s="167">
        <f>SUBSTITUTE(INDEX(Calc!$K:$K,(ROW(D112)-1)*5+COLUMN(D112)+1),",",".")</f>
        <v/>
      </c>
      <c r="J113" s="167">
        <f>SUBSTITUTE(INDEX(Calc!$K:$K,(ROW(E112)-1)*5+COLUMN(E112)+1),",",".")</f>
        <v/>
      </c>
      <c r="K113" s="166" t="inlineStr">
        <is>
          <t>], 'type' =&gt; "</t>
        </is>
      </c>
      <c r="L113" s="167">
        <f>Закуп!AA113</f>
        <v/>
      </c>
      <c r="M113" s="166" t="inlineStr">
        <is>
          <t>", 'sale' =&gt; "</t>
        </is>
      </c>
      <c r="N113" s="166">
        <f>IF(Закуп!L113="",0,Закуп!L113)</f>
        <v/>
      </c>
      <c r="O113" s="166" t="inlineStr">
        <is>
          <t>" ],</t>
        </is>
      </c>
      <c r="P113" s="144">
        <f>Закуп!N113</f>
        <v/>
      </c>
      <c r="Q113" s="210">
        <f>CONCATENATE(A113,B113,",",C113,",",D113,E113,F113,",",G113,",",H113,",",I113,",",J113,K113,L113,M113,N113,O113,)</f>
        <v/>
      </c>
    </row>
    <row r="114">
      <c r="A114" s="166" t="inlineStr">
        <is>
          <t xml:space="preserve">        [ 'dims' =&gt; [</t>
        </is>
      </c>
      <c r="B114" s="166">
        <f>Закуп!R114</f>
        <v/>
      </c>
      <c r="C114" s="166">
        <f>Закуп!S114</f>
        <v/>
      </c>
      <c r="D114" s="166">
        <f>Закуп!T114</f>
        <v/>
      </c>
      <c r="E114" s="166" t="inlineStr">
        <is>
          <t>], 'prices' =&gt; [</t>
        </is>
      </c>
      <c r="F114" s="167">
        <f>SUBSTITUTE(INDEX(Calc!$K:$K,(ROW(A113)-1)*5+COLUMN(A113)+1),",",".")</f>
        <v/>
      </c>
      <c r="G114" s="167">
        <f>SUBSTITUTE(INDEX(Calc!$K:$K,(ROW(B113)-1)*5+COLUMN(B113)+1),",",".")</f>
        <v/>
      </c>
      <c r="H114" s="167">
        <f>SUBSTITUTE(INDEX(Calc!$K:$K,(ROW(C113)-1)*5+COLUMN(C113)+1),",",".")</f>
        <v/>
      </c>
      <c r="I114" s="167">
        <f>SUBSTITUTE(INDEX(Calc!$K:$K,(ROW(D113)-1)*5+COLUMN(D113)+1),",",".")</f>
        <v/>
      </c>
      <c r="J114" s="167">
        <f>SUBSTITUTE(INDEX(Calc!$K:$K,(ROW(E113)-1)*5+COLUMN(E113)+1),",",".")</f>
        <v/>
      </c>
      <c r="K114" s="166" t="inlineStr">
        <is>
          <t>], 'type' =&gt; "</t>
        </is>
      </c>
      <c r="L114" s="167">
        <f>Закуп!AA114</f>
        <v/>
      </c>
      <c r="M114" s="166" t="inlineStr">
        <is>
          <t>", 'sale' =&gt; "</t>
        </is>
      </c>
      <c r="N114" s="166">
        <f>IF(Закуп!L114="",0,Закуп!L114)</f>
        <v/>
      </c>
      <c r="O114" s="166" t="inlineStr">
        <is>
          <t>" ],</t>
        </is>
      </c>
      <c r="P114" s="144">
        <f>Закуп!N114</f>
        <v/>
      </c>
      <c r="Q114" s="210">
        <f>CONCATENATE(A114,B114,",",C114,",",D114,E114,F114,",",G114,",",H114,",",I114,",",J114,K114,L114,M114,N114,O114,)</f>
        <v/>
      </c>
    </row>
    <row r="115">
      <c r="A115" s="166" t="inlineStr">
        <is>
          <t xml:space="preserve">        [ 'dims' =&gt; [</t>
        </is>
      </c>
      <c r="B115" s="166">
        <f>Закуп!R115</f>
        <v/>
      </c>
      <c r="C115" s="166">
        <f>Закуп!S115</f>
        <v/>
      </c>
      <c r="D115" s="166">
        <f>Закуп!T115</f>
        <v/>
      </c>
      <c r="E115" s="166" t="inlineStr">
        <is>
          <t>], 'prices' =&gt; [</t>
        </is>
      </c>
      <c r="F115" s="167">
        <f>SUBSTITUTE(INDEX(Calc!$K:$K,(ROW(A114)-1)*5+COLUMN(A114)+1),",",".")</f>
        <v/>
      </c>
      <c r="G115" s="167">
        <f>SUBSTITUTE(INDEX(Calc!$K:$K,(ROW(B114)-1)*5+COLUMN(B114)+1),",",".")</f>
        <v/>
      </c>
      <c r="H115" s="167">
        <f>SUBSTITUTE(INDEX(Calc!$K:$K,(ROW(C114)-1)*5+COLUMN(C114)+1),",",".")</f>
        <v/>
      </c>
      <c r="I115" s="167">
        <f>SUBSTITUTE(INDEX(Calc!$K:$K,(ROW(D114)-1)*5+COLUMN(D114)+1),",",".")</f>
        <v/>
      </c>
      <c r="J115" s="167">
        <f>SUBSTITUTE(INDEX(Calc!$K:$K,(ROW(E114)-1)*5+COLUMN(E114)+1),",",".")</f>
        <v/>
      </c>
      <c r="K115" s="166" t="inlineStr">
        <is>
          <t>], 'type' =&gt; "</t>
        </is>
      </c>
      <c r="L115" s="167">
        <f>Закуп!AA115</f>
        <v/>
      </c>
      <c r="M115" s="166" t="inlineStr">
        <is>
          <t>", 'sale' =&gt; "</t>
        </is>
      </c>
      <c r="N115" s="166">
        <f>IF(Закуп!L115="",0,Закуп!L115)</f>
        <v/>
      </c>
      <c r="O115" s="166" t="inlineStr">
        <is>
          <t>" ],</t>
        </is>
      </c>
      <c r="P115" s="144">
        <f>Закуп!N115</f>
        <v/>
      </c>
      <c r="Q115" s="210">
        <f>CONCATENATE(A115,B115,",",C115,",",D115,E115,F115,",",G115,",",H115,",",I115,",",J115,K115,L115,M115,N115,O115,)</f>
        <v/>
      </c>
    </row>
    <row r="116">
      <c r="A116" s="166" t="inlineStr">
        <is>
          <t xml:space="preserve">        [ 'dims' =&gt; [</t>
        </is>
      </c>
      <c r="B116" s="166">
        <f>Закуп!R116</f>
        <v/>
      </c>
      <c r="C116" s="166">
        <f>Закуп!S116</f>
        <v/>
      </c>
      <c r="D116" s="166">
        <f>Закуп!T116</f>
        <v/>
      </c>
      <c r="E116" s="166" t="inlineStr">
        <is>
          <t>], 'prices' =&gt; [</t>
        </is>
      </c>
      <c r="F116" s="167">
        <f>SUBSTITUTE(INDEX(Calc!$K:$K,(ROW(A115)-1)*5+COLUMN(A115)+1),",",".")</f>
        <v/>
      </c>
      <c r="G116" s="167">
        <f>SUBSTITUTE(INDEX(Calc!$K:$K,(ROW(B115)-1)*5+COLUMN(B115)+1),",",".")</f>
        <v/>
      </c>
      <c r="H116" s="167">
        <f>SUBSTITUTE(INDEX(Calc!$K:$K,(ROW(C115)-1)*5+COLUMN(C115)+1),",",".")</f>
        <v/>
      </c>
      <c r="I116" s="167">
        <f>SUBSTITUTE(INDEX(Calc!$K:$K,(ROW(D115)-1)*5+COLUMN(D115)+1),",",".")</f>
        <v/>
      </c>
      <c r="J116" s="167">
        <f>SUBSTITUTE(INDEX(Calc!$K:$K,(ROW(E115)-1)*5+COLUMN(E115)+1),",",".")</f>
        <v/>
      </c>
      <c r="K116" s="166" t="inlineStr">
        <is>
          <t>], 'type' =&gt; "</t>
        </is>
      </c>
      <c r="L116" s="167">
        <f>Закуп!AA116</f>
        <v/>
      </c>
      <c r="M116" s="166" t="inlineStr">
        <is>
          <t>", 'sale' =&gt; "</t>
        </is>
      </c>
      <c r="N116" s="166">
        <f>IF(Закуп!L116="",0,Закуп!L116)</f>
        <v/>
      </c>
      <c r="O116" s="166" t="inlineStr">
        <is>
          <t>" ],</t>
        </is>
      </c>
      <c r="P116" s="144">
        <f>Закуп!N116</f>
        <v/>
      </c>
      <c r="Q116" s="210">
        <f>CONCATENATE(A116,B116,",",C116,",",D116,E116,F116,",",G116,",",H116,",",I116,",",J116,K116,L116,M116,N116,O116,)</f>
        <v/>
      </c>
    </row>
    <row r="117">
      <c r="A117" s="166" t="inlineStr">
        <is>
          <t xml:space="preserve">        [ 'dims' =&gt; [</t>
        </is>
      </c>
      <c r="B117" s="166">
        <f>Закуп!R117</f>
        <v/>
      </c>
      <c r="C117" s="166">
        <f>Закуп!S117</f>
        <v/>
      </c>
      <c r="D117" s="166">
        <f>Закуп!T117</f>
        <v/>
      </c>
      <c r="E117" s="166" t="inlineStr">
        <is>
          <t>], 'prices' =&gt; [</t>
        </is>
      </c>
      <c r="F117" s="167">
        <f>SUBSTITUTE(INDEX(Calc!$K:$K,(ROW(A116)-1)*5+COLUMN(A116)+1),",",".")</f>
        <v/>
      </c>
      <c r="G117" s="167">
        <f>SUBSTITUTE(INDEX(Calc!$K:$K,(ROW(B116)-1)*5+COLUMN(B116)+1),",",".")</f>
        <v/>
      </c>
      <c r="H117" s="167">
        <f>SUBSTITUTE(INDEX(Calc!$K:$K,(ROW(C116)-1)*5+COLUMN(C116)+1),",",".")</f>
        <v/>
      </c>
      <c r="I117" s="167">
        <f>SUBSTITUTE(INDEX(Calc!$K:$K,(ROW(D116)-1)*5+COLUMN(D116)+1),",",".")</f>
        <v/>
      </c>
      <c r="J117" s="167">
        <f>SUBSTITUTE(INDEX(Calc!$K:$K,(ROW(E116)-1)*5+COLUMN(E116)+1),",",".")</f>
        <v/>
      </c>
      <c r="K117" s="166" t="inlineStr">
        <is>
          <t>], 'type' =&gt; "</t>
        </is>
      </c>
      <c r="L117" s="167">
        <f>Закуп!AA117</f>
        <v/>
      </c>
      <c r="M117" s="166" t="inlineStr">
        <is>
          <t>", 'sale' =&gt; "</t>
        </is>
      </c>
      <c r="N117" s="166">
        <f>IF(Закуп!L117="",0,Закуп!L117)</f>
        <v/>
      </c>
      <c r="O117" s="166" t="inlineStr">
        <is>
          <t>" ],</t>
        </is>
      </c>
      <c r="P117" s="144">
        <f>Закуп!N117</f>
        <v/>
      </c>
      <c r="Q117" s="210">
        <f>CONCATENATE(A117,B117,",",C117,",",D117,E117,F117,",",G117,",",H117,",",I117,",",J117,K117,L117,M117,N117,O117,)</f>
        <v/>
      </c>
    </row>
    <row r="118">
      <c r="A118" s="166" t="inlineStr">
        <is>
          <t xml:space="preserve">        [ 'dims' =&gt; [</t>
        </is>
      </c>
      <c r="B118" s="166">
        <f>Закуп!R118</f>
        <v/>
      </c>
      <c r="C118" s="166">
        <f>Закуп!S118</f>
        <v/>
      </c>
      <c r="D118" s="166">
        <f>Закуп!T118</f>
        <v/>
      </c>
      <c r="E118" s="166" t="inlineStr">
        <is>
          <t>], 'prices' =&gt; [</t>
        </is>
      </c>
      <c r="F118" s="167">
        <f>SUBSTITUTE(INDEX(Calc!$K:$K,(ROW(A117)-1)*5+COLUMN(A117)+1),",",".")</f>
        <v/>
      </c>
      <c r="G118" s="167">
        <f>SUBSTITUTE(INDEX(Calc!$K:$K,(ROW(B117)-1)*5+COLUMN(B117)+1),",",".")</f>
        <v/>
      </c>
      <c r="H118" s="167">
        <f>SUBSTITUTE(INDEX(Calc!$K:$K,(ROW(C117)-1)*5+COLUMN(C117)+1),",",".")</f>
        <v/>
      </c>
      <c r="I118" s="167">
        <f>SUBSTITUTE(INDEX(Calc!$K:$K,(ROW(D117)-1)*5+COLUMN(D117)+1),",",".")</f>
        <v/>
      </c>
      <c r="J118" s="167">
        <f>SUBSTITUTE(INDEX(Calc!$K:$K,(ROW(E117)-1)*5+COLUMN(E117)+1),",",".")</f>
        <v/>
      </c>
      <c r="K118" s="166" t="inlineStr">
        <is>
          <t>], 'type' =&gt; "</t>
        </is>
      </c>
      <c r="L118" s="167">
        <f>Закуп!AA118</f>
        <v/>
      </c>
      <c r="M118" s="166" t="inlineStr">
        <is>
          <t>", 'sale' =&gt; "</t>
        </is>
      </c>
      <c r="N118" s="166">
        <f>IF(Закуп!L118="",0,Закуп!L118)</f>
        <v/>
      </c>
      <c r="O118" s="166" t="inlineStr">
        <is>
          <t>" ],</t>
        </is>
      </c>
      <c r="P118" s="144">
        <f>Закуп!N118</f>
        <v/>
      </c>
      <c r="Q118" s="210">
        <f>CONCATENATE(A118,B118,",",C118,",",D118,E118,F118,",",G118,",",H118,",",I118,",",J118,K118,L118,M118,N118,O118,)</f>
        <v/>
      </c>
    </row>
    <row r="119">
      <c r="A119" s="166" t="inlineStr">
        <is>
          <t xml:space="preserve">        [ 'dims' =&gt; [</t>
        </is>
      </c>
      <c r="B119" s="166">
        <f>Закуп!R119</f>
        <v/>
      </c>
      <c r="C119" s="166">
        <f>Закуп!S119</f>
        <v/>
      </c>
      <c r="D119" s="166">
        <f>Закуп!T119</f>
        <v/>
      </c>
      <c r="E119" s="166" t="inlineStr">
        <is>
          <t>], 'prices' =&gt; [</t>
        </is>
      </c>
      <c r="F119" s="167">
        <f>SUBSTITUTE(INDEX(Calc!$K:$K,(ROW(A118)-1)*5+COLUMN(A118)+1),",",".")</f>
        <v/>
      </c>
      <c r="G119" s="167">
        <f>SUBSTITUTE(INDEX(Calc!$K:$K,(ROW(B118)-1)*5+COLUMN(B118)+1),",",".")</f>
        <v/>
      </c>
      <c r="H119" s="167">
        <f>SUBSTITUTE(INDEX(Calc!$K:$K,(ROW(C118)-1)*5+COLUMN(C118)+1),",",".")</f>
        <v/>
      </c>
      <c r="I119" s="167">
        <f>SUBSTITUTE(INDEX(Calc!$K:$K,(ROW(D118)-1)*5+COLUMN(D118)+1),",",".")</f>
        <v/>
      </c>
      <c r="J119" s="167">
        <f>SUBSTITUTE(INDEX(Calc!$K:$K,(ROW(E118)-1)*5+COLUMN(E118)+1),",",".")</f>
        <v/>
      </c>
      <c r="K119" s="166" t="inlineStr">
        <is>
          <t>], 'type' =&gt; "</t>
        </is>
      </c>
      <c r="L119" s="167">
        <f>Закуп!AA119</f>
        <v/>
      </c>
      <c r="M119" s="166" t="inlineStr">
        <is>
          <t>", 'sale' =&gt; "</t>
        </is>
      </c>
      <c r="N119" s="166">
        <f>IF(Закуп!L119="",0,Закуп!L119)</f>
        <v/>
      </c>
      <c r="O119" s="166" t="inlineStr">
        <is>
          <t>" ],</t>
        </is>
      </c>
      <c r="P119" s="144">
        <f>Закуп!N119</f>
        <v/>
      </c>
      <c r="Q119" s="210">
        <f>CONCATENATE(A119,B119,",",C119,",",D119,E119,F119,",",G119,",",H119,",",I119,",",J119,K119,L119,M119,N119,O119,)</f>
        <v/>
      </c>
    </row>
    <row r="120">
      <c r="A120" s="166" t="inlineStr">
        <is>
          <t xml:space="preserve">        [ 'dims' =&gt; [</t>
        </is>
      </c>
      <c r="B120" s="166">
        <f>Закуп!R120</f>
        <v/>
      </c>
      <c r="C120" s="166">
        <f>Закуп!S120</f>
        <v/>
      </c>
      <c r="D120" s="166">
        <f>Закуп!T120</f>
        <v/>
      </c>
      <c r="E120" s="166" t="inlineStr">
        <is>
          <t>], 'prices' =&gt; [</t>
        </is>
      </c>
      <c r="F120" s="167">
        <f>SUBSTITUTE(INDEX(Calc!$K:$K,(ROW(A119)-1)*5+COLUMN(A119)+1),",",".")</f>
        <v/>
      </c>
      <c r="G120" s="167">
        <f>SUBSTITUTE(INDEX(Calc!$K:$K,(ROW(B119)-1)*5+COLUMN(B119)+1),",",".")</f>
        <v/>
      </c>
      <c r="H120" s="167">
        <f>SUBSTITUTE(INDEX(Calc!$K:$K,(ROW(C119)-1)*5+COLUMN(C119)+1),",",".")</f>
        <v/>
      </c>
      <c r="I120" s="167">
        <f>SUBSTITUTE(INDEX(Calc!$K:$K,(ROW(D119)-1)*5+COLUMN(D119)+1),",",".")</f>
        <v/>
      </c>
      <c r="J120" s="167">
        <f>SUBSTITUTE(INDEX(Calc!$K:$K,(ROW(E119)-1)*5+COLUMN(E119)+1),",",".")</f>
        <v/>
      </c>
      <c r="K120" s="166" t="inlineStr">
        <is>
          <t>], 'type' =&gt; "</t>
        </is>
      </c>
      <c r="L120" s="167">
        <f>Закуп!AA120</f>
        <v/>
      </c>
      <c r="M120" s="166" t="inlineStr">
        <is>
          <t>", 'sale' =&gt; "</t>
        </is>
      </c>
      <c r="N120" s="166">
        <f>IF(Закуп!L120="",0,Закуп!L120)</f>
        <v/>
      </c>
      <c r="O120" s="166" t="inlineStr">
        <is>
          <t>" ],</t>
        </is>
      </c>
      <c r="P120" s="144">
        <f>Закуп!N120</f>
        <v/>
      </c>
      <c r="Q120" s="210">
        <f>CONCATENATE(A120,B120,",",C120,",",D120,E120,F120,",",G120,",",H120,",",I120,",",J120,K120,L120,M120,N120,O120,)</f>
        <v/>
      </c>
    </row>
    <row r="121">
      <c r="A121" s="166" t="inlineStr">
        <is>
          <t xml:space="preserve">        [ 'dims' =&gt; [</t>
        </is>
      </c>
      <c r="B121" s="166">
        <f>Закуп!R121</f>
        <v/>
      </c>
      <c r="C121" s="166">
        <f>Закуп!S121</f>
        <v/>
      </c>
      <c r="D121" s="166">
        <f>Закуп!T121</f>
        <v/>
      </c>
      <c r="E121" s="166" t="inlineStr">
        <is>
          <t>], 'prices' =&gt; [</t>
        </is>
      </c>
      <c r="F121" s="167">
        <f>SUBSTITUTE(INDEX(Calc!$K:$K,(ROW(A120)-1)*5+COLUMN(A120)+1),",",".")</f>
        <v/>
      </c>
      <c r="G121" s="167">
        <f>SUBSTITUTE(INDEX(Calc!$K:$K,(ROW(B120)-1)*5+COLUMN(B120)+1),",",".")</f>
        <v/>
      </c>
      <c r="H121" s="167">
        <f>SUBSTITUTE(INDEX(Calc!$K:$K,(ROW(C120)-1)*5+COLUMN(C120)+1),",",".")</f>
        <v/>
      </c>
      <c r="I121" s="167">
        <f>SUBSTITUTE(INDEX(Calc!$K:$K,(ROW(D120)-1)*5+COLUMN(D120)+1),",",".")</f>
        <v/>
      </c>
      <c r="J121" s="167">
        <f>SUBSTITUTE(INDEX(Calc!$K:$K,(ROW(E120)-1)*5+COLUMN(E120)+1),",",".")</f>
        <v/>
      </c>
      <c r="K121" s="166" t="inlineStr">
        <is>
          <t>], 'type' =&gt; "</t>
        </is>
      </c>
      <c r="L121" s="167">
        <f>Закуп!AA121</f>
        <v/>
      </c>
      <c r="M121" s="166" t="inlineStr">
        <is>
          <t>", 'sale' =&gt; "</t>
        </is>
      </c>
      <c r="N121" s="166">
        <f>IF(Закуп!L121="",0,Закуп!L121)</f>
        <v/>
      </c>
      <c r="O121" s="166" t="inlineStr">
        <is>
          <t>" ],</t>
        </is>
      </c>
      <c r="P121" s="144">
        <f>Закуп!N121</f>
        <v/>
      </c>
      <c r="Q121" s="210">
        <f>CONCATENATE(A121,B121,",",C121,",",D121,E121,F121,",",G121,",",H121,",",I121,",",J121,K121,L121,M121,N121,O121,)</f>
        <v/>
      </c>
    </row>
    <row r="122">
      <c r="A122" s="166" t="inlineStr">
        <is>
          <t xml:space="preserve">        [ 'dims' =&gt; [</t>
        </is>
      </c>
      <c r="B122" s="166">
        <f>Закуп!R122</f>
        <v/>
      </c>
      <c r="C122" s="166">
        <f>Закуп!S122</f>
        <v/>
      </c>
      <c r="D122" s="166">
        <f>Закуп!T122</f>
        <v/>
      </c>
      <c r="E122" s="166" t="inlineStr">
        <is>
          <t>], 'prices' =&gt; [</t>
        </is>
      </c>
      <c r="F122" s="167">
        <f>SUBSTITUTE(INDEX(Calc!$K:$K,(ROW(A121)-1)*5+COLUMN(A121)+1),",",".")</f>
        <v/>
      </c>
      <c r="G122" s="167">
        <f>SUBSTITUTE(INDEX(Calc!$K:$K,(ROW(B121)-1)*5+COLUMN(B121)+1),",",".")</f>
        <v/>
      </c>
      <c r="H122" s="167">
        <f>SUBSTITUTE(INDEX(Calc!$K:$K,(ROW(C121)-1)*5+COLUMN(C121)+1),",",".")</f>
        <v/>
      </c>
      <c r="I122" s="167">
        <f>SUBSTITUTE(INDEX(Calc!$K:$K,(ROW(D121)-1)*5+COLUMN(D121)+1),",",".")</f>
        <v/>
      </c>
      <c r="J122" s="167">
        <f>SUBSTITUTE(INDEX(Calc!$K:$K,(ROW(E121)-1)*5+COLUMN(E121)+1),",",".")</f>
        <v/>
      </c>
      <c r="K122" s="166" t="inlineStr">
        <is>
          <t>], 'type' =&gt; "</t>
        </is>
      </c>
      <c r="L122" s="167">
        <f>Закуп!AA122</f>
        <v/>
      </c>
      <c r="M122" s="166" t="inlineStr">
        <is>
          <t>", 'sale' =&gt; "</t>
        </is>
      </c>
      <c r="N122" s="166">
        <f>IF(Закуп!L122="",0,Закуп!L122)</f>
        <v/>
      </c>
      <c r="O122" s="166" t="inlineStr">
        <is>
          <t>" ],</t>
        </is>
      </c>
      <c r="P122" s="144">
        <f>Закуп!N122</f>
        <v/>
      </c>
      <c r="Q122" s="210">
        <f>CONCATENATE(A122,B122,",",C122,",",D122,E122,F122,",",G122,",",H122,",",I122,",",J122,K122,L122,M122,N122,O122,)</f>
        <v/>
      </c>
    </row>
    <row r="123">
      <c r="A123" s="166" t="inlineStr">
        <is>
          <t xml:space="preserve">        [ 'dims' =&gt; [</t>
        </is>
      </c>
      <c r="B123" s="166">
        <f>Закуп!R123</f>
        <v/>
      </c>
      <c r="C123" s="166">
        <f>Закуп!S123</f>
        <v/>
      </c>
      <c r="D123" s="166">
        <f>Закуп!T123</f>
        <v/>
      </c>
      <c r="E123" s="166" t="inlineStr">
        <is>
          <t>], 'prices' =&gt; [</t>
        </is>
      </c>
      <c r="F123" s="167">
        <f>SUBSTITUTE(INDEX(Calc!$K:$K,(ROW(A122)-1)*5+COLUMN(A122)+1),",",".")</f>
        <v/>
      </c>
      <c r="G123" s="167">
        <f>SUBSTITUTE(INDEX(Calc!$K:$K,(ROW(B122)-1)*5+COLUMN(B122)+1),",",".")</f>
        <v/>
      </c>
      <c r="H123" s="167">
        <f>SUBSTITUTE(INDEX(Calc!$K:$K,(ROW(C122)-1)*5+COLUMN(C122)+1),",",".")</f>
        <v/>
      </c>
      <c r="I123" s="167">
        <f>SUBSTITUTE(INDEX(Calc!$K:$K,(ROW(D122)-1)*5+COLUMN(D122)+1),",",".")</f>
        <v/>
      </c>
      <c r="J123" s="167">
        <f>SUBSTITUTE(INDEX(Calc!$K:$K,(ROW(E122)-1)*5+COLUMN(E122)+1),",",".")</f>
        <v/>
      </c>
      <c r="K123" s="166" t="inlineStr">
        <is>
          <t>], 'type' =&gt; "</t>
        </is>
      </c>
      <c r="L123" s="167">
        <f>Закуп!AA123</f>
        <v/>
      </c>
      <c r="M123" s="166" t="inlineStr">
        <is>
          <t>", 'sale' =&gt; "</t>
        </is>
      </c>
      <c r="N123" s="166">
        <f>IF(Закуп!L123="",0,Закуп!L123)</f>
        <v/>
      </c>
      <c r="O123" s="166" t="inlineStr">
        <is>
          <t>" ],</t>
        </is>
      </c>
      <c r="P123" s="144">
        <f>Закуп!N123</f>
        <v/>
      </c>
      <c r="Q123" s="210">
        <f>CONCATENATE(A123,B123,",",C123,",",D123,E123,F123,",",G123,",",H123,",",I123,",",J123,K123,L123,M123,N123,O123,)</f>
        <v/>
      </c>
    </row>
    <row r="124">
      <c r="A124" s="166" t="inlineStr">
        <is>
          <t xml:space="preserve">        [ 'dims' =&gt; [</t>
        </is>
      </c>
      <c r="B124" s="166">
        <f>Закуп!R124</f>
        <v/>
      </c>
      <c r="C124" s="166">
        <f>Закуп!S124</f>
        <v/>
      </c>
      <c r="D124" s="166">
        <f>Закуп!T124</f>
        <v/>
      </c>
      <c r="E124" s="166" t="inlineStr">
        <is>
          <t>], 'prices' =&gt; [</t>
        </is>
      </c>
      <c r="F124" s="167">
        <f>SUBSTITUTE(INDEX(Calc!$K:$K,(ROW(A123)-1)*5+COLUMN(A123)+1),",",".")</f>
        <v/>
      </c>
      <c r="G124" s="167">
        <f>SUBSTITUTE(INDEX(Calc!$K:$K,(ROW(B123)-1)*5+COLUMN(B123)+1),",",".")</f>
        <v/>
      </c>
      <c r="H124" s="167">
        <f>SUBSTITUTE(INDEX(Calc!$K:$K,(ROW(C123)-1)*5+COLUMN(C123)+1),",",".")</f>
        <v/>
      </c>
      <c r="I124" s="167">
        <f>SUBSTITUTE(INDEX(Calc!$K:$K,(ROW(D123)-1)*5+COLUMN(D123)+1),",",".")</f>
        <v/>
      </c>
      <c r="J124" s="167">
        <f>SUBSTITUTE(INDEX(Calc!$K:$K,(ROW(E123)-1)*5+COLUMN(E123)+1),",",".")</f>
        <v/>
      </c>
      <c r="K124" s="166" t="inlineStr">
        <is>
          <t>], 'type' =&gt; "</t>
        </is>
      </c>
      <c r="L124" s="167">
        <f>Закуп!AA124</f>
        <v/>
      </c>
      <c r="M124" s="166" t="inlineStr">
        <is>
          <t>", 'sale' =&gt; "</t>
        </is>
      </c>
      <c r="N124" s="166">
        <f>IF(Закуп!L124="",0,Закуп!L124)</f>
        <v/>
      </c>
      <c r="O124" s="166" t="inlineStr">
        <is>
          <t>" ],</t>
        </is>
      </c>
      <c r="P124" s="144">
        <f>Закуп!N124</f>
        <v/>
      </c>
      <c r="Q124" s="210">
        <f>CONCATENATE(A124,B124,",",C124,",",D124,E124,F124,",",G124,",",H124,",",I124,",",J124,K124,L124,M124,N124,O124,)</f>
        <v/>
      </c>
    </row>
    <row r="125">
      <c r="A125" s="166" t="inlineStr">
        <is>
          <t xml:space="preserve">        [ 'dims' =&gt; [</t>
        </is>
      </c>
      <c r="B125" s="166">
        <f>Закуп!R125</f>
        <v/>
      </c>
      <c r="C125" s="166">
        <f>Закуп!S125</f>
        <v/>
      </c>
      <c r="D125" s="166">
        <f>Закуп!T125</f>
        <v/>
      </c>
      <c r="E125" s="166" t="inlineStr">
        <is>
          <t>], 'prices' =&gt; [</t>
        </is>
      </c>
      <c r="F125" s="167">
        <f>SUBSTITUTE(INDEX(Calc!$K:$K,(ROW(A124)-1)*5+COLUMN(A124)+1),",",".")</f>
        <v/>
      </c>
      <c r="G125" s="167">
        <f>SUBSTITUTE(INDEX(Calc!$K:$K,(ROW(B124)-1)*5+COLUMN(B124)+1),",",".")</f>
        <v/>
      </c>
      <c r="H125" s="167">
        <f>SUBSTITUTE(INDEX(Calc!$K:$K,(ROW(C124)-1)*5+COLUMN(C124)+1),",",".")</f>
        <v/>
      </c>
      <c r="I125" s="167">
        <f>SUBSTITUTE(INDEX(Calc!$K:$K,(ROW(D124)-1)*5+COLUMN(D124)+1),",",".")</f>
        <v/>
      </c>
      <c r="J125" s="167">
        <f>SUBSTITUTE(INDEX(Calc!$K:$K,(ROW(E124)-1)*5+COLUMN(E124)+1),",",".")</f>
        <v/>
      </c>
      <c r="K125" s="166" t="inlineStr">
        <is>
          <t>], 'type' =&gt; "</t>
        </is>
      </c>
      <c r="L125" s="167">
        <f>Закуп!AA125</f>
        <v/>
      </c>
      <c r="M125" s="166" t="inlineStr">
        <is>
          <t>", 'sale' =&gt; "</t>
        </is>
      </c>
      <c r="N125" s="166">
        <f>IF(Закуп!L125="",0,Закуп!L125)</f>
        <v/>
      </c>
      <c r="O125" s="166" t="inlineStr">
        <is>
          <t>" ],</t>
        </is>
      </c>
      <c r="P125" s="144">
        <f>Закуп!N125</f>
        <v/>
      </c>
      <c r="Q125" s="210">
        <f>CONCATENATE(A125,B125,",",C125,",",D125,E125,F125,",",G125,",",H125,",",I125,",",J125,K125,L125,M125,N125,O125,)</f>
        <v/>
      </c>
    </row>
    <row r="126">
      <c r="A126" s="166" t="inlineStr">
        <is>
          <t xml:space="preserve">        [ 'dims' =&gt; [</t>
        </is>
      </c>
      <c r="B126" s="166">
        <f>Закуп!R126</f>
        <v/>
      </c>
      <c r="C126" s="166">
        <f>Закуп!S126</f>
        <v/>
      </c>
      <c r="D126" s="166">
        <f>Закуп!T126</f>
        <v/>
      </c>
      <c r="E126" s="166" t="inlineStr">
        <is>
          <t>], 'prices' =&gt; [</t>
        </is>
      </c>
      <c r="F126" s="167">
        <f>SUBSTITUTE(INDEX(Calc!$K:$K,(ROW(A125)-1)*5+COLUMN(A125)+1),",",".")</f>
        <v/>
      </c>
      <c r="G126" s="167">
        <f>SUBSTITUTE(INDEX(Calc!$K:$K,(ROW(B125)-1)*5+COLUMN(B125)+1),",",".")</f>
        <v/>
      </c>
      <c r="H126" s="167">
        <f>SUBSTITUTE(INDEX(Calc!$K:$K,(ROW(C125)-1)*5+COLUMN(C125)+1),",",".")</f>
        <v/>
      </c>
      <c r="I126" s="167">
        <f>SUBSTITUTE(INDEX(Calc!$K:$K,(ROW(D125)-1)*5+COLUMN(D125)+1),",",".")</f>
        <v/>
      </c>
      <c r="J126" s="167">
        <f>SUBSTITUTE(INDEX(Calc!$K:$K,(ROW(E125)-1)*5+COLUMN(E125)+1),",",".")</f>
        <v/>
      </c>
      <c r="K126" s="166" t="inlineStr">
        <is>
          <t>], 'type' =&gt; "</t>
        </is>
      </c>
      <c r="L126" s="167">
        <f>Закуп!AA126</f>
        <v/>
      </c>
      <c r="M126" s="166" t="inlineStr">
        <is>
          <t>", 'sale' =&gt; "</t>
        </is>
      </c>
      <c r="N126" s="166">
        <f>IF(Закуп!L126="",0,Закуп!L126)</f>
        <v/>
      </c>
      <c r="O126" s="166" t="inlineStr">
        <is>
          <t>" ],</t>
        </is>
      </c>
      <c r="P126" s="144">
        <f>Закуп!N126</f>
        <v/>
      </c>
      <c r="Q126" s="210">
        <f>CONCATENATE(A126,B126,",",C126,",",D126,E126,F126,",",G126,",",H126,",",I126,",",J126,K126,L126,M126,N126,O126,)</f>
        <v/>
      </c>
    </row>
    <row r="127">
      <c r="A127" s="166" t="inlineStr">
        <is>
          <t xml:space="preserve">        [ 'dims' =&gt; [</t>
        </is>
      </c>
      <c r="B127" s="166">
        <f>Закуп!R127</f>
        <v/>
      </c>
      <c r="C127" s="166">
        <f>Закуп!S127</f>
        <v/>
      </c>
      <c r="D127" s="166">
        <f>Закуп!T127</f>
        <v/>
      </c>
      <c r="E127" s="166" t="inlineStr">
        <is>
          <t>], 'prices' =&gt; [</t>
        </is>
      </c>
      <c r="F127" s="167">
        <f>SUBSTITUTE(INDEX(Calc!$K:$K,(ROW(A126)-1)*5+COLUMN(A126)+1),",",".")</f>
        <v/>
      </c>
      <c r="G127" s="167">
        <f>SUBSTITUTE(INDEX(Calc!$K:$K,(ROW(B126)-1)*5+COLUMN(B126)+1),",",".")</f>
        <v/>
      </c>
      <c r="H127" s="167">
        <f>SUBSTITUTE(INDEX(Calc!$K:$K,(ROW(C126)-1)*5+COLUMN(C126)+1),",",".")</f>
        <v/>
      </c>
      <c r="I127" s="167">
        <f>SUBSTITUTE(INDEX(Calc!$K:$K,(ROW(D126)-1)*5+COLUMN(D126)+1),",",".")</f>
        <v/>
      </c>
      <c r="J127" s="167">
        <f>SUBSTITUTE(INDEX(Calc!$K:$K,(ROW(E126)-1)*5+COLUMN(E126)+1),",",".")</f>
        <v/>
      </c>
      <c r="K127" s="166" t="inlineStr">
        <is>
          <t>], 'type' =&gt; "</t>
        </is>
      </c>
      <c r="L127" s="167">
        <f>Закуп!AA127</f>
        <v/>
      </c>
      <c r="M127" s="166" t="inlineStr">
        <is>
          <t>", 'sale' =&gt; "</t>
        </is>
      </c>
      <c r="N127" s="166">
        <f>IF(Закуп!L127="",0,Закуп!L127)</f>
        <v/>
      </c>
      <c r="O127" s="166" t="inlineStr">
        <is>
          <t>" ],</t>
        </is>
      </c>
      <c r="P127" s="144">
        <f>Закуп!N127</f>
        <v/>
      </c>
      <c r="Q127" s="210">
        <f>CONCATENATE(A127,B127,",",C127,",",D127,E127,F127,",",G127,",",H127,",",I127,",",J127,K127,L127,M127,N127,O127,)</f>
        <v/>
      </c>
    </row>
    <row r="128">
      <c r="A128" s="166" t="inlineStr">
        <is>
          <t xml:space="preserve">        [ 'dims' =&gt; [</t>
        </is>
      </c>
      <c r="B128" s="166">
        <f>Закуп!R128</f>
        <v/>
      </c>
      <c r="C128" s="166">
        <f>Закуп!S128</f>
        <v/>
      </c>
      <c r="D128" s="166">
        <f>Закуп!T128</f>
        <v/>
      </c>
      <c r="E128" s="166" t="inlineStr">
        <is>
          <t>], 'prices' =&gt; [</t>
        </is>
      </c>
      <c r="F128" s="167">
        <f>SUBSTITUTE(INDEX(Calc!$K:$K,(ROW(A127)-1)*5+COLUMN(A127)+1),",",".")</f>
        <v/>
      </c>
      <c r="G128" s="167">
        <f>SUBSTITUTE(INDEX(Calc!$K:$K,(ROW(B127)-1)*5+COLUMN(B127)+1),",",".")</f>
        <v/>
      </c>
      <c r="H128" s="167">
        <f>SUBSTITUTE(INDEX(Calc!$K:$K,(ROW(C127)-1)*5+COLUMN(C127)+1),",",".")</f>
        <v/>
      </c>
      <c r="I128" s="167">
        <f>SUBSTITUTE(INDEX(Calc!$K:$K,(ROW(D127)-1)*5+COLUMN(D127)+1),",",".")</f>
        <v/>
      </c>
      <c r="J128" s="167">
        <f>SUBSTITUTE(INDEX(Calc!$K:$K,(ROW(E127)-1)*5+COLUMN(E127)+1),",",".")</f>
        <v/>
      </c>
      <c r="K128" s="166" t="inlineStr">
        <is>
          <t>], 'type' =&gt; "</t>
        </is>
      </c>
      <c r="L128" s="167">
        <f>Закуп!AA128</f>
        <v/>
      </c>
      <c r="M128" s="166" t="inlineStr">
        <is>
          <t>", 'sale' =&gt; "</t>
        </is>
      </c>
      <c r="N128" s="166">
        <f>IF(Закуп!L128="",0,Закуп!L128)</f>
        <v/>
      </c>
      <c r="O128" s="166" t="inlineStr">
        <is>
          <t>" ],</t>
        </is>
      </c>
      <c r="P128" s="144">
        <f>Закуп!N128</f>
        <v/>
      </c>
      <c r="Q128" s="210">
        <f>CONCATENATE(A128,B128,",",C128,",",D128,E128,F128,",",G128,",",H128,",",I128,",",J128,K128,L128,M128,N128,O128,)</f>
        <v/>
      </c>
    </row>
    <row r="129">
      <c r="A129" s="166" t="inlineStr">
        <is>
          <t xml:space="preserve">        [ 'dims' =&gt; [</t>
        </is>
      </c>
      <c r="B129" s="166">
        <f>Закуп!R129</f>
        <v/>
      </c>
      <c r="C129" s="166">
        <f>Закуп!S129</f>
        <v/>
      </c>
      <c r="D129" s="166">
        <f>Закуп!T129</f>
        <v/>
      </c>
      <c r="E129" s="166" t="inlineStr">
        <is>
          <t>], 'prices' =&gt; [</t>
        </is>
      </c>
      <c r="F129" s="167">
        <f>SUBSTITUTE(INDEX(Calc!$K:$K,(ROW(A128)-1)*5+COLUMN(A128)+1),",",".")</f>
        <v/>
      </c>
      <c r="G129" s="167">
        <f>SUBSTITUTE(INDEX(Calc!$K:$K,(ROW(B128)-1)*5+COLUMN(B128)+1),",",".")</f>
        <v/>
      </c>
      <c r="H129" s="167">
        <f>SUBSTITUTE(INDEX(Calc!$K:$K,(ROW(C128)-1)*5+COLUMN(C128)+1),",",".")</f>
        <v/>
      </c>
      <c r="I129" s="167">
        <f>SUBSTITUTE(INDEX(Calc!$K:$K,(ROW(D128)-1)*5+COLUMN(D128)+1),",",".")</f>
        <v/>
      </c>
      <c r="J129" s="167">
        <f>SUBSTITUTE(INDEX(Calc!$K:$K,(ROW(E128)-1)*5+COLUMN(E128)+1),",",".")</f>
        <v/>
      </c>
      <c r="K129" s="166" t="inlineStr">
        <is>
          <t>], 'type' =&gt; "</t>
        </is>
      </c>
      <c r="L129" s="167">
        <f>Закуп!AA129</f>
        <v/>
      </c>
      <c r="M129" s="166" t="inlineStr">
        <is>
          <t>", 'sale' =&gt; "</t>
        </is>
      </c>
      <c r="N129" s="166">
        <f>IF(Закуп!L129="",0,Закуп!L129)</f>
        <v/>
      </c>
      <c r="O129" s="166" t="inlineStr">
        <is>
          <t>" ],</t>
        </is>
      </c>
      <c r="P129" s="144">
        <f>Закуп!N129</f>
        <v/>
      </c>
      <c r="Q129" s="210">
        <f>CONCATENATE(A129,B129,",",C129,",",D129,E129,F129,",",G129,",",H129,",",I129,",",J129,K129,L129,M129,N129,O129,)</f>
        <v/>
      </c>
    </row>
    <row r="130">
      <c r="A130" s="166" t="inlineStr">
        <is>
          <t xml:space="preserve">        [ 'dims' =&gt; [</t>
        </is>
      </c>
      <c r="B130" s="166">
        <f>Закуп!R130</f>
        <v/>
      </c>
      <c r="C130" s="166">
        <f>Закуп!S130</f>
        <v/>
      </c>
      <c r="D130" s="166">
        <f>Закуп!T130</f>
        <v/>
      </c>
      <c r="E130" s="166" t="inlineStr">
        <is>
          <t>], 'prices' =&gt; [</t>
        </is>
      </c>
      <c r="F130" s="167">
        <f>SUBSTITUTE(INDEX(Calc!$K:$K,(ROW(A129)-1)*5+COLUMN(A129)+1),",",".")</f>
        <v/>
      </c>
      <c r="G130" s="167">
        <f>SUBSTITUTE(INDEX(Calc!$K:$K,(ROW(B129)-1)*5+COLUMN(B129)+1),",",".")</f>
        <v/>
      </c>
      <c r="H130" s="167">
        <f>SUBSTITUTE(INDEX(Calc!$K:$K,(ROW(C129)-1)*5+COLUMN(C129)+1),",",".")</f>
        <v/>
      </c>
      <c r="I130" s="167">
        <f>SUBSTITUTE(INDEX(Calc!$K:$K,(ROW(D129)-1)*5+COLUMN(D129)+1),",",".")</f>
        <v/>
      </c>
      <c r="J130" s="167">
        <f>SUBSTITUTE(INDEX(Calc!$K:$K,(ROW(E129)-1)*5+COLUMN(E129)+1),",",".")</f>
        <v/>
      </c>
      <c r="K130" s="166" t="inlineStr">
        <is>
          <t>], 'type' =&gt; "</t>
        </is>
      </c>
      <c r="L130" s="167">
        <f>Закуп!AA130</f>
        <v/>
      </c>
      <c r="M130" s="166" t="inlineStr">
        <is>
          <t>", 'sale' =&gt; "</t>
        </is>
      </c>
      <c r="N130" s="166">
        <f>IF(Закуп!L130="",0,Закуп!L130)</f>
        <v/>
      </c>
      <c r="O130" s="166" t="inlineStr">
        <is>
          <t>" ],</t>
        </is>
      </c>
      <c r="P130" s="144">
        <f>Закуп!N130</f>
        <v/>
      </c>
      <c r="Q130" s="210">
        <f>CONCATENATE(A130,B130,",",C130,",",D130,E130,F130,",",G130,",",H130,",",I130,",",J130,K130,L130,M130,N130,O130,)</f>
        <v/>
      </c>
    </row>
    <row r="131">
      <c r="A131" s="166" t="inlineStr">
        <is>
          <t xml:space="preserve">        [ 'dims' =&gt; [</t>
        </is>
      </c>
      <c r="B131" s="166">
        <f>Закуп!R131</f>
        <v/>
      </c>
      <c r="C131" s="166">
        <f>Закуп!S131</f>
        <v/>
      </c>
      <c r="D131" s="166">
        <f>Закуп!T131</f>
        <v/>
      </c>
      <c r="E131" s="166" t="inlineStr">
        <is>
          <t>], 'prices' =&gt; [</t>
        </is>
      </c>
      <c r="F131" s="167">
        <f>SUBSTITUTE(INDEX(Calc!$K:$K,(ROW(A130)-1)*5+COLUMN(A130)+1),",",".")</f>
        <v/>
      </c>
      <c r="G131" s="167">
        <f>SUBSTITUTE(INDEX(Calc!$K:$K,(ROW(B130)-1)*5+COLUMN(B130)+1),",",".")</f>
        <v/>
      </c>
      <c r="H131" s="167">
        <f>SUBSTITUTE(INDEX(Calc!$K:$K,(ROW(C130)-1)*5+COLUMN(C130)+1),",",".")</f>
        <v/>
      </c>
      <c r="I131" s="167">
        <f>SUBSTITUTE(INDEX(Calc!$K:$K,(ROW(D130)-1)*5+COLUMN(D130)+1),",",".")</f>
        <v/>
      </c>
      <c r="J131" s="167">
        <f>SUBSTITUTE(INDEX(Calc!$K:$K,(ROW(E130)-1)*5+COLUMN(E130)+1),",",".")</f>
        <v/>
      </c>
      <c r="K131" s="166" t="inlineStr">
        <is>
          <t>], 'type' =&gt; "</t>
        </is>
      </c>
      <c r="L131" s="167">
        <f>Закуп!AA131</f>
        <v/>
      </c>
      <c r="M131" s="166" t="inlineStr">
        <is>
          <t>", 'sale' =&gt; "</t>
        </is>
      </c>
      <c r="N131" s="166">
        <f>IF(Закуп!L131="",0,Закуп!L131)</f>
        <v/>
      </c>
      <c r="O131" s="166" t="inlineStr">
        <is>
          <t>" ],</t>
        </is>
      </c>
      <c r="P131" s="144">
        <f>Закуп!N131</f>
        <v/>
      </c>
      <c r="Q131" s="210">
        <f>CONCATENATE(A131,B131,",",C131,",",D131,E131,F131,",",G131,",",H131,",",I131,",",J131,K131,L131,M131,N131,O131,)</f>
        <v/>
      </c>
    </row>
    <row r="132">
      <c r="A132" s="166" t="inlineStr">
        <is>
          <t xml:space="preserve">        [ 'dims' =&gt; [</t>
        </is>
      </c>
      <c r="B132" s="166">
        <f>Закуп!R132</f>
        <v/>
      </c>
      <c r="C132" s="166">
        <f>Закуп!S132</f>
        <v/>
      </c>
      <c r="D132" s="166">
        <f>Закуп!T132</f>
        <v/>
      </c>
      <c r="E132" s="166" t="inlineStr">
        <is>
          <t>], 'prices' =&gt; [</t>
        </is>
      </c>
      <c r="F132" s="167">
        <f>SUBSTITUTE(INDEX(Calc!$K:$K,(ROW(A131)-1)*5+COLUMN(A131)+1),",",".")</f>
        <v/>
      </c>
      <c r="G132" s="167">
        <f>SUBSTITUTE(INDEX(Calc!$K:$K,(ROW(B131)-1)*5+COLUMN(B131)+1),",",".")</f>
        <v/>
      </c>
      <c r="H132" s="167">
        <f>SUBSTITUTE(INDEX(Calc!$K:$K,(ROW(C131)-1)*5+COLUMN(C131)+1),",",".")</f>
        <v/>
      </c>
      <c r="I132" s="167">
        <f>SUBSTITUTE(INDEX(Calc!$K:$K,(ROW(D131)-1)*5+COLUMN(D131)+1),",",".")</f>
        <v/>
      </c>
      <c r="J132" s="167">
        <f>SUBSTITUTE(INDEX(Calc!$K:$K,(ROW(E131)-1)*5+COLUMN(E131)+1),",",".")</f>
        <v/>
      </c>
      <c r="K132" s="166" t="inlineStr">
        <is>
          <t>], 'type' =&gt; "</t>
        </is>
      </c>
      <c r="L132" s="167">
        <f>Закуп!AA132</f>
        <v/>
      </c>
      <c r="M132" s="166" t="inlineStr">
        <is>
          <t>", 'sale' =&gt; "</t>
        </is>
      </c>
      <c r="N132" s="166">
        <f>IF(Закуп!L132="",0,Закуп!L132)</f>
        <v/>
      </c>
      <c r="O132" s="166" t="inlineStr">
        <is>
          <t>" ],</t>
        </is>
      </c>
      <c r="P132" s="144">
        <f>Закуп!N132</f>
        <v/>
      </c>
      <c r="Q132" s="210">
        <f>CONCATENATE(A132,B132,",",C132,",",D132,E132,F132,",",G132,",",H132,",",I132,",",J132,K132,L132,M132,N132,O132,)</f>
        <v/>
      </c>
    </row>
    <row r="133">
      <c r="A133" s="166" t="inlineStr">
        <is>
          <t xml:space="preserve">        [ 'dims' =&gt; [</t>
        </is>
      </c>
      <c r="B133" s="166">
        <f>Закуп!R133</f>
        <v/>
      </c>
      <c r="C133" s="166">
        <f>Закуп!S133</f>
        <v/>
      </c>
      <c r="D133" s="166">
        <f>Закуп!T133</f>
        <v/>
      </c>
      <c r="E133" s="166" t="inlineStr">
        <is>
          <t>], 'prices' =&gt; [</t>
        </is>
      </c>
      <c r="F133" s="167">
        <f>SUBSTITUTE(INDEX(Calc!$K:$K,(ROW(A132)-1)*5+COLUMN(A132)+1),",",".")</f>
        <v/>
      </c>
      <c r="G133" s="167">
        <f>SUBSTITUTE(INDEX(Calc!$K:$K,(ROW(B132)-1)*5+COLUMN(B132)+1),",",".")</f>
        <v/>
      </c>
      <c r="H133" s="167">
        <f>SUBSTITUTE(INDEX(Calc!$K:$K,(ROW(C132)-1)*5+COLUMN(C132)+1),",",".")</f>
        <v/>
      </c>
      <c r="I133" s="167">
        <f>SUBSTITUTE(INDEX(Calc!$K:$K,(ROW(D132)-1)*5+COLUMN(D132)+1),",",".")</f>
        <v/>
      </c>
      <c r="J133" s="167">
        <f>SUBSTITUTE(INDEX(Calc!$K:$K,(ROW(E132)-1)*5+COLUMN(E132)+1),",",".")</f>
        <v/>
      </c>
      <c r="K133" s="166" t="inlineStr">
        <is>
          <t>], 'type' =&gt; "</t>
        </is>
      </c>
      <c r="L133" s="167">
        <f>Закуп!AA133</f>
        <v/>
      </c>
      <c r="M133" s="166" t="inlineStr">
        <is>
          <t>", 'sale' =&gt; "</t>
        </is>
      </c>
      <c r="N133" s="166">
        <f>IF(Закуп!L133="",0,Закуп!L133)</f>
        <v/>
      </c>
      <c r="O133" s="166" t="inlineStr">
        <is>
          <t>" ],</t>
        </is>
      </c>
      <c r="P133" s="144">
        <f>Закуп!N133</f>
        <v/>
      </c>
      <c r="Q133" s="210">
        <f>CONCATENATE(A133,B133,",",C133,",",D133,E133,F133,",",G133,",",H133,",",I133,",",J133,K133,L133,M133,N133,O133,)</f>
        <v/>
      </c>
    </row>
    <row r="134">
      <c r="A134" s="166" t="inlineStr">
        <is>
          <t xml:space="preserve">        [ 'dims' =&gt; [</t>
        </is>
      </c>
      <c r="B134" s="166">
        <f>Закуп!R134</f>
        <v/>
      </c>
      <c r="C134" s="166">
        <f>Закуп!S134</f>
        <v/>
      </c>
      <c r="D134" s="166">
        <f>Закуп!T134</f>
        <v/>
      </c>
      <c r="E134" s="166" t="inlineStr">
        <is>
          <t>], 'prices' =&gt; [</t>
        </is>
      </c>
      <c r="F134" s="167">
        <f>SUBSTITUTE(INDEX(Calc!$K:$K,(ROW(A133)-1)*5+COLUMN(A133)+1),",",".")</f>
        <v/>
      </c>
      <c r="G134" s="167">
        <f>SUBSTITUTE(INDEX(Calc!$K:$K,(ROW(B133)-1)*5+COLUMN(B133)+1),",",".")</f>
        <v/>
      </c>
      <c r="H134" s="167">
        <f>SUBSTITUTE(INDEX(Calc!$K:$K,(ROW(C133)-1)*5+COLUMN(C133)+1),",",".")</f>
        <v/>
      </c>
      <c r="I134" s="167">
        <f>SUBSTITUTE(INDEX(Calc!$K:$K,(ROW(D133)-1)*5+COLUMN(D133)+1),",",".")</f>
        <v/>
      </c>
      <c r="J134" s="167">
        <f>SUBSTITUTE(INDEX(Calc!$K:$K,(ROW(E133)-1)*5+COLUMN(E133)+1),",",".")</f>
        <v/>
      </c>
      <c r="K134" s="166" t="inlineStr">
        <is>
          <t>], 'type' =&gt; "</t>
        </is>
      </c>
      <c r="L134" s="167">
        <f>Закуп!AA134</f>
        <v/>
      </c>
      <c r="M134" s="166" t="inlineStr">
        <is>
          <t>", 'sale' =&gt; "</t>
        </is>
      </c>
      <c r="N134" s="166">
        <f>IF(Закуп!L134="",0,Закуп!L134)</f>
        <v/>
      </c>
      <c r="O134" s="166" t="inlineStr">
        <is>
          <t>" ],</t>
        </is>
      </c>
      <c r="P134" s="144">
        <f>Закуп!N134</f>
        <v/>
      </c>
      <c r="Q134" s="210">
        <f>CONCATENATE(A134,B134,",",C134,",",D134,E134,F134,",",G134,",",H134,",",I134,",",J134,K134,L134,M134,N134,O134,)</f>
        <v/>
      </c>
    </row>
    <row r="135">
      <c r="A135" s="166" t="inlineStr">
        <is>
          <t xml:space="preserve">        [ 'dims' =&gt; [</t>
        </is>
      </c>
      <c r="B135" s="166">
        <f>Закуп!R135</f>
        <v/>
      </c>
      <c r="C135" s="166">
        <f>Закуп!S135</f>
        <v/>
      </c>
      <c r="D135" s="166">
        <f>Закуп!T135</f>
        <v/>
      </c>
      <c r="E135" s="166" t="inlineStr">
        <is>
          <t>], 'prices' =&gt; [</t>
        </is>
      </c>
      <c r="F135" s="167">
        <f>SUBSTITUTE(INDEX(Calc!$K:$K,(ROW(A134)-1)*5+COLUMN(A134)+1),",",".")</f>
        <v/>
      </c>
      <c r="G135" s="167">
        <f>SUBSTITUTE(INDEX(Calc!$K:$K,(ROW(B134)-1)*5+COLUMN(B134)+1),",",".")</f>
        <v/>
      </c>
      <c r="H135" s="167">
        <f>SUBSTITUTE(INDEX(Calc!$K:$K,(ROW(C134)-1)*5+COLUMN(C134)+1),",",".")</f>
        <v/>
      </c>
      <c r="I135" s="167">
        <f>SUBSTITUTE(INDEX(Calc!$K:$K,(ROW(D134)-1)*5+COLUMN(D134)+1),",",".")</f>
        <v/>
      </c>
      <c r="J135" s="167">
        <f>SUBSTITUTE(INDEX(Calc!$K:$K,(ROW(E134)-1)*5+COLUMN(E134)+1),",",".")</f>
        <v/>
      </c>
      <c r="K135" s="166" t="inlineStr">
        <is>
          <t>], 'type' =&gt; "</t>
        </is>
      </c>
      <c r="L135" s="167">
        <f>Закуп!AA135</f>
        <v/>
      </c>
      <c r="M135" s="166" t="inlineStr">
        <is>
          <t>", 'sale' =&gt; "</t>
        </is>
      </c>
      <c r="N135" s="166">
        <f>IF(Закуп!L135="",0,Закуп!L135)</f>
        <v/>
      </c>
      <c r="O135" s="166" t="inlineStr">
        <is>
          <t>" ],</t>
        </is>
      </c>
      <c r="P135" s="144">
        <f>Закуп!N135</f>
        <v/>
      </c>
      <c r="Q135" s="210">
        <f>CONCATENATE(A135,B135,",",C135,",",D135,E135,F135,",",G135,",",H135,",",I135,",",J135,K135,L135,M135,N135,O135,)</f>
        <v/>
      </c>
    </row>
    <row r="136">
      <c r="A136" s="166" t="inlineStr">
        <is>
          <t xml:space="preserve">        [ 'dims' =&gt; [</t>
        </is>
      </c>
      <c r="B136" s="166">
        <f>Закуп!R136</f>
        <v/>
      </c>
      <c r="C136" s="166">
        <f>Закуп!S136</f>
        <v/>
      </c>
      <c r="D136" s="166">
        <f>Закуп!T136</f>
        <v/>
      </c>
      <c r="E136" s="166" t="inlineStr">
        <is>
          <t>], 'prices' =&gt; [</t>
        </is>
      </c>
      <c r="F136" s="167">
        <f>SUBSTITUTE(INDEX(Calc!$K:$K,(ROW(A135)-1)*5+COLUMN(A135)+1),",",".")</f>
        <v/>
      </c>
      <c r="G136" s="167">
        <f>SUBSTITUTE(INDEX(Calc!$K:$K,(ROW(B135)-1)*5+COLUMN(B135)+1),",",".")</f>
        <v/>
      </c>
      <c r="H136" s="167">
        <f>SUBSTITUTE(INDEX(Calc!$K:$K,(ROW(C135)-1)*5+COLUMN(C135)+1),",",".")</f>
        <v/>
      </c>
      <c r="I136" s="167">
        <f>SUBSTITUTE(INDEX(Calc!$K:$K,(ROW(D135)-1)*5+COLUMN(D135)+1),",",".")</f>
        <v/>
      </c>
      <c r="J136" s="167">
        <f>SUBSTITUTE(INDEX(Calc!$K:$K,(ROW(E135)-1)*5+COLUMN(E135)+1),",",".")</f>
        <v/>
      </c>
      <c r="K136" s="166" t="inlineStr">
        <is>
          <t>], 'type' =&gt; "</t>
        </is>
      </c>
      <c r="L136" s="167">
        <f>Закуп!AA136</f>
        <v/>
      </c>
      <c r="M136" s="166" t="inlineStr">
        <is>
          <t>", 'sale' =&gt; "</t>
        </is>
      </c>
      <c r="N136" s="166">
        <f>IF(Закуп!L136="",0,Закуп!L136)</f>
        <v/>
      </c>
      <c r="O136" s="166" t="inlineStr">
        <is>
          <t>" ],</t>
        </is>
      </c>
      <c r="P136" s="144">
        <f>Закуп!N136</f>
        <v/>
      </c>
      <c r="Q136" s="210">
        <f>CONCATENATE(A136,B136,",",C136,",",D136,E136,F136,",",G136,",",H136,",",I136,",",J136,K136,L136,M136,N136,O136,)</f>
        <v/>
      </c>
    </row>
    <row r="137">
      <c r="A137" s="166" t="inlineStr">
        <is>
          <t xml:space="preserve">        [ 'dims' =&gt; [</t>
        </is>
      </c>
      <c r="B137" s="166">
        <f>Закуп!R137</f>
        <v/>
      </c>
      <c r="C137" s="166">
        <f>Закуп!S137</f>
        <v/>
      </c>
      <c r="D137" s="166">
        <f>Закуп!T137</f>
        <v/>
      </c>
      <c r="E137" s="166" t="inlineStr">
        <is>
          <t>], 'prices' =&gt; [</t>
        </is>
      </c>
      <c r="F137" s="167">
        <f>SUBSTITUTE(INDEX(Calc!$K:$K,(ROW(A136)-1)*5+COLUMN(A136)+1),",",".")</f>
        <v/>
      </c>
      <c r="G137" s="167">
        <f>SUBSTITUTE(INDEX(Calc!$K:$K,(ROW(B136)-1)*5+COLUMN(B136)+1),",",".")</f>
        <v/>
      </c>
      <c r="H137" s="167">
        <f>SUBSTITUTE(INDEX(Calc!$K:$K,(ROW(C136)-1)*5+COLUMN(C136)+1),",",".")</f>
        <v/>
      </c>
      <c r="I137" s="167">
        <f>SUBSTITUTE(INDEX(Calc!$K:$K,(ROW(D136)-1)*5+COLUMN(D136)+1),",",".")</f>
        <v/>
      </c>
      <c r="J137" s="167">
        <f>SUBSTITUTE(INDEX(Calc!$K:$K,(ROW(E136)-1)*5+COLUMN(E136)+1),",",".")</f>
        <v/>
      </c>
      <c r="K137" s="166" t="inlineStr">
        <is>
          <t>], 'type' =&gt; "</t>
        </is>
      </c>
      <c r="L137" s="167">
        <f>Закуп!AA137</f>
        <v/>
      </c>
      <c r="M137" s="166" t="inlineStr">
        <is>
          <t>", 'sale' =&gt; "</t>
        </is>
      </c>
      <c r="N137" s="166">
        <f>IF(Закуп!L137="",0,Закуп!L137)</f>
        <v/>
      </c>
      <c r="O137" s="166" t="inlineStr">
        <is>
          <t>" ],</t>
        </is>
      </c>
      <c r="P137" s="144">
        <f>Закуп!N137</f>
        <v/>
      </c>
      <c r="Q137" s="210">
        <f>CONCATENATE(A137,B137,",",C137,",",D137,E137,F137,",",G137,",",H137,",",I137,",",J137,K137,L137,M137,N137,O137,)</f>
        <v/>
      </c>
    </row>
    <row r="138">
      <c r="A138" s="166" t="inlineStr">
        <is>
          <t xml:space="preserve">        [ 'dims' =&gt; [</t>
        </is>
      </c>
      <c r="B138" s="166">
        <f>Закуп!R138</f>
        <v/>
      </c>
      <c r="C138" s="166">
        <f>Закуп!S138</f>
        <v/>
      </c>
      <c r="D138" s="166">
        <f>Закуп!T138</f>
        <v/>
      </c>
      <c r="E138" s="166" t="inlineStr">
        <is>
          <t>], 'prices' =&gt; [</t>
        </is>
      </c>
      <c r="F138" s="167">
        <f>SUBSTITUTE(INDEX(Calc!$K:$K,(ROW(A137)-1)*5+COLUMN(A137)+1),",",".")</f>
        <v/>
      </c>
      <c r="G138" s="167">
        <f>SUBSTITUTE(INDEX(Calc!$K:$K,(ROW(B137)-1)*5+COLUMN(B137)+1),",",".")</f>
        <v/>
      </c>
      <c r="H138" s="167">
        <f>SUBSTITUTE(INDEX(Calc!$K:$K,(ROW(C137)-1)*5+COLUMN(C137)+1),",",".")</f>
        <v/>
      </c>
      <c r="I138" s="167">
        <f>SUBSTITUTE(INDEX(Calc!$K:$K,(ROW(D137)-1)*5+COLUMN(D137)+1),",",".")</f>
        <v/>
      </c>
      <c r="J138" s="167">
        <f>SUBSTITUTE(INDEX(Calc!$K:$K,(ROW(E137)-1)*5+COLUMN(E137)+1),",",".")</f>
        <v/>
      </c>
      <c r="K138" s="166" t="inlineStr">
        <is>
          <t>], 'type' =&gt; "</t>
        </is>
      </c>
      <c r="L138" s="167">
        <f>Закуп!AA138</f>
        <v/>
      </c>
      <c r="M138" s="166" t="inlineStr">
        <is>
          <t>", 'sale' =&gt; "</t>
        </is>
      </c>
      <c r="N138" s="166">
        <f>IF(Закуп!L138="",0,Закуп!L138)</f>
        <v/>
      </c>
      <c r="O138" s="166" t="inlineStr">
        <is>
          <t>" ],</t>
        </is>
      </c>
      <c r="P138" s="144">
        <f>Закуп!N138</f>
        <v/>
      </c>
      <c r="Q138" s="210">
        <f>CONCATENATE(A138,B138,",",C138,",",D138,E138,F138,",",G138,",",H138,",",I138,",",J138,K138,L138,M138,N138,O138,)</f>
        <v/>
      </c>
    </row>
    <row r="139">
      <c r="A139" s="166" t="inlineStr">
        <is>
          <t xml:space="preserve">        [ 'dims' =&gt; [</t>
        </is>
      </c>
      <c r="B139" s="166">
        <f>Закуп!R139</f>
        <v/>
      </c>
      <c r="C139" s="166">
        <f>Закуп!S139</f>
        <v/>
      </c>
      <c r="D139" s="166">
        <f>Закуп!T139</f>
        <v/>
      </c>
      <c r="E139" s="166" t="inlineStr">
        <is>
          <t>], 'prices' =&gt; [</t>
        </is>
      </c>
      <c r="F139" s="167">
        <f>SUBSTITUTE(INDEX(Calc!$K:$K,(ROW(A138)-1)*5+COLUMN(A138)+1),",",".")</f>
        <v/>
      </c>
      <c r="G139" s="167">
        <f>SUBSTITUTE(INDEX(Calc!$K:$K,(ROW(B138)-1)*5+COLUMN(B138)+1),",",".")</f>
        <v/>
      </c>
      <c r="H139" s="167">
        <f>SUBSTITUTE(INDEX(Calc!$K:$K,(ROW(C138)-1)*5+COLUMN(C138)+1),",",".")</f>
        <v/>
      </c>
      <c r="I139" s="167">
        <f>SUBSTITUTE(INDEX(Calc!$K:$K,(ROW(D138)-1)*5+COLUMN(D138)+1),",",".")</f>
        <v/>
      </c>
      <c r="J139" s="167">
        <f>SUBSTITUTE(INDEX(Calc!$K:$K,(ROW(E138)-1)*5+COLUMN(E138)+1),",",".")</f>
        <v/>
      </c>
      <c r="K139" s="166" t="inlineStr">
        <is>
          <t>], 'type' =&gt; "</t>
        </is>
      </c>
      <c r="L139" s="167">
        <f>Закуп!AA139</f>
        <v/>
      </c>
      <c r="M139" s="166" t="inlineStr">
        <is>
          <t>", 'sale' =&gt; "</t>
        </is>
      </c>
      <c r="N139" s="166">
        <f>IF(Закуп!L139="",0,Закуп!L139)</f>
        <v/>
      </c>
      <c r="O139" s="166" t="inlineStr">
        <is>
          <t>" ],</t>
        </is>
      </c>
      <c r="P139" s="144">
        <f>Закуп!N139</f>
        <v/>
      </c>
      <c r="Q139" s="210">
        <f>CONCATENATE(A139,B139,",",C139,",",D139,E139,F139,",",G139,",",H139,",",I139,",",J139,K139,L139,M139,N139,O139,)</f>
        <v/>
      </c>
    </row>
    <row r="140">
      <c r="A140" s="166" t="inlineStr">
        <is>
          <t xml:space="preserve">        [ 'dims' =&gt; [</t>
        </is>
      </c>
      <c r="B140" s="166">
        <f>Закуп!R140</f>
        <v/>
      </c>
      <c r="C140" s="166">
        <f>Закуп!S140</f>
        <v/>
      </c>
      <c r="D140" s="166">
        <f>Закуп!T140</f>
        <v/>
      </c>
      <c r="E140" s="166" t="inlineStr">
        <is>
          <t>], 'prices' =&gt; [</t>
        </is>
      </c>
      <c r="F140" s="167">
        <f>SUBSTITUTE(INDEX(Calc!$K:$K,(ROW(A139)-1)*5+COLUMN(A139)+1),",",".")</f>
        <v/>
      </c>
      <c r="G140" s="167">
        <f>SUBSTITUTE(INDEX(Calc!$K:$K,(ROW(B139)-1)*5+COLUMN(B139)+1),",",".")</f>
        <v/>
      </c>
      <c r="H140" s="167">
        <f>SUBSTITUTE(INDEX(Calc!$K:$K,(ROW(C139)-1)*5+COLUMN(C139)+1),",",".")</f>
        <v/>
      </c>
      <c r="I140" s="167">
        <f>SUBSTITUTE(INDEX(Calc!$K:$K,(ROW(D139)-1)*5+COLUMN(D139)+1),",",".")</f>
        <v/>
      </c>
      <c r="J140" s="167">
        <f>SUBSTITUTE(INDEX(Calc!$K:$K,(ROW(E139)-1)*5+COLUMN(E139)+1),",",".")</f>
        <v/>
      </c>
      <c r="K140" s="166" t="inlineStr">
        <is>
          <t>], 'type' =&gt; "</t>
        </is>
      </c>
      <c r="L140" s="167">
        <f>Закуп!AA140</f>
        <v/>
      </c>
      <c r="M140" s="166" t="inlineStr">
        <is>
          <t>", 'sale' =&gt; "</t>
        </is>
      </c>
      <c r="N140" s="166">
        <f>IF(Закуп!L140="",0,Закуп!L140)</f>
        <v/>
      </c>
      <c r="O140" s="166" t="inlineStr">
        <is>
          <t>" ],</t>
        </is>
      </c>
      <c r="P140" s="144">
        <f>Закуп!N140</f>
        <v/>
      </c>
      <c r="Q140" s="210">
        <f>CONCATENATE(A140,B140,",",C140,",",D140,E140,F140,",",G140,",",H140,",",I140,",",J140,K140,L140,M140,N140,O140,)</f>
        <v/>
      </c>
    </row>
    <row r="141">
      <c r="A141" s="166" t="inlineStr">
        <is>
          <t xml:space="preserve">        [ 'dims' =&gt; [</t>
        </is>
      </c>
      <c r="B141" s="166">
        <f>Закуп!R141</f>
        <v/>
      </c>
      <c r="C141" s="166">
        <f>Закуп!S141</f>
        <v/>
      </c>
      <c r="D141" s="166">
        <f>Закуп!T141</f>
        <v/>
      </c>
      <c r="E141" s="166" t="inlineStr">
        <is>
          <t>], 'prices' =&gt; [</t>
        </is>
      </c>
      <c r="F141" s="167">
        <f>SUBSTITUTE(INDEX(Calc!$K:$K,(ROW(A140)-1)*5+COLUMN(A140)+1),",",".")</f>
        <v/>
      </c>
      <c r="G141" s="167">
        <f>SUBSTITUTE(INDEX(Calc!$K:$K,(ROW(B140)-1)*5+COLUMN(B140)+1),",",".")</f>
        <v/>
      </c>
      <c r="H141" s="167">
        <f>SUBSTITUTE(INDEX(Calc!$K:$K,(ROW(C140)-1)*5+COLUMN(C140)+1),",",".")</f>
        <v/>
      </c>
      <c r="I141" s="167">
        <f>SUBSTITUTE(INDEX(Calc!$K:$K,(ROW(D140)-1)*5+COLUMN(D140)+1),",",".")</f>
        <v/>
      </c>
      <c r="J141" s="167">
        <f>SUBSTITUTE(INDEX(Calc!$K:$K,(ROW(E140)-1)*5+COLUMN(E140)+1),",",".")</f>
        <v/>
      </c>
      <c r="K141" s="166" t="inlineStr">
        <is>
          <t>], 'type' =&gt; "</t>
        </is>
      </c>
      <c r="L141" s="167">
        <f>Закуп!AA141</f>
        <v/>
      </c>
      <c r="M141" s="166" t="inlineStr">
        <is>
          <t>", 'sale' =&gt; "</t>
        </is>
      </c>
      <c r="N141" s="166">
        <f>IF(Закуп!L141="",0,Закуп!L141)</f>
        <v/>
      </c>
      <c r="O141" s="166" t="inlineStr">
        <is>
          <t>" ],</t>
        </is>
      </c>
      <c r="P141" s="144">
        <f>Закуп!N141</f>
        <v/>
      </c>
      <c r="Q141" s="210">
        <f>CONCATENATE(A141,B141,",",C141,",",D141,E141,F141,",",G141,",",H141,",",I141,",",J141,K141,L141,M141,N141,O141,)</f>
        <v/>
      </c>
    </row>
    <row r="142">
      <c r="A142" s="166" t="inlineStr">
        <is>
          <t xml:space="preserve">        [ 'dims' =&gt; [</t>
        </is>
      </c>
      <c r="B142" s="166">
        <f>Закуп!R142</f>
        <v/>
      </c>
      <c r="C142" s="166">
        <f>Закуп!S142</f>
        <v/>
      </c>
      <c r="D142" s="166">
        <f>Закуп!T142</f>
        <v/>
      </c>
      <c r="E142" s="166" t="inlineStr">
        <is>
          <t>], 'prices' =&gt; [</t>
        </is>
      </c>
      <c r="F142" s="167">
        <f>SUBSTITUTE(INDEX(Calc!$K:$K,(ROW(A141)-1)*5+COLUMN(A141)+1),",",".")</f>
        <v/>
      </c>
      <c r="G142" s="167">
        <f>SUBSTITUTE(INDEX(Calc!$K:$K,(ROW(B141)-1)*5+COLUMN(B141)+1),",",".")</f>
        <v/>
      </c>
      <c r="H142" s="167">
        <f>SUBSTITUTE(INDEX(Calc!$K:$K,(ROW(C141)-1)*5+COLUMN(C141)+1),",",".")</f>
        <v/>
      </c>
      <c r="I142" s="167">
        <f>SUBSTITUTE(INDEX(Calc!$K:$K,(ROW(D141)-1)*5+COLUMN(D141)+1),",",".")</f>
        <v/>
      </c>
      <c r="J142" s="167">
        <f>SUBSTITUTE(INDEX(Calc!$K:$K,(ROW(E141)-1)*5+COLUMN(E141)+1),",",".")</f>
        <v/>
      </c>
      <c r="K142" s="166" t="inlineStr">
        <is>
          <t>], 'type' =&gt; "</t>
        </is>
      </c>
      <c r="L142" s="167">
        <f>Закуп!AA142</f>
        <v/>
      </c>
      <c r="M142" s="166" t="inlineStr">
        <is>
          <t>", 'sale' =&gt; "</t>
        </is>
      </c>
      <c r="N142" s="166">
        <f>IF(Закуп!L142="",0,Закуп!L142)</f>
        <v/>
      </c>
      <c r="O142" s="166" t="inlineStr">
        <is>
          <t>" ],</t>
        </is>
      </c>
      <c r="P142" s="144">
        <f>Закуп!N142</f>
        <v/>
      </c>
      <c r="Q142" s="210">
        <f>CONCATENATE(A142,B142,",",C142,",",D142,E142,F142,",",G142,",",H142,",",I142,",",J142,K142,L142,M142,N142,O142,)</f>
        <v/>
      </c>
    </row>
    <row r="143">
      <c r="A143" s="166" t="inlineStr">
        <is>
          <t xml:space="preserve">        [ 'dims' =&gt; [</t>
        </is>
      </c>
      <c r="B143" s="166">
        <f>Закуп!R143</f>
        <v/>
      </c>
      <c r="C143" s="166">
        <f>Закуп!S143</f>
        <v/>
      </c>
      <c r="D143" s="166">
        <f>Закуп!T143</f>
        <v/>
      </c>
      <c r="E143" s="166" t="inlineStr">
        <is>
          <t>], 'prices' =&gt; [</t>
        </is>
      </c>
      <c r="F143" s="167">
        <f>SUBSTITUTE(INDEX(Calc!$K:$K,(ROW(A142)-1)*5+COLUMN(A142)+1),",",".")</f>
        <v/>
      </c>
      <c r="G143" s="167">
        <f>SUBSTITUTE(INDEX(Calc!$K:$K,(ROW(B142)-1)*5+COLUMN(B142)+1),",",".")</f>
        <v/>
      </c>
      <c r="H143" s="167">
        <f>SUBSTITUTE(INDEX(Calc!$K:$K,(ROW(C142)-1)*5+COLUMN(C142)+1),",",".")</f>
        <v/>
      </c>
      <c r="I143" s="167">
        <f>SUBSTITUTE(INDEX(Calc!$K:$K,(ROW(D142)-1)*5+COLUMN(D142)+1),",",".")</f>
        <v/>
      </c>
      <c r="J143" s="167">
        <f>SUBSTITUTE(INDEX(Calc!$K:$K,(ROW(E142)-1)*5+COLUMN(E142)+1),",",".")</f>
        <v/>
      </c>
      <c r="K143" s="166" t="inlineStr">
        <is>
          <t>], 'type' =&gt; "</t>
        </is>
      </c>
      <c r="L143" s="167">
        <f>Закуп!AA143</f>
        <v/>
      </c>
      <c r="M143" s="166" t="inlineStr">
        <is>
          <t>", 'sale' =&gt; "</t>
        </is>
      </c>
      <c r="N143" s="166">
        <f>IF(Закуп!L143="",0,Закуп!L143)</f>
        <v/>
      </c>
      <c r="O143" s="166" t="inlineStr">
        <is>
          <t>" ],</t>
        </is>
      </c>
      <c r="P143" s="144">
        <f>Закуп!N143</f>
        <v/>
      </c>
      <c r="Q143" s="210">
        <f>CONCATENATE(A143,B143,",",C143,",",D143,E143,F143,",",G143,",",H143,",",I143,",",J143,K143,L143,M143,N143,O143,)</f>
        <v/>
      </c>
    </row>
    <row r="144">
      <c r="A144" s="166" t="inlineStr">
        <is>
          <t xml:space="preserve">        [ 'dims' =&gt; [</t>
        </is>
      </c>
      <c r="B144" s="166">
        <f>Закуп!R144</f>
        <v/>
      </c>
      <c r="C144" s="166">
        <f>Закуп!S144</f>
        <v/>
      </c>
      <c r="D144" s="166">
        <f>Закуп!T144</f>
        <v/>
      </c>
      <c r="E144" s="166" t="inlineStr">
        <is>
          <t>], 'prices' =&gt; [</t>
        </is>
      </c>
      <c r="F144" s="167">
        <f>SUBSTITUTE(INDEX(Calc!$K:$K,(ROW(A143)-1)*5+COLUMN(A143)+1),",",".")</f>
        <v/>
      </c>
      <c r="G144" s="167">
        <f>SUBSTITUTE(INDEX(Calc!$K:$K,(ROW(B143)-1)*5+COLUMN(B143)+1),",",".")</f>
        <v/>
      </c>
      <c r="H144" s="167">
        <f>SUBSTITUTE(INDEX(Calc!$K:$K,(ROW(C143)-1)*5+COLUMN(C143)+1),",",".")</f>
        <v/>
      </c>
      <c r="I144" s="167">
        <f>SUBSTITUTE(INDEX(Calc!$K:$K,(ROW(D143)-1)*5+COLUMN(D143)+1),",",".")</f>
        <v/>
      </c>
      <c r="J144" s="167">
        <f>SUBSTITUTE(INDEX(Calc!$K:$K,(ROW(E143)-1)*5+COLUMN(E143)+1),",",".")</f>
        <v/>
      </c>
      <c r="K144" s="166" t="inlineStr">
        <is>
          <t>], 'type' =&gt; "</t>
        </is>
      </c>
      <c r="L144" s="167">
        <f>Закуп!AA144</f>
        <v/>
      </c>
      <c r="M144" s="166" t="inlineStr">
        <is>
          <t>", 'sale' =&gt; "</t>
        </is>
      </c>
      <c r="N144" s="166">
        <f>IF(Закуп!L144="",0,Закуп!L144)</f>
        <v/>
      </c>
      <c r="O144" s="166" t="inlineStr">
        <is>
          <t>" ],</t>
        </is>
      </c>
      <c r="P144" s="144">
        <f>Закуп!N144</f>
        <v/>
      </c>
      <c r="Q144" s="210">
        <f>CONCATENATE(A144,B144,",",C144,",",D144,E144,F144,",",G144,",",H144,",",I144,",",J144,K144,L144,M144,N144,O144,)</f>
        <v/>
      </c>
    </row>
    <row r="145">
      <c r="A145" s="166" t="inlineStr">
        <is>
          <t xml:space="preserve">        [ 'dims' =&gt; [</t>
        </is>
      </c>
      <c r="B145" s="166">
        <f>Закуп!R145</f>
        <v/>
      </c>
      <c r="C145" s="166">
        <f>Закуп!S145</f>
        <v/>
      </c>
      <c r="D145" s="166">
        <f>Закуп!T145</f>
        <v/>
      </c>
      <c r="E145" s="166" t="inlineStr">
        <is>
          <t>], 'prices' =&gt; [</t>
        </is>
      </c>
      <c r="F145" s="167">
        <f>SUBSTITUTE(INDEX(Calc!$K:$K,(ROW(A144)-1)*5+COLUMN(A144)+1),",",".")</f>
        <v/>
      </c>
      <c r="G145" s="167">
        <f>SUBSTITUTE(INDEX(Calc!$K:$K,(ROW(B144)-1)*5+COLUMN(B144)+1),",",".")</f>
        <v/>
      </c>
      <c r="H145" s="167">
        <f>SUBSTITUTE(INDEX(Calc!$K:$K,(ROW(C144)-1)*5+COLUMN(C144)+1),",",".")</f>
        <v/>
      </c>
      <c r="I145" s="167">
        <f>SUBSTITUTE(INDEX(Calc!$K:$K,(ROW(D144)-1)*5+COLUMN(D144)+1),",",".")</f>
        <v/>
      </c>
      <c r="J145" s="167">
        <f>SUBSTITUTE(INDEX(Calc!$K:$K,(ROW(E144)-1)*5+COLUMN(E144)+1),",",".")</f>
        <v/>
      </c>
      <c r="K145" s="166" t="inlineStr">
        <is>
          <t>], 'type' =&gt; "</t>
        </is>
      </c>
      <c r="L145" s="167">
        <f>Закуп!AA145</f>
        <v/>
      </c>
      <c r="M145" s="166" t="inlineStr">
        <is>
          <t>", 'sale' =&gt; "</t>
        </is>
      </c>
      <c r="N145" s="166">
        <f>IF(Закуп!L145="",0,Закуп!L145)</f>
        <v/>
      </c>
      <c r="O145" s="166" t="inlineStr">
        <is>
          <t>" ],</t>
        </is>
      </c>
      <c r="P145" s="144">
        <f>Закуп!N145</f>
        <v/>
      </c>
      <c r="Q145" s="210">
        <f>CONCATENATE(A145,B145,",",C145,",",D145,E145,F145,",",G145,",",H145,",",I145,",",J145,K145,L145,M145,N145,O145,)</f>
        <v/>
      </c>
    </row>
    <row r="146">
      <c r="A146" s="166" t="inlineStr">
        <is>
          <t xml:space="preserve">        [ 'dims' =&gt; [</t>
        </is>
      </c>
      <c r="B146" s="166">
        <f>Закуп!R146</f>
        <v/>
      </c>
      <c r="C146" s="166">
        <f>Закуп!S146</f>
        <v/>
      </c>
      <c r="D146" s="166">
        <f>Закуп!T146</f>
        <v/>
      </c>
      <c r="E146" s="166" t="inlineStr">
        <is>
          <t>], 'prices' =&gt; [</t>
        </is>
      </c>
      <c r="F146" s="167">
        <f>SUBSTITUTE(INDEX(Calc!$K:$K,(ROW(A145)-1)*5+COLUMN(A145)+1),",",".")</f>
        <v/>
      </c>
      <c r="G146" s="167">
        <f>SUBSTITUTE(INDEX(Calc!$K:$K,(ROW(B145)-1)*5+COLUMN(B145)+1),",",".")</f>
        <v/>
      </c>
      <c r="H146" s="167">
        <f>SUBSTITUTE(INDEX(Calc!$K:$K,(ROW(C145)-1)*5+COLUMN(C145)+1),",",".")</f>
        <v/>
      </c>
      <c r="I146" s="167">
        <f>SUBSTITUTE(INDEX(Calc!$K:$K,(ROW(D145)-1)*5+COLUMN(D145)+1),",",".")</f>
        <v/>
      </c>
      <c r="J146" s="167">
        <f>SUBSTITUTE(INDEX(Calc!$K:$K,(ROW(E145)-1)*5+COLUMN(E145)+1),",",".")</f>
        <v/>
      </c>
      <c r="K146" s="166" t="inlineStr">
        <is>
          <t>], 'type' =&gt; "</t>
        </is>
      </c>
      <c r="L146" s="167">
        <f>Закуп!AA146</f>
        <v/>
      </c>
      <c r="M146" s="166" t="inlineStr">
        <is>
          <t>", 'sale' =&gt; "</t>
        </is>
      </c>
      <c r="N146" s="166">
        <f>IF(Закуп!L146="",0,Закуп!L146)</f>
        <v/>
      </c>
      <c r="O146" s="166" t="inlineStr">
        <is>
          <t>" ],</t>
        </is>
      </c>
      <c r="P146" s="144">
        <f>Закуп!N146</f>
        <v/>
      </c>
      <c r="Q146" s="210">
        <f>CONCATENATE(A146,B146,",",C146,",",D146,E146,F146,",",G146,",",H146,",",I146,",",J146,K146,L146,M146,N146,O146,)</f>
        <v/>
      </c>
    </row>
    <row r="147">
      <c r="A147" s="166" t="inlineStr">
        <is>
          <t xml:space="preserve">        [ 'dims' =&gt; [</t>
        </is>
      </c>
      <c r="B147" s="166">
        <f>Закуп!R147</f>
        <v/>
      </c>
      <c r="C147" s="166">
        <f>Закуп!S147</f>
        <v/>
      </c>
      <c r="D147" s="166">
        <f>Закуп!T147</f>
        <v/>
      </c>
      <c r="E147" s="166" t="inlineStr">
        <is>
          <t>], 'prices' =&gt; [</t>
        </is>
      </c>
      <c r="F147" s="167">
        <f>SUBSTITUTE(INDEX(Calc!$K:$K,(ROW(A146)-1)*5+COLUMN(A146)+1),",",".")</f>
        <v/>
      </c>
      <c r="G147" s="167">
        <f>SUBSTITUTE(INDEX(Calc!$K:$K,(ROW(B146)-1)*5+COLUMN(B146)+1),",",".")</f>
        <v/>
      </c>
      <c r="H147" s="167">
        <f>SUBSTITUTE(INDEX(Calc!$K:$K,(ROW(C146)-1)*5+COLUMN(C146)+1),",",".")</f>
        <v/>
      </c>
      <c r="I147" s="167">
        <f>SUBSTITUTE(INDEX(Calc!$K:$K,(ROW(D146)-1)*5+COLUMN(D146)+1),",",".")</f>
        <v/>
      </c>
      <c r="J147" s="167">
        <f>SUBSTITUTE(INDEX(Calc!$K:$K,(ROW(E146)-1)*5+COLUMN(E146)+1),",",".")</f>
        <v/>
      </c>
      <c r="K147" s="166" t="inlineStr">
        <is>
          <t>], 'type' =&gt; "</t>
        </is>
      </c>
      <c r="L147" s="167">
        <f>Закуп!AA147</f>
        <v/>
      </c>
      <c r="M147" s="166" t="inlineStr">
        <is>
          <t>", 'sale' =&gt; "</t>
        </is>
      </c>
      <c r="N147" s="166">
        <f>IF(Закуп!L147="",0,Закуп!L147)</f>
        <v/>
      </c>
      <c r="O147" s="166" t="inlineStr">
        <is>
          <t>" ],</t>
        </is>
      </c>
      <c r="P147" s="144">
        <f>Закуп!N147</f>
        <v/>
      </c>
      <c r="Q147" s="210">
        <f>CONCATENATE(A147,B147,",",C147,",",D147,E147,F147,",",G147,",",H147,",",I147,",",J147,K147,L147,M147,N147,O147,)</f>
        <v/>
      </c>
    </row>
    <row r="148">
      <c r="A148" s="166" t="inlineStr">
        <is>
          <t xml:space="preserve">        [ 'dims' =&gt; [</t>
        </is>
      </c>
      <c r="B148" s="166">
        <f>Закуп!R148</f>
        <v/>
      </c>
      <c r="C148" s="166">
        <f>Закуп!S148</f>
        <v/>
      </c>
      <c r="D148" s="166">
        <f>Закуп!T148</f>
        <v/>
      </c>
      <c r="E148" s="166" t="inlineStr">
        <is>
          <t>], 'prices' =&gt; [</t>
        </is>
      </c>
      <c r="F148" s="167">
        <f>SUBSTITUTE(INDEX(Calc!$K:$K,(ROW(A147)-1)*5+COLUMN(A147)+1),",",".")</f>
        <v/>
      </c>
      <c r="G148" s="167">
        <f>SUBSTITUTE(INDEX(Calc!$K:$K,(ROW(B147)-1)*5+COLUMN(B147)+1),",",".")</f>
        <v/>
      </c>
      <c r="H148" s="167">
        <f>SUBSTITUTE(INDEX(Calc!$K:$K,(ROW(C147)-1)*5+COLUMN(C147)+1),",",".")</f>
        <v/>
      </c>
      <c r="I148" s="167">
        <f>SUBSTITUTE(INDEX(Calc!$K:$K,(ROW(D147)-1)*5+COLUMN(D147)+1),",",".")</f>
        <v/>
      </c>
      <c r="J148" s="167">
        <f>SUBSTITUTE(INDEX(Calc!$K:$K,(ROW(E147)-1)*5+COLUMN(E147)+1),",",".")</f>
        <v/>
      </c>
      <c r="K148" s="166" t="inlineStr">
        <is>
          <t>], 'type' =&gt; "</t>
        </is>
      </c>
      <c r="L148" s="167">
        <f>Закуп!AA148</f>
        <v/>
      </c>
      <c r="M148" s="166" t="inlineStr">
        <is>
          <t>", 'sale' =&gt; "</t>
        </is>
      </c>
      <c r="N148" s="166">
        <f>IF(Закуп!L148="",0,Закуп!L148)</f>
        <v/>
      </c>
      <c r="O148" s="166" t="inlineStr">
        <is>
          <t>" ],</t>
        </is>
      </c>
      <c r="P148" s="144">
        <f>Закуп!N148</f>
        <v/>
      </c>
      <c r="Q148" s="210">
        <f>CONCATENATE(A148,B148,",",C148,",",D148,E148,F148,",",G148,",",H148,",",I148,",",J148,K148,L148,M148,N148,O148,)</f>
        <v/>
      </c>
    </row>
    <row r="149" hidden="1" s="55">
      <c r="A149" s="166" t="inlineStr">
        <is>
          <t xml:space="preserve">        [ 'dims' =&gt; [</t>
        </is>
      </c>
      <c r="B149" s="166">
        <f>Закуп!R149</f>
        <v/>
      </c>
      <c r="C149" s="166">
        <f>Закуп!S149</f>
        <v/>
      </c>
      <c r="D149" s="166">
        <f>Закуп!T149</f>
        <v/>
      </c>
      <c r="E149" s="166" t="inlineStr">
        <is>
          <t>], 'prices' =&gt; [</t>
        </is>
      </c>
      <c r="F149" s="167">
        <f>SUBSTITUTE(INDEX(Calc!$K:$K,(ROW(A148)-1)*5+COLUMN(A148)+1),",",".")</f>
        <v/>
      </c>
      <c r="G149" s="167">
        <f>SUBSTITUTE(INDEX(Calc!$K:$K,(ROW(B148)-1)*5+COLUMN(B148)+1),",",".")</f>
        <v/>
      </c>
      <c r="H149" s="167">
        <f>SUBSTITUTE(INDEX(Calc!$K:$K,(ROW(C148)-1)*5+COLUMN(C148)+1),",",".")</f>
        <v/>
      </c>
      <c r="I149" s="167">
        <f>SUBSTITUTE(INDEX(Calc!$K:$K,(ROW(D148)-1)*5+COLUMN(D148)+1),",",".")</f>
        <v/>
      </c>
      <c r="J149" s="167">
        <f>SUBSTITUTE(INDEX(Calc!$K:$K,(ROW(E148)-1)*5+COLUMN(E148)+1),",",".")</f>
        <v/>
      </c>
      <c r="K149" s="166" t="inlineStr">
        <is>
          <t>], 'type' =&gt; "</t>
        </is>
      </c>
      <c r="L149" s="167">
        <f>Закуп!AA149</f>
        <v/>
      </c>
      <c r="M149" s="166" t="inlineStr">
        <is>
          <t>", 'sale' =&gt; "</t>
        </is>
      </c>
      <c r="N149" s="166">
        <f>IF(Закуп!L149="",0,Закуп!L149)</f>
        <v/>
      </c>
      <c r="O149" s="166" t="inlineStr">
        <is>
          <t>" ],</t>
        </is>
      </c>
      <c r="P149" s="144">
        <f>Закуп!N149</f>
        <v/>
      </c>
      <c r="Q149" s="210">
        <f>CONCATENATE(A149,B149,",",C149,",",D149,E149,F149,",",G149,",",H149,",",I149,",",J149,K149,L149,M149,N149,O149,)</f>
        <v/>
      </c>
    </row>
    <row r="150">
      <c r="A150" s="166" t="inlineStr">
        <is>
          <t xml:space="preserve">        [ 'dims' =&gt; [</t>
        </is>
      </c>
      <c r="B150" s="166">
        <f>Закуп!R150</f>
        <v/>
      </c>
      <c r="C150" s="166">
        <f>Закуп!S150</f>
        <v/>
      </c>
      <c r="D150" s="166">
        <f>Закуп!T150</f>
        <v/>
      </c>
      <c r="E150" s="166" t="inlineStr">
        <is>
          <t>], 'prices' =&gt; [</t>
        </is>
      </c>
      <c r="F150" s="167">
        <f>SUBSTITUTE(INDEX(Calc!$K:$K,(ROW(A149)-1)*5+COLUMN(A149)+1),",",".")</f>
        <v/>
      </c>
      <c r="G150" s="167">
        <f>SUBSTITUTE(INDEX(Calc!$K:$K,(ROW(B149)-1)*5+COLUMN(B149)+1),",",".")</f>
        <v/>
      </c>
      <c r="H150" s="167">
        <f>SUBSTITUTE(INDEX(Calc!$K:$K,(ROW(C149)-1)*5+COLUMN(C149)+1),",",".")</f>
        <v/>
      </c>
      <c r="I150" s="167">
        <f>SUBSTITUTE(INDEX(Calc!$K:$K,(ROW(D149)-1)*5+COLUMN(D149)+1),",",".")</f>
        <v/>
      </c>
      <c r="J150" s="167">
        <f>SUBSTITUTE(INDEX(Calc!$K:$K,(ROW(E149)-1)*5+COLUMN(E149)+1),",",".")</f>
        <v/>
      </c>
      <c r="K150" s="166" t="inlineStr">
        <is>
          <t>], 'type' =&gt; "</t>
        </is>
      </c>
      <c r="L150" s="167">
        <f>Закуп!AA150</f>
        <v/>
      </c>
      <c r="M150" s="166" t="inlineStr">
        <is>
          <t>", 'sale' =&gt; "</t>
        </is>
      </c>
      <c r="N150" s="166">
        <f>IF(Закуп!L150="",0,Закуп!L150)</f>
        <v/>
      </c>
      <c r="O150" s="166" t="inlineStr">
        <is>
          <t>" ],</t>
        </is>
      </c>
      <c r="P150" s="144">
        <f>Закуп!N150</f>
        <v/>
      </c>
      <c r="Q150" s="210">
        <f>CONCATENATE(A150,B150,",",C150,",",D150,E150,F150,",",G150,",",H150,",",I150,",",J150,K150,L150,M150,N150,O150,)</f>
        <v/>
      </c>
    </row>
    <row r="151">
      <c r="A151" s="166" t="inlineStr">
        <is>
          <t xml:space="preserve">        [ 'dims' =&gt; [</t>
        </is>
      </c>
      <c r="B151" s="166">
        <f>Закуп!R151</f>
        <v/>
      </c>
      <c r="C151" s="166">
        <f>Закуп!S151</f>
        <v/>
      </c>
      <c r="D151" s="166">
        <f>Закуп!T151</f>
        <v/>
      </c>
      <c r="E151" s="166" t="inlineStr">
        <is>
          <t>], 'prices' =&gt; [</t>
        </is>
      </c>
      <c r="F151" s="167">
        <f>SUBSTITUTE(INDEX(Calc!$K:$K,(ROW(A150)-1)*5+COLUMN(A150)+1),",",".")</f>
        <v/>
      </c>
      <c r="G151" s="167">
        <f>SUBSTITUTE(INDEX(Calc!$K:$K,(ROW(B150)-1)*5+COLUMN(B150)+1),",",".")</f>
        <v/>
      </c>
      <c r="H151" s="167">
        <f>SUBSTITUTE(INDEX(Calc!$K:$K,(ROW(C150)-1)*5+COLUMN(C150)+1),",",".")</f>
        <v/>
      </c>
      <c r="I151" s="167">
        <f>SUBSTITUTE(INDEX(Calc!$K:$K,(ROW(D150)-1)*5+COLUMN(D150)+1),",",".")</f>
        <v/>
      </c>
      <c r="J151" s="167">
        <f>SUBSTITUTE(INDEX(Calc!$K:$K,(ROW(E150)-1)*5+COLUMN(E150)+1),",",".")</f>
        <v/>
      </c>
      <c r="K151" s="166" t="inlineStr">
        <is>
          <t>], 'type' =&gt; "</t>
        </is>
      </c>
      <c r="L151" s="167">
        <f>Закуп!AA151</f>
        <v/>
      </c>
      <c r="M151" s="166" t="inlineStr">
        <is>
          <t>", 'sale' =&gt; "</t>
        </is>
      </c>
      <c r="N151" s="166">
        <f>IF(Закуп!L151="",0,Закуп!L151)</f>
        <v/>
      </c>
      <c r="O151" s="166" t="inlineStr">
        <is>
          <t>" ],</t>
        </is>
      </c>
      <c r="P151" s="144">
        <f>Закуп!N151</f>
        <v/>
      </c>
      <c r="Q151" s="210">
        <f>CONCATENATE(A151,B151,",",C151,",",D151,E151,F151,",",G151,",",H151,",",I151,",",J151,K151,L151,M151,N151,O151,)</f>
        <v/>
      </c>
    </row>
    <row r="152">
      <c r="A152" s="166" t="inlineStr">
        <is>
          <t xml:space="preserve">        [ 'dims' =&gt; [</t>
        </is>
      </c>
      <c r="B152" s="166">
        <f>Закуп!R152</f>
        <v/>
      </c>
      <c r="C152" s="166">
        <f>Закуп!S152</f>
        <v/>
      </c>
      <c r="D152" s="166">
        <f>Закуп!T152</f>
        <v/>
      </c>
      <c r="E152" s="166" t="inlineStr">
        <is>
          <t>], 'prices' =&gt; [</t>
        </is>
      </c>
      <c r="F152" s="167">
        <f>SUBSTITUTE(INDEX(Calc!$K:$K,(ROW(A151)-1)*5+COLUMN(A151)+1),",",".")</f>
        <v/>
      </c>
      <c r="G152" s="167">
        <f>SUBSTITUTE(INDEX(Calc!$K:$K,(ROW(B151)-1)*5+COLUMN(B151)+1),",",".")</f>
        <v/>
      </c>
      <c r="H152" s="167">
        <f>SUBSTITUTE(INDEX(Calc!$K:$K,(ROW(C151)-1)*5+COLUMN(C151)+1),",",".")</f>
        <v/>
      </c>
      <c r="I152" s="167">
        <f>SUBSTITUTE(INDEX(Calc!$K:$K,(ROW(D151)-1)*5+COLUMN(D151)+1),",",".")</f>
        <v/>
      </c>
      <c r="J152" s="167">
        <f>SUBSTITUTE(INDEX(Calc!$K:$K,(ROW(E151)-1)*5+COLUMN(E151)+1),",",".")</f>
        <v/>
      </c>
      <c r="K152" s="166" t="inlineStr">
        <is>
          <t>], 'type' =&gt; "</t>
        </is>
      </c>
      <c r="L152" s="167">
        <f>Закуп!AA152</f>
        <v/>
      </c>
      <c r="M152" s="166" t="inlineStr">
        <is>
          <t>", 'sale' =&gt; "</t>
        </is>
      </c>
      <c r="N152" s="166">
        <f>IF(Закуп!L152="",0,Закуп!L152)</f>
        <v/>
      </c>
      <c r="O152" s="166" t="inlineStr">
        <is>
          <t>" ],</t>
        </is>
      </c>
      <c r="P152" s="144">
        <f>Закуп!N152</f>
        <v/>
      </c>
      <c r="Q152" s="210">
        <f>CONCATENATE(A152,B152,",",C152,",",D152,E152,F152,",",G152,",",H152,",",I152,",",J152,K152,L152,M152,N152,O152,)</f>
        <v/>
      </c>
    </row>
    <row r="153">
      <c r="A153" s="166" t="inlineStr">
        <is>
          <t xml:space="preserve">        [ 'dims' =&gt; [</t>
        </is>
      </c>
      <c r="B153" s="166">
        <f>Закуп!R153</f>
        <v/>
      </c>
      <c r="C153" s="166">
        <f>Закуп!S153</f>
        <v/>
      </c>
      <c r="D153" s="166">
        <f>Закуп!T153</f>
        <v/>
      </c>
      <c r="E153" s="166" t="inlineStr">
        <is>
          <t>], 'prices' =&gt; [</t>
        </is>
      </c>
      <c r="F153" s="167">
        <f>SUBSTITUTE(INDEX(Calc!$K:$K,(ROW(A152)-1)*5+COLUMN(A152)+1),",",".")</f>
        <v/>
      </c>
      <c r="G153" s="167">
        <f>SUBSTITUTE(INDEX(Calc!$K:$K,(ROW(B152)-1)*5+COLUMN(B152)+1),",",".")</f>
        <v/>
      </c>
      <c r="H153" s="167">
        <f>SUBSTITUTE(INDEX(Calc!$K:$K,(ROW(C152)-1)*5+COLUMN(C152)+1),",",".")</f>
        <v/>
      </c>
      <c r="I153" s="167">
        <f>SUBSTITUTE(INDEX(Calc!$K:$K,(ROW(D152)-1)*5+COLUMN(D152)+1),",",".")</f>
        <v/>
      </c>
      <c r="J153" s="167">
        <f>SUBSTITUTE(INDEX(Calc!$K:$K,(ROW(E152)-1)*5+COLUMN(E152)+1),",",".")</f>
        <v/>
      </c>
      <c r="K153" s="166" t="inlineStr">
        <is>
          <t>], 'type' =&gt; "</t>
        </is>
      </c>
      <c r="L153" s="167">
        <f>Закуп!AA153</f>
        <v/>
      </c>
      <c r="M153" s="166" t="inlineStr">
        <is>
          <t>", 'sale' =&gt; "</t>
        </is>
      </c>
      <c r="N153" s="166">
        <f>IF(Закуп!L153="",0,Закуп!L153)</f>
        <v/>
      </c>
      <c r="O153" s="166" t="inlineStr">
        <is>
          <t>" ],</t>
        </is>
      </c>
      <c r="P153" s="144">
        <f>Закуп!N153</f>
        <v/>
      </c>
      <c r="Q153" s="210">
        <f>CONCATENATE(A153,B153,",",C153,",",D153,E153,F153,",",G153,",",H153,",",I153,",",J153,K153,L153,M153,N153,O153,)</f>
        <v/>
      </c>
    </row>
    <row r="154">
      <c r="A154" s="166" t="inlineStr">
        <is>
          <t xml:space="preserve">        [ 'dims' =&gt; [</t>
        </is>
      </c>
      <c r="B154" s="166">
        <f>Закуп!R154</f>
        <v/>
      </c>
      <c r="C154" s="166">
        <f>Закуп!S154</f>
        <v/>
      </c>
      <c r="D154" s="166">
        <f>Закуп!T154</f>
        <v/>
      </c>
      <c r="E154" s="166" t="inlineStr">
        <is>
          <t>], 'prices' =&gt; [</t>
        </is>
      </c>
      <c r="F154" s="167">
        <f>SUBSTITUTE(INDEX(Calc!$K:$K,(ROW(A153)-1)*5+COLUMN(A153)+1),",",".")</f>
        <v/>
      </c>
      <c r="G154" s="167">
        <f>SUBSTITUTE(INDEX(Calc!$K:$K,(ROW(B153)-1)*5+COLUMN(B153)+1),",",".")</f>
        <v/>
      </c>
      <c r="H154" s="167">
        <f>SUBSTITUTE(INDEX(Calc!$K:$K,(ROW(C153)-1)*5+COLUMN(C153)+1),",",".")</f>
        <v/>
      </c>
      <c r="I154" s="167">
        <f>SUBSTITUTE(INDEX(Calc!$K:$K,(ROW(D153)-1)*5+COLUMN(D153)+1),",",".")</f>
        <v/>
      </c>
      <c r="J154" s="167">
        <f>SUBSTITUTE(INDEX(Calc!$K:$K,(ROW(E153)-1)*5+COLUMN(E153)+1),",",".")</f>
        <v/>
      </c>
      <c r="K154" s="166" t="inlineStr">
        <is>
          <t>], 'type' =&gt; "</t>
        </is>
      </c>
      <c r="L154" s="167">
        <f>Закуп!AA154</f>
        <v/>
      </c>
      <c r="M154" s="166" t="inlineStr">
        <is>
          <t>", 'sale' =&gt; "</t>
        </is>
      </c>
      <c r="N154" s="166">
        <f>IF(Закуп!L154="",0,Закуп!L154)</f>
        <v/>
      </c>
      <c r="O154" s="166" t="inlineStr">
        <is>
          <t>" ],</t>
        </is>
      </c>
      <c r="P154" s="144">
        <f>Закуп!N154</f>
        <v/>
      </c>
      <c r="Q154" s="210">
        <f>CONCATENATE(A154,B154,",",C154,",",D154,E154,F154,",",G154,",",H154,",",I154,",",J154,K154,L154,M154,N154,O154,)</f>
        <v/>
      </c>
    </row>
    <row r="155">
      <c r="A155" s="166" t="inlineStr">
        <is>
          <t xml:space="preserve">        [ 'dims' =&gt; [</t>
        </is>
      </c>
      <c r="B155" s="166">
        <f>Закуп!R155</f>
        <v/>
      </c>
      <c r="C155" s="166">
        <f>Закуп!S155</f>
        <v/>
      </c>
      <c r="D155" s="166">
        <f>Закуп!T155</f>
        <v/>
      </c>
      <c r="E155" s="166" t="inlineStr">
        <is>
          <t>], 'prices' =&gt; [</t>
        </is>
      </c>
      <c r="F155" s="167">
        <f>SUBSTITUTE(INDEX(Calc!$K:$K,(ROW(A154)-1)*5+COLUMN(A154)+1),",",".")</f>
        <v/>
      </c>
      <c r="G155" s="167">
        <f>SUBSTITUTE(INDEX(Calc!$K:$K,(ROW(B154)-1)*5+COLUMN(B154)+1),",",".")</f>
        <v/>
      </c>
      <c r="H155" s="167">
        <f>SUBSTITUTE(INDEX(Calc!$K:$K,(ROW(C154)-1)*5+COLUMN(C154)+1),",",".")</f>
        <v/>
      </c>
      <c r="I155" s="167">
        <f>SUBSTITUTE(INDEX(Calc!$K:$K,(ROW(D154)-1)*5+COLUMN(D154)+1),",",".")</f>
        <v/>
      </c>
      <c r="J155" s="167">
        <f>SUBSTITUTE(INDEX(Calc!$K:$K,(ROW(E154)-1)*5+COLUMN(E154)+1),",",".")</f>
        <v/>
      </c>
      <c r="K155" s="166" t="inlineStr">
        <is>
          <t>], 'type' =&gt; "</t>
        </is>
      </c>
      <c r="L155" s="167">
        <f>Закуп!AA155</f>
        <v/>
      </c>
      <c r="M155" s="166" t="inlineStr">
        <is>
          <t>", 'sale' =&gt; "</t>
        </is>
      </c>
      <c r="N155" s="166">
        <f>IF(Закуп!L155="",0,Закуп!L155)</f>
        <v/>
      </c>
      <c r="O155" s="166" t="inlineStr">
        <is>
          <t>" ],</t>
        </is>
      </c>
      <c r="P155" s="144">
        <f>Закуп!N155</f>
        <v/>
      </c>
      <c r="Q155" s="210">
        <f>CONCATENATE(A155,B155,",",C155,",",D155,E155,F155,",",G155,",",H155,",",I155,",",J155,K155,L155,M155,N155,O155,)</f>
        <v/>
      </c>
    </row>
    <row r="156">
      <c r="A156" s="166" t="inlineStr">
        <is>
          <t xml:space="preserve">        [ 'dims' =&gt; [</t>
        </is>
      </c>
      <c r="B156" s="166">
        <f>Закуп!R156</f>
        <v/>
      </c>
      <c r="C156" s="166">
        <f>Закуп!S156</f>
        <v/>
      </c>
      <c r="D156" s="166">
        <f>Закуп!T156</f>
        <v/>
      </c>
      <c r="E156" s="166" t="inlineStr">
        <is>
          <t>], 'prices' =&gt; [</t>
        </is>
      </c>
      <c r="F156" s="167">
        <f>SUBSTITUTE(INDEX(Calc!$K:$K,(ROW(A155)-1)*5+COLUMN(A155)+1),",",".")</f>
        <v/>
      </c>
      <c r="G156" s="167">
        <f>SUBSTITUTE(INDEX(Calc!$K:$K,(ROW(B155)-1)*5+COLUMN(B155)+1),",",".")</f>
        <v/>
      </c>
      <c r="H156" s="167">
        <f>SUBSTITUTE(INDEX(Calc!$K:$K,(ROW(C155)-1)*5+COLUMN(C155)+1),",",".")</f>
        <v/>
      </c>
      <c r="I156" s="167">
        <f>SUBSTITUTE(INDEX(Calc!$K:$K,(ROW(D155)-1)*5+COLUMN(D155)+1),",",".")</f>
        <v/>
      </c>
      <c r="J156" s="167">
        <f>SUBSTITUTE(INDEX(Calc!$K:$K,(ROW(E155)-1)*5+COLUMN(E155)+1),",",".")</f>
        <v/>
      </c>
      <c r="K156" s="166" t="inlineStr">
        <is>
          <t>], 'type' =&gt; "</t>
        </is>
      </c>
      <c r="L156" s="167">
        <f>Закуп!AA156</f>
        <v/>
      </c>
      <c r="M156" s="166" t="inlineStr">
        <is>
          <t>", 'sale' =&gt; "</t>
        </is>
      </c>
      <c r="N156" s="166">
        <f>IF(Закуп!L156="",0,Закуп!L156)</f>
        <v/>
      </c>
      <c r="O156" s="166" t="inlineStr">
        <is>
          <t>" ],</t>
        </is>
      </c>
      <c r="P156" s="144">
        <f>Закуп!N156</f>
        <v/>
      </c>
      <c r="Q156" s="210">
        <f>CONCATENATE(A156,B156,",",C156,",",D156,E156,F156,",",G156,",",H156,",",I156,",",J156,K156,L156,M156,N156,O156,)</f>
        <v/>
      </c>
    </row>
    <row r="157">
      <c r="A157" s="166" t="inlineStr">
        <is>
          <t xml:space="preserve">        [ 'dims' =&gt; [</t>
        </is>
      </c>
      <c r="B157" s="166">
        <f>Закуп!R157</f>
        <v/>
      </c>
      <c r="C157" s="166">
        <f>Закуп!S157</f>
        <v/>
      </c>
      <c r="D157" s="166">
        <f>Закуп!T157</f>
        <v/>
      </c>
      <c r="E157" s="166" t="inlineStr">
        <is>
          <t>], 'prices' =&gt; [</t>
        </is>
      </c>
      <c r="F157" s="167">
        <f>SUBSTITUTE(INDEX(Calc!$K:$K,(ROW(A156)-1)*5+COLUMN(A156)+1),",",".")</f>
        <v/>
      </c>
      <c r="G157" s="167">
        <f>SUBSTITUTE(INDEX(Calc!$K:$K,(ROW(B156)-1)*5+COLUMN(B156)+1),",",".")</f>
        <v/>
      </c>
      <c r="H157" s="167">
        <f>SUBSTITUTE(INDEX(Calc!$K:$K,(ROW(C156)-1)*5+COLUMN(C156)+1),",",".")</f>
        <v/>
      </c>
      <c r="I157" s="167">
        <f>SUBSTITUTE(INDEX(Calc!$K:$K,(ROW(D156)-1)*5+COLUMN(D156)+1),",",".")</f>
        <v/>
      </c>
      <c r="J157" s="167">
        <f>SUBSTITUTE(INDEX(Calc!$K:$K,(ROW(E156)-1)*5+COLUMN(E156)+1),",",".")</f>
        <v/>
      </c>
      <c r="K157" s="166" t="inlineStr">
        <is>
          <t>], 'type' =&gt; "</t>
        </is>
      </c>
      <c r="L157" s="167">
        <f>Закуп!AA157</f>
        <v/>
      </c>
      <c r="M157" s="166" t="inlineStr">
        <is>
          <t>", 'sale' =&gt; "</t>
        </is>
      </c>
      <c r="N157" s="166">
        <f>IF(Закуп!L157="",0,Закуп!L157)</f>
        <v/>
      </c>
      <c r="O157" s="166" t="inlineStr">
        <is>
          <t>" ],</t>
        </is>
      </c>
      <c r="P157" s="144">
        <f>Закуп!N157</f>
        <v/>
      </c>
      <c r="Q157" s="210">
        <f>CONCATENATE(A157,B157,",",C157,",",D157,E157,F157,",",G157,",",H157,",",I157,",",J157,K157,L157,M157,N157,O157,)</f>
        <v/>
      </c>
    </row>
    <row r="158">
      <c r="A158" s="166" t="inlineStr">
        <is>
          <t xml:space="preserve">        [ 'dims' =&gt; [</t>
        </is>
      </c>
      <c r="B158" s="166">
        <f>Закуп!R158</f>
        <v/>
      </c>
      <c r="C158" s="166">
        <f>Закуп!S158</f>
        <v/>
      </c>
      <c r="D158" s="166">
        <f>Закуп!T158</f>
        <v/>
      </c>
      <c r="E158" s="166" t="inlineStr">
        <is>
          <t>], 'prices' =&gt; [</t>
        </is>
      </c>
      <c r="F158" s="167">
        <f>SUBSTITUTE(INDEX(Calc!$K:$K,(ROW(A157)-1)*5+COLUMN(A157)+1),",",".")</f>
        <v/>
      </c>
      <c r="G158" s="167">
        <f>SUBSTITUTE(INDEX(Calc!$K:$K,(ROW(B157)-1)*5+COLUMN(B157)+1),",",".")</f>
        <v/>
      </c>
      <c r="H158" s="167">
        <f>SUBSTITUTE(INDEX(Calc!$K:$K,(ROW(C157)-1)*5+COLUMN(C157)+1),",",".")</f>
        <v/>
      </c>
      <c r="I158" s="167">
        <f>SUBSTITUTE(INDEX(Calc!$K:$K,(ROW(D157)-1)*5+COLUMN(D157)+1),",",".")</f>
        <v/>
      </c>
      <c r="J158" s="167">
        <f>SUBSTITUTE(INDEX(Calc!$K:$K,(ROW(E157)-1)*5+COLUMN(E157)+1),",",".")</f>
        <v/>
      </c>
      <c r="K158" s="166" t="inlineStr">
        <is>
          <t>], 'type' =&gt; "</t>
        </is>
      </c>
      <c r="L158" s="167">
        <f>Закуп!AA158</f>
        <v/>
      </c>
      <c r="M158" s="166" t="inlineStr">
        <is>
          <t>", 'sale' =&gt; "</t>
        </is>
      </c>
      <c r="N158" s="166">
        <f>IF(Закуп!L158="",0,Закуп!L158)</f>
        <v/>
      </c>
      <c r="O158" s="166" t="inlineStr">
        <is>
          <t>" ],</t>
        </is>
      </c>
      <c r="P158" s="144">
        <f>Закуп!N158</f>
        <v/>
      </c>
      <c r="Q158" s="210">
        <f>CONCATENATE(A158,B158,",",C158,",",D158,E158,F158,",",G158,",",H158,",",I158,",",J158,K158,L158,M158,N158,O158,)</f>
        <v/>
      </c>
    </row>
    <row r="159">
      <c r="A159" s="166" t="inlineStr">
        <is>
          <t xml:space="preserve">        [ 'dims' =&gt; [</t>
        </is>
      </c>
      <c r="B159" s="166">
        <f>Закуп!R159</f>
        <v/>
      </c>
      <c r="C159" s="166">
        <f>Закуп!S159</f>
        <v/>
      </c>
      <c r="D159" s="166">
        <f>Закуп!T159</f>
        <v/>
      </c>
      <c r="E159" s="166" t="inlineStr">
        <is>
          <t>], 'prices' =&gt; [</t>
        </is>
      </c>
      <c r="F159" s="167">
        <f>SUBSTITUTE(INDEX(Calc!$K:$K,(ROW(A158)-1)*5+COLUMN(A158)+1),",",".")</f>
        <v/>
      </c>
      <c r="G159" s="167">
        <f>SUBSTITUTE(INDEX(Calc!$K:$K,(ROW(B158)-1)*5+COLUMN(B158)+1),",",".")</f>
        <v/>
      </c>
      <c r="H159" s="167">
        <f>SUBSTITUTE(INDEX(Calc!$K:$K,(ROW(C158)-1)*5+COLUMN(C158)+1),",",".")</f>
        <v/>
      </c>
      <c r="I159" s="167">
        <f>SUBSTITUTE(INDEX(Calc!$K:$K,(ROW(D158)-1)*5+COLUMN(D158)+1),",",".")</f>
        <v/>
      </c>
      <c r="J159" s="167">
        <f>SUBSTITUTE(INDEX(Calc!$K:$K,(ROW(E158)-1)*5+COLUMN(E158)+1),",",".")</f>
        <v/>
      </c>
      <c r="K159" s="166" t="inlineStr">
        <is>
          <t>], 'type' =&gt; "</t>
        </is>
      </c>
      <c r="L159" s="167">
        <f>Закуп!AA159</f>
        <v/>
      </c>
      <c r="M159" s="166" t="inlineStr">
        <is>
          <t>", 'sale' =&gt; "</t>
        </is>
      </c>
      <c r="N159" s="166">
        <f>IF(Закуп!L159="",0,Закуп!L159)</f>
        <v/>
      </c>
      <c r="O159" s="166" t="inlineStr">
        <is>
          <t>" ],</t>
        </is>
      </c>
      <c r="P159" s="144">
        <f>Закуп!N159</f>
        <v/>
      </c>
      <c r="Q159" s="210">
        <f>CONCATENATE(A159,B159,",",C159,",",D159,E159,F159,",",G159,",",H159,",",I159,",",J159,K159,L159,M159,N159,O159,)</f>
        <v/>
      </c>
    </row>
    <row r="160">
      <c r="A160" s="166" t="inlineStr">
        <is>
          <t xml:space="preserve">        [ 'dims' =&gt; [</t>
        </is>
      </c>
      <c r="B160" s="166">
        <f>Закуп!R160</f>
        <v/>
      </c>
      <c r="C160" s="166">
        <f>Закуп!S160</f>
        <v/>
      </c>
      <c r="D160" s="166">
        <f>Закуп!T160</f>
        <v/>
      </c>
      <c r="E160" s="166" t="inlineStr">
        <is>
          <t>], 'prices' =&gt; [</t>
        </is>
      </c>
      <c r="F160" s="167">
        <f>SUBSTITUTE(INDEX(Calc!$K:$K,(ROW(A159)-1)*5+COLUMN(A159)+1),",",".")</f>
        <v/>
      </c>
      <c r="G160" s="167">
        <f>SUBSTITUTE(INDEX(Calc!$K:$K,(ROW(B159)-1)*5+COLUMN(B159)+1),",",".")</f>
        <v/>
      </c>
      <c r="H160" s="167">
        <f>SUBSTITUTE(INDEX(Calc!$K:$K,(ROW(C159)-1)*5+COLUMN(C159)+1),",",".")</f>
        <v/>
      </c>
      <c r="I160" s="167">
        <f>SUBSTITUTE(INDEX(Calc!$K:$K,(ROW(D159)-1)*5+COLUMN(D159)+1),",",".")</f>
        <v/>
      </c>
      <c r="J160" s="167">
        <f>SUBSTITUTE(INDEX(Calc!$K:$K,(ROW(E159)-1)*5+COLUMN(E159)+1),",",".")</f>
        <v/>
      </c>
      <c r="K160" s="166" t="inlineStr">
        <is>
          <t>], 'type' =&gt; "</t>
        </is>
      </c>
      <c r="L160" s="167">
        <f>Закуп!AA160</f>
        <v/>
      </c>
      <c r="M160" s="166" t="inlineStr">
        <is>
          <t>", 'sale' =&gt; "</t>
        </is>
      </c>
      <c r="N160" s="166">
        <f>IF(Закуп!L160="",0,Закуп!L160)</f>
        <v/>
      </c>
      <c r="O160" s="166" t="inlineStr">
        <is>
          <t>" ],</t>
        </is>
      </c>
      <c r="P160" s="144">
        <f>Закуп!N160</f>
        <v/>
      </c>
      <c r="Q160" s="210">
        <f>CONCATENATE(A160,B160,",",C160,",",D160,E160,F160,",",G160,",",H160,",",I160,",",J160,K160,L160,M160,N160,O160,)</f>
        <v/>
      </c>
    </row>
    <row r="161">
      <c r="A161" s="166" t="inlineStr">
        <is>
          <t xml:space="preserve">        [ 'dims' =&gt; [</t>
        </is>
      </c>
      <c r="B161" s="166">
        <f>Закуп!R161</f>
        <v/>
      </c>
      <c r="C161" s="166">
        <f>Закуп!S161</f>
        <v/>
      </c>
      <c r="D161" s="166">
        <f>Закуп!T161</f>
        <v/>
      </c>
      <c r="E161" s="166" t="inlineStr">
        <is>
          <t>], 'prices' =&gt; [</t>
        </is>
      </c>
      <c r="F161" s="167">
        <f>SUBSTITUTE(INDEX(Calc!$K:$K,(ROW(A160)-1)*5+COLUMN(A160)+1),",",".")</f>
        <v/>
      </c>
      <c r="G161" s="167">
        <f>SUBSTITUTE(INDEX(Calc!$K:$K,(ROW(B160)-1)*5+COLUMN(B160)+1),",",".")</f>
        <v/>
      </c>
      <c r="H161" s="167">
        <f>SUBSTITUTE(INDEX(Calc!$K:$K,(ROW(C160)-1)*5+COLUMN(C160)+1),",",".")</f>
        <v/>
      </c>
      <c r="I161" s="167">
        <f>SUBSTITUTE(INDEX(Calc!$K:$K,(ROW(D160)-1)*5+COLUMN(D160)+1),",",".")</f>
        <v/>
      </c>
      <c r="J161" s="167">
        <f>SUBSTITUTE(INDEX(Calc!$K:$K,(ROW(E160)-1)*5+COLUMN(E160)+1),",",".")</f>
        <v/>
      </c>
      <c r="K161" s="166" t="inlineStr">
        <is>
          <t>], 'type' =&gt; "</t>
        </is>
      </c>
      <c r="L161" s="167">
        <f>Закуп!AA161</f>
        <v/>
      </c>
      <c r="M161" s="166" t="inlineStr">
        <is>
          <t>", 'sale' =&gt; "</t>
        </is>
      </c>
      <c r="N161" s="166">
        <f>IF(Закуп!L161="",0,Закуп!L161)</f>
        <v/>
      </c>
      <c r="O161" s="166" t="inlineStr">
        <is>
          <t>" ],</t>
        </is>
      </c>
      <c r="P161" s="144">
        <f>Закуп!N161</f>
        <v/>
      </c>
      <c r="Q161" s="210">
        <f>CONCATENATE(A161,B161,",",C161,",",D161,E161,F161,",",G161,",",H161,",",I161,",",J161,K161,L161,M161,N161,O161,)</f>
        <v/>
      </c>
    </row>
    <row r="162">
      <c r="A162" s="166" t="inlineStr">
        <is>
          <t xml:space="preserve">        [ 'dims' =&gt; [</t>
        </is>
      </c>
      <c r="B162" s="166">
        <f>Закуп!R162</f>
        <v/>
      </c>
      <c r="C162" s="166">
        <f>Закуп!S162</f>
        <v/>
      </c>
      <c r="D162" s="166">
        <f>Закуп!T162</f>
        <v/>
      </c>
      <c r="E162" s="166" t="inlineStr">
        <is>
          <t>], 'prices' =&gt; [</t>
        </is>
      </c>
      <c r="F162" s="167">
        <f>SUBSTITUTE(INDEX(Calc!$K:$K,(ROW(A161)-1)*5+COLUMN(A161)+1),",",".")</f>
        <v/>
      </c>
      <c r="G162" s="167">
        <f>SUBSTITUTE(INDEX(Calc!$K:$K,(ROW(B161)-1)*5+COLUMN(B161)+1),",",".")</f>
        <v/>
      </c>
      <c r="H162" s="167">
        <f>SUBSTITUTE(INDEX(Calc!$K:$K,(ROW(C161)-1)*5+COLUMN(C161)+1),",",".")</f>
        <v/>
      </c>
      <c r="I162" s="167">
        <f>SUBSTITUTE(INDEX(Calc!$K:$K,(ROW(D161)-1)*5+COLUMN(D161)+1),",",".")</f>
        <v/>
      </c>
      <c r="J162" s="167">
        <f>SUBSTITUTE(INDEX(Calc!$K:$K,(ROW(E161)-1)*5+COLUMN(E161)+1),",",".")</f>
        <v/>
      </c>
      <c r="K162" s="166" t="inlineStr">
        <is>
          <t>], 'type' =&gt; "</t>
        </is>
      </c>
      <c r="L162" s="167">
        <f>Закуп!AA162</f>
        <v/>
      </c>
      <c r="M162" s="166" t="inlineStr">
        <is>
          <t>", 'sale' =&gt; "</t>
        </is>
      </c>
      <c r="N162" s="166">
        <f>IF(Закуп!L162="",0,Закуп!L162)</f>
        <v/>
      </c>
      <c r="O162" s="166" t="inlineStr">
        <is>
          <t>" ],</t>
        </is>
      </c>
      <c r="P162" s="144">
        <f>Закуп!N162</f>
        <v/>
      </c>
      <c r="Q162" s="210">
        <f>CONCATENATE(A162,B162,",",C162,",",D162,E162,F162,",",G162,",",H162,",",I162,",",J162,K162,L162,M162,N162,O162,)</f>
        <v/>
      </c>
    </row>
    <row r="163">
      <c r="A163" s="166" t="inlineStr">
        <is>
          <t xml:space="preserve">        [ 'dims' =&gt; [</t>
        </is>
      </c>
      <c r="B163" s="166">
        <f>Закуп!R163</f>
        <v/>
      </c>
      <c r="C163" s="166">
        <f>Закуп!S163</f>
        <v/>
      </c>
      <c r="D163" s="166">
        <f>Закуп!T163</f>
        <v/>
      </c>
      <c r="E163" s="166" t="inlineStr">
        <is>
          <t>], 'prices' =&gt; [</t>
        </is>
      </c>
      <c r="F163" s="167">
        <f>SUBSTITUTE(INDEX(Calc!$K:$K,(ROW(A162)-1)*5+COLUMN(A162)+1),",",".")</f>
        <v/>
      </c>
      <c r="G163" s="167">
        <f>SUBSTITUTE(INDEX(Calc!$K:$K,(ROW(B162)-1)*5+COLUMN(B162)+1),",",".")</f>
        <v/>
      </c>
      <c r="H163" s="167">
        <f>SUBSTITUTE(INDEX(Calc!$K:$K,(ROW(C162)-1)*5+COLUMN(C162)+1),",",".")</f>
        <v/>
      </c>
      <c r="I163" s="167">
        <f>SUBSTITUTE(INDEX(Calc!$K:$K,(ROW(D162)-1)*5+COLUMN(D162)+1),",",".")</f>
        <v/>
      </c>
      <c r="J163" s="167">
        <f>SUBSTITUTE(INDEX(Calc!$K:$K,(ROW(E162)-1)*5+COLUMN(E162)+1),",",".")</f>
        <v/>
      </c>
      <c r="K163" s="166" t="inlineStr">
        <is>
          <t>], 'type' =&gt; "</t>
        </is>
      </c>
      <c r="L163" s="167">
        <f>Закуп!AA163</f>
        <v/>
      </c>
      <c r="M163" s="166" t="inlineStr">
        <is>
          <t>", 'sale' =&gt; "</t>
        </is>
      </c>
      <c r="N163" s="166">
        <f>IF(Закуп!L163="",0,Закуп!L163)</f>
        <v/>
      </c>
      <c r="O163" s="166" t="inlineStr">
        <is>
          <t>" ],</t>
        </is>
      </c>
      <c r="P163" s="144">
        <f>Закуп!N163</f>
        <v/>
      </c>
      <c r="Q163" s="210">
        <f>CONCATENATE(A163,B163,",",C163,",",D163,E163,F163,",",G163,",",H163,",",I163,",",J163,K163,L163,M163,N163,O163,)</f>
        <v/>
      </c>
    </row>
    <row r="164">
      <c r="A164" s="166" t="inlineStr">
        <is>
          <t xml:space="preserve">        [ 'dims' =&gt; [</t>
        </is>
      </c>
      <c r="B164" s="166">
        <f>Закуп!R164</f>
        <v/>
      </c>
      <c r="C164" s="166">
        <f>Закуп!S164</f>
        <v/>
      </c>
      <c r="D164" s="166">
        <f>Закуп!T164</f>
        <v/>
      </c>
      <c r="E164" s="166" t="inlineStr">
        <is>
          <t>], 'prices' =&gt; [</t>
        </is>
      </c>
      <c r="F164" s="167">
        <f>SUBSTITUTE(INDEX(Calc!$K:$K,(ROW(A163)-1)*5+COLUMN(A163)+1),",",".")</f>
        <v/>
      </c>
      <c r="G164" s="167">
        <f>SUBSTITUTE(INDEX(Calc!$K:$K,(ROW(B163)-1)*5+COLUMN(B163)+1),",",".")</f>
        <v/>
      </c>
      <c r="H164" s="167">
        <f>SUBSTITUTE(INDEX(Calc!$K:$K,(ROW(C163)-1)*5+COLUMN(C163)+1),",",".")</f>
        <v/>
      </c>
      <c r="I164" s="167">
        <f>SUBSTITUTE(INDEX(Calc!$K:$K,(ROW(D163)-1)*5+COLUMN(D163)+1),",",".")</f>
        <v/>
      </c>
      <c r="J164" s="167">
        <f>SUBSTITUTE(INDEX(Calc!$K:$K,(ROW(E163)-1)*5+COLUMN(E163)+1),",",".")</f>
        <v/>
      </c>
      <c r="K164" s="166" t="inlineStr">
        <is>
          <t>], 'type' =&gt; "</t>
        </is>
      </c>
      <c r="L164" s="167">
        <f>Закуп!AA164</f>
        <v/>
      </c>
      <c r="M164" s="166" t="inlineStr">
        <is>
          <t>", 'sale' =&gt; "</t>
        </is>
      </c>
      <c r="N164" s="166">
        <f>IF(Закуп!L164="",0,Закуп!L164)</f>
        <v/>
      </c>
      <c r="O164" s="166" t="inlineStr">
        <is>
          <t>" ],</t>
        </is>
      </c>
      <c r="P164" s="144">
        <f>Закуп!N164</f>
        <v/>
      </c>
      <c r="Q164" s="210">
        <f>CONCATENATE(A164,B164,",",C164,",",D164,E164,F164,",",G164,",",H164,",",I164,",",J164,K164,L164,M164,N164,O164,)</f>
        <v/>
      </c>
    </row>
    <row r="165">
      <c r="A165" s="166" t="inlineStr">
        <is>
          <t xml:space="preserve">        [ 'dims' =&gt; [</t>
        </is>
      </c>
      <c r="B165" s="166">
        <f>Закуп!R165</f>
        <v/>
      </c>
      <c r="C165" s="166">
        <f>Закуп!S165</f>
        <v/>
      </c>
      <c r="D165" s="166">
        <f>Закуп!T165</f>
        <v/>
      </c>
      <c r="E165" s="166" t="inlineStr">
        <is>
          <t>], 'prices' =&gt; [</t>
        </is>
      </c>
      <c r="F165" s="167">
        <f>SUBSTITUTE(INDEX(Calc!$K:$K,(ROW(A164)-1)*5+COLUMN(A164)+1),",",".")</f>
        <v/>
      </c>
      <c r="G165" s="167">
        <f>SUBSTITUTE(INDEX(Calc!$K:$K,(ROW(B164)-1)*5+COLUMN(B164)+1),",",".")</f>
        <v/>
      </c>
      <c r="H165" s="167">
        <f>SUBSTITUTE(INDEX(Calc!$K:$K,(ROW(C164)-1)*5+COLUMN(C164)+1),",",".")</f>
        <v/>
      </c>
      <c r="I165" s="167">
        <f>SUBSTITUTE(INDEX(Calc!$K:$K,(ROW(D164)-1)*5+COLUMN(D164)+1),",",".")</f>
        <v/>
      </c>
      <c r="J165" s="167">
        <f>SUBSTITUTE(INDEX(Calc!$K:$K,(ROW(E164)-1)*5+COLUMN(E164)+1),",",".")</f>
        <v/>
      </c>
      <c r="K165" s="166" t="inlineStr">
        <is>
          <t>], 'type' =&gt; "</t>
        </is>
      </c>
      <c r="L165" s="167">
        <f>Закуп!AA165</f>
        <v/>
      </c>
      <c r="M165" s="166" t="inlineStr">
        <is>
          <t>", 'sale' =&gt; "</t>
        </is>
      </c>
      <c r="N165" s="166">
        <f>IF(Закуп!L165="",0,Закуп!L165)</f>
        <v/>
      </c>
      <c r="O165" s="166" t="inlineStr">
        <is>
          <t>" ],</t>
        </is>
      </c>
      <c r="P165" s="144">
        <f>Закуп!N165</f>
        <v/>
      </c>
      <c r="Q165" s="210">
        <f>CONCATENATE(A165,B165,",",C165,",",D165,E165,F165,",",G165,",",H165,",",I165,",",J165,K165,L165,M165,N165,O165,)</f>
        <v/>
      </c>
    </row>
    <row r="166">
      <c r="A166" s="166" t="inlineStr">
        <is>
          <t xml:space="preserve">        [ 'dims' =&gt; [</t>
        </is>
      </c>
      <c r="B166" s="166">
        <f>Закуп!R166</f>
        <v/>
      </c>
      <c r="C166" s="166">
        <f>Закуп!S166</f>
        <v/>
      </c>
      <c r="D166" s="166">
        <f>Закуп!T166</f>
        <v/>
      </c>
      <c r="E166" s="166" t="inlineStr">
        <is>
          <t>], 'prices' =&gt; [</t>
        </is>
      </c>
      <c r="F166" s="167">
        <f>SUBSTITUTE(INDEX(Calc!$K:$K,(ROW(A165)-1)*5+COLUMN(A165)+1),",",".")</f>
        <v/>
      </c>
      <c r="G166" s="167">
        <f>SUBSTITUTE(INDEX(Calc!$K:$K,(ROW(B165)-1)*5+COLUMN(B165)+1),",",".")</f>
        <v/>
      </c>
      <c r="H166" s="167">
        <f>SUBSTITUTE(INDEX(Calc!$K:$K,(ROW(C165)-1)*5+COLUMN(C165)+1),",",".")</f>
        <v/>
      </c>
      <c r="I166" s="167">
        <f>SUBSTITUTE(INDEX(Calc!$K:$K,(ROW(D165)-1)*5+COLUMN(D165)+1),",",".")</f>
        <v/>
      </c>
      <c r="J166" s="167">
        <f>SUBSTITUTE(INDEX(Calc!$K:$K,(ROW(E165)-1)*5+COLUMN(E165)+1),",",".")</f>
        <v/>
      </c>
      <c r="K166" s="166" t="inlineStr">
        <is>
          <t>], 'type' =&gt; "</t>
        </is>
      </c>
      <c r="L166" s="167">
        <f>Закуп!AA166</f>
        <v/>
      </c>
      <c r="M166" s="166" t="inlineStr">
        <is>
          <t>", 'sale' =&gt; "</t>
        </is>
      </c>
      <c r="N166" s="166">
        <f>IF(Закуп!L166="",0,Закуп!L166)</f>
        <v/>
      </c>
      <c r="O166" s="166" t="inlineStr">
        <is>
          <t>" ],</t>
        </is>
      </c>
      <c r="P166" s="144">
        <f>Закуп!N166</f>
        <v/>
      </c>
      <c r="Q166" s="210">
        <f>CONCATENATE(A166,B166,",",C166,",",D166,E166,F166,",",G166,",",H166,",",I166,",",J166,K166,L166,M166,N166,O166,)</f>
        <v/>
      </c>
    </row>
    <row r="167">
      <c r="A167" s="166" t="inlineStr">
        <is>
          <t xml:space="preserve">        [ 'dims' =&gt; [</t>
        </is>
      </c>
      <c r="B167" s="166">
        <f>Закуп!R167</f>
        <v/>
      </c>
      <c r="C167" s="166">
        <f>Закуп!S167</f>
        <v/>
      </c>
      <c r="D167" s="166">
        <f>Закуп!T167</f>
        <v/>
      </c>
      <c r="E167" s="166" t="inlineStr">
        <is>
          <t>], 'prices' =&gt; [</t>
        </is>
      </c>
      <c r="F167" s="167">
        <f>SUBSTITUTE(INDEX(Calc!$K:$K,(ROW(A166)-1)*5+COLUMN(A166)+1),",",".")</f>
        <v/>
      </c>
      <c r="G167" s="167">
        <f>SUBSTITUTE(INDEX(Calc!$K:$K,(ROW(B166)-1)*5+COLUMN(B166)+1),",",".")</f>
        <v/>
      </c>
      <c r="H167" s="167">
        <f>SUBSTITUTE(INDEX(Calc!$K:$K,(ROW(C166)-1)*5+COLUMN(C166)+1),",",".")</f>
        <v/>
      </c>
      <c r="I167" s="167">
        <f>SUBSTITUTE(INDEX(Calc!$K:$K,(ROW(D166)-1)*5+COLUMN(D166)+1),",",".")</f>
        <v/>
      </c>
      <c r="J167" s="167">
        <f>SUBSTITUTE(INDEX(Calc!$K:$K,(ROW(E166)-1)*5+COLUMN(E166)+1),",",".")</f>
        <v/>
      </c>
      <c r="K167" s="166" t="inlineStr">
        <is>
          <t>], 'type' =&gt; "</t>
        </is>
      </c>
      <c r="L167" s="167">
        <f>Закуп!AA167</f>
        <v/>
      </c>
      <c r="M167" s="166" t="inlineStr">
        <is>
          <t>", 'sale' =&gt; "</t>
        </is>
      </c>
      <c r="N167" s="166">
        <f>IF(Закуп!L167="",0,Закуп!L167)</f>
        <v/>
      </c>
      <c r="O167" s="166" t="inlineStr">
        <is>
          <t>" ],</t>
        </is>
      </c>
      <c r="P167" s="144">
        <f>Закуп!N167</f>
        <v/>
      </c>
      <c r="Q167" s="210">
        <f>CONCATENATE(A167,B167,",",C167,",",D167,E167,F167,",",G167,",",H167,",",I167,",",J167,K167,L167,M167,N167,O167,)</f>
        <v/>
      </c>
    </row>
    <row r="168">
      <c r="A168" s="166" t="inlineStr">
        <is>
          <t xml:space="preserve">        [ 'dims' =&gt; [</t>
        </is>
      </c>
      <c r="B168" s="166">
        <f>Закуп!R168</f>
        <v/>
      </c>
      <c r="C168" s="166">
        <f>Закуп!S168</f>
        <v/>
      </c>
      <c r="D168" s="166">
        <f>Закуп!T168</f>
        <v/>
      </c>
      <c r="E168" s="166" t="inlineStr">
        <is>
          <t>], 'prices' =&gt; [</t>
        </is>
      </c>
      <c r="F168" s="167">
        <f>SUBSTITUTE(INDEX(Calc!$K:$K,(ROW(A167)-1)*5+COLUMN(A167)+1),",",".")</f>
        <v/>
      </c>
      <c r="G168" s="167">
        <f>SUBSTITUTE(INDEX(Calc!$K:$K,(ROW(B167)-1)*5+COLUMN(B167)+1),",",".")</f>
        <v/>
      </c>
      <c r="H168" s="167">
        <f>SUBSTITUTE(INDEX(Calc!$K:$K,(ROW(C167)-1)*5+COLUMN(C167)+1),",",".")</f>
        <v/>
      </c>
      <c r="I168" s="167">
        <f>SUBSTITUTE(INDEX(Calc!$K:$K,(ROW(D167)-1)*5+COLUMN(D167)+1),",",".")</f>
        <v/>
      </c>
      <c r="J168" s="167">
        <f>SUBSTITUTE(INDEX(Calc!$K:$K,(ROW(E167)-1)*5+COLUMN(E167)+1),",",".")</f>
        <v/>
      </c>
      <c r="K168" s="166" t="inlineStr">
        <is>
          <t>], 'type' =&gt; "</t>
        </is>
      </c>
      <c r="L168" s="167">
        <f>Закуп!AA168</f>
        <v/>
      </c>
      <c r="M168" s="166" t="inlineStr">
        <is>
          <t>", 'sale' =&gt; "</t>
        </is>
      </c>
      <c r="N168" s="166">
        <f>IF(Закуп!L168="",0,Закуп!L168)</f>
        <v/>
      </c>
      <c r="O168" s="166" t="inlineStr">
        <is>
          <t>" ],</t>
        </is>
      </c>
      <c r="P168" s="144">
        <f>Закуп!N168</f>
        <v/>
      </c>
      <c r="Q168" s="210">
        <f>CONCATENATE(A168,B168,",",C168,",",D168,E168,F168,",",G168,",",H168,",",I168,",",J168,K168,L168,M168,N168,O168,)</f>
        <v/>
      </c>
    </row>
    <row r="169">
      <c r="A169" s="166" t="inlineStr">
        <is>
          <t xml:space="preserve">        [ 'dims' =&gt; [</t>
        </is>
      </c>
      <c r="B169" s="166">
        <f>Закуп!R169</f>
        <v/>
      </c>
      <c r="C169" s="166">
        <f>Закуп!S169</f>
        <v/>
      </c>
      <c r="D169" s="166">
        <f>Закуп!T169</f>
        <v/>
      </c>
      <c r="E169" s="166" t="inlineStr">
        <is>
          <t>], 'prices' =&gt; [</t>
        </is>
      </c>
      <c r="F169" s="167">
        <f>SUBSTITUTE(INDEX(Calc!$K:$K,(ROW(A168)-1)*5+COLUMN(A168)+1),",",".")</f>
        <v/>
      </c>
      <c r="G169" s="167">
        <f>SUBSTITUTE(INDEX(Calc!$K:$K,(ROW(B168)-1)*5+COLUMN(B168)+1),",",".")</f>
        <v/>
      </c>
      <c r="H169" s="167">
        <f>SUBSTITUTE(INDEX(Calc!$K:$K,(ROW(C168)-1)*5+COLUMN(C168)+1),",",".")</f>
        <v/>
      </c>
      <c r="I169" s="167">
        <f>SUBSTITUTE(INDEX(Calc!$K:$K,(ROW(D168)-1)*5+COLUMN(D168)+1),",",".")</f>
        <v/>
      </c>
      <c r="J169" s="167">
        <f>SUBSTITUTE(INDEX(Calc!$K:$K,(ROW(E168)-1)*5+COLUMN(E168)+1),",",".")</f>
        <v/>
      </c>
      <c r="K169" s="166" t="inlineStr">
        <is>
          <t>], 'type' =&gt; "</t>
        </is>
      </c>
      <c r="L169" s="167">
        <f>Закуп!AA169</f>
        <v/>
      </c>
      <c r="M169" s="166" t="inlineStr">
        <is>
          <t>", 'sale' =&gt; "</t>
        </is>
      </c>
      <c r="N169" s="166">
        <f>IF(Закуп!L169="",0,Закуп!L169)</f>
        <v/>
      </c>
      <c r="O169" s="166" t="inlineStr">
        <is>
          <t>" ],</t>
        </is>
      </c>
      <c r="P169" s="144">
        <f>Закуп!N169</f>
        <v/>
      </c>
      <c r="Q169" s="210">
        <f>CONCATENATE(A169,B169,",",C169,",",D169,E169,F169,",",G169,",",H169,",",I169,",",J169,K169,L169,M169,N169,O169,)</f>
        <v/>
      </c>
    </row>
    <row r="170">
      <c r="A170" s="166" t="inlineStr">
        <is>
          <t xml:space="preserve">        [ 'dims' =&gt; [</t>
        </is>
      </c>
      <c r="B170" s="166">
        <f>Закуп!R170</f>
        <v/>
      </c>
      <c r="C170" s="166">
        <f>Закуп!S170</f>
        <v/>
      </c>
      <c r="D170" s="166">
        <f>Закуп!T170</f>
        <v/>
      </c>
      <c r="E170" s="166" t="inlineStr">
        <is>
          <t>], 'prices' =&gt; [</t>
        </is>
      </c>
      <c r="F170" s="167">
        <f>SUBSTITUTE(INDEX(Calc!$K:$K,(ROW(A169)-1)*5+COLUMN(A169)+1),",",".")</f>
        <v/>
      </c>
      <c r="G170" s="167">
        <f>SUBSTITUTE(INDEX(Calc!$K:$K,(ROW(B169)-1)*5+COLUMN(B169)+1),",",".")</f>
        <v/>
      </c>
      <c r="H170" s="167">
        <f>SUBSTITUTE(INDEX(Calc!$K:$K,(ROW(C169)-1)*5+COLUMN(C169)+1),",",".")</f>
        <v/>
      </c>
      <c r="I170" s="167">
        <f>SUBSTITUTE(INDEX(Calc!$K:$K,(ROW(D169)-1)*5+COLUMN(D169)+1),",",".")</f>
        <v/>
      </c>
      <c r="J170" s="167">
        <f>SUBSTITUTE(INDEX(Calc!$K:$K,(ROW(E169)-1)*5+COLUMN(E169)+1),",",".")</f>
        <v/>
      </c>
      <c r="K170" s="166" t="inlineStr">
        <is>
          <t>], 'type' =&gt; "</t>
        </is>
      </c>
      <c r="L170" s="167">
        <f>Закуп!AA170</f>
        <v/>
      </c>
      <c r="M170" s="166" t="inlineStr">
        <is>
          <t>", 'sale' =&gt; "</t>
        </is>
      </c>
      <c r="N170" s="166">
        <f>IF(Закуп!L170="",0,Закуп!L170)</f>
        <v/>
      </c>
      <c r="O170" s="166" t="inlineStr">
        <is>
          <t>" ],</t>
        </is>
      </c>
      <c r="P170" s="144">
        <f>Закуп!N170</f>
        <v/>
      </c>
      <c r="Q170" s="210">
        <f>CONCATENATE(A170,B170,",",C170,",",D170,E170,F170,",",G170,",",H170,",",I170,",",J170,K170,L170,M170,N170,O170,)</f>
        <v/>
      </c>
    </row>
    <row r="171">
      <c r="A171" s="166" t="inlineStr">
        <is>
          <t xml:space="preserve">        [ 'dims' =&gt; [</t>
        </is>
      </c>
      <c r="B171" s="166">
        <f>Закуп!R171</f>
        <v/>
      </c>
      <c r="C171" s="166">
        <f>Закуп!S171</f>
        <v/>
      </c>
      <c r="D171" s="166">
        <f>Закуп!T171</f>
        <v/>
      </c>
      <c r="E171" s="166" t="inlineStr">
        <is>
          <t>], 'prices' =&gt; [</t>
        </is>
      </c>
      <c r="F171" s="167">
        <f>SUBSTITUTE(INDEX(Calc!$K:$K,(ROW(A170)-1)*5+COLUMN(A170)+1),",",".")</f>
        <v/>
      </c>
      <c r="G171" s="167">
        <f>SUBSTITUTE(INDEX(Calc!$K:$K,(ROW(B170)-1)*5+COLUMN(B170)+1),",",".")</f>
        <v/>
      </c>
      <c r="H171" s="167">
        <f>SUBSTITUTE(INDEX(Calc!$K:$K,(ROW(C170)-1)*5+COLUMN(C170)+1),",",".")</f>
        <v/>
      </c>
      <c r="I171" s="167">
        <f>SUBSTITUTE(INDEX(Calc!$K:$K,(ROW(D170)-1)*5+COLUMN(D170)+1),",",".")</f>
        <v/>
      </c>
      <c r="J171" s="167">
        <f>SUBSTITUTE(INDEX(Calc!$K:$K,(ROW(E170)-1)*5+COLUMN(E170)+1),",",".")</f>
        <v/>
      </c>
      <c r="K171" s="166" t="inlineStr">
        <is>
          <t>], 'type' =&gt; "</t>
        </is>
      </c>
      <c r="L171" s="167">
        <f>Закуп!AA171</f>
        <v/>
      </c>
      <c r="M171" s="166" t="inlineStr">
        <is>
          <t>", 'sale' =&gt; "</t>
        </is>
      </c>
      <c r="N171" s="166">
        <f>IF(Закуп!L171="",0,Закуп!L171)</f>
        <v/>
      </c>
      <c r="O171" s="166" t="inlineStr">
        <is>
          <t>" ],</t>
        </is>
      </c>
      <c r="P171" s="144">
        <f>Закуп!N171</f>
        <v/>
      </c>
      <c r="Q171" s="210">
        <f>CONCATENATE(A171,B171,",",C171,",",D171,E171,F171,",",G171,",",H171,",",I171,",",J171,K171,L171,M171,N171,O171,)</f>
        <v/>
      </c>
    </row>
    <row r="172">
      <c r="A172" s="166" t="inlineStr">
        <is>
          <t xml:space="preserve">        [ 'dims' =&gt; [</t>
        </is>
      </c>
      <c r="B172" s="166">
        <f>Закуп!R172</f>
        <v/>
      </c>
      <c r="C172" s="166">
        <f>Закуп!S172</f>
        <v/>
      </c>
      <c r="D172" s="166">
        <f>Закуп!T172</f>
        <v/>
      </c>
      <c r="E172" s="166" t="inlineStr">
        <is>
          <t>], 'prices' =&gt; [</t>
        </is>
      </c>
      <c r="F172" s="167">
        <f>SUBSTITUTE(INDEX(Calc!$K:$K,(ROW(A171)-1)*5+COLUMN(A171)+1),",",".")</f>
        <v/>
      </c>
      <c r="G172" s="167">
        <f>SUBSTITUTE(INDEX(Calc!$K:$K,(ROW(B171)-1)*5+COLUMN(B171)+1),",",".")</f>
        <v/>
      </c>
      <c r="H172" s="167">
        <f>SUBSTITUTE(INDEX(Calc!$K:$K,(ROW(C171)-1)*5+COLUMN(C171)+1),",",".")</f>
        <v/>
      </c>
      <c r="I172" s="167">
        <f>SUBSTITUTE(INDEX(Calc!$K:$K,(ROW(D171)-1)*5+COLUMN(D171)+1),",",".")</f>
        <v/>
      </c>
      <c r="J172" s="167">
        <f>SUBSTITUTE(INDEX(Calc!$K:$K,(ROW(E171)-1)*5+COLUMN(E171)+1),",",".")</f>
        <v/>
      </c>
      <c r="K172" s="166" t="inlineStr">
        <is>
          <t>], 'type' =&gt; "</t>
        </is>
      </c>
      <c r="L172" s="167">
        <f>Закуп!AA172</f>
        <v/>
      </c>
      <c r="M172" s="166" t="inlineStr">
        <is>
          <t>", 'sale' =&gt; "</t>
        </is>
      </c>
      <c r="N172" s="166">
        <f>IF(Закуп!L172="",0,Закуп!L172)</f>
        <v/>
      </c>
      <c r="O172" s="166" t="inlineStr">
        <is>
          <t>" ],</t>
        </is>
      </c>
      <c r="P172" s="144">
        <f>Закуп!N172</f>
        <v/>
      </c>
      <c r="Q172" s="210">
        <f>CONCATENATE(A172,B172,",",C172,",",D172,E172,F172,",",G172,",",H172,",",I172,",",J172,K172,L172,M172,N172,O172,)</f>
        <v/>
      </c>
    </row>
    <row r="173">
      <c r="A173" s="166" t="inlineStr">
        <is>
          <t xml:space="preserve">        [ 'dims' =&gt; [</t>
        </is>
      </c>
      <c r="B173" s="166">
        <f>Закуп!R173</f>
        <v/>
      </c>
      <c r="C173" s="166">
        <f>Закуп!S173</f>
        <v/>
      </c>
      <c r="D173" s="166">
        <f>Закуп!T173</f>
        <v/>
      </c>
      <c r="E173" s="166" t="inlineStr">
        <is>
          <t>], 'prices' =&gt; [</t>
        </is>
      </c>
      <c r="F173" s="167">
        <f>SUBSTITUTE(INDEX(Calc!$K:$K,(ROW(A172)-1)*5+COLUMN(A172)+1),",",".")</f>
        <v/>
      </c>
      <c r="G173" s="167">
        <f>SUBSTITUTE(INDEX(Calc!$K:$K,(ROW(B172)-1)*5+COLUMN(B172)+1),",",".")</f>
        <v/>
      </c>
      <c r="H173" s="167">
        <f>SUBSTITUTE(INDEX(Calc!$K:$K,(ROW(C172)-1)*5+COLUMN(C172)+1),",",".")</f>
        <v/>
      </c>
      <c r="I173" s="167">
        <f>SUBSTITUTE(INDEX(Calc!$K:$K,(ROW(D172)-1)*5+COLUMN(D172)+1),",",".")</f>
        <v/>
      </c>
      <c r="J173" s="167">
        <f>SUBSTITUTE(INDEX(Calc!$K:$K,(ROW(E172)-1)*5+COLUMN(E172)+1),",",".")</f>
        <v/>
      </c>
      <c r="K173" s="166" t="inlineStr">
        <is>
          <t>], 'type' =&gt; "</t>
        </is>
      </c>
      <c r="L173" s="167">
        <f>Закуп!AA173</f>
        <v/>
      </c>
      <c r="M173" s="166" t="inlineStr">
        <is>
          <t>", 'sale' =&gt; "</t>
        </is>
      </c>
      <c r="N173" s="166">
        <f>IF(Закуп!L173="",0,Закуп!L173)</f>
        <v/>
      </c>
      <c r="O173" s="166" t="inlineStr">
        <is>
          <t>" ],</t>
        </is>
      </c>
      <c r="P173" s="144">
        <f>Закуп!N173</f>
        <v/>
      </c>
      <c r="Q173" s="210">
        <f>CONCATENATE(A173,B173,",",C173,",",D173,E173,F173,",",G173,",",H173,",",I173,",",J173,K173,L173,M173,N173,O173,)</f>
        <v/>
      </c>
    </row>
    <row r="174">
      <c r="A174" s="166" t="inlineStr">
        <is>
          <t xml:space="preserve">        [ 'dims' =&gt; [</t>
        </is>
      </c>
      <c r="B174" s="166">
        <f>Закуп!R174</f>
        <v/>
      </c>
      <c r="C174" s="166">
        <f>Закуп!S174</f>
        <v/>
      </c>
      <c r="D174" s="166">
        <f>Закуп!T174</f>
        <v/>
      </c>
      <c r="E174" s="166" t="inlineStr">
        <is>
          <t>], 'prices' =&gt; [</t>
        </is>
      </c>
      <c r="F174" s="167">
        <f>SUBSTITUTE(INDEX(Calc!$K:$K,(ROW(A173)-1)*5+COLUMN(A173)+1),",",".")</f>
        <v/>
      </c>
      <c r="G174" s="167">
        <f>SUBSTITUTE(INDEX(Calc!$K:$K,(ROW(B173)-1)*5+COLUMN(B173)+1),",",".")</f>
        <v/>
      </c>
      <c r="H174" s="167">
        <f>SUBSTITUTE(INDEX(Calc!$K:$K,(ROW(C173)-1)*5+COLUMN(C173)+1),",",".")</f>
        <v/>
      </c>
      <c r="I174" s="167">
        <f>SUBSTITUTE(INDEX(Calc!$K:$K,(ROW(D173)-1)*5+COLUMN(D173)+1),",",".")</f>
        <v/>
      </c>
      <c r="J174" s="167">
        <f>SUBSTITUTE(INDEX(Calc!$K:$K,(ROW(E173)-1)*5+COLUMN(E173)+1),",",".")</f>
        <v/>
      </c>
      <c r="K174" s="166" t="inlineStr">
        <is>
          <t>], 'type' =&gt; "</t>
        </is>
      </c>
      <c r="L174" s="167">
        <f>Закуп!AA174</f>
        <v/>
      </c>
      <c r="M174" s="166" t="inlineStr">
        <is>
          <t>", 'sale' =&gt; "</t>
        </is>
      </c>
      <c r="N174" s="166">
        <f>IF(Закуп!L174="",0,Закуп!L174)</f>
        <v/>
      </c>
      <c r="O174" s="166" t="inlineStr">
        <is>
          <t>" ],</t>
        </is>
      </c>
      <c r="P174" s="144">
        <f>Закуп!N174</f>
        <v/>
      </c>
      <c r="Q174" s="210">
        <f>CONCATENATE(A174,B174,",",C174,",",D174,E174,F174,",",G174,",",H174,",",I174,",",J174,K174,L174,M174,N174,O174,)</f>
        <v/>
      </c>
    </row>
    <row r="175">
      <c r="A175" s="166" t="inlineStr">
        <is>
          <t xml:space="preserve">        [ 'dims' =&gt; [</t>
        </is>
      </c>
      <c r="B175" s="166">
        <f>Закуп!R175</f>
        <v/>
      </c>
      <c r="C175" s="166">
        <f>Закуп!S175</f>
        <v/>
      </c>
      <c r="D175" s="166">
        <f>Закуп!T175</f>
        <v/>
      </c>
      <c r="E175" s="166" t="inlineStr">
        <is>
          <t>], 'prices' =&gt; [</t>
        </is>
      </c>
      <c r="F175" s="167">
        <f>SUBSTITUTE(INDEX(Calc!$K:$K,(ROW(A174)-1)*5+COLUMN(A174)+1),",",".")</f>
        <v/>
      </c>
      <c r="G175" s="167">
        <f>SUBSTITUTE(INDEX(Calc!$K:$K,(ROW(B174)-1)*5+COLUMN(B174)+1),",",".")</f>
        <v/>
      </c>
      <c r="H175" s="167">
        <f>SUBSTITUTE(INDEX(Calc!$K:$K,(ROW(C174)-1)*5+COLUMN(C174)+1),",",".")</f>
        <v/>
      </c>
      <c r="I175" s="167">
        <f>SUBSTITUTE(INDEX(Calc!$K:$K,(ROW(D174)-1)*5+COLUMN(D174)+1),",",".")</f>
        <v/>
      </c>
      <c r="J175" s="167">
        <f>SUBSTITUTE(INDEX(Calc!$K:$K,(ROW(E174)-1)*5+COLUMN(E174)+1),",",".")</f>
        <v/>
      </c>
      <c r="K175" s="166" t="inlineStr">
        <is>
          <t>], 'type' =&gt; "</t>
        </is>
      </c>
      <c r="L175" s="167">
        <f>Закуп!AA175</f>
        <v/>
      </c>
      <c r="M175" s="166" t="inlineStr">
        <is>
          <t>", 'sale' =&gt; "</t>
        </is>
      </c>
      <c r="N175" s="166">
        <f>IF(Закуп!L175="",0,Закуп!L175)</f>
        <v/>
      </c>
      <c r="O175" s="166" t="inlineStr">
        <is>
          <t>" ],</t>
        </is>
      </c>
      <c r="P175" s="144">
        <f>Закуп!N175</f>
        <v/>
      </c>
      <c r="Q175" s="210">
        <f>CONCATENATE(A175,B175,",",C175,",",D175,E175,F175,",",G175,",",H175,",",I175,",",J175,K175,L175,M175,N175,O175,)</f>
        <v/>
      </c>
    </row>
    <row r="176">
      <c r="A176" s="166" t="inlineStr">
        <is>
          <t xml:space="preserve">        [ 'dims' =&gt; [</t>
        </is>
      </c>
      <c r="B176" s="166">
        <f>Закуп!R176</f>
        <v/>
      </c>
      <c r="C176" s="166">
        <f>Закуп!S176</f>
        <v/>
      </c>
      <c r="D176" s="166">
        <f>Закуп!T176</f>
        <v/>
      </c>
      <c r="E176" s="166" t="inlineStr">
        <is>
          <t>], 'prices' =&gt; [</t>
        </is>
      </c>
      <c r="F176" s="167">
        <f>SUBSTITUTE(INDEX(Calc!$K:$K,(ROW(A175)-1)*5+COLUMN(A175)+1),",",".")</f>
        <v/>
      </c>
      <c r="G176" s="167">
        <f>SUBSTITUTE(INDEX(Calc!$K:$K,(ROW(B175)-1)*5+COLUMN(B175)+1),",",".")</f>
        <v/>
      </c>
      <c r="H176" s="167">
        <f>SUBSTITUTE(INDEX(Calc!$K:$K,(ROW(C175)-1)*5+COLUMN(C175)+1),",",".")</f>
        <v/>
      </c>
      <c r="I176" s="167">
        <f>SUBSTITUTE(INDEX(Calc!$K:$K,(ROW(D175)-1)*5+COLUMN(D175)+1),",",".")</f>
        <v/>
      </c>
      <c r="J176" s="167">
        <f>SUBSTITUTE(INDEX(Calc!$K:$K,(ROW(E175)-1)*5+COLUMN(E175)+1),",",".")</f>
        <v/>
      </c>
      <c r="K176" s="166" t="inlineStr">
        <is>
          <t>], 'type' =&gt; "</t>
        </is>
      </c>
      <c r="L176" s="167">
        <f>Закуп!AA176</f>
        <v/>
      </c>
      <c r="M176" s="166" t="inlineStr">
        <is>
          <t>", 'sale' =&gt; "</t>
        </is>
      </c>
      <c r="N176" s="166">
        <f>IF(Закуп!L176="",0,Закуп!L176)</f>
        <v/>
      </c>
      <c r="O176" s="166" t="inlineStr">
        <is>
          <t>" ],</t>
        </is>
      </c>
      <c r="P176" s="144">
        <f>Закуп!N176</f>
        <v/>
      </c>
      <c r="Q176" s="210">
        <f>CONCATENATE(A176,B176,",",C176,",",D176,E176,F176,",",G176,",",H176,",",I176,",",J176,K176,L176,M176,N176,O176,)</f>
        <v/>
      </c>
    </row>
    <row r="177">
      <c r="A177" s="166" t="inlineStr">
        <is>
          <t xml:space="preserve">        [ 'dims' =&gt; [</t>
        </is>
      </c>
      <c r="B177" s="166">
        <f>Закуп!R177</f>
        <v/>
      </c>
      <c r="C177" s="166">
        <f>Закуп!S177</f>
        <v/>
      </c>
      <c r="D177" s="166">
        <f>Закуп!T177</f>
        <v/>
      </c>
      <c r="E177" s="166" t="inlineStr">
        <is>
          <t>], 'prices' =&gt; [</t>
        </is>
      </c>
      <c r="F177" s="167">
        <f>SUBSTITUTE(INDEX(Calc!$K:$K,(ROW(A176)-1)*5+COLUMN(A176)+1),",",".")</f>
        <v/>
      </c>
      <c r="G177" s="167">
        <f>SUBSTITUTE(INDEX(Calc!$K:$K,(ROW(B176)-1)*5+COLUMN(B176)+1),",",".")</f>
        <v/>
      </c>
      <c r="H177" s="167">
        <f>SUBSTITUTE(INDEX(Calc!$K:$K,(ROW(C176)-1)*5+COLUMN(C176)+1),",",".")</f>
        <v/>
      </c>
      <c r="I177" s="167">
        <f>SUBSTITUTE(INDEX(Calc!$K:$K,(ROW(D176)-1)*5+COLUMN(D176)+1),",",".")</f>
        <v/>
      </c>
      <c r="J177" s="167">
        <f>SUBSTITUTE(INDEX(Calc!$K:$K,(ROW(E176)-1)*5+COLUMN(E176)+1),",",".")</f>
        <v/>
      </c>
      <c r="K177" s="166" t="inlineStr">
        <is>
          <t>], 'type' =&gt; "</t>
        </is>
      </c>
      <c r="L177" s="167">
        <f>Закуп!AA177</f>
        <v/>
      </c>
      <c r="M177" s="166" t="inlineStr">
        <is>
          <t>", 'sale' =&gt; "</t>
        </is>
      </c>
      <c r="N177" s="166">
        <f>IF(Закуп!L177="",0,Закуп!L177)</f>
        <v/>
      </c>
      <c r="O177" s="166" t="inlineStr">
        <is>
          <t>" ],</t>
        </is>
      </c>
      <c r="P177" s="144">
        <f>Закуп!N177</f>
        <v/>
      </c>
      <c r="Q177" s="210">
        <f>CONCATENATE(A177,B177,",",C177,",",D177,E177,F177,",",G177,",",H177,",",I177,",",J177,K177,L177,M177,N177,O177,)</f>
        <v/>
      </c>
    </row>
    <row r="178">
      <c r="A178" s="166" t="inlineStr">
        <is>
          <t xml:space="preserve">        [ 'dims' =&gt; [</t>
        </is>
      </c>
      <c r="B178" s="166">
        <f>Закуп!R178</f>
        <v/>
      </c>
      <c r="C178" s="166">
        <f>Закуп!S178</f>
        <v/>
      </c>
      <c r="D178" s="166">
        <f>Закуп!T178</f>
        <v/>
      </c>
      <c r="E178" s="166" t="inlineStr">
        <is>
          <t>], 'prices' =&gt; [</t>
        </is>
      </c>
      <c r="F178" s="167">
        <f>SUBSTITUTE(INDEX(Calc!$K:$K,(ROW(A177)-1)*5+COLUMN(A177)+1),",",".")</f>
        <v/>
      </c>
      <c r="G178" s="167">
        <f>SUBSTITUTE(INDEX(Calc!$K:$K,(ROW(B177)-1)*5+COLUMN(B177)+1),",",".")</f>
        <v/>
      </c>
      <c r="H178" s="167">
        <f>SUBSTITUTE(INDEX(Calc!$K:$K,(ROW(C177)-1)*5+COLUMN(C177)+1),",",".")</f>
        <v/>
      </c>
      <c r="I178" s="167">
        <f>SUBSTITUTE(INDEX(Calc!$K:$K,(ROW(D177)-1)*5+COLUMN(D177)+1),",",".")</f>
        <v/>
      </c>
      <c r="J178" s="167">
        <f>SUBSTITUTE(INDEX(Calc!$K:$K,(ROW(E177)-1)*5+COLUMN(E177)+1),",",".")</f>
        <v/>
      </c>
      <c r="K178" s="166" t="inlineStr">
        <is>
          <t>], 'type' =&gt; "</t>
        </is>
      </c>
      <c r="L178" s="167">
        <f>Закуп!AA178</f>
        <v/>
      </c>
      <c r="M178" s="166" t="inlineStr">
        <is>
          <t>", 'sale' =&gt; "</t>
        </is>
      </c>
      <c r="N178" s="166">
        <f>IF(Закуп!L178="",0,Закуп!L178)</f>
        <v/>
      </c>
      <c r="O178" s="166" t="inlineStr">
        <is>
          <t>" ],</t>
        </is>
      </c>
      <c r="P178" s="144">
        <f>Закуп!N178</f>
        <v/>
      </c>
      <c r="Q178" s="210">
        <f>CONCATENATE(A178,B178,",",C178,",",D178,E178,F178,",",G178,",",H178,",",I178,",",J178,K178,L178,M178,N178,O178,)</f>
        <v/>
      </c>
    </row>
    <row r="179">
      <c r="A179" s="166" t="inlineStr">
        <is>
          <t xml:space="preserve">        [ 'dims' =&gt; [</t>
        </is>
      </c>
      <c r="B179" s="166">
        <f>Закуп!R179</f>
        <v/>
      </c>
      <c r="C179" s="166">
        <f>Закуп!S179</f>
        <v/>
      </c>
      <c r="D179" s="166">
        <f>Закуп!T179</f>
        <v/>
      </c>
      <c r="E179" s="166" t="inlineStr">
        <is>
          <t>], 'prices' =&gt; [</t>
        </is>
      </c>
      <c r="F179" s="167">
        <f>SUBSTITUTE(INDEX(Calc!$K:$K,(ROW(A178)-1)*5+COLUMN(A178)+1),",",".")</f>
        <v/>
      </c>
      <c r="G179" s="167">
        <f>SUBSTITUTE(INDEX(Calc!$K:$K,(ROW(B178)-1)*5+COLUMN(B178)+1),",",".")</f>
        <v/>
      </c>
      <c r="H179" s="167">
        <f>SUBSTITUTE(INDEX(Calc!$K:$K,(ROW(C178)-1)*5+COLUMN(C178)+1),",",".")</f>
        <v/>
      </c>
      <c r="I179" s="167">
        <f>SUBSTITUTE(INDEX(Calc!$K:$K,(ROW(D178)-1)*5+COLUMN(D178)+1),",",".")</f>
        <v/>
      </c>
      <c r="J179" s="167">
        <f>SUBSTITUTE(INDEX(Calc!$K:$K,(ROW(E178)-1)*5+COLUMN(E178)+1),",",".")</f>
        <v/>
      </c>
      <c r="K179" s="166" t="inlineStr">
        <is>
          <t>], 'type' =&gt; "</t>
        </is>
      </c>
      <c r="L179" s="167">
        <f>Закуп!AA179</f>
        <v/>
      </c>
      <c r="M179" s="166" t="inlineStr">
        <is>
          <t>", 'sale' =&gt; "</t>
        </is>
      </c>
      <c r="N179" s="166">
        <f>IF(Закуп!L179="",0,Закуп!L179)</f>
        <v/>
      </c>
      <c r="O179" s="166" t="inlineStr">
        <is>
          <t>" ],</t>
        </is>
      </c>
      <c r="P179" s="144">
        <f>Закуп!N179</f>
        <v/>
      </c>
      <c r="Q179" s="210">
        <f>CONCATENATE(A179,B179,",",C179,",",D179,E179,F179,",",G179,",",H179,",",I179,",",J179,K179,L179,M179,N179,O179,)</f>
        <v/>
      </c>
    </row>
    <row r="180">
      <c r="A180" s="166" t="inlineStr">
        <is>
          <t xml:space="preserve">        [ 'dims' =&gt; [</t>
        </is>
      </c>
      <c r="B180" s="166">
        <f>Закуп!R180</f>
        <v/>
      </c>
      <c r="C180" s="166">
        <f>Закуп!S180</f>
        <v/>
      </c>
      <c r="D180" s="166">
        <f>Закуп!T180</f>
        <v/>
      </c>
      <c r="E180" s="166" t="inlineStr">
        <is>
          <t>], 'prices' =&gt; [</t>
        </is>
      </c>
      <c r="F180" s="167">
        <f>SUBSTITUTE(INDEX(Calc!$K:$K,(ROW(A179)-1)*5+COLUMN(A179)+1),",",".")</f>
        <v/>
      </c>
      <c r="G180" s="167">
        <f>SUBSTITUTE(INDEX(Calc!$K:$K,(ROW(B179)-1)*5+COLUMN(B179)+1),",",".")</f>
        <v/>
      </c>
      <c r="H180" s="167">
        <f>SUBSTITUTE(INDEX(Calc!$K:$K,(ROW(C179)-1)*5+COLUMN(C179)+1),",",".")</f>
        <v/>
      </c>
      <c r="I180" s="167">
        <f>SUBSTITUTE(INDEX(Calc!$K:$K,(ROW(D179)-1)*5+COLUMN(D179)+1),",",".")</f>
        <v/>
      </c>
      <c r="J180" s="167">
        <f>SUBSTITUTE(INDEX(Calc!$K:$K,(ROW(E179)-1)*5+COLUMN(E179)+1),",",".")</f>
        <v/>
      </c>
      <c r="K180" s="166" t="inlineStr">
        <is>
          <t>], 'type' =&gt; "</t>
        </is>
      </c>
      <c r="L180" s="167">
        <f>Закуп!AA180</f>
        <v/>
      </c>
      <c r="M180" s="166" t="inlineStr">
        <is>
          <t>", 'sale' =&gt; "</t>
        </is>
      </c>
      <c r="N180" s="166">
        <f>IF(Закуп!L180="",0,Закуп!L180)</f>
        <v/>
      </c>
      <c r="O180" s="166" t="inlineStr">
        <is>
          <t>" ],</t>
        </is>
      </c>
      <c r="P180" s="144">
        <f>Закуп!N180</f>
        <v/>
      </c>
      <c r="Q180" s="210">
        <f>CONCATENATE(A180,B180,",",C180,",",D180,E180,F180,",",G180,",",H180,",",I180,",",J180,K180,L180,M180,N180,O180,)</f>
        <v/>
      </c>
    </row>
    <row r="181">
      <c r="A181" s="166" t="inlineStr">
        <is>
          <t xml:space="preserve">        [ 'dims' =&gt; [</t>
        </is>
      </c>
      <c r="B181" s="166">
        <f>Закуп!R181</f>
        <v/>
      </c>
      <c r="C181" s="166">
        <f>Закуп!S181</f>
        <v/>
      </c>
      <c r="D181" s="166">
        <f>Закуп!T181</f>
        <v/>
      </c>
      <c r="E181" s="166" t="inlineStr">
        <is>
          <t>], 'prices' =&gt; [</t>
        </is>
      </c>
      <c r="F181" s="167">
        <f>SUBSTITUTE(INDEX(Calc!$K:$K,(ROW(A180)-1)*5+COLUMN(A180)+1),",",".")</f>
        <v/>
      </c>
      <c r="G181" s="167">
        <f>SUBSTITUTE(INDEX(Calc!$K:$K,(ROW(B180)-1)*5+COLUMN(B180)+1),",",".")</f>
        <v/>
      </c>
      <c r="H181" s="167">
        <f>SUBSTITUTE(INDEX(Calc!$K:$K,(ROW(C180)-1)*5+COLUMN(C180)+1),",",".")</f>
        <v/>
      </c>
      <c r="I181" s="167">
        <f>SUBSTITUTE(INDEX(Calc!$K:$K,(ROW(D180)-1)*5+COLUMN(D180)+1),",",".")</f>
        <v/>
      </c>
      <c r="J181" s="167">
        <f>SUBSTITUTE(INDEX(Calc!$K:$K,(ROW(E180)-1)*5+COLUMN(E180)+1),",",".")</f>
        <v/>
      </c>
      <c r="K181" s="166" t="inlineStr">
        <is>
          <t>], 'type' =&gt; "</t>
        </is>
      </c>
      <c r="L181" s="167">
        <f>Закуп!AA181</f>
        <v/>
      </c>
      <c r="M181" s="166" t="inlineStr">
        <is>
          <t>", 'sale' =&gt; "</t>
        </is>
      </c>
      <c r="N181" s="166">
        <f>IF(Закуп!L181="",0,Закуп!L181)</f>
        <v/>
      </c>
      <c r="O181" s="166" t="inlineStr">
        <is>
          <t>" ],</t>
        </is>
      </c>
      <c r="P181" s="144">
        <f>Закуп!N181</f>
        <v/>
      </c>
      <c r="Q181" s="210">
        <f>CONCATENATE(A181,B181,",",C181,",",D181,E181,F181,",",G181,",",H181,",",I181,",",J181,K181,L181,M181,N181,O181,)</f>
        <v/>
      </c>
    </row>
    <row r="182">
      <c r="A182" s="166" t="inlineStr">
        <is>
          <t xml:space="preserve">        [ 'dims' =&gt; [</t>
        </is>
      </c>
      <c r="B182" s="166">
        <f>Закуп!R182</f>
        <v/>
      </c>
      <c r="C182" s="166">
        <f>Закуп!S182</f>
        <v/>
      </c>
      <c r="D182" s="166">
        <f>Закуп!T182</f>
        <v/>
      </c>
      <c r="E182" s="166" t="inlineStr">
        <is>
          <t>], 'prices' =&gt; [</t>
        </is>
      </c>
      <c r="F182" s="167">
        <f>SUBSTITUTE(INDEX(Calc!$K:$K,(ROW(A181)-1)*5+COLUMN(A181)+1),",",".")</f>
        <v/>
      </c>
      <c r="G182" s="167">
        <f>SUBSTITUTE(INDEX(Calc!$K:$K,(ROW(B181)-1)*5+COLUMN(B181)+1),",",".")</f>
        <v/>
      </c>
      <c r="H182" s="167">
        <f>SUBSTITUTE(INDEX(Calc!$K:$K,(ROW(C181)-1)*5+COLUMN(C181)+1),",",".")</f>
        <v/>
      </c>
      <c r="I182" s="167">
        <f>SUBSTITUTE(INDEX(Calc!$K:$K,(ROW(D181)-1)*5+COLUMN(D181)+1),",",".")</f>
        <v/>
      </c>
      <c r="J182" s="167">
        <f>SUBSTITUTE(INDEX(Calc!$K:$K,(ROW(E181)-1)*5+COLUMN(E181)+1),",",".")</f>
        <v/>
      </c>
      <c r="K182" s="166" t="inlineStr">
        <is>
          <t>], 'type' =&gt; "</t>
        </is>
      </c>
      <c r="L182" s="167">
        <f>Закуп!AA182</f>
        <v/>
      </c>
      <c r="M182" s="166" t="inlineStr">
        <is>
          <t>", 'sale' =&gt; "</t>
        </is>
      </c>
      <c r="N182" s="166">
        <f>IF(Закуп!L182="",0,Закуп!L182)</f>
        <v/>
      </c>
      <c r="O182" s="166" t="inlineStr">
        <is>
          <t>" ],</t>
        </is>
      </c>
      <c r="P182" s="144">
        <f>Закуп!N182</f>
        <v/>
      </c>
      <c r="Q182" s="210">
        <f>CONCATENATE(A182,B182,",",C182,",",D182,E182,F182,",",G182,",",H182,",",I182,",",J182,K182,L182,M182,N182,O182,)</f>
        <v/>
      </c>
    </row>
    <row r="183">
      <c r="A183" s="166" t="inlineStr">
        <is>
          <t xml:space="preserve">        [ 'dims' =&gt; [</t>
        </is>
      </c>
      <c r="B183" s="166">
        <f>Закуп!R183</f>
        <v/>
      </c>
      <c r="C183" s="166">
        <f>Закуп!S183</f>
        <v/>
      </c>
      <c r="D183" s="166">
        <f>Закуп!T183</f>
        <v/>
      </c>
      <c r="E183" s="166" t="inlineStr">
        <is>
          <t>], 'prices' =&gt; [</t>
        </is>
      </c>
      <c r="F183" s="167">
        <f>SUBSTITUTE(INDEX(Calc!$K:$K,(ROW(A182)-1)*5+COLUMN(A182)+1),",",".")</f>
        <v/>
      </c>
      <c r="G183" s="167">
        <f>SUBSTITUTE(INDEX(Calc!$K:$K,(ROW(B182)-1)*5+COLUMN(B182)+1),",",".")</f>
        <v/>
      </c>
      <c r="H183" s="167">
        <f>SUBSTITUTE(INDEX(Calc!$K:$K,(ROW(C182)-1)*5+COLUMN(C182)+1),",",".")</f>
        <v/>
      </c>
      <c r="I183" s="167">
        <f>SUBSTITUTE(INDEX(Calc!$K:$K,(ROW(D182)-1)*5+COLUMN(D182)+1),",",".")</f>
        <v/>
      </c>
      <c r="J183" s="167">
        <f>SUBSTITUTE(INDEX(Calc!$K:$K,(ROW(E182)-1)*5+COLUMN(E182)+1),",",".")</f>
        <v/>
      </c>
      <c r="K183" s="166" t="inlineStr">
        <is>
          <t>], 'type' =&gt; "</t>
        </is>
      </c>
      <c r="L183" s="167">
        <f>Закуп!AA183</f>
        <v/>
      </c>
      <c r="M183" s="166" t="inlineStr">
        <is>
          <t>", 'sale' =&gt; "</t>
        </is>
      </c>
      <c r="N183" s="166">
        <f>IF(Закуп!L183="",0,Закуп!L183)</f>
        <v/>
      </c>
      <c r="O183" s="166" t="inlineStr">
        <is>
          <t>" ],</t>
        </is>
      </c>
      <c r="P183" s="144">
        <f>Закуп!N183</f>
        <v/>
      </c>
      <c r="Q183" s="210">
        <f>CONCATENATE(A183,B183,",",C183,",",D183,E183,F183,",",G183,",",H183,",",I183,",",J183,K183,L183,M183,N183,O183,)</f>
        <v/>
      </c>
    </row>
    <row r="184">
      <c r="A184" s="166" t="inlineStr">
        <is>
          <t xml:space="preserve">        [ 'dims' =&gt; [</t>
        </is>
      </c>
      <c r="B184" s="166">
        <f>Закуп!R184</f>
        <v/>
      </c>
      <c r="C184" s="166">
        <f>Закуп!S184</f>
        <v/>
      </c>
      <c r="D184" s="166">
        <f>Закуп!T184</f>
        <v/>
      </c>
      <c r="E184" s="166" t="inlineStr">
        <is>
          <t>], 'prices' =&gt; [</t>
        </is>
      </c>
      <c r="F184" s="167">
        <f>SUBSTITUTE(INDEX(Calc!$K:$K,(ROW(A183)-1)*5+COLUMN(A183)+1),",",".")</f>
        <v/>
      </c>
      <c r="G184" s="167">
        <f>SUBSTITUTE(INDEX(Calc!$K:$K,(ROW(B183)-1)*5+COLUMN(B183)+1),",",".")</f>
        <v/>
      </c>
      <c r="H184" s="167">
        <f>SUBSTITUTE(INDEX(Calc!$K:$K,(ROW(C183)-1)*5+COLUMN(C183)+1),",",".")</f>
        <v/>
      </c>
      <c r="I184" s="167">
        <f>SUBSTITUTE(INDEX(Calc!$K:$K,(ROW(D183)-1)*5+COLUMN(D183)+1),",",".")</f>
        <v/>
      </c>
      <c r="J184" s="167">
        <f>SUBSTITUTE(INDEX(Calc!$K:$K,(ROW(E183)-1)*5+COLUMN(E183)+1),",",".")</f>
        <v/>
      </c>
      <c r="K184" s="166" t="inlineStr">
        <is>
          <t>], 'type' =&gt; "</t>
        </is>
      </c>
      <c r="L184" s="167">
        <f>Закуп!AA184</f>
        <v/>
      </c>
      <c r="M184" s="166" t="inlineStr">
        <is>
          <t>", 'sale' =&gt; "</t>
        </is>
      </c>
      <c r="N184" s="166">
        <f>IF(Закуп!L184="",0,Закуп!L184)</f>
        <v/>
      </c>
      <c r="O184" s="166" t="inlineStr">
        <is>
          <t>" ],</t>
        </is>
      </c>
      <c r="P184" s="144">
        <f>Закуп!N184</f>
        <v/>
      </c>
      <c r="Q184" s="210">
        <f>CONCATENATE(A184,B184,",",C184,",",D184,E184,F184,",",G184,",",H184,",",I184,",",J184,K184,L184,M184,N184,O184,)</f>
        <v/>
      </c>
    </row>
    <row r="185">
      <c r="A185" s="166" t="inlineStr">
        <is>
          <t xml:space="preserve">        [ 'dims' =&gt; [</t>
        </is>
      </c>
      <c r="B185" s="166">
        <f>Закуп!R185</f>
        <v/>
      </c>
      <c r="C185" s="166">
        <f>Закуп!S185</f>
        <v/>
      </c>
      <c r="D185" s="166">
        <f>Закуп!T185</f>
        <v/>
      </c>
      <c r="E185" s="166" t="inlineStr">
        <is>
          <t>], 'prices' =&gt; [</t>
        </is>
      </c>
      <c r="F185" s="167">
        <f>SUBSTITUTE(INDEX(Calc!$K:$K,(ROW(A184)-1)*5+COLUMN(A184)+1),",",".")</f>
        <v/>
      </c>
      <c r="G185" s="167">
        <f>SUBSTITUTE(INDEX(Calc!$K:$K,(ROW(B184)-1)*5+COLUMN(B184)+1),",",".")</f>
        <v/>
      </c>
      <c r="H185" s="167">
        <f>SUBSTITUTE(INDEX(Calc!$K:$K,(ROW(C184)-1)*5+COLUMN(C184)+1),",",".")</f>
        <v/>
      </c>
      <c r="I185" s="167">
        <f>SUBSTITUTE(INDEX(Calc!$K:$K,(ROW(D184)-1)*5+COLUMN(D184)+1),",",".")</f>
        <v/>
      </c>
      <c r="J185" s="167">
        <f>SUBSTITUTE(INDEX(Calc!$K:$K,(ROW(E184)-1)*5+COLUMN(E184)+1),",",".")</f>
        <v/>
      </c>
      <c r="K185" s="166" t="inlineStr">
        <is>
          <t>], 'type' =&gt; "</t>
        </is>
      </c>
      <c r="L185" s="167">
        <f>Закуп!AA185</f>
        <v/>
      </c>
      <c r="M185" s="166" t="inlineStr">
        <is>
          <t>", 'sale' =&gt; "</t>
        </is>
      </c>
      <c r="N185" s="166">
        <f>IF(Закуп!L185="",0,Закуп!L185)</f>
        <v/>
      </c>
      <c r="O185" s="166" t="inlineStr">
        <is>
          <t>" ],</t>
        </is>
      </c>
      <c r="P185" s="144">
        <f>Закуп!N185</f>
        <v/>
      </c>
      <c r="Q185" s="210">
        <f>CONCATENATE(A185,B185,",",C185,",",D185,E185,F185,",",G185,",",H185,",",I185,",",J185,K185,L185,M185,N185,O185,)</f>
        <v/>
      </c>
    </row>
    <row r="186">
      <c r="A186" s="166" t="inlineStr">
        <is>
          <t xml:space="preserve">        [ 'dims' =&gt; [</t>
        </is>
      </c>
      <c r="B186" s="166">
        <f>Закуп!R186</f>
        <v/>
      </c>
      <c r="C186" s="166">
        <f>Закуп!S186</f>
        <v/>
      </c>
      <c r="D186" s="166">
        <f>Закуп!T186</f>
        <v/>
      </c>
      <c r="E186" s="166" t="inlineStr">
        <is>
          <t>], 'prices' =&gt; [</t>
        </is>
      </c>
      <c r="F186" s="167">
        <f>SUBSTITUTE(INDEX(Calc!$K:$K,(ROW(A185)-1)*5+COLUMN(A185)+1),",",".")</f>
        <v/>
      </c>
      <c r="G186" s="167">
        <f>SUBSTITUTE(INDEX(Calc!$K:$K,(ROW(B185)-1)*5+COLUMN(B185)+1),",",".")</f>
        <v/>
      </c>
      <c r="H186" s="167">
        <f>SUBSTITUTE(INDEX(Calc!$K:$K,(ROW(C185)-1)*5+COLUMN(C185)+1),",",".")</f>
        <v/>
      </c>
      <c r="I186" s="167">
        <f>SUBSTITUTE(INDEX(Calc!$K:$K,(ROW(D185)-1)*5+COLUMN(D185)+1),",",".")</f>
        <v/>
      </c>
      <c r="J186" s="167">
        <f>SUBSTITUTE(INDEX(Calc!$K:$K,(ROW(E185)-1)*5+COLUMN(E185)+1),",",".")</f>
        <v/>
      </c>
      <c r="K186" s="166" t="inlineStr">
        <is>
          <t>], 'type' =&gt; "</t>
        </is>
      </c>
      <c r="L186" s="167">
        <f>Закуп!AA186</f>
        <v/>
      </c>
      <c r="M186" s="166" t="inlineStr">
        <is>
          <t>", 'sale' =&gt; "</t>
        </is>
      </c>
      <c r="N186" s="166">
        <f>IF(Закуп!L186="",0,Закуп!L186)</f>
        <v/>
      </c>
      <c r="O186" s="166" t="inlineStr">
        <is>
          <t>" ],</t>
        </is>
      </c>
      <c r="P186" s="144">
        <f>Закуп!N186</f>
        <v/>
      </c>
      <c r="Q186" s="210">
        <f>CONCATENATE(A186,B186,",",C186,",",D186,E186,F186,",",G186,",",H186,",",I186,",",J186,K186,L186,M186,N186,O186,)</f>
        <v/>
      </c>
    </row>
    <row r="187">
      <c r="A187" s="166" t="inlineStr">
        <is>
          <t xml:space="preserve">        [ 'dims' =&gt; [</t>
        </is>
      </c>
      <c r="B187" s="166">
        <f>Закуп!R187</f>
        <v/>
      </c>
      <c r="C187" s="166">
        <f>Закуп!S187</f>
        <v/>
      </c>
      <c r="D187" s="166">
        <f>Закуп!T187</f>
        <v/>
      </c>
      <c r="E187" s="166" t="inlineStr">
        <is>
          <t>], 'prices' =&gt; [</t>
        </is>
      </c>
      <c r="F187" s="167">
        <f>SUBSTITUTE(INDEX(Calc!$K:$K,(ROW(A186)-1)*5+COLUMN(A186)+1),",",".")</f>
        <v/>
      </c>
      <c r="G187" s="167">
        <f>SUBSTITUTE(INDEX(Calc!$K:$K,(ROW(B186)-1)*5+COLUMN(B186)+1),",",".")</f>
        <v/>
      </c>
      <c r="H187" s="167">
        <f>SUBSTITUTE(INDEX(Calc!$K:$K,(ROW(C186)-1)*5+COLUMN(C186)+1),",",".")</f>
        <v/>
      </c>
      <c r="I187" s="167">
        <f>SUBSTITUTE(INDEX(Calc!$K:$K,(ROW(D186)-1)*5+COLUMN(D186)+1),",",".")</f>
        <v/>
      </c>
      <c r="J187" s="167">
        <f>SUBSTITUTE(INDEX(Calc!$K:$K,(ROW(E186)-1)*5+COLUMN(E186)+1),",",".")</f>
        <v/>
      </c>
      <c r="K187" s="166" t="inlineStr">
        <is>
          <t>], 'type' =&gt; "</t>
        </is>
      </c>
      <c r="L187" s="167">
        <f>Закуп!AA187</f>
        <v/>
      </c>
      <c r="M187" s="166" t="inlineStr">
        <is>
          <t>", 'sale' =&gt; "</t>
        </is>
      </c>
      <c r="N187" s="166">
        <f>IF(Закуп!L187="",0,Закуп!L187)</f>
        <v/>
      </c>
      <c r="O187" s="166" t="inlineStr">
        <is>
          <t>" ],</t>
        </is>
      </c>
      <c r="P187" s="144">
        <f>Закуп!N187</f>
        <v/>
      </c>
      <c r="Q187" s="210">
        <f>CONCATENATE(A187,B187,",",C187,",",D187,E187,F187,",",G187,",",H187,",",I187,",",J187,K187,L187,M187,N187,O187,)</f>
        <v/>
      </c>
    </row>
    <row r="188">
      <c r="A188" s="166" t="inlineStr">
        <is>
          <t xml:space="preserve">        [ 'dims' =&gt; [</t>
        </is>
      </c>
      <c r="B188" s="166">
        <f>Закуп!R188</f>
        <v/>
      </c>
      <c r="C188" s="166">
        <f>Закуп!S188</f>
        <v/>
      </c>
      <c r="D188" s="166">
        <f>Закуп!T188</f>
        <v/>
      </c>
      <c r="E188" s="166" t="inlineStr">
        <is>
          <t>], 'prices' =&gt; [</t>
        </is>
      </c>
      <c r="F188" s="167">
        <f>SUBSTITUTE(INDEX(Calc!$K:$K,(ROW(A187)-1)*5+COLUMN(A187)+1),",",".")</f>
        <v/>
      </c>
      <c r="G188" s="167">
        <f>SUBSTITUTE(INDEX(Calc!$K:$K,(ROW(B187)-1)*5+COLUMN(B187)+1),",",".")</f>
        <v/>
      </c>
      <c r="H188" s="167">
        <f>SUBSTITUTE(INDEX(Calc!$K:$K,(ROW(C187)-1)*5+COLUMN(C187)+1),",",".")</f>
        <v/>
      </c>
      <c r="I188" s="167">
        <f>SUBSTITUTE(INDEX(Calc!$K:$K,(ROW(D187)-1)*5+COLUMN(D187)+1),",",".")</f>
        <v/>
      </c>
      <c r="J188" s="167">
        <f>SUBSTITUTE(INDEX(Calc!$K:$K,(ROW(E187)-1)*5+COLUMN(E187)+1),",",".")</f>
        <v/>
      </c>
      <c r="K188" s="166" t="inlineStr">
        <is>
          <t>], 'type' =&gt; "</t>
        </is>
      </c>
      <c r="L188" s="167">
        <f>Закуп!AA188</f>
        <v/>
      </c>
      <c r="M188" s="166" t="inlineStr">
        <is>
          <t>", 'sale' =&gt; "</t>
        </is>
      </c>
      <c r="N188" s="166">
        <f>IF(Закуп!L188="",0,Закуп!L188)</f>
        <v/>
      </c>
      <c r="O188" s="166" t="inlineStr">
        <is>
          <t>" ],</t>
        </is>
      </c>
      <c r="P188" s="144">
        <f>Закуп!N188</f>
        <v/>
      </c>
      <c r="Q188" s="210">
        <f>CONCATENATE(A188,B188,",",C188,",",D188,E188,F188,",",G188,",",H188,",",I188,",",J188,K188,L188,M188,N188,O188,)</f>
        <v/>
      </c>
    </row>
    <row r="189">
      <c r="A189" s="166" t="inlineStr">
        <is>
          <t xml:space="preserve">        [ 'dims' =&gt; [</t>
        </is>
      </c>
      <c r="B189" s="166">
        <f>Закуп!R189</f>
        <v/>
      </c>
      <c r="C189" s="166">
        <f>Закуп!S189</f>
        <v/>
      </c>
      <c r="D189" s="166">
        <f>Закуп!T189</f>
        <v/>
      </c>
      <c r="E189" s="166" t="inlineStr">
        <is>
          <t>], 'prices' =&gt; [</t>
        </is>
      </c>
      <c r="F189" s="167">
        <f>SUBSTITUTE(INDEX(Calc!$K:$K,(ROW(A188)-1)*5+COLUMN(A188)+1),",",".")</f>
        <v/>
      </c>
      <c r="G189" s="167">
        <f>SUBSTITUTE(INDEX(Calc!$K:$K,(ROW(B188)-1)*5+COLUMN(B188)+1),",",".")</f>
        <v/>
      </c>
      <c r="H189" s="167">
        <f>SUBSTITUTE(INDEX(Calc!$K:$K,(ROW(C188)-1)*5+COLUMN(C188)+1),",",".")</f>
        <v/>
      </c>
      <c r="I189" s="167">
        <f>SUBSTITUTE(INDEX(Calc!$K:$K,(ROW(D188)-1)*5+COLUMN(D188)+1),",",".")</f>
        <v/>
      </c>
      <c r="J189" s="167">
        <f>SUBSTITUTE(INDEX(Calc!$K:$K,(ROW(E188)-1)*5+COLUMN(E188)+1),",",".")</f>
        <v/>
      </c>
      <c r="K189" s="166" t="inlineStr">
        <is>
          <t>], 'type' =&gt; "</t>
        </is>
      </c>
      <c r="L189" s="167">
        <f>Закуп!AA189</f>
        <v/>
      </c>
      <c r="M189" s="166" t="inlineStr">
        <is>
          <t>", 'sale' =&gt; "</t>
        </is>
      </c>
      <c r="N189" s="166">
        <f>IF(Закуп!L189="",0,Закуп!L189)</f>
        <v/>
      </c>
      <c r="O189" s="166" t="inlineStr">
        <is>
          <t>" ],</t>
        </is>
      </c>
      <c r="P189" s="144">
        <f>Закуп!N189</f>
        <v/>
      </c>
      <c r="Q189" s="210">
        <f>CONCATENATE(A189,B189,",",C189,",",D189,E189,F189,",",G189,",",H189,",",I189,",",J189,K189,L189,M189,N189,O189,)</f>
        <v/>
      </c>
    </row>
    <row r="190">
      <c r="A190" s="166" t="inlineStr">
        <is>
          <t xml:space="preserve">        [ 'dims' =&gt; [</t>
        </is>
      </c>
      <c r="B190" s="166">
        <f>Закуп!R190</f>
        <v/>
      </c>
      <c r="C190" s="166">
        <f>Закуп!S190</f>
        <v/>
      </c>
      <c r="D190" s="166">
        <f>Закуп!T190</f>
        <v/>
      </c>
      <c r="E190" s="166" t="inlineStr">
        <is>
          <t>], 'prices' =&gt; [</t>
        </is>
      </c>
      <c r="F190" s="167">
        <f>SUBSTITUTE(INDEX(Calc!$K:$K,(ROW(A189)-1)*5+COLUMN(A189)+1),",",".")</f>
        <v/>
      </c>
      <c r="G190" s="167">
        <f>SUBSTITUTE(INDEX(Calc!$K:$K,(ROW(B189)-1)*5+COLUMN(B189)+1),",",".")</f>
        <v/>
      </c>
      <c r="H190" s="167">
        <f>SUBSTITUTE(INDEX(Calc!$K:$K,(ROW(C189)-1)*5+COLUMN(C189)+1),",",".")</f>
        <v/>
      </c>
      <c r="I190" s="167">
        <f>SUBSTITUTE(INDEX(Calc!$K:$K,(ROW(D189)-1)*5+COLUMN(D189)+1),",",".")</f>
        <v/>
      </c>
      <c r="J190" s="167">
        <f>SUBSTITUTE(INDEX(Calc!$K:$K,(ROW(E189)-1)*5+COLUMN(E189)+1),",",".")</f>
        <v/>
      </c>
      <c r="K190" s="166" t="inlineStr">
        <is>
          <t>], 'type' =&gt; "</t>
        </is>
      </c>
      <c r="L190" s="167">
        <f>Закуп!AA190</f>
        <v/>
      </c>
      <c r="M190" s="166" t="inlineStr">
        <is>
          <t>", 'sale' =&gt; "</t>
        </is>
      </c>
      <c r="N190" s="166">
        <f>IF(Закуп!L190="",0,Закуп!L190)</f>
        <v/>
      </c>
      <c r="O190" s="166" t="inlineStr">
        <is>
          <t>" ],</t>
        </is>
      </c>
      <c r="P190" s="144">
        <f>Закуп!N190</f>
        <v/>
      </c>
      <c r="Q190" s="210">
        <f>CONCATENATE(A190,B190,",",C190,",",D190,E190,F190,",",G190,",",H190,",",I190,",",J190,K190,L190,M190,N190,O190,)</f>
        <v/>
      </c>
    </row>
    <row r="191">
      <c r="A191" s="166" t="inlineStr">
        <is>
          <t xml:space="preserve">        [ 'dims' =&gt; [</t>
        </is>
      </c>
      <c r="B191" s="166">
        <f>Закуп!R191</f>
        <v/>
      </c>
      <c r="C191" s="166">
        <f>Закуп!S191</f>
        <v/>
      </c>
      <c r="D191" s="166">
        <f>Закуп!T191</f>
        <v/>
      </c>
      <c r="E191" s="166" t="inlineStr">
        <is>
          <t>], 'prices' =&gt; [</t>
        </is>
      </c>
      <c r="F191" s="167">
        <f>SUBSTITUTE(INDEX(Calc!$K:$K,(ROW(A190)-1)*5+COLUMN(A190)+1),",",".")</f>
        <v/>
      </c>
      <c r="G191" s="167">
        <f>SUBSTITUTE(INDEX(Calc!$K:$K,(ROW(B190)-1)*5+COLUMN(B190)+1),",",".")</f>
        <v/>
      </c>
      <c r="H191" s="167">
        <f>SUBSTITUTE(INDEX(Calc!$K:$K,(ROW(C190)-1)*5+COLUMN(C190)+1),",",".")</f>
        <v/>
      </c>
      <c r="I191" s="167">
        <f>SUBSTITUTE(INDEX(Calc!$K:$K,(ROW(D190)-1)*5+COLUMN(D190)+1),",",".")</f>
        <v/>
      </c>
      <c r="J191" s="167">
        <f>SUBSTITUTE(INDEX(Calc!$K:$K,(ROW(E190)-1)*5+COLUMN(E190)+1),",",".")</f>
        <v/>
      </c>
      <c r="K191" s="166" t="inlineStr">
        <is>
          <t>], 'type' =&gt; "</t>
        </is>
      </c>
      <c r="L191" s="167">
        <f>Закуп!AA191</f>
        <v/>
      </c>
      <c r="M191" s="166" t="inlineStr">
        <is>
          <t>", 'sale' =&gt; "</t>
        </is>
      </c>
      <c r="N191" s="166">
        <f>IF(Закуп!L191="",0,Закуп!L191)</f>
        <v/>
      </c>
      <c r="O191" s="166" t="inlineStr">
        <is>
          <t>" ],</t>
        </is>
      </c>
      <c r="P191" s="144">
        <f>Закуп!N191</f>
        <v/>
      </c>
      <c r="Q191" s="210">
        <f>CONCATENATE(A191,B191,",",C191,",",D191,E191,F191,",",G191,",",H191,",",I191,",",J191,K191,L191,M191,N191,O191,)</f>
        <v/>
      </c>
    </row>
    <row r="192">
      <c r="A192" s="166" t="inlineStr">
        <is>
          <t xml:space="preserve">        [ 'dims' =&gt; [</t>
        </is>
      </c>
      <c r="B192" s="166">
        <f>Закуп!R192</f>
        <v/>
      </c>
      <c r="C192" s="166">
        <f>Закуп!S192</f>
        <v/>
      </c>
      <c r="D192" s="166">
        <f>Закуп!T192</f>
        <v/>
      </c>
      <c r="E192" s="166" t="inlineStr">
        <is>
          <t>], 'prices' =&gt; [</t>
        </is>
      </c>
      <c r="F192" s="167">
        <f>SUBSTITUTE(INDEX(Calc!$K:$K,(ROW(A191)-1)*5+COLUMN(A191)+1),",",".")</f>
        <v/>
      </c>
      <c r="G192" s="167">
        <f>SUBSTITUTE(INDEX(Calc!$K:$K,(ROW(B191)-1)*5+COLUMN(B191)+1),",",".")</f>
        <v/>
      </c>
      <c r="H192" s="167">
        <f>SUBSTITUTE(INDEX(Calc!$K:$K,(ROW(C191)-1)*5+COLUMN(C191)+1),",",".")</f>
        <v/>
      </c>
      <c r="I192" s="167">
        <f>SUBSTITUTE(INDEX(Calc!$K:$K,(ROW(D191)-1)*5+COLUMN(D191)+1),",",".")</f>
        <v/>
      </c>
      <c r="J192" s="167">
        <f>SUBSTITUTE(INDEX(Calc!$K:$K,(ROW(E191)-1)*5+COLUMN(E191)+1),",",".")</f>
        <v/>
      </c>
      <c r="K192" s="166" t="inlineStr">
        <is>
          <t>], 'type' =&gt; "</t>
        </is>
      </c>
      <c r="L192" s="167">
        <f>Закуп!AA192</f>
        <v/>
      </c>
      <c r="M192" s="166" t="inlineStr">
        <is>
          <t>", 'sale' =&gt; "</t>
        </is>
      </c>
      <c r="N192" s="166">
        <f>IF(Закуп!L192="",0,Закуп!L192)</f>
        <v/>
      </c>
      <c r="O192" s="166" t="inlineStr">
        <is>
          <t>" ],</t>
        </is>
      </c>
      <c r="P192" s="144">
        <f>Закуп!N192</f>
        <v/>
      </c>
      <c r="Q192" s="210">
        <f>CONCATENATE(A192,B192,",",C192,",",D192,E192,F192,",",G192,",",H192,",",I192,",",J192,K192,L192,M192,N192,O192,)</f>
        <v/>
      </c>
    </row>
    <row r="193">
      <c r="A193" s="166" t="inlineStr">
        <is>
          <t xml:space="preserve">        [ 'dims' =&gt; [</t>
        </is>
      </c>
      <c r="B193" s="166">
        <f>Закуп!R193</f>
        <v/>
      </c>
      <c r="C193" s="166">
        <f>Закуп!S193</f>
        <v/>
      </c>
      <c r="D193" s="166">
        <f>Закуп!T193</f>
        <v/>
      </c>
      <c r="E193" s="166" t="inlineStr">
        <is>
          <t>], 'prices' =&gt; [</t>
        </is>
      </c>
      <c r="F193" s="167">
        <f>SUBSTITUTE(INDEX(Calc!$K:$K,(ROW(A192)-1)*5+COLUMN(A192)+1),",",".")</f>
        <v/>
      </c>
      <c r="G193" s="167">
        <f>SUBSTITUTE(INDEX(Calc!$K:$K,(ROW(B192)-1)*5+COLUMN(B192)+1),",",".")</f>
        <v/>
      </c>
      <c r="H193" s="167">
        <f>SUBSTITUTE(INDEX(Calc!$K:$K,(ROW(C192)-1)*5+COLUMN(C192)+1),",",".")</f>
        <v/>
      </c>
      <c r="I193" s="167">
        <f>SUBSTITUTE(INDEX(Calc!$K:$K,(ROW(D192)-1)*5+COLUMN(D192)+1),",",".")</f>
        <v/>
      </c>
      <c r="J193" s="167">
        <f>SUBSTITUTE(INDEX(Calc!$K:$K,(ROW(E192)-1)*5+COLUMN(E192)+1),",",".")</f>
        <v/>
      </c>
      <c r="K193" s="166" t="inlineStr">
        <is>
          <t>], 'type' =&gt; "</t>
        </is>
      </c>
      <c r="L193" s="167">
        <f>Закуп!AA193</f>
        <v/>
      </c>
      <c r="M193" s="166" t="inlineStr">
        <is>
          <t>", 'sale' =&gt; "</t>
        </is>
      </c>
      <c r="N193" s="166">
        <f>IF(Закуп!L193="",0,Закуп!L193)</f>
        <v/>
      </c>
      <c r="O193" s="166" t="inlineStr">
        <is>
          <t>" ],</t>
        </is>
      </c>
      <c r="P193" s="144">
        <f>Закуп!N193</f>
        <v/>
      </c>
      <c r="Q193" s="210">
        <f>CONCATENATE(A193,B193,",",C193,",",D193,E193,F193,",",G193,",",H193,",",I193,",",J193,K193,L193,M193,N193,O193,)</f>
        <v/>
      </c>
    </row>
    <row r="194">
      <c r="A194" s="166" t="inlineStr">
        <is>
          <t xml:space="preserve">        [ 'dims' =&gt; [</t>
        </is>
      </c>
      <c r="B194" s="166">
        <f>Закуп!R194</f>
        <v/>
      </c>
      <c r="C194" s="166">
        <f>Закуп!S194</f>
        <v/>
      </c>
      <c r="D194" s="166">
        <f>Закуп!T194</f>
        <v/>
      </c>
      <c r="E194" s="166" t="inlineStr">
        <is>
          <t>], 'prices' =&gt; [</t>
        </is>
      </c>
      <c r="F194" s="167">
        <f>SUBSTITUTE(INDEX(Calc!$K:$K,(ROW(A193)-1)*5+COLUMN(A193)+1),",",".")</f>
        <v/>
      </c>
      <c r="G194" s="167">
        <f>SUBSTITUTE(INDEX(Calc!$K:$K,(ROW(B193)-1)*5+COLUMN(B193)+1),",",".")</f>
        <v/>
      </c>
      <c r="H194" s="167">
        <f>SUBSTITUTE(INDEX(Calc!$K:$K,(ROW(C193)-1)*5+COLUMN(C193)+1),",",".")</f>
        <v/>
      </c>
      <c r="I194" s="167">
        <f>SUBSTITUTE(INDEX(Calc!$K:$K,(ROW(D193)-1)*5+COLUMN(D193)+1),",",".")</f>
        <v/>
      </c>
      <c r="J194" s="167">
        <f>SUBSTITUTE(INDEX(Calc!$K:$K,(ROW(E193)-1)*5+COLUMN(E193)+1),",",".")</f>
        <v/>
      </c>
      <c r="K194" s="166" t="inlineStr">
        <is>
          <t>], 'type' =&gt; "</t>
        </is>
      </c>
      <c r="L194" s="167">
        <f>Закуп!AA194</f>
        <v/>
      </c>
      <c r="M194" s="166" t="inlineStr">
        <is>
          <t>", 'sale' =&gt; "</t>
        </is>
      </c>
      <c r="N194" s="166">
        <f>IF(Закуп!L194="",0,Закуп!L194)</f>
        <v/>
      </c>
      <c r="O194" s="166" t="inlineStr">
        <is>
          <t>" ],</t>
        </is>
      </c>
      <c r="P194" s="144">
        <f>Закуп!N194</f>
        <v/>
      </c>
      <c r="Q194" s="210">
        <f>CONCATENATE(A194,B194,",",C194,",",D194,E194,F194,",",G194,",",H194,",",I194,",",J194,K194,L194,M194,N194,O194,)</f>
        <v/>
      </c>
    </row>
    <row r="195">
      <c r="A195" s="166" t="inlineStr">
        <is>
          <t xml:space="preserve">        [ 'dims' =&gt; [</t>
        </is>
      </c>
      <c r="B195" s="166">
        <f>Закуп!R195</f>
        <v/>
      </c>
      <c r="C195" s="166">
        <f>Закуп!S195</f>
        <v/>
      </c>
      <c r="D195" s="166">
        <f>Закуп!T195</f>
        <v/>
      </c>
      <c r="E195" s="166" t="inlineStr">
        <is>
          <t>], 'prices' =&gt; [</t>
        </is>
      </c>
      <c r="F195" s="167">
        <f>SUBSTITUTE(INDEX(Calc!$K:$K,(ROW(A194)-1)*5+COLUMN(A194)+1),",",".")</f>
        <v/>
      </c>
      <c r="G195" s="167">
        <f>SUBSTITUTE(INDEX(Calc!$K:$K,(ROW(B194)-1)*5+COLUMN(B194)+1),",",".")</f>
        <v/>
      </c>
      <c r="H195" s="167">
        <f>SUBSTITUTE(INDEX(Calc!$K:$K,(ROW(C194)-1)*5+COLUMN(C194)+1),",",".")</f>
        <v/>
      </c>
      <c r="I195" s="167">
        <f>SUBSTITUTE(INDEX(Calc!$K:$K,(ROW(D194)-1)*5+COLUMN(D194)+1),",",".")</f>
        <v/>
      </c>
      <c r="J195" s="167">
        <f>SUBSTITUTE(INDEX(Calc!$K:$K,(ROW(E194)-1)*5+COLUMN(E194)+1),",",".")</f>
        <v/>
      </c>
      <c r="K195" s="166" t="inlineStr">
        <is>
          <t>], 'type' =&gt; "</t>
        </is>
      </c>
      <c r="L195" s="167">
        <f>Закуп!AA195</f>
        <v/>
      </c>
      <c r="M195" s="166" t="inlineStr">
        <is>
          <t>", 'sale' =&gt; "</t>
        </is>
      </c>
      <c r="N195" s="166">
        <f>IF(Закуп!L195="",0,Закуп!L195)</f>
        <v/>
      </c>
      <c r="O195" s="166" t="inlineStr">
        <is>
          <t>" ],</t>
        </is>
      </c>
      <c r="P195" s="144">
        <f>Закуп!N195</f>
        <v/>
      </c>
      <c r="Q195" s="210">
        <f>CONCATENATE(A195,B195,",",C195,",",D195,E195,F195,",",G195,",",H195,",",I195,",",J195,K195,L195,M195,N195,O195,)</f>
        <v/>
      </c>
    </row>
    <row r="196">
      <c r="A196" s="166" t="inlineStr">
        <is>
          <t xml:space="preserve">        [ 'dims' =&gt; [</t>
        </is>
      </c>
      <c r="B196" s="166">
        <f>Закуп!R196</f>
        <v/>
      </c>
      <c r="C196" s="166">
        <f>Закуп!S196</f>
        <v/>
      </c>
      <c r="D196" s="166">
        <f>Закуп!T196</f>
        <v/>
      </c>
      <c r="E196" s="166" t="inlineStr">
        <is>
          <t>], 'prices' =&gt; [</t>
        </is>
      </c>
      <c r="F196" s="167">
        <f>SUBSTITUTE(INDEX(Calc!$K:$K,(ROW(A195)-1)*5+COLUMN(A195)+1),",",".")</f>
        <v/>
      </c>
      <c r="G196" s="167">
        <f>SUBSTITUTE(INDEX(Calc!$K:$K,(ROW(B195)-1)*5+COLUMN(B195)+1),",",".")</f>
        <v/>
      </c>
      <c r="H196" s="167">
        <f>SUBSTITUTE(INDEX(Calc!$K:$K,(ROW(C195)-1)*5+COLUMN(C195)+1),",",".")</f>
        <v/>
      </c>
      <c r="I196" s="167">
        <f>SUBSTITUTE(INDEX(Calc!$K:$K,(ROW(D195)-1)*5+COLUMN(D195)+1),",",".")</f>
        <v/>
      </c>
      <c r="J196" s="167">
        <f>SUBSTITUTE(INDEX(Calc!$K:$K,(ROW(E195)-1)*5+COLUMN(E195)+1),",",".")</f>
        <v/>
      </c>
      <c r="K196" s="166" t="inlineStr">
        <is>
          <t>], 'type' =&gt; "</t>
        </is>
      </c>
      <c r="L196" s="167">
        <f>Закуп!AA196</f>
        <v/>
      </c>
      <c r="M196" s="166" t="inlineStr">
        <is>
          <t>", 'sale' =&gt; "</t>
        </is>
      </c>
      <c r="N196" s="166">
        <f>IF(Закуп!L196="",0,Закуп!L196)</f>
        <v/>
      </c>
      <c r="O196" s="166" t="inlineStr">
        <is>
          <t>" ],</t>
        </is>
      </c>
      <c r="P196" s="144">
        <f>Закуп!N196</f>
        <v/>
      </c>
      <c r="Q196" s="210">
        <f>CONCATENATE(A196,B196,",",C196,",",D196,E196,F196,",",G196,",",H196,",",I196,",",J196,K196,L196,M196,N196,O196,)</f>
        <v/>
      </c>
    </row>
    <row r="197">
      <c r="A197" s="166" t="inlineStr">
        <is>
          <t xml:space="preserve">        [ 'dims' =&gt; [</t>
        </is>
      </c>
      <c r="B197" s="166">
        <f>Закуп!R197</f>
        <v/>
      </c>
      <c r="C197" s="166">
        <f>Закуп!S197</f>
        <v/>
      </c>
      <c r="D197" s="166">
        <f>Закуп!T197</f>
        <v/>
      </c>
      <c r="E197" s="166" t="inlineStr">
        <is>
          <t>], 'prices' =&gt; [</t>
        </is>
      </c>
      <c r="F197" s="167">
        <f>SUBSTITUTE(INDEX(Calc!$K:$K,(ROW(A196)-1)*5+COLUMN(A196)+1),",",".")</f>
        <v/>
      </c>
      <c r="G197" s="167">
        <f>SUBSTITUTE(INDEX(Calc!$K:$K,(ROW(B196)-1)*5+COLUMN(B196)+1),",",".")</f>
        <v/>
      </c>
      <c r="H197" s="167">
        <f>SUBSTITUTE(INDEX(Calc!$K:$K,(ROW(C196)-1)*5+COLUMN(C196)+1),",",".")</f>
        <v/>
      </c>
      <c r="I197" s="167">
        <f>SUBSTITUTE(INDEX(Calc!$K:$K,(ROW(D196)-1)*5+COLUMN(D196)+1),",",".")</f>
        <v/>
      </c>
      <c r="J197" s="167">
        <f>SUBSTITUTE(INDEX(Calc!$K:$K,(ROW(E196)-1)*5+COLUMN(E196)+1),",",".")</f>
        <v/>
      </c>
      <c r="K197" s="166" t="inlineStr">
        <is>
          <t>], 'type' =&gt; "</t>
        </is>
      </c>
      <c r="L197" s="167">
        <f>Закуп!AA197</f>
        <v/>
      </c>
      <c r="M197" s="166" t="inlineStr">
        <is>
          <t>", 'sale' =&gt; "</t>
        </is>
      </c>
      <c r="N197" s="166">
        <f>IF(Закуп!L197="",0,Закуп!L197)</f>
        <v/>
      </c>
      <c r="O197" s="166" t="inlineStr">
        <is>
          <t>" ],</t>
        </is>
      </c>
      <c r="P197" s="144">
        <f>Закуп!N197</f>
        <v/>
      </c>
      <c r="Q197" s="210">
        <f>CONCATENATE(A197,B197,",",C197,",",D197,E197,F197,",",G197,",",H197,",",I197,",",J197,K197,L197,M197,N197,O197,)</f>
        <v/>
      </c>
    </row>
    <row r="198">
      <c r="A198" s="166" t="inlineStr">
        <is>
          <t xml:space="preserve">        [ 'dims' =&gt; [</t>
        </is>
      </c>
      <c r="B198" s="166">
        <f>Закуп!R198</f>
        <v/>
      </c>
      <c r="C198" s="166">
        <f>Закуп!S198</f>
        <v/>
      </c>
      <c r="D198" s="166">
        <f>Закуп!T198</f>
        <v/>
      </c>
      <c r="E198" s="166" t="inlineStr">
        <is>
          <t>], 'prices' =&gt; [</t>
        </is>
      </c>
      <c r="F198" s="167">
        <f>SUBSTITUTE(INDEX(Calc!$K:$K,(ROW(A197)-1)*5+COLUMN(A197)+1),",",".")</f>
        <v/>
      </c>
      <c r="G198" s="167">
        <f>SUBSTITUTE(INDEX(Calc!$K:$K,(ROW(B197)-1)*5+COLUMN(B197)+1),",",".")</f>
        <v/>
      </c>
      <c r="H198" s="167">
        <f>SUBSTITUTE(INDEX(Calc!$K:$K,(ROW(C197)-1)*5+COLUMN(C197)+1),",",".")</f>
        <v/>
      </c>
      <c r="I198" s="167">
        <f>SUBSTITUTE(INDEX(Calc!$K:$K,(ROW(D197)-1)*5+COLUMN(D197)+1),",",".")</f>
        <v/>
      </c>
      <c r="J198" s="167">
        <f>SUBSTITUTE(INDEX(Calc!$K:$K,(ROW(E197)-1)*5+COLUMN(E197)+1),",",".")</f>
        <v/>
      </c>
      <c r="K198" s="166" t="inlineStr">
        <is>
          <t>], 'type' =&gt; "</t>
        </is>
      </c>
      <c r="L198" s="167">
        <f>Закуп!AA198</f>
        <v/>
      </c>
      <c r="M198" s="166" t="inlineStr">
        <is>
          <t>", 'sale' =&gt; "</t>
        </is>
      </c>
      <c r="N198" s="166">
        <f>IF(Закуп!L198="",0,Закуп!L198)</f>
        <v/>
      </c>
      <c r="O198" s="166" t="inlineStr">
        <is>
          <t>" ],</t>
        </is>
      </c>
      <c r="P198" s="144">
        <f>Закуп!N198</f>
        <v/>
      </c>
      <c r="Q198" s="210">
        <f>CONCATENATE(A198,B198,",",C198,",",D198,E198,F198,",",G198,",",H198,",",I198,",",J198,K198,L198,M198,N198,O198,)</f>
        <v/>
      </c>
    </row>
    <row r="199">
      <c r="A199" s="166" t="inlineStr">
        <is>
          <t xml:space="preserve">        [ 'dims' =&gt; [</t>
        </is>
      </c>
      <c r="B199" s="166">
        <f>Закуп!R199</f>
        <v/>
      </c>
      <c r="C199" s="166">
        <f>Закуп!S199</f>
        <v/>
      </c>
      <c r="D199" s="166">
        <f>Закуп!T199</f>
        <v/>
      </c>
      <c r="E199" s="166" t="inlineStr">
        <is>
          <t>], 'prices' =&gt; [</t>
        </is>
      </c>
      <c r="F199" s="167">
        <f>SUBSTITUTE(INDEX(Calc!$K:$K,(ROW(A198)-1)*5+COLUMN(A198)+1),",",".")</f>
        <v/>
      </c>
      <c r="G199" s="167">
        <f>SUBSTITUTE(INDEX(Calc!$K:$K,(ROW(B198)-1)*5+COLUMN(B198)+1),",",".")</f>
        <v/>
      </c>
      <c r="H199" s="167">
        <f>SUBSTITUTE(INDEX(Calc!$K:$K,(ROW(C198)-1)*5+COLUMN(C198)+1),",",".")</f>
        <v/>
      </c>
      <c r="I199" s="167">
        <f>SUBSTITUTE(INDEX(Calc!$K:$K,(ROW(D198)-1)*5+COLUMN(D198)+1),",",".")</f>
        <v/>
      </c>
      <c r="J199" s="167">
        <f>SUBSTITUTE(INDEX(Calc!$K:$K,(ROW(E198)-1)*5+COLUMN(E198)+1),",",".")</f>
        <v/>
      </c>
      <c r="K199" s="166" t="inlineStr">
        <is>
          <t>], 'type' =&gt; "</t>
        </is>
      </c>
      <c r="L199" s="167">
        <f>Закуп!AA199</f>
        <v/>
      </c>
      <c r="M199" s="166" t="inlineStr">
        <is>
          <t>", 'sale' =&gt; "</t>
        </is>
      </c>
      <c r="N199" s="166">
        <f>IF(Закуп!L199="",0,Закуп!L199)</f>
        <v/>
      </c>
      <c r="O199" s="166" t="inlineStr">
        <is>
          <t>" ],</t>
        </is>
      </c>
      <c r="P199" s="144">
        <f>Закуп!N199</f>
        <v/>
      </c>
      <c r="Q199" s="210">
        <f>CONCATENATE(A199,B199,",",C199,",",D199,E199,F199,",",G199,",",H199,",",I199,",",J199,K199,L199,M199,N199,O199,)</f>
        <v/>
      </c>
    </row>
    <row r="200">
      <c r="A200" s="166" t="inlineStr">
        <is>
          <t xml:space="preserve">        [ 'dims' =&gt; [</t>
        </is>
      </c>
      <c r="B200" s="166">
        <f>Закуп!R200</f>
        <v/>
      </c>
      <c r="C200" s="166">
        <f>Закуп!S200</f>
        <v/>
      </c>
      <c r="D200" s="166">
        <f>Закуп!T200</f>
        <v/>
      </c>
      <c r="E200" s="166" t="inlineStr">
        <is>
          <t>], 'prices' =&gt; [</t>
        </is>
      </c>
      <c r="F200" s="167">
        <f>SUBSTITUTE(INDEX(Calc!$K:$K,(ROW(A199)-1)*5+COLUMN(A199)+1),",",".")</f>
        <v/>
      </c>
      <c r="G200" s="167">
        <f>SUBSTITUTE(INDEX(Calc!$K:$K,(ROW(B199)-1)*5+COLUMN(B199)+1),",",".")</f>
        <v/>
      </c>
      <c r="H200" s="167">
        <f>SUBSTITUTE(INDEX(Calc!$K:$K,(ROW(C199)-1)*5+COLUMN(C199)+1),",",".")</f>
        <v/>
      </c>
      <c r="I200" s="167">
        <f>SUBSTITUTE(INDEX(Calc!$K:$K,(ROW(D199)-1)*5+COLUMN(D199)+1),",",".")</f>
        <v/>
      </c>
      <c r="J200" s="167">
        <f>SUBSTITUTE(INDEX(Calc!$K:$K,(ROW(E199)-1)*5+COLUMN(E199)+1),",",".")</f>
        <v/>
      </c>
      <c r="K200" s="166" t="inlineStr">
        <is>
          <t>], 'type' =&gt; "</t>
        </is>
      </c>
      <c r="L200" s="167">
        <f>Закуп!AA200</f>
        <v/>
      </c>
      <c r="M200" s="166" t="inlineStr">
        <is>
          <t>", 'sale' =&gt; "</t>
        </is>
      </c>
      <c r="N200" s="166">
        <f>IF(Закуп!L200="",0,Закуп!L200)</f>
        <v/>
      </c>
      <c r="O200" s="166" t="inlineStr">
        <is>
          <t>" ],</t>
        </is>
      </c>
      <c r="P200" s="144">
        <f>Закуп!N200</f>
        <v/>
      </c>
      <c r="Q200" s="210">
        <f>CONCATENATE(A200,B200,",",C200,",",D200,E200,F200,",",G200,",",H200,",",I200,",",J200,K200,L200,M200,N200,O200,)</f>
        <v/>
      </c>
    </row>
    <row r="201">
      <c r="A201" s="166" t="inlineStr">
        <is>
          <t xml:space="preserve">        [ 'dims' =&gt; [</t>
        </is>
      </c>
      <c r="B201" s="166">
        <f>Закуп!R201</f>
        <v/>
      </c>
      <c r="C201" s="166">
        <f>Закуп!S201</f>
        <v/>
      </c>
      <c r="D201" s="166">
        <f>Закуп!T201</f>
        <v/>
      </c>
      <c r="E201" s="166" t="inlineStr">
        <is>
          <t>], 'prices' =&gt; [</t>
        </is>
      </c>
      <c r="F201" s="167">
        <f>SUBSTITUTE(INDEX(Calc!$K:$K,(ROW(A200)-1)*5+COLUMN(A200)+1),",",".")</f>
        <v/>
      </c>
      <c r="G201" s="167">
        <f>SUBSTITUTE(INDEX(Calc!$K:$K,(ROW(B200)-1)*5+COLUMN(B200)+1),",",".")</f>
        <v/>
      </c>
      <c r="H201" s="167">
        <f>SUBSTITUTE(INDEX(Calc!$K:$K,(ROW(C200)-1)*5+COLUMN(C200)+1),",",".")</f>
        <v/>
      </c>
      <c r="I201" s="167">
        <f>SUBSTITUTE(INDEX(Calc!$K:$K,(ROW(D200)-1)*5+COLUMN(D200)+1),",",".")</f>
        <v/>
      </c>
      <c r="J201" s="167">
        <f>SUBSTITUTE(INDEX(Calc!$K:$K,(ROW(E200)-1)*5+COLUMN(E200)+1),",",".")</f>
        <v/>
      </c>
      <c r="K201" s="166" t="inlineStr">
        <is>
          <t>], 'type' =&gt; "</t>
        </is>
      </c>
      <c r="L201" s="167">
        <f>Закуп!AA201</f>
        <v/>
      </c>
      <c r="M201" s="166" t="inlineStr">
        <is>
          <t>", 'sale' =&gt; "</t>
        </is>
      </c>
      <c r="N201" s="166">
        <f>IF(Закуп!L201="",0,Закуп!L201)</f>
        <v/>
      </c>
      <c r="O201" s="166" t="inlineStr">
        <is>
          <t>" ],</t>
        </is>
      </c>
      <c r="P201" s="144">
        <f>Закуп!N201</f>
        <v/>
      </c>
      <c r="Q201" s="210">
        <f>CONCATENATE(A201,B201,",",C201,",",D201,E201,F201,",",G201,",",H201,",",I201,",",J201,K201,L201,M201,N201,O201,)</f>
        <v/>
      </c>
    </row>
    <row r="202">
      <c r="A202" s="166" t="inlineStr">
        <is>
          <t xml:space="preserve">        [ 'dims' =&gt; [</t>
        </is>
      </c>
      <c r="B202" s="166">
        <f>Закуп!R202</f>
        <v/>
      </c>
      <c r="C202" s="166">
        <f>Закуп!S202</f>
        <v/>
      </c>
      <c r="D202" s="166">
        <f>Закуп!T202</f>
        <v/>
      </c>
      <c r="E202" s="166" t="inlineStr">
        <is>
          <t>], 'prices' =&gt; [</t>
        </is>
      </c>
      <c r="F202" s="167">
        <f>SUBSTITUTE(INDEX(Calc!$K:$K,(ROW(A201)-1)*5+COLUMN(A201)+1),",",".")</f>
        <v/>
      </c>
      <c r="G202" s="167">
        <f>SUBSTITUTE(INDEX(Calc!$K:$K,(ROW(B201)-1)*5+COLUMN(B201)+1),",",".")</f>
        <v/>
      </c>
      <c r="H202" s="167">
        <f>SUBSTITUTE(INDEX(Calc!$K:$K,(ROW(C201)-1)*5+COLUMN(C201)+1),",",".")</f>
        <v/>
      </c>
      <c r="I202" s="167">
        <f>SUBSTITUTE(INDEX(Calc!$K:$K,(ROW(D201)-1)*5+COLUMN(D201)+1),",",".")</f>
        <v/>
      </c>
      <c r="J202" s="167">
        <f>SUBSTITUTE(INDEX(Calc!$K:$K,(ROW(E201)-1)*5+COLUMN(E201)+1),",",".")</f>
        <v/>
      </c>
      <c r="K202" s="166" t="inlineStr">
        <is>
          <t>], 'type' =&gt; "</t>
        </is>
      </c>
      <c r="L202" s="167">
        <f>Закуп!AA202</f>
        <v/>
      </c>
      <c r="M202" s="166" t="inlineStr">
        <is>
          <t>", 'sale' =&gt; "</t>
        </is>
      </c>
      <c r="N202" s="166">
        <f>IF(Закуп!L202="",0,Закуп!L202)</f>
        <v/>
      </c>
      <c r="O202" s="166" t="inlineStr">
        <is>
          <t>" ],</t>
        </is>
      </c>
      <c r="P202" s="144">
        <f>Закуп!N202</f>
        <v/>
      </c>
      <c r="Q202" s="210">
        <f>CONCATENATE(A202,B202,",",C202,",",D202,E202,F202,",",G202,",",H202,",",I202,",",J202,K202,L202,M202,N202,O202,)</f>
        <v/>
      </c>
    </row>
    <row r="203">
      <c r="A203" s="166" t="inlineStr">
        <is>
          <t xml:space="preserve">        [ 'dims' =&gt; [</t>
        </is>
      </c>
      <c r="B203" s="166">
        <f>Закуп!R203</f>
        <v/>
      </c>
      <c r="C203" s="166">
        <f>Закуп!S203</f>
        <v/>
      </c>
      <c r="D203" s="166">
        <f>Закуп!T203</f>
        <v/>
      </c>
      <c r="E203" s="166" t="inlineStr">
        <is>
          <t>], 'prices' =&gt; [</t>
        </is>
      </c>
      <c r="F203" s="167">
        <f>SUBSTITUTE(INDEX(Calc!$K:$K,(ROW(A202)-1)*5+COLUMN(A202)+1),",",".")</f>
        <v/>
      </c>
      <c r="G203" s="167">
        <f>SUBSTITUTE(INDEX(Calc!$K:$K,(ROW(B202)-1)*5+COLUMN(B202)+1),",",".")</f>
        <v/>
      </c>
      <c r="H203" s="167">
        <f>SUBSTITUTE(INDEX(Calc!$K:$K,(ROW(C202)-1)*5+COLUMN(C202)+1),",",".")</f>
        <v/>
      </c>
      <c r="I203" s="167">
        <f>SUBSTITUTE(INDEX(Calc!$K:$K,(ROW(D202)-1)*5+COLUMN(D202)+1),",",".")</f>
        <v/>
      </c>
      <c r="J203" s="167">
        <f>SUBSTITUTE(INDEX(Calc!$K:$K,(ROW(E202)-1)*5+COLUMN(E202)+1),",",".")</f>
        <v/>
      </c>
      <c r="K203" s="166" t="inlineStr">
        <is>
          <t>], 'type' =&gt; "</t>
        </is>
      </c>
      <c r="L203" s="167">
        <f>Закуп!AA203</f>
        <v/>
      </c>
      <c r="M203" s="166" t="inlineStr">
        <is>
          <t>", 'sale' =&gt; "</t>
        </is>
      </c>
      <c r="N203" s="166">
        <f>IF(Закуп!L203="",0,Закуп!L203)</f>
        <v/>
      </c>
      <c r="O203" s="166" t="inlineStr">
        <is>
          <t>" ],</t>
        </is>
      </c>
      <c r="P203" s="144">
        <f>Закуп!N203</f>
        <v/>
      </c>
      <c r="Q203" s="210">
        <f>CONCATENATE(A203,B203,",",C203,",",D203,E203,F203,",",G203,",",H203,",",I203,",",J203,K203,L203,M203,N203,O203,)</f>
        <v/>
      </c>
    </row>
    <row r="204">
      <c r="A204" s="166" t="inlineStr">
        <is>
          <t xml:space="preserve">        [ 'dims' =&gt; [</t>
        </is>
      </c>
      <c r="B204" s="166">
        <f>Закуп!R204</f>
        <v/>
      </c>
      <c r="C204" s="166">
        <f>Закуп!S204</f>
        <v/>
      </c>
      <c r="D204" s="166">
        <f>Закуп!T204</f>
        <v/>
      </c>
      <c r="E204" s="166" t="inlineStr">
        <is>
          <t>], 'prices' =&gt; [</t>
        </is>
      </c>
      <c r="F204" s="167">
        <f>SUBSTITUTE(INDEX(Calc!$K:$K,(ROW(A203)-1)*5+COLUMN(A203)+1),",",".")</f>
        <v/>
      </c>
      <c r="G204" s="167">
        <f>SUBSTITUTE(INDEX(Calc!$K:$K,(ROW(B203)-1)*5+COLUMN(B203)+1),",",".")</f>
        <v/>
      </c>
      <c r="H204" s="167">
        <f>SUBSTITUTE(INDEX(Calc!$K:$K,(ROW(C203)-1)*5+COLUMN(C203)+1),",",".")</f>
        <v/>
      </c>
      <c r="I204" s="167">
        <f>SUBSTITUTE(INDEX(Calc!$K:$K,(ROW(D203)-1)*5+COLUMN(D203)+1),",",".")</f>
        <v/>
      </c>
      <c r="J204" s="167">
        <f>SUBSTITUTE(INDEX(Calc!$K:$K,(ROW(E203)-1)*5+COLUMN(E203)+1),",",".")</f>
        <v/>
      </c>
      <c r="K204" s="166" t="inlineStr">
        <is>
          <t>], 'type' =&gt; "</t>
        </is>
      </c>
      <c r="L204" s="167">
        <f>Закуп!AA204</f>
        <v/>
      </c>
      <c r="M204" s="166" t="inlineStr">
        <is>
          <t>", 'sale' =&gt; "</t>
        </is>
      </c>
      <c r="N204" s="166">
        <f>IF(Закуп!L204="",0,Закуп!L204)</f>
        <v/>
      </c>
      <c r="O204" s="166" t="inlineStr">
        <is>
          <t>" ],</t>
        </is>
      </c>
      <c r="P204" s="144">
        <f>Закуп!N204</f>
        <v/>
      </c>
      <c r="Q204" s="210">
        <f>CONCATENATE(A204,B204,",",C204,",",D204,E204,F204,",",G204,",",H204,",",I204,",",J204,K204,L204,M204,N204,O204,)</f>
        <v/>
      </c>
    </row>
    <row r="205">
      <c r="A205" s="166" t="inlineStr">
        <is>
          <t xml:space="preserve">        [ 'dims' =&gt; [</t>
        </is>
      </c>
      <c r="B205" s="166">
        <f>Закуп!R205</f>
        <v/>
      </c>
      <c r="C205" s="166">
        <f>Закуп!S205</f>
        <v/>
      </c>
      <c r="D205" s="166">
        <f>Закуп!T205</f>
        <v/>
      </c>
      <c r="E205" s="166" t="inlineStr">
        <is>
          <t>], 'prices' =&gt; [</t>
        </is>
      </c>
      <c r="F205" s="167">
        <f>SUBSTITUTE(INDEX(Calc!$K:$K,(ROW(A204)-1)*5+COLUMN(A204)+1),",",".")</f>
        <v/>
      </c>
      <c r="G205" s="167">
        <f>SUBSTITUTE(INDEX(Calc!$K:$K,(ROW(B204)-1)*5+COLUMN(B204)+1),",",".")</f>
        <v/>
      </c>
      <c r="H205" s="167">
        <f>SUBSTITUTE(INDEX(Calc!$K:$K,(ROW(C204)-1)*5+COLUMN(C204)+1),",",".")</f>
        <v/>
      </c>
      <c r="I205" s="167">
        <f>SUBSTITUTE(INDEX(Calc!$K:$K,(ROW(D204)-1)*5+COLUMN(D204)+1),",",".")</f>
        <v/>
      </c>
      <c r="J205" s="167">
        <f>SUBSTITUTE(INDEX(Calc!$K:$K,(ROW(E204)-1)*5+COLUMN(E204)+1),",",".")</f>
        <v/>
      </c>
      <c r="K205" s="166" t="inlineStr">
        <is>
          <t>], 'type' =&gt; "</t>
        </is>
      </c>
      <c r="L205" s="167">
        <f>Закуп!AA205</f>
        <v/>
      </c>
      <c r="M205" s="166" t="inlineStr">
        <is>
          <t>", 'sale' =&gt; "</t>
        </is>
      </c>
      <c r="N205" s="166">
        <f>IF(Закуп!L205="",0,Закуп!L205)</f>
        <v/>
      </c>
      <c r="O205" s="166" t="inlineStr">
        <is>
          <t>" ],</t>
        </is>
      </c>
      <c r="P205" s="144">
        <f>Закуп!N205</f>
        <v/>
      </c>
      <c r="Q205" s="210">
        <f>CONCATENATE(A205,B205,",",C205,",",D205,E205,F205,",",G205,",",H205,",",I205,",",J205,K205,L205,M205,N205,O205,)</f>
        <v/>
      </c>
    </row>
    <row r="206">
      <c r="A206" s="166" t="inlineStr">
        <is>
          <t xml:space="preserve">        [ 'dims' =&gt; [</t>
        </is>
      </c>
      <c r="B206" s="166">
        <f>Закуп!R206</f>
        <v/>
      </c>
      <c r="C206" s="166">
        <f>Закуп!S206</f>
        <v/>
      </c>
      <c r="D206" s="166">
        <f>Закуп!T206</f>
        <v/>
      </c>
      <c r="E206" s="166" t="inlineStr">
        <is>
          <t>], 'prices' =&gt; [</t>
        </is>
      </c>
      <c r="F206" s="167">
        <f>SUBSTITUTE(INDEX(Calc!$K:$K,(ROW(A205)-1)*5+COLUMN(A205)+1),",",".")</f>
        <v/>
      </c>
      <c r="G206" s="167">
        <f>SUBSTITUTE(INDEX(Calc!$K:$K,(ROW(B205)-1)*5+COLUMN(B205)+1),",",".")</f>
        <v/>
      </c>
      <c r="H206" s="167">
        <f>SUBSTITUTE(INDEX(Calc!$K:$K,(ROW(C205)-1)*5+COLUMN(C205)+1),",",".")</f>
        <v/>
      </c>
      <c r="I206" s="167">
        <f>SUBSTITUTE(INDEX(Calc!$K:$K,(ROW(D205)-1)*5+COLUMN(D205)+1),",",".")</f>
        <v/>
      </c>
      <c r="J206" s="167">
        <f>SUBSTITUTE(INDEX(Calc!$K:$K,(ROW(E205)-1)*5+COLUMN(E205)+1),",",".")</f>
        <v/>
      </c>
      <c r="K206" s="166" t="inlineStr">
        <is>
          <t>], 'type' =&gt; "</t>
        </is>
      </c>
      <c r="L206" s="167">
        <f>Закуп!AA206</f>
        <v/>
      </c>
      <c r="M206" s="166" t="inlineStr">
        <is>
          <t>", 'sale' =&gt; "</t>
        </is>
      </c>
      <c r="N206" s="166">
        <f>IF(Закуп!L206="",0,Закуп!L206)</f>
        <v/>
      </c>
      <c r="O206" s="166" t="inlineStr">
        <is>
          <t>" ],</t>
        </is>
      </c>
      <c r="P206" s="144">
        <f>Закуп!N206</f>
        <v/>
      </c>
      <c r="Q206" s="210">
        <f>CONCATENATE(A206,B206,",",C206,",",D206,E206,F206,",",G206,",",H206,",",I206,",",J206,K206,L206,M206,N206,O206,)</f>
        <v/>
      </c>
    </row>
    <row r="207">
      <c r="A207" s="166" t="inlineStr">
        <is>
          <t xml:space="preserve">        [ 'dims' =&gt; [</t>
        </is>
      </c>
      <c r="B207" s="166">
        <f>Закуп!R207</f>
        <v/>
      </c>
      <c r="C207" s="166">
        <f>Закуп!S207</f>
        <v/>
      </c>
      <c r="D207" s="166">
        <f>Закуп!T207</f>
        <v/>
      </c>
      <c r="E207" s="166" t="inlineStr">
        <is>
          <t>], 'prices' =&gt; [</t>
        </is>
      </c>
      <c r="F207" s="167">
        <f>SUBSTITUTE(INDEX(Calc!$K:$K,(ROW(A206)-1)*5+COLUMN(A206)+1),",",".")</f>
        <v/>
      </c>
      <c r="G207" s="167">
        <f>SUBSTITUTE(INDEX(Calc!$K:$K,(ROW(B206)-1)*5+COLUMN(B206)+1),",",".")</f>
        <v/>
      </c>
      <c r="H207" s="167">
        <f>SUBSTITUTE(INDEX(Calc!$K:$K,(ROW(C206)-1)*5+COLUMN(C206)+1),",",".")</f>
        <v/>
      </c>
      <c r="I207" s="167">
        <f>SUBSTITUTE(INDEX(Calc!$K:$K,(ROW(D206)-1)*5+COLUMN(D206)+1),",",".")</f>
        <v/>
      </c>
      <c r="J207" s="167">
        <f>SUBSTITUTE(INDEX(Calc!$K:$K,(ROW(E206)-1)*5+COLUMN(E206)+1),",",".")</f>
        <v/>
      </c>
      <c r="K207" s="166" t="inlineStr">
        <is>
          <t>], 'type' =&gt; "</t>
        </is>
      </c>
      <c r="L207" s="167">
        <f>Закуп!AA207</f>
        <v/>
      </c>
      <c r="M207" s="166" t="inlineStr">
        <is>
          <t>", 'sale' =&gt; "</t>
        </is>
      </c>
      <c r="N207" s="166">
        <f>IF(Закуп!L207="",0,Закуп!L207)</f>
        <v/>
      </c>
      <c r="O207" s="166" t="inlineStr">
        <is>
          <t>" ],</t>
        </is>
      </c>
      <c r="P207" s="144">
        <f>Закуп!N207</f>
        <v/>
      </c>
      <c r="Q207" s="210">
        <f>CONCATENATE(A207,B207,",",C207,",",D207,E207,F207,",",G207,",",H207,",",I207,",",J207,K207,L207,M207,N207,O207,)</f>
        <v/>
      </c>
    </row>
    <row r="208">
      <c r="A208" s="166" t="inlineStr">
        <is>
          <t xml:space="preserve">        [ 'dims' =&gt; [</t>
        </is>
      </c>
      <c r="B208" s="166">
        <f>Закуп!R208</f>
        <v/>
      </c>
      <c r="C208" s="166">
        <f>Закуп!S208</f>
        <v/>
      </c>
      <c r="D208" s="166">
        <f>Закуп!T208</f>
        <v/>
      </c>
      <c r="E208" s="166" t="inlineStr">
        <is>
          <t>], 'prices' =&gt; [</t>
        </is>
      </c>
      <c r="F208" s="167">
        <f>SUBSTITUTE(INDEX(Calc!$K:$K,(ROW(A207)-1)*5+COLUMN(A207)+1),",",".")</f>
        <v/>
      </c>
      <c r="G208" s="167">
        <f>SUBSTITUTE(INDEX(Calc!$K:$K,(ROW(B207)-1)*5+COLUMN(B207)+1),",",".")</f>
        <v/>
      </c>
      <c r="H208" s="167">
        <f>SUBSTITUTE(INDEX(Calc!$K:$K,(ROW(C207)-1)*5+COLUMN(C207)+1),",",".")</f>
        <v/>
      </c>
      <c r="I208" s="167">
        <f>SUBSTITUTE(INDEX(Calc!$K:$K,(ROW(D207)-1)*5+COLUMN(D207)+1),",",".")</f>
        <v/>
      </c>
      <c r="J208" s="167">
        <f>SUBSTITUTE(INDEX(Calc!$K:$K,(ROW(E207)-1)*5+COLUMN(E207)+1),",",".")</f>
        <v/>
      </c>
      <c r="K208" s="166" t="inlineStr">
        <is>
          <t>], 'type' =&gt; "</t>
        </is>
      </c>
      <c r="L208" s="167">
        <f>Закуп!AA208</f>
        <v/>
      </c>
      <c r="M208" s="166" t="inlineStr">
        <is>
          <t>", 'sale' =&gt; "</t>
        </is>
      </c>
      <c r="N208" s="166">
        <f>IF(Закуп!L208="",0,Закуп!L208)</f>
        <v/>
      </c>
      <c r="O208" s="166" t="inlineStr">
        <is>
          <t>" ],</t>
        </is>
      </c>
      <c r="P208" s="144">
        <f>Закуп!N208</f>
        <v/>
      </c>
      <c r="Q208" s="210">
        <f>CONCATENATE(A208,B208,",",C208,",",D208,E208,F208,",",G208,",",H208,",",I208,",",J208,K208,L208,M208,N208,O208,)</f>
        <v/>
      </c>
    </row>
    <row r="209">
      <c r="A209" s="166" t="inlineStr">
        <is>
          <t xml:space="preserve">        [ 'dims' =&gt; [</t>
        </is>
      </c>
      <c r="B209" s="166">
        <f>Закуп!R209</f>
        <v/>
      </c>
      <c r="C209" s="166">
        <f>Закуп!S209</f>
        <v/>
      </c>
      <c r="D209" s="166">
        <f>Закуп!T209</f>
        <v/>
      </c>
      <c r="E209" s="166" t="inlineStr">
        <is>
          <t>], 'prices' =&gt; [</t>
        </is>
      </c>
      <c r="F209" s="167">
        <f>SUBSTITUTE(INDEX(Calc!$K:$K,(ROW(A208)-1)*5+COLUMN(A208)+1),",",".")</f>
        <v/>
      </c>
      <c r="G209" s="167">
        <f>SUBSTITUTE(INDEX(Calc!$K:$K,(ROW(B208)-1)*5+COLUMN(B208)+1),",",".")</f>
        <v/>
      </c>
      <c r="H209" s="167">
        <f>SUBSTITUTE(INDEX(Calc!$K:$K,(ROW(C208)-1)*5+COLUMN(C208)+1),",",".")</f>
        <v/>
      </c>
      <c r="I209" s="167">
        <f>SUBSTITUTE(INDEX(Calc!$K:$K,(ROW(D208)-1)*5+COLUMN(D208)+1),",",".")</f>
        <v/>
      </c>
      <c r="J209" s="167">
        <f>SUBSTITUTE(INDEX(Calc!$K:$K,(ROW(E208)-1)*5+COLUMN(E208)+1),",",".")</f>
        <v/>
      </c>
      <c r="K209" s="166" t="inlineStr">
        <is>
          <t>], 'type' =&gt; "</t>
        </is>
      </c>
      <c r="L209" s="167">
        <f>Закуп!AA209</f>
        <v/>
      </c>
      <c r="M209" s="166" t="inlineStr">
        <is>
          <t>", 'sale' =&gt; "</t>
        </is>
      </c>
      <c r="N209" s="166">
        <f>IF(Закуп!L209="",0,Закуп!L209)</f>
        <v/>
      </c>
      <c r="O209" s="166" t="inlineStr">
        <is>
          <t>" ],</t>
        </is>
      </c>
      <c r="P209" s="144">
        <f>Закуп!N209</f>
        <v/>
      </c>
      <c r="Q209" s="210">
        <f>CONCATENATE(A209,B209,",",C209,",",D209,E209,F209,",",G209,",",H209,",",I209,",",J209,K209,L209,M209,N209,O209,)</f>
        <v/>
      </c>
    </row>
    <row r="210">
      <c r="A210" s="166" t="inlineStr">
        <is>
          <t xml:space="preserve">        [ 'dims' =&gt; [</t>
        </is>
      </c>
      <c r="B210" s="166">
        <f>Закуп!R210</f>
        <v/>
      </c>
      <c r="C210" s="166">
        <f>Закуп!S210</f>
        <v/>
      </c>
      <c r="D210" s="166">
        <f>Закуп!T210</f>
        <v/>
      </c>
      <c r="E210" s="166" t="inlineStr">
        <is>
          <t>], 'prices' =&gt; [</t>
        </is>
      </c>
      <c r="F210" s="167">
        <f>SUBSTITUTE(INDEX(Calc!$K:$K,(ROW(A209)-1)*5+COLUMN(A209)+1),",",".")</f>
        <v/>
      </c>
      <c r="G210" s="167">
        <f>SUBSTITUTE(INDEX(Calc!$K:$K,(ROW(B209)-1)*5+COLUMN(B209)+1),",",".")</f>
        <v/>
      </c>
      <c r="H210" s="167">
        <f>SUBSTITUTE(INDEX(Calc!$K:$K,(ROW(C209)-1)*5+COLUMN(C209)+1),",",".")</f>
        <v/>
      </c>
      <c r="I210" s="167">
        <f>SUBSTITUTE(INDEX(Calc!$K:$K,(ROW(D209)-1)*5+COLUMN(D209)+1),",",".")</f>
        <v/>
      </c>
      <c r="J210" s="167">
        <f>SUBSTITUTE(INDEX(Calc!$K:$K,(ROW(E209)-1)*5+COLUMN(E209)+1),",",".")</f>
        <v/>
      </c>
      <c r="K210" s="166" t="inlineStr">
        <is>
          <t>], 'type' =&gt; "</t>
        </is>
      </c>
      <c r="L210" s="167">
        <f>Закуп!AA210</f>
        <v/>
      </c>
      <c r="M210" s="166" t="inlineStr">
        <is>
          <t>", 'sale' =&gt; "</t>
        </is>
      </c>
      <c r="N210" s="166">
        <f>IF(Закуп!L210="",0,Закуп!L210)</f>
        <v/>
      </c>
      <c r="O210" s="166" t="inlineStr">
        <is>
          <t>" ],</t>
        </is>
      </c>
      <c r="P210" s="144">
        <f>Закуп!N210</f>
        <v/>
      </c>
      <c r="Q210" s="210">
        <f>CONCATENATE(A210,B210,",",C210,",",D210,E210,F210,",",G210,",",H210,",",I210,",",J210,K210,L210,M210,N210,O210,)</f>
        <v/>
      </c>
    </row>
    <row r="211">
      <c r="A211" s="166" t="inlineStr">
        <is>
          <t xml:space="preserve">        [ 'dims' =&gt; [</t>
        </is>
      </c>
      <c r="B211" s="166">
        <f>Закуп!R211</f>
        <v/>
      </c>
      <c r="C211" s="166">
        <f>Закуп!S211</f>
        <v/>
      </c>
      <c r="D211" s="166">
        <f>Закуп!T211</f>
        <v/>
      </c>
      <c r="E211" s="166" t="inlineStr">
        <is>
          <t>], 'prices' =&gt; [</t>
        </is>
      </c>
      <c r="F211" s="167">
        <f>SUBSTITUTE(INDEX(Calc!$K:$K,(ROW(A210)-1)*5+COLUMN(A210)+1),",",".")</f>
        <v/>
      </c>
      <c r="G211" s="167">
        <f>SUBSTITUTE(INDEX(Calc!$K:$K,(ROW(B210)-1)*5+COLUMN(B210)+1),",",".")</f>
        <v/>
      </c>
      <c r="H211" s="167">
        <f>SUBSTITUTE(INDEX(Calc!$K:$K,(ROW(C210)-1)*5+COLUMN(C210)+1),",",".")</f>
        <v/>
      </c>
      <c r="I211" s="167">
        <f>SUBSTITUTE(INDEX(Calc!$K:$K,(ROW(D210)-1)*5+COLUMN(D210)+1),",",".")</f>
        <v/>
      </c>
      <c r="J211" s="167">
        <f>SUBSTITUTE(INDEX(Calc!$K:$K,(ROW(E210)-1)*5+COLUMN(E210)+1),",",".")</f>
        <v/>
      </c>
      <c r="K211" s="166" t="inlineStr">
        <is>
          <t>], 'type' =&gt; "</t>
        </is>
      </c>
      <c r="L211" s="167">
        <f>Закуп!AA211</f>
        <v/>
      </c>
      <c r="M211" s="166" t="inlineStr">
        <is>
          <t>", 'sale' =&gt; "</t>
        </is>
      </c>
      <c r="N211" s="166">
        <f>IF(Закуп!L211="",0,Закуп!L211)</f>
        <v/>
      </c>
      <c r="O211" s="166" t="inlineStr">
        <is>
          <t>" ],</t>
        </is>
      </c>
      <c r="P211" s="144">
        <f>Закуп!N211</f>
        <v/>
      </c>
      <c r="Q211" s="210">
        <f>CONCATENATE(A211,B211,",",C211,",",D211,E211,F211,",",G211,",",H211,",",I211,",",J211,K211,L211,M211,N211,O211,)</f>
        <v/>
      </c>
    </row>
    <row r="212">
      <c r="A212" s="166" t="inlineStr">
        <is>
          <t xml:space="preserve">        [ 'dims' =&gt; [</t>
        </is>
      </c>
      <c r="B212" s="166">
        <f>Закуп!R212</f>
        <v/>
      </c>
      <c r="C212" s="166">
        <f>Закуп!S212</f>
        <v/>
      </c>
      <c r="D212" s="166">
        <f>Закуп!T212</f>
        <v/>
      </c>
      <c r="E212" s="166" t="inlineStr">
        <is>
          <t>], 'prices' =&gt; [</t>
        </is>
      </c>
      <c r="F212" s="167">
        <f>SUBSTITUTE(INDEX(Calc!$K:$K,(ROW(A211)-1)*5+COLUMN(A211)+1),",",".")</f>
        <v/>
      </c>
      <c r="G212" s="167">
        <f>SUBSTITUTE(INDEX(Calc!$K:$K,(ROW(B211)-1)*5+COLUMN(B211)+1),",",".")</f>
        <v/>
      </c>
      <c r="H212" s="167">
        <f>SUBSTITUTE(INDEX(Calc!$K:$K,(ROW(C211)-1)*5+COLUMN(C211)+1),",",".")</f>
        <v/>
      </c>
      <c r="I212" s="167">
        <f>SUBSTITUTE(INDEX(Calc!$K:$K,(ROW(D211)-1)*5+COLUMN(D211)+1),",",".")</f>
        <v/>
      </c>
      <c r="J212" s="167">
        <f>SUBSTITUTE(INDEX(Calc!$K:$K,(ROW(E211)-1)*5+COLUMN(E211)+1),",",".")</f>
        <v/>
      </c>
      <c r="K212" s="166" t="inlineStr">
        <is>
          <t>], 'type' =&gt; "</t>
        </is>
      </c>
      <c r="L212" s="167">
        <f>Закуп!AA212</f>
        <v/>
      </c>
      <c r="M212" s="166" t="inlineStr">
        <is>
          <t>", 'sale' =&gt; "</t>
        </is>
      </c>
      <c r="N212" s="166">
        <f>IF(Закуп!L212="",0,Закуп!L212)</f>
        <v/>
      </c>
      <c r="O212" s="166" t="inlineStr">
        <is>
          <t>" ],</t>
        </is>
      </c>
      <c r="P212" s="144">
        <f>Закуп!N212</f>
        <v/>
      </c>
      <c r="Q212" s="210">
        <f>CONCATENATE(A212,B212,",",C212,",",D212,E212,F212,",",G212,",",H212,",",I212,",",J212,K212,L212,M212,N212,O212,)</f>
        <v/>
      </c>
    </row>
    <row r="213">
      <c r="A213" s="166" t="inlineStr">
        <is>
          <t xml:space="preserve">        [ 'dims' =&gt; [</t>
        </is>
      </c>
      <c r="B213" s="166">
        <f>Закуп!R213</f>
        <v/>
      </c>
      <c r="C213" s="166">
        <f>Закуп!S213</f>
        <v/>
      </c>
      <c r="D213" s="166">
        <f>Закуп!T213</f>
        <v/>
      </c>
      <c r="E213" s="166" t="inlineStr">
        <is>
          <t>], 'prices' =&gt; [</t>
        </is>
      </c>
      <c r="F213" s="167">
        <f>SUBSTITUTE(INDEX(Calc!$K:$K,(ROW(A212)-1)*5+COLUMN(A212)+1),",",".")</f>
        <v/>
      </c>
      <c r="G213" s="167">
        <f>SUBSTITUTE(INDEX(Calc!$K:$K,(ROW(B212)-1)*5+COLUMN(B212)+1),",",".")</f>
        <v/>
      </c>
      <c r="H213" s="167">
        <f>SUBSTITUTE(INDEX(Calc!$K:$K,(ROW(C212)-1)*5+COLUMN(C212)+1),",",".")</f>
        <v/>
      </c>
      <c r="I213" s="167">
        <f>SUBSTITUTE(INDEX(Calc!$K:$K,(ROW(D212)-1)*5+COLUMN(D212)+1),",",".")</f>
        <v/>
      </c>
      <c r="J213" s="167">
        <f>SUBSTITUTE(INDEX(Calc!$K:$K,(ROW(E212)-1)*5+COLUMN(E212)+1),",",".")</f>
        <v/>
      </c>
      <c r="K213" s="166" t="inlineStr">
        <is>
          <t>], 'type' =&gt; "</t>
        </is>
      </c>
      <c r="L213" s="167">
        <f>Закуп!AA213</f>
        <v/>
      </c>
      <c r="M213" s="166" t="inlineStr">
        <is>
          <t>", 'sale' =&gt; "</t>
        </is>
      </c>
      <c r="N213" s="166">
        <f>IF(Закуп!L213="",0,Закуп!L213)</f>
        <v/>
      </c>
      <c r="O213" s="166" t="inlineStr">
        <is>
          <t>" ],</t>
        </is>
      </c>
      <c r="P213" s="144">
        <f>Закуп!N213</f>
        <v/>
      </c>
      <c r="Q213" s="210">
        <f>CONCATENATE(A213,B213,",",C213,",",D213,E213,F213,",",G213,",",H213,",",I213,",",J213,K213,L213,M213,N213,O213,)</f>
        <v/>
      </c>
    </row>
    <row r="214">
      <c r="A214" s="166" t="inlineStr">
        <is>
          <t xml:space="preserve">        [ 'dims' =&gt; [</t>
        </is>
      </c>
      <c r="B214" s="166">
        <f>Закуп!R214</f>
        <v/>
      </c>
      <c r="C214" s="166">
        <f>Закуп!S214</f>
        <v/>
      </c>
      <c r="D214" s="166">
        <f>Закуп!T214</f>
        <v/>
      </c>
      <c r="E214" s="166" t="inlineStr">
        <is>
          <t>], 'prices' =&gt; [</t>
        </is>
      </c>
      <c r="F214" s="167">
        <f>SUBSTITUTE(INDEX(Calc!$K:$K,(ROW(A213)-1)*5+COLUMN(A213)+1),",",".")</f>
        <v/>
      </c>
      <c r="G214" s="167">
        <f>SUBSTITUTE(INDEX(Calc!$K:$K,(ROW(B213)-1)*5+COLUMN(B213)+1),",",".")</f>
        <v/>
      </c>
      <c r="H214" s="167">
        <f>SUBSTITUTE(INDEX(Calc!$K:$K,(ROW(C213)-1)*5+COLUMN(C213)+1),",",".")</f>
        <v/>
      </c>
      <c r="I214" s="167">
        <f>SUBSTITUTE(INDEX(Calc!$K:$K,(ROW(D213)-1)*5+COLUMN(D213)+1),",",".")</f>
        <v/>
      </c>
      <c r="J214" s="167">
        <f>SUBSTITUTE(INDEX(Calc!$K:$K,(ROW(E213)-1)*5+COLUMN(E213)+1),",",".")</f>
        <v/>
      </c>
      <c r="K214" s="166" t="inlineStr">
        <is>
          <t>], 'type' =&gt; "</t>
        </is>
      </c>
      <c r="L214" s="167">
        <f>Закуп!AA214</f>
        <v/>
      </c>
      <c r="M214" s="166" t="inlineStr">
        <is>
          <t>", 'sale' =&gt; "</t>
        </is>
      </c>
      <c r="N214" s="166">
        <f>IF(Закуп!L214="",0,Закуп!L214)</f>
        <v/>
      </c>
      <c r="O214" s="166" t="inlineStr">
        <is>
          <t>" ],</t>
        </is>
      </c>
      <c r="P214" s="144">
        <f>Закуп!N214</f>
        <v/>
      </c>
      <c r="Q214" s="210">
        <f>CONCATENATE(A214,B214,",",C214,",",D214,E214,F214,",",G214,",",H214,",",I214,",",J214,K214,L214,M214,N214,O214,)</f>
        <v/>
      </c>
    </row>
    <row r="215" hidden="1" s="55">
      <c r="A215" s="47" t="inlineStr">
        <is>
          <t xml:space="preserve">        [ 'dims' =&gt; [</t>
        </is>
      </c>
      <c r="B215" s="47">
        <f>Закуп!R215</f>
        <v/>
      </c>
      <c r="C215" s="47">
        <f>Закуп!S215</f>
        <v/>
      </c>
      <c r="D215" s="47">
        <f>Закуп!T215</f>
        <v/>
      </c>
      <c r="E215" s="47" t="inlineStr">
        <is>
          <t>], 'prices' =&gt; [</t>
        </is>
      </c>
      <c r="F215" s="101">
        <f>SUBSTITUTE(INDEX(Calc!$K:$K,(ROW(A214)-1)*5+COLUMN(A214)+1),",",".")</f>
        <v/>
      </c>
      <c r="G215" s="101">
        <f>SUBSTITUTE(INDEX(Calc!$K:$K,(ROW(B214)-1)*5+COLUMN(B214)+1),",",".")</f>
        <v/>
      </c>
      <c r="H215" s="101">
        <f>SUBSTITUTE(INDEX(Calc!$K:$K,(ROW(C214)-1)*5+COLUMN(C214)+1),",",".")</f>
        <v/>
      </c>
      <c r="I215" s="101">
        <f>SUBSTITUTE(INDEX(Calc!$K:$K,(ROW(D214)-1)*5+COLUMN(D214)+1),",",".")</f>
        <v/>
      </c>
      <c r="J215" s="101">
        <f>SUBSTITUTE(INDEX(Calc!$K:$K,(ROW(E214)-1)*5+COLUMN(E214)+1),",",".")</f>
        <v/>
      </c>
      <c r="K215" s="47" t="inlineStr">
        <is>
          <t>], 'type' =&gt; "</t>
        </is>
      </c>
      <c r="L215" s="101">
        <f>Закуп!AA215</f>
        <v/>
      </c>
      <c r="M215" s="47" t="inlineStr">
        <is>
          <t>", 'sale' =&gt; "</t>
        </is>
      </c>
      <c r="N215" s="47">
        <f>IF(Закуп!L215="",0,Закуп!L215)</f>
        <v/>
      </c>
      <c r="O215" s="47" t="inlineStr">
        <is>
          <t>" ],</t>
        </is>
      </c>
      <c r="P215" s="165">
        <f>Закуп!N215</f>
        <v/>
      </c>
      <c r="Q215" s="42">
        <f>CONCATENATE(A215,B215,",",C215,",",D215,E215,F215,",",G215,",",H215,",",I215,",",J215,K215,L215,M215,N215,O215,)</f>
        <v/>
      </c>
    </row>
    <row r="216">
      <c r="A216" s="166" t="inlineStr">
        <is>
          <t xml:space="preserve">        [ 'dims' =&gt; [</t>
        </is>
      </c>
      <c r="B216" s="166">
        <f>Закуп!R216</f>
        <v/>
      </c>
      <c r="C216" s="166">
        <f>Закуп!S216</f>
        <v/>
      </c>
      <c r="D216" s="166">
        <f>Закуп!T216</f>
        <v/>
      </c>
      <c r="E216" s="166" t="inlineStr">
        <is>
          <t>], 'prices' =&gt; [</t>
        </is>
      </c>
      <c r="F216" s="167">
        <f>SUBSTITUTE(INDEX(Calc!$K:$K,(ROW(A215)-1)*5+COLUMN(A215)+1),",",".")</f>
        <v/>
      </c>
      <c r="G216" s="167">
        <f>SUBSTITUTE(INDEX(Calc!$K:$K,(ROW(B215)-1)*5+COLUMN(B215)+1),",",".")</f>
        <v/>
      </c>
      <c r="H216" s="167">
        <f>SUBSTITUTE(INDEX(Calc!$K:$K,(ROW(C215)-1)*5+COLUMN(C215)+1),",",".")</f>
        <v/>
      </c>
      <c r="I216" s="167">
        <f>SUBSTITUTE(INDEX(Calc!$K:$K,(ROW(D215)-1)*5+COLUMN(D215)+1),",",".")</f>
        <v/>
      </c>
      <c r="J216" s="167">
        <f>SUBSTITUTE(INDEX(Calc!$K:$K,(ROW(E215)-1)*5+COLUMN(E215)+1),",",".")</f>
        <v/>
      </c>
      <c r="K216" s="166" t="inlineStr">
        <is>
          <t>], 'type' =&gt; "</t>
        </is>
      </c>
      <c r="L216" s="167">
        <f>Закуп!AA216</f>
        <v/>
      </c>
      <c r="M216" s="166" t="inlineStr">
        <is>
          <t>", 'sale' =&gt; "</t>
        </is>
      </c>
      <c r="N216" s="166">
        <f>IF(Закуп!L216="",0,Закуп!L216)</f>
        <v/>
      </c>
      <c r="O216" s="166" t="inlineStr">
        <is>
          <t>" ],</t>
        </is>
      </c>
      <c r="P216" s="144">
        <f>Закуп!N216</f>
        <v/>
      </c>
      <c r="Q216" s="210">
        <f>CONCATENATE(A216,B216,",",C216,",",D216,E216,F216,",",G216,",",H216,",",I216,",",J216,K216,L216,M216,N216,O216,)</f>
        <v/>
      </c>
    </row>
    <row r="217" hidden="1" s="55">
      <c r="A217" s="166" t="inlineStr">
        <is>
          <t xml:space="preserve">        [ 'dims' =&gt; [</t>
        </is>
      </c>
      <c r="B217" s="166">
        <f>Закуп!R217</f>
        <v/>
      </c>
      <c r="C217" s="166">
        <f>Закуп!S217</f>
        <v/>
      </c>
      <c r="D217" s="166">
        <f>Закуп!T217</f>
        <v/>
      </c>
      <c r="E217" s="166" t="inlineStr">
        <is>
          <t>], 'prices' =&gt; [</t>
        </is>
      </c>
      <c r="F217" s="167">
        <f>SUBSTITUTE(INDEX(Calc!$K:$K,(ROW(A216)-1)*5+COLUMN(A216)+1),",",".")</f>
        <v/>
      </c>
      <c r="G217" s="167">
        <f>SUBSTITUTE(INDEX(Calc!$K:$K,(ROW(B216)-1)*5+COLUMN(B216)+1),",",".")</f>
        <v/>
      </c>
      <c r="H217" s="167">
        <f>SUBSTITUTE(INDEX(Calc!$K:$K,(ROW(C216)-1)*5+COLUMN(C216)+1),",",".")</f>
        <v/>
      </c>
      <c r="I217" s="167">
        <f>SUBSTITUTE(INDEX(Calc!$K:$K,(ROW(D216)-1)*5+COLUMN(D216)+1),",",".")</f>
        <v/>
      </c>
      <c r="J217" s="167">
        <f>SUBSTITUTE(INDEX(Calc!$K:$K,(ROW(E216)-1)*5+COLUMN(E216)+1),",",".")</f>
        <v/>
      </c>
      <c r="K217" s="166" t="inlineStr">
        <is>
          <t>], 'type' =&gt; "</t>
        </is>
      </c>
      <c r="L217" s="167">
        <f>Закуп!AA217</f>
        <v/>
      </c>
      <c r="M217" s="166" t="inlineStr">
        <is>
          <t>", 'sale' =&gt; "</t>
        </is>
      </c>
      <c r="N217" s="166">
        <f>IF(Закуп!L217="",0,Закуп!L217)</f>
        <v/>
      </c>
      <c r="O217" s="166" t="inlineStr">
        <is>
          <t>" ],</t>
        </is>
      </c>
      <c r="P217" s="144">
        <f>Закуп!N217</f>
        <v/>
      </c>
      <c r="Q217" s="210">
        <f>CONCATENATE(A217,B217,",",C217,",",D217,E217,F217,",",G217,",",H217,",",I217,",",J217,K217,L217,M217,N217,O217,)</f>
        <v/>
      </c>
    </row>
    <row r="218">
      <c r="A218" s="166" t="inlineStr">
        <is>
          <t xml:space="preserve">        [ 'dims' =&gt; [</t>
        </is>
      </c>
      <c r="B218" s="166">
        <f>Закуп!R218</f>
        <v/>
      </c>
      <c r="C218" s="166">
        <f>Закуп!S218</f>
        <v/>
      </c>
      <c r="D218" s="166">
        <f>Закуп!T218</f>
        <v/>
      </c>
      <c r="E218" s="166" t="inlineStr">
        <is>
          <t>], 'prices' =&gt; [</t>
        </is>
      </c>
      <c r="F218" s="167">
        <f>SUBSTITUTE(INDEX(Calc!$K:$K,(ROW(A217)-1)*5+COLUMN(A217)+1),",",".")</f>
        <v/>
      </c>
      <c r="G218" s="167">
        <f>SUBSTITUTE(INDEX(Calc!$K:$K,(ROW(B217)-1)*5+COLUMN(B217)+1),",",".")</f>
        <v/>
      </c>
      <c r="H218" s="167">
        <f>SUBSTITUTE(INDEX(Calc!$K:$K,(ROW(C217)-1)*5+COLUMN(C217)+1),",",".")</f>
        <v/>
      </c>
      <c r="I218" s="167">
        <f>SUBSTITUTE(INDEX(Calc!$K:$K,(ROW(D217)-1)*5+COLUMN(D217)+1),",",".")</f>
        <v/>
      </c>
      <c r="J218" s="167">
        <f>SUBSTITUTE(INDEX(Calc!$K:$K,(ROW(E217)-1)*5+COLUMN(E217)+1),",",".")</f>
        <v/>
      </c>
      <c r="K218" s="166" t="inlineStr">
        <is>
          <t>], 'type' =&gt; "</t>
        </is>
      </c>
      <c r="L218" s="167">
        <f>Закуп!AA218</f>
        <v/>
      </c>
      <c r="M218" s="166" t="inlineStr">
        <is>
          <t>", 'sale' =&gt; "</t>
        </is>
      </c>
      <c r="N218" s="166">
        <f>IF(Закуп!L218="",0,Закуп!L218)</f>
        <v/>
      </c>
      <c r="O218" s="166" t="inlineStr">
        <is>
          <t>" ],</t>
        </is>
      </c>
      <c r="P218" s="144">
        <f>Закуп!N218</f>
        <v/>
      </c>
      <c r="Q218" s="210">
        <f>CONCATENATE(A218,B218,",",C218,",",D218,E218,F218,",",G218,",",H218,",",I218,",",J218,K218,L218,M218,N218,O218,)</f>
        <v/>
      </c>
    </row>
    <row r="219">
      <c r="A219" s="166" t="inlineStr">
        <is>
          <t xml:space="preserve">        [ 'dims' =&gt; [</t>
        </is>
      </c>
      <c r="B219" s="166">
        <f>Закуп!R219</f>
        <v/>
      </c>
      <c r="C219" s="166">
        <f>Закуп!S219</f>
        <v/>
      </c>
      <c r="D219" s="166">
        <f>Закуп!T219</f>
        <v/>
      </c>
      <c r="E219" s="166" t="inlineStr">
        <is>
          <t>], 'prices' =&gt; [</t>
        </is>
      </c>
      <c r="F219" s="167">
        <f>SUBSTITUTE(INDEX(Calc!$K:$K,(ROW(A218)-1)*5+COLUMN(A218)+1),",",".")</f>
        <v/>
      </c>
      <c r="G219" s="167">
        <f>SUBSTITUTE(INDEX(Calc!$K:$K,(ROW(B218)-1)*5+COLUMN(B218)+1),",",".")</f>
        <v/>
      </c>
      <c r="H219" s="167">
        <f>SUBSTITUTE(INDEX(Calc!$K:$K,(ROW(C218)-1)*5+COLUMN(C218)+1),",",".")</f>
        <v/>
      </c>
      <c r="I219" s="167">
        <f>SUBSTITUTE(INDEX(Calc!$K:$K,(ROW(D218)-1)*5+COLUMN(D218)+1),",",".")</f>
        <v/>
      </c>
      <c r="J219" s="167">
        <f>SUBSTITUTE(INDEX(Calc!$K:$K,(ROW(E218)-1)*5+COLUMN(E218)+1),",",".")</f>
        <v/>
      </c>
      <c r="K219" s="166" t="inlineStr">
        <is>
          <t>], 'type' =&gt; "</t>
        </is>
      </c>
      <c r="L219" s="167">
        <f>Закуп!AA219</f>
        <v/>
      </c>
      <c r="M219" s="166" t="inlineStr">
        <is>
          <t>", 'sale' =&gt; "</t>
        </is>
      </c>
      <c r="N219" s="166">
        <f>IF(Закуп!L219="",0,Закуп!L219)</f>
        <v/>
      </c>
      <c r="O219" s="166" t="inlineStr">
        <is>
          <t>" ],</t>
        </is>
      </c>
      <c r="P219" s="144">
        <f>Закуп!N219</f>
        <v/>
      </c>
      <c r="Q219" s="210">
        <f>CONCATENATE(A219,B219,",",C219,",",D219,E219,F219,",",G219,",",H219,",",I219,",",J219,K219,L219,M219,N219,O219,)</f>
        <v/>
      </c>
    </row>
    <row r="220">
      <c r="A220" s="166" t="inlineStr">
        <is>
          <t xml:space="preserve">        [ 'dims' =&gt; [</t>
        </is>
      </c>
      <c r="B220" s="166">
        <f>Закуп!R220</f>
        <v/>
      </c>
      <c r="C220" s="166">
        <f>Закуп!S220</f>
        <v/>
      </c>
      <c r="D220" s="166">
        <f>Закуп!T220</f>
        <v/>
      </c>
      <c r="E220" s="166" t="inlineStr">
        <is>
          <t>], 'prices' =&gt; [</t>
        </is>
      </c>
      <c r="F220" s="167">
        <f>SUBSTITUTE(INDEX(Calc!$K:$K,(ROW(A219)-1)*5+COLUMN(A219)+1),",",".")</f>
        <v/>
      </c>
      <c r="G220" s="167">
        <f>SUBSTITUTE(INDEX(Calc!$K:$K,(ROW(B219)-1)*5+COLUMN(B219)+1),",",".")</f>
        <v/>
      </c>
      <c r="H220" s="167">
        <f>SUBSTITUTE(INDEX(Calc!$K:$K,(ROW(C219)-1)*5+COLUMN(C219)+1),",",".")</f>
        <v/>
      </c>
      <c r="I220" s="167">
        <f>SUBSTITUTE(INDEX(Calc!$K:$K,(ROW(D219)-1)*5+COLUMN(D219)+1),",",".")</f>
        <v/>
      </c>
      <c r="J220" s="167">
        <f>SUBSTITUTE(INDEX(Calc!$K:$K,(ROW(E219)-1)*5+COLUMN(E219)+1),",",".")</f>
        <v/>
      </c>
      <c r="K220" s="166" t="inlineStr">
        <is>
          <t>], 'type' =&gt; "</t>
        </is>
      </c>
      <c r="L220" s="167">
        <f>Закуп!AA220</f>
        <v/>
      </c>
      <c r="M220" s="166" t="inlineStr">
        <is>
          <t>", 'sale' =&gt; "</t>
        </is>
      </c>
      <c r="N220" s="166">
        <f>IF(Закуп!L220="",0,Закуп!L220)</f>
        <v/>
      </c>
      <c r="O220" s="166" t="inlineStr">
        <is>
          <t>" ],</t>
        </is>
      </c>
      <c r="P220" s="144">
        <f>Закуп!N220</f>
        <v/>
      </c>
      <c r="Q220" s="210">
        <f>CONCATENATE(A220,B220,",",C220,",",D220,E220,F220,",",G220,",",H220,",",I220,",",J220,K220,L220,M220,N220,O220,)</f>
        <v/>
      </c>
    </row>
    <row r="221">
      <c r="A221" s="166" t="inlineStr">
        <is>
          <t xml:space="preserve">        [ 'dims' =&gt; [</t>
        </is>
      </c>
      <c r="B221" s="166">
        <f>Закуп!R221</f>
        <v/>
      </c>
      <c r="C221" s="166">
        <f>Закуп!S221</f>
        <v/>
      </c>
      <c r="D221" s="166">
        <f>Закуп!T221</f>
        <v/>
      </c>
      <c r="E221" s="166" t="inlineStr">
        <is>
          <t>], 'prices' =&gt; [</t>
        </is>
      </c>
      <c r="F221" s="167">
        <f>SUBSTITUTE(INDEX(Calc!$K:$K,(ROW(A220)-1)*5+COLUMN(A220)+1),",",".")</f>
        <v/>
      </c>
      <c r="G221" s="167">
        <f>SUBSTITUTE(INDEX(Calc!$K:$K,(ROW(B220)-1)*5+COLUMN(B220)+1),",",".")</f>
        <v/>
      </c>
      <c r="H221" s="167">
        <f>SUBSTITUTE(INDEX(Calc!$K:$K,(ROW(C220)-1)*5+COLUMN(C220)+1),",",".")</f>
        <v/>
      </c>
      <c r="I221" s="167">
        <f>SUBSTITUTE(INDEX(Calc!$K:$K,(ROW(D220)-1)*5+COLUMN(D220)+1),",",".")</f>
        <v/>
      </c>
      <c r="J221" s="167">
        <f>SUBSTITUTE(INDEX(Calc!$K:$K,(ROW(E220)-1)*5+COLUMN(E220)+1),",",".")</f>
        <v/>
      </c>
      <c r="K221" s="166" t="inlineStr">
        <is>
          <t>], 'type' =&gt; "</t>
        </is>
      </c>
      <c r="L221" s="167">
        <f>Закуп!AA221</f>
        <v/>
      </c>
      <c r="M221" s="166" t="inlineStr">
        <is>
          <t>", 'sale' =&gt; "</t>
        </is>
      </c>
      <c r="N221" s="166">
        <f>IF(Закуп!L221="",0,Закуп!L221)</f>
        <v/>
      </c>
      <c r="O221" s="166" t="inlineStr">
        <is>
          <t>" ],</t>
        </is>
      </c>
      <c r="P221" s="144">
        <f>Закуп!N221</f>
        <v/>
      </c>
      <c r="Q221" s="210">
        <f>CONCATENATE(A221,B221,",",C221,",",D221,E221,F221,",",G221,",",H221,",",I221,",",J221,K221,L221,M221,N221,O221,)</f>
        <v/>
      </c>
    </row>
    <row r="222">
      <c r="A222" s="166" t="inlineStr">
        <is>
          <t xml:space="preserve">        [ 'dims' =&gt; [</t>
        </is>
      </c>
      <c r="B222" s="166">
        <f>Закуп!R222</f>
        <v/>
      </c>
      <c r="C222" s="166">
        <f>Закуп!S222</f>
        <v/>
      </c>
      <c r="D222" s="166">
        <f>Закуп!T222</f>
        <v/>
      </c>
      <c r="E222" s="166" t="inlineStr">
        <is>
          <t>], 'prices' =&gt; [</t>
        </is>
      </c>
      <c r="F222" s="167">
        <f>SUBSTITUTE(INDEX(Calc!$K:$K,(ROW(A221)-1)*5+COLUMN(A221)+1),",",".")</f>
        <v/>
      </c>
      <c r="G222" s="167">
        <f>SUBSTITUTE(INDEX(Calc!$K:$K,(ROW(B221)-1)*5+COLUMN(B221)+1),",",".")</f>
        <v/>
      </c>
      <c r="H222" s="167">
        <f>SUBSTITUTE(INDEX(Calc!$K:$K,(ROW(C221)-1)*5+COLUMN(C221)+1),",",".")</f>
        <v/>
      </c>
      <c r="I222" s="167">
        <f>SUBSTITUTE(INDEX(Calc!$K:$K,(ROW(D221)-1)*5+COLUMN(D221)+1),",",".")</f>
        <v/>
      </c>
      <c r="J222" s="167">
        <f>SUBSTITUTE(INDEX(Calc!$K:$K,(ROW(E221)-1)*5+COLUMN(E221)+1),",",".")</f>
        <v/>
      </c>
      <c r="K222" s="166" t="inlineStr">
        <is>
          <t>], 'type' =&gt; "</t>
        </is>
      </c>
      <c r="L222" s="167">
        <f>Закуп!AA222</f>
        <v/>
      </c>
      <c r="M222" s="166" t="inlineStr">
        <is>
          <t>", 'sale' =&gt; "</t>
        </is>
      </c>
      <c r="N222" s="166">
        <f>IF(Закуп!L222="",0,Закуп!L222)</f>
        <v/>
      </c>
      <c r="O222" s="166" t="inlineStr">
        <is>
          <t>" ],</t>
        </is>
      </c>
      <c r="P222" s="144">
        <f>Закуп!N222</f>
        <v/>
      </c>
      <c r="Q222" s="210">
        <f>CONCATENATE(A222,B222,",",C222,",",D222,E222,F222,",",G222,",",H222,",",I222,",",J222,K222,L222,M222,N222,O222,)</f>
        <v/>
      </c>
    </row>
    <row r="223">
      <c r="A223" s="166" t="inlineStr">
        <is>
          <t xml:space="preserve">        [ 'dims' =&gt; [</t>
        </is>
      </c>
      <c r="B223" s="166">
        <f>Закуп!R223</f>
        <v/>
      </c>
      <c r="C223" s="166">
        <f>Закуп!S223</f>
        <v/>
      </c>
      <c r="D223" s="166">
        <f>Закуп!T223</f>
        <v/>
      </c>
      <c r="E223" s="166" t="inlineStr">
        <is>
          <t>], 'prices' =&gt; [</t>
        </is>
      </c>
      <c r="F223" s="167">
        <f>SUBSTITUTE(INDEX(Calc!$K:$K,(ROW(A222)-1)*5+COLUMN(A222)+1),",",".")</f>
        <v/>
      </c>
      <c r="G223" s="167">
        <f>SUBSTITUTE(INDEX(Calc!$K:$K,(ROW(B222)-1)*5+COLUMN(B222)+1),",",".")</f>
        <v/>
      </c>
      <c r="H223" s="167">
        <f>SUBSTITUTE(INDEX(Calc!$K:$K,(ROW(C222)-1)*5+COLUMN(C222)+1),",",".")</f>
        <v/>
      </c>
      <c r="I223" s="167">
        <f>SUBSTITUTE(INDEX(Calc!$K:$K,(ROW(D222)-1)*5+COLUMN(D222)+1),",",".")</f>
        <v/>
      </c>
      <c r="J223" s="167">
        <f>SUBSTITUTE(INDEX(Calc!$K:$K,(ROW(E222)-1)*5+COLUMN(E222)+1),",",".")</f>
        <v/>
      </c>
      <c r="K223" s="166" t="inlineStr">
        <is>
          <t>], 'type' =&gt; "</t>
        </is>
      </c>
      <c r="L223" s="167">
        <f>Закуп!AA223</f>
        <v/>
      </c>
      <c r="M223" s="166" t="inlineStr">
        <is>
          <t>", 'sale' =&gt; "</t>
        </is>
      </c>
      <c r="N223" s="166">
        <f>IF(Закуп!L223="",0,Закуп!L223)</f>
        <v/>
      </c>
      <c r="O223" s="166" t="inlineStr">
        <is>
          <t>" ],</t>
        </is>
      </c>
      <c r="P223" s="144">
        <f>Закуп!N223</f>
        <v/>
      </c>
      <c r="Q223" s="210">
        <f>CONCATENATE(A223,B223,",",C223,",",D223,E223,F223,",",G223,",",H223,",",I223,",",J223,K223,L223,M223,N223,O223,)</f>
        <v/>
      </c>
    </row>
    <row r="224">
      <c r="A224" s="166" t="inlineStr">
        <is>
          <t xml:space="preserve">        [ 'dims' =&gt; [</t>
        </is>
      </c>
      <c r="B224" s="166">
        <f>Закуп!R224</f>
        <v/>
      </c>
      <c r="C224" s="166">
        <f>Закуп!S224</f>
        <v/>
      </c>
      <c r="D224" s="166">
        <f>Закуп!T224</f>
        <v/>
      </c>
      <c r="E224" s="166" t="inlineStr">
        <is>
          <t>], 'prices' =&gt; [</t>
        </is>
      </c>
      <c r="F224" s="167">
        <f>SUBSTITUTE(INDEX(Calc!$K:$K,(ROW(A223)-1)*5+COLUMN(A223)+1),",",".")</f>
        <v/>
      </c>
      <c r="G224" s="167">
        <f>SUBSTITUTE(INDEX(Calc!$K:$K,(ROW(B223)-1)*5+COLUMN(B223)+1),",",".")</f>
        <v/>
      </c>
      <c r="H224" s="167">
        <f>SUBSTITUTE(INDEX(Calc!$K:$K,(ROW(C223)-1)*5+COLUMN(C223)+1),",",".")</f>
        <v/>
      </c>
      <c r="I224" s="167">
        <f>SUBSTITUTE(INDEX(Calc!$K:$K,(ROW(D223)-1)*5+COLUMN(D223)+1),",",".")</f>
        <v/>
      </c>
      <c r="J224" s="167">
        <f>SUBSTITUTE(INDEX(Calc!$K:$K,(ROW(E223)-1)*5+COLUMN(E223)+1),",",".")</f>
        <v/>
      </c>
      <c r="K224" s="166" t="inlineStr">
        <is>
          <t>], 'type' =&gt; "</t>
        </is>
      </c>
      <c r="L224" s="167">
        <f>Закуп!AA224</f>
        <v/>
      </c>
      <c r="M224" s="166" t="inlineStr">
        <is>
          <t>", 'sale' =&gt; "</t>
        </is>
      </c>
      <c r="N224" s="166">
        <f>IF(Закуп!L224="",0,Закуп!L224)</f>
        <v/>
      </c>
      <c r="O224" s="166" t="inlineStr">
        <is>
          <t>" ],</t>
        </is>
      </c>
      <c r="P224" s="144">
        <f>Закуп!N224</f>
        <v/>
      </c>
      <c r="Q224" s="210">
        <f>CONCATENATE(A224,B224,",",C224,",",D224,E224,F224,",",G224,",",H224,",",I224,",",J224,K224,L224,M224,N224,O224,)</f>
        <v/>
      </c>
    </row>
    <row r="225">
      <c r="A225" s="166" t="inlineStr">
        <is>
          <t xml:space="preserve">        [ 'dims' =&gt; [</t>
        </is>
      </c>
      <c r="B225" s="166">
        <f>Закуп!R225</f>
        <v/>
      </c>
      <c r="C225" s="166">
        <f>Закуп!S225</f>
        <v/>
      </c>
      <c r="D225" s="166">
        <f>Закуп!T225</f>
        <v/>
      </c>
      <c r="E225" s="166" t="inlineStr">
        <is>
          <t>], 'prices' =&gt; [</t>
        </is>
      </c>
      <c r="F225" s="167">
        <f>SUBSTITUTE(INDEX(Calc!$K:$K,(ROW(A224)-1)*5+COLUMN(A224)+1),",",".")</f>
        <v/>
      </c>
      <c r="G225" s="167">
        <f>SUBSTITUTE(INDEX(Calc!$K:$K,(ROW(B224)-1)*5+COLUMN(B224)+1),",",".")</f>
        <v/>
      </c>
      <c r="H225" s="167">
        <f>SUBSTITUTE(INDEX(Calc!$K:$K,(ROW(C224)-1)*5+COLUMN(C224)+1),",",".")</f>
        <v/>
      </c>
      <c r="I225" s="167">
        <f>SUBSTITUTE(INDEX(Calc!$K:$K,(ROW(D224)-1)*5+COLUMN(D224)+1),",",".")</f>
        <v/>
      </c>
      <c r="J225" s="167">
        <f>SUBSTITUTE(INDEX(Calc!$K:$K,(ROW(E224)-1)*5+COLUMN(E224)+1),",",".")</f>
        <v/>
      </c>
      <c r="K225" s="166" t="inlineStr">
        <is>
          <t>], 'type' =&gt; "</t>
        </is>
      </c>
      <c r="L225" s="167">
        <f>Закуп!AA225</f>
        <v/>
      </c>
      <c r="M225" s="166" t="inlineStr">
        <is>
          <t>", 'sale' =&gt; "</t>
        </is>
      </c>
      <c r="N225" s="166">
        <f>IF(Закуп!L225="",0,Закуп!L225)</f>
        <v/>
      </c>
      <c r="O225" s="166" t="inlineStr">
        <is>
          <t>" ],</t>
        </is>
      </c>
      <c r="P225" s="144">
        <f>Закуп!N225</f>
        <v/>
      </c>
      <c r="Q225" s="210">
        <f>CONCATENATE(A225,B225,",",C225,",",D225,E225,F225,",",G225,",",H225,",",I225,",",J225,K225,L225,M225,N225,O225,)</f>
        <v/>
      </c>
    </row>
    <row r="226">
      <c r="A226" s="166" t="inlineStr">
        <is>
          <t xml:space="preserve">        [ 'dims' =&gt; [</t>
        </is>
      </c>
      <c r="B226" s="166">
        <f>Закуп!R226</f>
        <v/>
      </c>
      <c r="C226" s="166">
        <f>Закуп!S226</f>
        <v/>
      </c>
      <c r="D226" s="166">
        <f>Закуп!T226</f>
        <v/>
      </c>
      <c r="E226" s="166" t="inlineStr">
        <is>
          <t>], 'prices' =&gt; [</t>
        </is>
      </c>
      <c r="F226" s="167">
        <f>SUBSTITUTE(INDEX(Calc!$K:$K,(ROW(A225)-1)*5+COLUMN(A225)+1),",",".")</f>
        <v/>
      </c>
      <c r="G226" s="167">
        <f>SUBSTITUTE(INDEX(Calc!$K:$K,(ROW(B225)-1)*5+COLUMN(B225)+1),",",".")</f>
        <v/>
      </c>
      <c r="H226" s="167">
        <f>SUBSTITUTE(INDEX(Calc!$K:$K,(ROW(C225)-1)*5+COLUMN(C225)+1),",",".")</f>
        <v/>
      </c>
      <c r="I226" s="167">
        <f>SUBSTITUTE(INDEX(Calc!$K:$K,(ROW(D225)-1)*5+COLUMN(D225)+1),",",".")</f>
        <v/>
      </c>
      <c r="J226" s="167">
        <f>SUBSTITUTE(INDEX(Calc!$K:$K,(ROW(E225)-1)*5+COLUMN(E225)+1),",",".")</f>
        <v/>
      </c>
      <c r="K226" s="166" t="inlineStr">
        <is>
          <t>], 'type' =&gt; "</t>
        </is>
      </c>
      <c r="L226" s="167">
        <f>Закуп!AA226</f>
        <v/>
      </c>
      <c r="M226" s="166" t="inlineStr">
        <is>
          <t>", 'sale' =&gt; "</t>
        </is>
      </c>
      <c r="N226" s="166">
        <f>IF(Закуп!L226="",0,Закуп!L226)</f>
        <v/>
      </c>
      <c r="O226" s="166" t="inlineStr">
        <is>
          <t>" ],</t>
        </is>
      </c>
      <c r="P226" s="144">
        <f>Закуп!N226</f>
        <v/>
      </c>
      <c r="Q226" s="210">
        <f>CONCATENATE(A226,B226,",",C226,",",D226,E226,F226,",",G226,",",H226,",",I226,",",J226,K226,L226,M226,N226,O226,)</f>
        <v/>
      </c>
    </row>
    <row r="227">
      <c r="A227" s="166" t="inlineStr">
        <is>
          <t xml:space="preserve">        [ 'dims' =&gt; [</t>
        </is>
      </c>
      <c r="B227" s="166">
        <f>Закуп!R227</f>
        <v/>
      </c>
      <c r="C227" s="166">
        <f>Закуп!S227</f>
        <v/>
      </c>
      <c r="D227" s="166">
        <f>Закуп!T227</f>
        <v/>
      </c>
      <c r="E227" s="166" t="inlineStr">
        <is>
          <t>], 'prices' =&gt; [</t>
        </is>
      </c>
      <c r="F227" s="167">
        <f>SUBSTITUTE(INDEX(Calc!$K:$K,(ROW(A226)-1)*5+COLUMN(A226)+1),",",".")</f>
        <v/>
      </c>
      <c r="G227" s="167">
        <f>SUBSTITUTE(INDEX(Calc!$K:$K,(ROW(B226)-1)*5+COLUMN(B226)+1),",",".")</f>
        <v/>
      </c>
      <c r="H227" s="167">
        <f>SUBSTITUTE(INDEX(Calc!$K:$K,(ROW(C226)-1)*5+COLUMN(C226)+1),",",".")</f>
        <v/>
      </c>
      <c r="I227" s="167">
        <f>SUBSTITUTE(INDEX(Calc!$K:$K,(ROW(D226)-1)*5+COLUMN(D226)+1),",",".")</f>
        <v/>
      </c>
      <c r="J227" s="167">
        <f>SUBSTITUTE(INDEX(Calc!$K:$K,(ROW(E226)-1)*5+COLUMN(E226)+1),",",".")</f>
        <v/>
      </c>
      <c r="K227" s="166" t="inlineStr">
        <is>
          <t>], 'type' =&gt; "</t>
        </is>
      </c>
      <c r="L227" s="167">
        <f>Закуп!AA227</f>
        <v/>
      </c>
      <c r="M227" s="166" t="inlineStr">
        <is>
          <t>", 'sale' =&gt; "</t>
        </is>
      </c>
      <c r="N227" s="166">
        <f>IF(Закуп!L227="",0,Закуп!L227)</f>
        <v/>
      </c>
      <c r="O227" s="166" t="inlineStr">
        <is>
          <t>" ],</t>
        </is>
      </c>
      <c r="P227" s="144">
        <f>Закуп!N227</f>
        <v/>
      </c>
      <c r="Q227" s="210">
        <f>CONCATENATE(A227,B227,",",C227,",",D227,E227,F227,",",G227,",",H227,",",I227,",",J227,K227,L227,M227,N227,O227,)</f>
        <v/>
      </c>
    </row>
    <row r="228" hidden="1" s="55">
      <c r="A228" s="166" t="inlineStr">
        <is>
          <t xml:space="preserve">        [ 'dims' =&gt; [</t>
        </is>
      </c>
      <c r="B228" s="166">
        <f>Закуп!R228</f>
        <v/>
      </c>
      <c r="C228" s="166">
        <f>Закуп!S228</f>
        <v/>
      </c>
      <c r="D228" s="166">
        <f>Закуп!T228</f>
        <v/>
      </c>
      <c r="E228" s="166" t="inlineStr">
        <is>
          <t>], 'prices' =&gt; [</t>
        </is>
      </c>
      <c r="F228" s="167">
        <f>SUBSTITUTE(INDEX(Calc!$K:$K,(ROW(A227)-1)*5+COLUMN(A227)+1),",",".")</f>
        <v/>
      </c>
      <c r="G228" s="167">
        <f>SUBSTITUTE(INDEX(Calc!$K:$K,(ROW(B227)-1)*5+COLUMN(B227)+1),",",".")</f>
        <v/>
      </c>
      <c r="H228" s="167">
        <f>SUBSTITUTE(INDEX(Calc!$K:$K,(ROW(C227)-1)*5+COLUMN(C227)+1),",",".")</f>
        <v/>
      </c>
      <c r="I228" s="167">
        <f>SUBSTITUTE(INDEX(Calc!$K:$K,(ROW(D227)-1)*5+COLUMN(D227)+1),",",".")</f>
        <v/>
      </c>
      <c r="J228" s="167">
        <f>SUBSTITUTE(INDEX(Calc!$K:$K,(ROW(E227)-1)*5+COLUMN(E227)+1),",",".")</f>
        <v/>
      </c>
      <c r="K228" s="166" t="inlineStr">
        <is>
          <t>], 'type' =&gt; "</t>
        </is>
      </c>
      <c r="L228" s="167">
        <f>Закуп!AA228</f>
        <v/>
      </c>
      <c r="M228" s="166" t="inlineStr">
        <is>
          <t>", 'sale' =&gt; "</t>
        </is>
      </c>
      <c r="N228" s="166">
        <f>IF(Закуп!L228="",0,Закуп!L228)</f>
        <v/>
      </c>
      <c r="O228" s="166" t="inlineStr">
        <is>
          <t>" ],</t>
        </is>
      </c>
      <c r="P228" s="144">
        <f>Закуп!N228</f>
        <v/>
      </c>
      <c r="Q228" s="210">
        <f>CONCATENATE(A228,B228,",",C228,",",D228,E228,F228,",",G228,",",H228,",",I228,",",J228,K228,L228,M228,N228,O228,)</f>
        <v/>
      </c>
    </row>
    <row r="229" hidden="1" s="55">
      <c r="A229" s="166" t="inlineStr">
        <is>
          <t xml:space="preserve">        [ 'dims' =&gt; [</t>
        </is>
      </c>
      <c r="B229" s="166">
        <f>Закуп!R229</f>
        <v/>
      </c>
      <c r="C229" s="166">
        <f>Закуп!S229</f>
        <v/>
      </c>
      <c r="D229" s="166">
        <f>Закуп!T229</f>
        <v/>
      </c>
      <c r="E229" s="166" t="inlineStr">
        <is>
          <t>], 'prices' =&gt; [</t>
        </is>
      </c>
      <c r="F229" s="167">
        <f>SUBSTITUTE(INDEX(Calc!$K:$K,(ROW(A228)-1)*5+COLUMN(A228)+1),",",".")</f>
        <v/>
      </c>
      <c r="G229" s="167">
        <f>SUBSTITUTE(INDEX(Calc!$K:$K,(ROW(B228)-1)*5+COLUMN(B228)+1),",",".")</f>
        <v/>
      </c>
      <c r="H229" s="167">
        <f>SUBSTITUTE(INDEX(Calc!$K:$K,(ROW(C228)-1)*5+COLUMN(C228)+1),",",".")</f>
        <v/>
      </c>
      <c r="I229" s="167">
        <f>SUBSTITUTE(INDEX(Calc!$K:$K,(ROW(D228)-1)*5+COLUMN(D228)+1),",",".")</f>
        <v/>
      </c>
      <c r="J229" s="167">
        <f>SUBSTITUTE(INDEX(Calc!$K:$K,(ROW(E228)-1)*5+COLUMN(E228)+1),",",".")</f>
        <v/>
      </c>
      <c r="K229" s="166" t="inlineStr">
        <is>
          <t>], 'type' =&gt; "</t>
        </is>
      </c>
      <c r="L229" s="167">
        <f>Закуп!AA229</f>
        <v/>
      </c>
      <c r="M229" s="166" t="inlineStr">
        <is>
          <t>", 'sale' =&gt; "</t>
        </is>
      </c>
      <c r="N229" s="166">
        <f>IF(Закуп!L229="",0,Закуп!L229)</f>
        <v/>
      </c>
      <c r="O229" s="166" t="inlineStr">
        <is>
          <t>" ],</t>
        </is>
      </c>
      <c r="P229" s="144">
        <f>Закуп!N229</f>
        <v/>
      </c>
      <c r="Q229" s="210">
        <f>CONCATENATE(A229,B229,",",C229,",",D229,E229,F229,",",G229,",",H229,",",I229,",",J229,K229,L229,M229,N229,O229,)</f>
        <v/>
      </c>
    </row>
    <row r="230">
      <c r="A230" s="166" t="inlineStr">
        <is>
          <t xml:space="preserve">        [ 'dims' =&gt; [</t>
        </is>
      </c>
      <c r="B230" s="166">
        <f>Закуп!R230</f>
        <v/>
      </c>
      <c r="C230" s="166">
        <f>Закуп!S230</f>
        <v/>
      </c>
      <c r="D230" s="166">
        <f>Закуп!T230</f>
        <v/>
      </c>
      <c r="E230" s="166" t="inlineStr">
        <is>
          <t>], 'prices' =&gt; [</t>
        </is>
      </c>
      <c r="F230" s="167">
        <f>SUBSTITUTE(INDEX(Calc!$K:$K,(ROW(A229)-1)*5+COLUMN(A229)+1),",",".")</f>
        <v/>
      </c>
      <c r="G230" s="167">
        <f>SUBSTITUTE(INDEX(Calc!$K:$K,(ROW(B229)-1)*5+COLUMN(B229)+1),",",".")</f>
        <v/>
      </c>
      <c r="H230" s="167">
        <f>SUBSTITUTE(INDEX(Calc!$K:$K,(ROW(C229)-1)*5+COLUMN(C229)+1),",",".")</f>
        <v/>
      </c>
      <c r="I230" s="167">
        <f>SUBSTITUTE(INDEX(Calc!$K:$K,(ROW(D229)-1)*5+COLUMN(D229)+1),",",".")</f>
        <v/>
      </c>
      <c r="J230" s="167">
        <f>SUBSTITUTE(INDEX(Calc!$K:$K,(ROW(E229)-1)*5+COLUMN(E229)+1),",",".")</f>
        <v/>
      </c>
      <c r="K230" s="166" t="inlineStr">
        <is>
          <t>], 'type' =&gt; "</t>
        </is>
      </c>
      <c r="L230" s="167">
        <f>Закуп!AA230</f>
        <v/>
      </c>
      <c r="M230" s="166" t="inlineStr">
        <is>
          <t>", 'sale' =&gt; "</t>
        </is>
      </c>
      <c r="N230" s="166">
        <f>IF(Закуп!L230="",0,Закуп!L230)</f>
        <v/>
      </c>
      <c r="O230" s="166" t="inlineStr">
        <is>
          <t>" ],</t>
        </is>
      </c>
      <c r="P230" s="144">
        <f>Закуп!N230</f>
        <v/>
      </c>
      <c r="Q230" s="210">
        <f>CONCATENATE(A230,B230,",",C230,",",D230,E230,F230,",",G230,",",H230,",",I230,",",J230,K230,L230,M230,N230,O230,)</f>
        <v/>
      </c>
    </row>
    <row r="231">
      <c r="A231" s="166" t="inlineStr">
        <is>
          <t xml:space="preserve">        [ 'dims' =&gt; [</t>
        </is>
      </c>
      <c r="B231" s="166">
        <f>Закуп!R231</f>
        <v/>
      </c>
      <c r="C231" s="166">
        <f>Закуп!S231</f>
        <v/>
      </c>
      <c r="D231" s="166">
        <f>Закуп!T231</f>
        <v/>
      </c>
      <c r="E231" s="166" t="inlineStr">
        <is>
          <t>], 'prices' =&gt; [</t>
        </is>
      </c>
      <c r="F231" s="167">
        <f>SUBSTITUTE(INDEX(Calc!$K:$K,(ROW(A230)-1)*5+COLUMN(A230)+1),",",".")</f>
        <v/>
      </c>
      <c r="G231" s="167">
        <f>SUBSTITUTE(INDEX(Calc!$K:$K,(ROW(B230)-1)*5+COLUMN(B230)+1),",",".")</f>
        <v/>
      </c>
      <c r="H231" s="167">
        <f>SUBSTITUTE(INDEX(Calc!$K:$K,(ROW(C230)-1)*5+COLUMN(C230)+1),",",".")</f>
        <v/>
      </c>
      <c r="I231" s="167">
        <f>SUBSTITUTE(INDEX(Calc!$K:$K,(ROW(D230)-1)*5+COLUMN(D230)+1),",",".")</f>
        <v/>
      </c>
      <c r="J231" s="167">
        <f>SUBSTITUTE(INDEX(Calc!$K:$K,(ROW(E230)-1)*5+COLUMN(E230)+1),",",".")</f>
        <v/>
      </c>
      <c r="K231" s="166" t="inlineStr">
        <is>
          <t>], 'type' =&gt; "</t>
        </is>
      </c>
      <c r="L231" s="167">
        <f>Закуп!AA231</f>
        <v/>
      </c>
      <c r="M231" s="166" t="inlineStr">
        <is>
          <t>", 'sale' =&gt; "</t>
        </is>
      </c>
      <c r="N231" s="166">
        <f>IF(Закуп!L231="",0,Закуп!L231)</f>
        <v/>
      </c>
      <c r="O231" s="166" t="inlineStr">
        <is>
          <t>" ],</t>
        </is>
      </c>
      <c r="P231" s="144">
        <f>Закуп!N231</f>
        <v/>
      </c>
      <c r="Q231" s="210">
        <f>CONCATENATE(A231,B231,",",C231,",",D231,E231,F231,",",G231,",",H231,",",I231,",",J231,K231,L231,M231,N231,O231,)</f>
        <v/>
      </c>
    </row>
    <row r="232">
      <c r="A232" s="166" t="inlineStr">
        <is>
          <t xml:space="preserve">        [ 'dims' =&gt; [</t>
        </is>
      </c>
      <c r="B232" s="166">
        <f>Закуп!R232</f>
        <v/>
      </c>
      <c r="C232" s="166">
        <f>Закуп!S232</f>
        <v/>
      </c>
      <c r="D232" s="166">
        <f>Закуп!T232</f>
        <v/>
      </c>
      <c r="E232" s="166" t="inlineStr">
        <is>
          <t>], 'prices' =&gt; [</t>
        </is>
      </c>
      <c r="F232" s="167">
        <f>SUBSTITUTE(INDEX(Calc!$K:$K,(ROW(A231)-1)*5+COLUMN(A231)+1),",",".")</f>
        <v/>
      </c>
      <c r="G232" s="167">
        <f>SUBSTITUTE(INDEX(Calc!$K:$K,(ROW(B231)-1)*5+COLUMN(B231)+1),",",".")</f>
        <v/>
      </c>
      <c r="H232" s="167">
        <f>SUBSTITUTE(INDEX(Calc!$K:$K,(ROW(C231)-1)*5+COLUMN(C231)+1),",",".")</f>
        <v/>
      </c>
      <c r="I232" s="167">
        <f>SUBSTITUTE(INDEX(Calc!$K:$K,(ROW(D231)-1)*5+COLUMN(D231)+1),",",".")</f>
        <v/>
      </c>
      <c r="J232" s="167">
        <f>SUBSTITUTE(INDEX(Calc!$K:$K,(ROW(E231)-1)*5+COLUMN(E231)+1),",",".")</f>
        <v/>
      </c>
      <c r="K232" s="166" t="inlineStr">
        <is>
          <t>], 'type' =&gt; "</t>
        </is>
      </c>
      <c r="L232" s="167">
        <f>Закуп!AA232</f>
        <v/>
      </c>
      <c r="M232" s="166" t="inlineStr">
        <is>
          <t>", 'sale' =&gt; "</t>
        </is>
      </c>
      <c r="N232" s="166">
        <f>IF(Закуп!L232="",0,Закуп!L232)</f>
        <v/>
      </c>
      <c r="O232" s="166" t="inlineStr">
        <is>
          <t>" ],</t>
        </is>
      </c>
      <c r="P232" s="144">
        <f>Закуп!N232</f>
        <v/>
      </c>
      <c r="Q232" s="210">
        <f>CONCATENATE(A232,B232,",",C232,",",D232,E232,F232,",",G232,",",H232,",",I232,",",J232,K232,L232,M232,N232,O232,)</f>
        <v/>
      </c>
    </row>
    <row r="233">
      <c r="A233" s="166" t="inlineStr">
        <is>
          <t xml:space="preserve">        [ 'dims' =&gt; [</t>
        </is>
      </c>
      <c r="B233" s="166">
        <f>Закуп!R233</f>
        <v/>
      </c>
      <c r="C233" s="166">
        <f>Закуп!S233</f>
        <v/>
      </c>
      <c r="D233" s="166">
        <f>Закуп!T233</f>
        <v/>
      </c>
      <c r="E233" s="166" t="inlineStr">
        <is>
          <t>], 'prices' =&gt; [</t>
        </is>
      </c>
      <c r="F233" s="167">
        <f>SUBSTITUTE(INDEX(Calc!$K:$K,(ROW(A232)-1)*5+COLUMN(A232)+1),",",".")</f>
        <v/>
      </c>
      <c r="G233" s="167">
        <f>SUBSTITUTE(INDEX(Calc!$K:$K,(ROW(B232)-1)*5+COLUMN(B232)+1),",",".")</f>
        <v/>
      </c>
      <c r="H233" s="167">
        <f>SUBSTITUTE(INDEX(Calc!$K:$K,(ROW(C232)-1)*5+COLUMN(C232)+1),",",".")</f>
        <v/>
      </c>
      <c r="I233" s="167">
        <f>SUBSTITUTE(INDEX(Calc!$K:$K,(ROW(D232)-1)*5+COLUMN(D232)+1),",",".")</f>
        <v/>
      </c>
      <c r="J233" s="167">
        <f>SUBSTITUTE(INDEX(Calc!$K:$K,(ROW(E232)-1)*5+COLUMN(E232)+1),",",".")</f>
        <v/>
      </c>
      <c r="K233" s="166" t="inlineStr">
        <is>
          <t>], 'type' =&gt; "</t>
        </is>
      </c>
      <c r="L233" s="167">
        <f>Закуп!AA233</f>
        <v/>
      </c>
      <c r="M233" s="166" t="inlineStr">
        <is>
          <t>", 'sale' =&gt; "</t>
        </is>
      </c>
      <c r="N233" s="166">
        <f>IF(Закуп!L233="",0,Закуп!L233)</f>
        <v/>
      </c>
      <c r="O233" s="166" t="inlineStr">
        <is>
          <t>" ],</t>
        </is>
      </c>
      <c r="P233" s="144">
        <f>Закуп!N233</f>
        <v/>
      </c>
      <c r="Q233" s="210">
        <f>CONCATENATE(A233,B233,",",C233,",",D233,E233,F233,",",G233,",",H233,",",I233,",",J233,K233,L233,M233,N233,O233,)</f>
        <v/>
      </c>
    </row>
    <row r="234" hidden="1" s="55">
      <c r="A234" s="47" t="inlineStr">
        <is>
          <t xml:space="preserve">        [ 'dims' =&gt; [</t>
        </is>
      </c>
      <c r="B234" s="47">
        <f>Закуп!R234</f>
        <v/>
      </c>
      <c r="C234" s="47">
        <f>Закуп!S234</f>
        <v/>
      </c>
      <c r="D234" s="47">
        <f>Закуп!T234</f>
        <v/>
      </c>
      <c r="E234" s="47" t="inlineStr">
        <is>
          <t>], 'prices' =&gt; [</t>
        </is>
      </c>
      <c r="F234" s="101">
        <f>SUBSTITUTE(INDEX(Calc!$K:$K,(ROW(A233)-1)*5+COLUMN(A233)+1),",",".")</f>
        <v/>
      </c>
      <c r="G234" s="101">
        <f>SUBSTITUTE(INDEX(Calc!$K:$K,(ROW(B233)-1)*5+COLUMN(B233)+1),",",".")</f>
        <v/>
      </c>
      <c r="H234" s="101">
        <f>SUBSTITUTE(INDEX(Calc!$K:$K,(ROW(C233)-1)*5+COLUMN(C233)+1),",",".")</f>
        <v/>
      </c>
      <c r="I234" s="101">
        <f>SUBSTITUTE(INDEX(Calc!$K:$K,(ROW(D233)-1)*5+COLUMN(D233)+1),",",".")</f>
        <v/>
      </c>
      <c r="J234" s="101">
        <f>SUBSTITUTE(INDEX(Calc!$K:$K,(ROW(E233)-1)*5+COLUMN(E233)+1),",",".")</f>
        <v/>
      </c>
      <c r="K234" s="47" t="inlineStr">
        <is>
          <t>], 'type' =&gt; "</t>
        </is>
      </c>
      <c r="L234" s="101">
        <f>Закуп!AA234</f>
        <v/>
      </c>
      <c r="M234" s="47" t="inlineStr">
        <is>
          <t>", 'sale' =&gt; "</t>
        </is>
      </c>
      <c r="N234" s="47">
        <f>IF(Закуп!L234="",0,Закуп!L234)</f>
        <v/>
      </c>
      <c r="O234" s="47" t="inlineStr">
        <is>
          <t>" ],</t>
        </is>
      </c>
      <c r="P234" s="165">
        <f>Закуп!N234</f>
        <v/>
      </c>
      <c r="Q234" s="42">
        <f>CONCATENATE(A234,B234,",",C234,",",D234,E234,F234,",",G234,",",H234,",",I234,",",J234,K234,L234,M234,N234,O234,)</f>
        <v/>
      </c>
    </row>
    <row r="235">
      <c r="A235" s="166" t="inlineStr">
        <is>
          <t xml:space="preserve">        [ 'dims' =&gt; [</t>
        </is>
      </c>
      <c r="B235" s="166">
        <f>Закуп!R235</f>
        <v/>
      </c>
      <c r="C235" s="166">
        <f>Закуп!S235</f>
        <v/>
      </c>
      <c r="D235" s="166">
        <f>Закуп!T235</f>
        <v/>
      </c>
      <c r="E235" s="166" t="inlineStr">
        <is>
          <t>], 'prices' =&gt; [</t>
        </is>
      </c>
      <c r="F235" s="167">
        <f>SUBSTITUTE(INDEX(Calc!$K:$K,(ROW(A234)-1)*5+COLUMN(A234)+1),",",".")</f>
        <v/>
      </c>
      <c r="G235" s="167">
        <f>SUBSTITUTE(INDEX(Calc!$K:$K,(ROW(B234)-1)*5+COLUMN(B234)+1),",",".")</f>
        <v/>
      </c>
      <c r="H235" s="167">
        <f>SUBSTITUTE(INDEX(Calc!$K:$K,(ROW(C234)-1)*5+COLUMN(C234)+1),",",".")</f>
        <v/>
      </c>
      <c r="I235" s="167">
        <f>SUBSTITUTE(INDEX(Calc!$K:$K,(ROW(D234)-1)*5+COLUMN(D234)+1),",",".")</f>
        <v/>
      </c>
      <c r="J235" s="167">
        <f>SUBSTITUTE(INDEX(Calc!$K:$K,(ROW(E234)-1)*5+COLUMN(E234)+1),",",".")</f>
        <v/>
      </c>
      <c r="K235" s="166" t="inlineStr">
        <is>
          <t>], 'type' =&gt; "</t>
        </is>
      </c>
      <c r="L235" s="167">
        <f>Закуп!AA235</f>
        <v/>
      </c>
      <c r="M235" s="166" t="inlineStr">
        <is>
          <t>", 'sale' =&gt; "</t>
        </is>
      </c>
      <c r="N235" s="166">
        <f>IF(Закуп!L235="",0,Закуп!L235)</f>
        <v/>
      </c>
      <c r="O235" s="166" t="inlineStr">
        <is>
          <t>" ],</t>
        </is>
      </c>
      <c r="P235" s="144">
        <f>Закуп!N235</f>
        <v/>
      </c>
      <c r="Q235" s="210">
        <f>CONCATENATE(A235,B235,",",C235,",",D235,E235,F235,",",G235,",",H235,",",I235,",",J235,K235,L235,M235,N235,O235,)</f>
        <v/>
      </c>
    </row>
    <row r="236">
      <c r="A236" s="166" t="inlineStr">
        <is>
          <t xml:space="preserve">        [ 'dims' =&gt; [</t>
        </is>
      </c>
      <c r="B236" s="166">
        <f>Закуп!R236</f>
        <v/>
      </c>
      <c r="C236" s="166">
        <f>Закуп!S236</f>
        <v/>
      </c>
      <c r="D236" s="166">
        <f>Закуп!T236</f>
        <v/>
      </c>
      <c r="E236" s="166" t="inlineStr">
        <is>
          <t>], 'prices' =&gt; [</t>
        </is>
      </c>
      <c r="F236" s="167">
        <f>SUBSTITUTE(INDEX(Calc!$K:$K,(ROW(A235)-1)*5+COLUMN(A235)+1),",",".")</f>
        <v/>
      </c>
      <c r="G236" s="167">
        <f>SUBSTITUTE(INDEX(Calc!$K:$K,(ROW(B235)-1)*5+COLUMN(B235)+1),",",".")</f>
        <v/>
      </c>
      <c r="H236" s="167">
        <f>SUBSTITUTE(INDEX(Calc!$K:$K,(ROW(C235)-1)*5+COLUMN(C235)+1),",",".")</f>
        <v/>
      </c>
      <c r="I236" s="167">
        <f>SUBSTITUTE(INDEX(Calc!$K:$K,(ROW(D235)-1)*5+COLUMN(D235)+1),",",".")</f>
        <v/>
      </c>
      <c r="J236" s="167">
        <f>SUBSTITUTE(INDEX(Calc!$K:$K,(ROW(E235)-1)*5+COLUMN(E235)+1),",",".")</f>
        <v/>
      </c>
      <c r="K236" s="166" t="inlineStr">
        <is>
          <t>], 'type' =&gt; "</t>
        </is>
      </c>
      <c r="L236" s="167">
        <f>Закуп!AA236</f>
        <v/>
      </c>
      <c r="M236" s="166" t="inlineStr">
        <is>
          <t>", 'sale' =&gt; "</t>
        </is>
      </c>
      <c r="N236" s="166">
        <f>IF(Закуп!L236="",0,Закуп!L236)</f>
        <v/>
      </c>
      <c r="O236" s="166" t="inlineStr">
        <is>
          <t>" ],</t>
        </is>
      </c>
      <c r="P236" s="144">
        <f>Закуп!N236</f>
        <v/>
      </c>
      <c r="Q236" s="210">
        <f>CONCATENATE(A236,B236,",",C236,",",D236,E236,F236,",",G236,",",H236,",",I236,",",J236,K236,L236,M236,N236,O236,)</f>
        <v/>
      </c>
    </row>
    <row r="237">
      <c r="A237" s="166" t="inlineStr">
        <is>
          <t xml:space="preserve">        [ 'dims' =&gt; [</t>
        </is>
      </c>
      <c r="B237" s="166">
        <f>Закуп!R237</f>
        <v/>
      </c>
      <c r="C237" s="166">
        <f>Закуп!S237</f>
        <v/>
      </c>
      <c r="D237" s="166">
        <f>Закуп!T237</f>
        <v/>
      </c>
      <c r="E237" s="166" t="inlineStr">
        <is>
          <t>], 'prices' =&gt; [</t>
        </is>
      </c>
      <c r="F237" s="167">
        <f>SUBSTITUTE(INDEX(Calc!$K:$K,(ROW(A236)-1)*5+COLUMN(A236)+1),",",".")</f>
        <v/>
      </c>
      <c r="G237" s="167">
        <f>SUBSTITUTE(INDEX(Calc!$K:$K,(ROW(B236)-1)*5+COLUMN(B236)+1),",",".")</f>
        <v/>
      </c>
      <c r="H237" s="167">
        <f>SUBSTITUTE(INDEX(Calc!$K:$K,(ROW(C236)-1)*5+COLUMN(C236)+1),",",".")</f>
        <v/>
      </c>
      <c r="I237" s="167">
        <f>SUBSTITUTE(INDEX(Calc!$K:$K,(ROW(D236)-1)*5+COLUMN(D236)+1),",",".")</f>
        <v/>
      </c>
      <c r="J237" s="167">
        <f>SUBSTITUTE(INDEX(Calc!$K:$K,(ROW(E236)-1)*5+COLUMN(E236)+1),",",".")</f>
        <v/>
      </c>
      <c r="K237" s="166" t="inlineStr">
        <is>
          <t>], 'type' =&gt; "</t>
        </is>
      </c>
      <c r="L237" s="167">
        <f>Закуп!AA237</f>
        <v/>
      </c>
      <c r="M237" s="166" t="inlineStr">
        <is>
          <t>", 'sale' =&gt; "</t>
        </is>
      </c>
      <c r="N237" s="166">
        <f>IF(Закуп!L237="",0,Закуп!L237)</f>
        <v/>
      </c>
      <c r="O237" s="166" t="inlineStr">
        <is>
          <t>" ],</t>
        </is>
      </c>
      <c r="P237" s="144">
        <f>Закуп!N237</f>
        <v/>
      </c>
      <c r="Q237" s="210">
        <f>CONCATENATE(A237,B237,",",C237,",",D237,E237,F237,",",G237,",",H237,",",I237,",",J237,K237,L237,M237,N237,O237,)</f>
        <v/>
      </c>
    </row>
    <row r="238" hidden="1" s="55">
      <c r="A238" s="47" t="inlineStr">
        <is>
          <t xml:space="preserve">        [ 'dims' =&gt; [</t>
        </is>
      </c>
      <c r="B238" s="47">
        <f>Закуп!R238</f>
        <v/>
      </c>
      <c r="C238" s="47">
        <f>Закуп!S238</f>
        <v/>
      </c>
      <c r="D238" s="47">
        <f>Закуп!T238</f>
        <v/>
      </c>
      <c r="E238" s="47" t="inlineStr">
        <is>
          <t>], 'prices' =&gt; [</t>
        </is>
      </c>
      <c r="F238" s="101">
        <f>SUBSTITUTE(INDEX(Calc!$K:$K,(ROW(A237)-1)*5+COLUMN(A237)+1),",",".")</f>
        <v/>
      </c>
      <c r="G238" s="101">
        <f>SUBSTITUTE(INDEX(Calc!$K:$K,(ROW(B237)-1)*5+COLUMN(B237)+1),",",".")</f>
        <v/>
      </c>
      <c r="H238" s="101">
        <f>SUBSTITUTE(INDEX(Calc!$K:$K,(ROW(C237)-1)*5+COLUMN(C237)+1),",",".")</f>
        <v/>
      </c>
      <c r="I238" s="101">
        <f>SUBSTITUTE(INDEX(Calc!$K:$K,(ROW(D237)-1)*5+COLUMN(D237)+1),",",".")</f>
        <v/>
      </c>
      <c r="J238" s="101">
        <f>SUBSTITUTE(INDEX(Calc!$K:$K,(ROW(E237)-1)*5+COLUMN(E237)+1),",",".")</f>
        <v/>
      </c>
      <c r="K238" s="47" t="inlineStr">
        <is>
          <t>], 'type' =&gt; "</t>
        </is>
      </c>
      <c r="L238" s="101">
        <f>Закуп!AA238</f>
        <v/>
      </c>
      <c r="M238" s="47" t="inlineStr">
        <is>
          <t>", 'sale' =&gt; "</t>
        </is>
      </c>
      <c r="N238" s="47">
        <f>IF(Закуп!L238="",0,Закуп!L238)</f>
        <v/>
      </c>
      <c r="O238" s="47" t="inlineStr">
        <is>
          <t>" ],</t>
        </is>
      </c>
      <c r="P238" s="165">
        <f>Закуп!N238</f>
        <v/>
      </c>
      <c r="Q238" s="42">
        <f>CONCATENATE(A238,B238,",",C238,",",D238,E238,F238,",",G238,",",H238,",",I238,",",J238,K238,L238,M238,N238,O238,)</f>
        <v/>
      </c>
    </row>
    <row r="239">
      <c r="A239" s="166" t="inlineStr">
        <is>
          <t xml:space="preserve">        [ 'dims' =&gt; [</t>
        </is>
      </c>
      <c r="B239" s="166">
        <f>Закуп!R239</f>
        <v/>
      </c>
      <c r="C239" s="166">
        <f>Закуп!S239</f>
        <v/>
      </c>
      <c r="D239" s="166">
        <f>Закуп!T239</f>
        <v/>
      </c>
      <c r="E239" s="166" t="inlineStr">
        <is>
          <t>], 'prices' =&gt; [</t>
        </is>
      </c>
      <c r="F239" s="167">
        <f>SUBSTITUTE(INDEX(Calc!$K:$K,(ROW(A238)-1)*5+COLUMN(A238)+1),",",".")</f>
        <v/>
      </c>
      <c r="G239" s="167">
        <f>SUBSTITUTE(INDEX(Calc!$K:$K,(ROW(B238)-1)*5+COLUMN(B238)+1),",",".")</f>
        <v/>
      </c>
      <c r="H239" s="167">
        <f>SUBSTITUTE(INDEX(Calc!$K:$K,(ROW(C238)-1)*5+COLUMN(C238)+1),",",".")</f>
        <v/>
      </c>
      <c r="I239" s="167">
        <f>SUBSTITUTE(INDEX(Calc!$K:$K,(ROW(D238)-1)*5+COLUMN(D238)+1),",",".")</f>
        <v/>
      </c>
      <c r="J239" s="167">
        <f>SUBSTITUTE(INDEX(Calc!$K:$K,(ROW(E238)-1)*5+COLUMN(E238)+1),",",".")</f>
        <v/>
      </c>
      <c r="K239" s="166" t="inlineStr">
        <is>
          <t>], 'type' =&gt; "</t>
        </is>
      </c>
      <c r="L239" s="167">
        <f>Закуп!AA239</f>
        <v/>
      </c>
      <c r="M239" s="166" t="inlineStr">
        <is>
          <t>", 'sale' =&gt; "</t>
        </is>
      </c>
      <c r="N239" s="166">
        <f>IF(Закуп!L239="",0,Закуп!L239)</f>
        <v/>
      </c>
      <c r="O239" s="166" t="inlineStr">
        <is>
          <t>" ],</t>
        </is>
      </c>
      <c r="P239" s="144">
        <f>Закуп!N239</f>
        <v/>
      </c>
      <c r="Q239" s="210">
        <f>CONCATENATE(A239,B239,",",C239,",",D239,E239,F239,",",G239,",",H239,",",I239,",",J239,K239,L239,M239,N239,O239,)</f>
        <v/>
      </c>
    </row>
    <row r="240" hidden="1" s="55">
      <c r="A240" s="166" t="inlineStr">
        <is>
          <t xml:space="preserve">        [ 'dims' =&gt; [</t>
        </is>
      </c>
      <c r="B240" s="166">
        <f>Закуп!R240</f>
        <v/>
      </c>
      <c r="C240" s="166">
        <f>Закуп!S240</f>
        <v/>
      </c>
      <c r="D240" s="166">
        <f>Закуп!T240</f>
        <v/>
      </c>
      <c r="E240" s="166" t="inlineStr">
        <is>
          <t>], 'prices' =&gt; [</t>
        </is>
      </c>
      <c r="F240" s="167">
        <f>SUBSTITUTE(INDEX(Calc!$K:$K,(ROW(A239)-1)*5+COLUMN(A239)+1),",",".")</f>
        <v/>
      </c>
      <c r="G240" s="167">
        <f>SUBSTITUTE(INDEX(Calc!$K:$K,(ROW(B239)-1)*5+COLUMN(B239)+1),",",".")</f>
        <v/>
      </c>
      <c r="H240" s="167">
        <f>SUBSTITUTE(INDEX(Calc!$K:$K,(ROW(C239)-1)*5+COLUMN(C239)+1),",",".")</f>
        <v/>
      </c>
      <c r="I240" s="167">
        <f>SUBSTITUTE(INDEX(Calc!$K:$K,(ROW(D239)-1)*5+COLUMN(D239)+1),",",".")</f>
        <v/>
      </c>
      <c r="J240" s="167">
        <f>SUBSTITUTE(INDEX(Calc!$K:$K,(ROW(E239)-1)*5+COLUMN(E239)+1),",",".")</f>
        <v/>
      </c>
      <c r="K240" s="166" t="inlineStr">
        <is>
          <t>], 'type' =&gt; "</t>
        </is>
      </c>
      <c r="L240" s="167">
        <f>Закуп!AA240</f>
        <v/>
      </c>
      <c r="M240" s="166" t="inlineStr">
        <is>
          <t>", 'sale' =&gt; "</t>
        </is>
      </c>
      <c r="N240" s="166">
        <f>IF(Закуп!L240="",0,Закуп!L240)</f>
        <v/>
      </c>
      <c r="O240" s="166" t="inlineStr">
        <is>
          <t>" ],</t>
        </is>
      </c>
      <c r="P240" s="144">
        <f>Закуп!N240</f>
        <v/>
      </c>
      <c r="Q240">
        <f>CONCATENATE(A240,B240,",",C240,",",D240,E240,F240,",",G240,",",H240,",",I240,",",J240,K240,L240,M240,N240,O240,)</f>
        <v/>
      </c>
    </row>
    <row r="241">
      <c r="A241" s="166" t="inlineStr">
        <is>
          <t xml:space="preserve">        [ 'dims' =&gt; [</t>
        </is>
      </c>
      <c r="B241" s="166">
        <f>Закуп!R241</f>
        <v/>
      </c>
      <c r="C241" s="166">
        <f>Закуп!S241</f>
        <v/>
      </c>
      <c r="D241" s="166">
        <f>Закуп!T241</f>
        <v/>
      </c>
      <c r="E241" s="166" t="inlineStr">
        <is>
          <t>], 'prices' =&gt; [</t>
        </is>
      </c>
      <c r="F241" s="167">
        <f>SUBSTITUTE(INDEX(Calc!$K:$K,(ROW(A240)-1)*5+COLUMN(A240)+1),",",".")</f>
        <v/>
      </c>
      <c r="G241" s="167">
        <f>SUBSTITUTE(INDEX(Calc!$K:$K,(ROW(B240)-1)*5+COLUMN(B240)+1),",",".")</f>
        <v/>
      </c>
      <c r="H241" s="167">
        <f>SUBSTITUTE(INDEX(Calc!$K:$K,(ROW(C240)-1)*5+COLUMN(C240)+1),",",".")</f>
        <v/>
      </c>
      <c r="I241" s="167">
        <f>SUBSTITUTE(INDEX(Calc!$K:$K,(ROW(D240)-1)*5+COLUMN(D240)+1),",",".")</f>
        <v/>
      </c>
      <c r="J241" s="167">
        <f>SUBSTITUTE(INDEX(Calc!$K:$K,(ROW(E240)-1)*5+COLUMN(E240)+1),",",".")</f>
        <v/>
      </c>
      <c r="K241" s="166" t="inlineStr">
        <is>
          <t>], 'type' =&gt; "</t>
        </is>
      </c>
      <c r="L241" s="167">
        <f>Закуп!AA241</f>
        <v/>
      </c>
      <c r="M241" s="166" t="inlineStr">
        <is>
          <t>", 'sale' =&gt; "</t>
        </is>
      </c>
      <c r="N241" s="166">
        <f>IF(Закуп!L241="",0,Закуп!L241)</f>
        <v/>
      </c>
      <c r="O241" s="166" t="inlineStr">
        <is>
          <t>" ],</t>
        </is>
      </c>
      <c r="P241" s="144">
        <f>Закуп!N241</f>
        <v/>
      </c>
      <c r="Q241" s="210">
        <f>CONCATENATE(A241,B241,",",C241,",",D241,E241,F241,",",G241,",",H241,",",I241,",",J241,K241,L241,M241,N241,O241,)</f>
        <v/>
      </c>
    </row>
    <row r="242">
      <c r="A242" s="166" t="inlineStr">
        <is>
          <t xml:space="preserve">        [ 'dims' =&gt; [</t>
        </is>
      </c>
      <c r="B242" s="166">
        <f>Закуп!R242</f>
        <v/>
      </c>
      <c r="C242" s="166">
        <f>Закуп!S242</f>
        <v/>
      </c>
      <c r="D242" s="166">
        <f>Закуп!T242</f>
        <v/>
      </c>
      <c r="E242" s="166" t="inlineStr">
        <is>
          <t>], 'prices' =&gt; [</t>
        </is>
      </c>
      <c r="F242" s="167">
        <f>SUBSTITUTE(INDEX(Calc!$K:$K,(ROW(A241)-1)*5+COLUMN(A241)+1),",",".")</f>
        <v/>
      </c>
      <c r="G242" s="167">
        <f>SUBSTITUTE(INDEX(Calc!$K:$K,(ROW(B241)-1)*5+COLUMN(B241)+1),",",".")</f>
        <v/>
      </c>
      <c r="H242" s="167">
        <f>SUBSTITUTE(INDEX(Calc!$K:$K,(ROW(C241)-1)*5+COLUMN(C241)+1),",",".")</f>
        <v/>
      </c>
      <c r="I242" s="167">
        <f>SUBSTITUTE(INDEX(Calc!$K:$K,(ROW(D241)-1)*5+COLUMN(D241)+1),",",".")</f>
        <v/>
      </c>
      <c r="J242" s="167">
        <f>SUBSTITUTE(INDEX(Calc!$K:$K,(ROW(E241)-1)*5+COLUMN(E241)+1),",",".")</f>
        <v/>
      </c>
      <c r="K242" s="166" t="inlineStr">
        <is>
          <t>], 'type' =&gt; "</t>
        </is>
      </c>
      <c r="L242" s="167">
        <f>Закуп!AA242</f>
        <v/>
      </c>
      <c r="M242" s="166" t="inlineStr">
        <is>
          <t>", 'sale' =&gt; "</t>
        </is>
      </c>
      <c r="N242" s="166">
        <f>IF(Закуп!L242="",0,Закуп!L242)</f>
        <v/>
      </c>
      <c r="O242" s="166" t="inlineStr">
        <is>
          <t>" ],</t>
        </is>
      </c>
      <c r="P242" s="144">
        <f>Закуп!N242</f>
        <v/>
      </c>
      <c r="Q242" s="210">
        <f>CONCATENATE(A242,B242,",",C242,",",D242,E242,F242,",",G242,",",H242,",",I242,",",J242,K242,L242,M242,N242,O242,)</f>
        <v/>
      </c>
    </row>
    <row r="243">
      <c r="A243" s="166" t="inlineStr">
        <is>
          <t xml:space="preserve">        [ 'dims' =&gt; [</t>
        </is>
      </c>
      <c r="B243" s="166">
        <f>Закуп!R243</f>
        <v/>
      </c>
      <c r="C243" s="166">
        <f>Закуп!S243</f>
        <v/>
      </c>
      <c r="D243" s="166">
        <f>Закуп!T243</f>
        <v/>
      </c>
      <c r="E243" s="166" t="inlineStr">
        <is>
          <t>], 'prices' =&gt; [</t>
        </is>
      </c>
      <c r="F243" s="167">
        <f>SUBSTITUTE(INDEX(Calc!$K:$K,(ROW(A242)-1)*5+COLUMN(A242)+1),",",".")</f>
        <v/>
      </c>
      <c r="G243" s="167">
        <f>SUBSTITUTE(INDEX(Calc!$K:$K,(ROW(B242)-1)*5+COLUMN(B242)+1),",",".")</f>
        <v/>
      </c>
      <c r="H243" s="167">
        <f>SUBSTITUTE(INDEX(Calc!$K:$K,(ROW(C242)-1)*5+COLUMN(C242)+1),",",".")</f>
        <v/>
      </c>
      <c r="I243" s="167">
        <f>SUBSTITUTE(INDEX(Calc!$K:$K,(ROW(D242)-1)*5+COLUMN(D242)+1),",",".")</f>
        <v/>
      </c>
      <c r="J243" s="167">
        <f>SUBSTITUTE(INDEX(Calc!$K:$K,(ROW(E242)-1)*5+COLUMN(E242)+1),",",".")</f>
        <v/>
      </c>
      <c r="K243" s="166" t="inlineStr">
        <is>
          <t>], 'type' =&gt; "</t>
        </is>
      </c>
      <c r="L243" s="167">
        <f>Закуп!AA243</f>
        <v/>
      </c>
      <c r="M243" s="166" t="inlineStr">
        <is>
          <t>", 'sale' =&gt; "</t>
        </is>
      </c>
      <c r="N243" s="166">
        <f>IF(Закуп!L243="",0,Закуп!L243)</f>
        <v/>
      </c>
      <c r="O243" s="166" t="inlineStr">
        <is>
          <t>" ],</t>
        </is>
      </c>
      <c r="P243" s="144">
        <f>Закуп!N243</f>
        <v/>
      </c>
      <c r="Q243" s="210">
        <f>CONCATENATE(A243,B243,",",C243,",",D243,E243,F243,",",G243,",",H243,",",I243,",",J243,K243,L243,M243,N243,O243,)</f>
        <v/>
      </c>
    </row>
    <row r="244">
      <c r="A244" s="166" t="inlineStr">
        <is>
          <t xml:space="preserve">        [ 'dims' =&gt; [</t>
        </is>
      </c>
      <c r="B244" s="166">
        <f>Закуп!R244</f>
        <v/>
      </c>
      <c r="C244" s="166">
        <f>Закуп!S244</f>
        <v/>
      </c>
      <c r="D244" s="166">
        <f>Закуп!T244</f>
        <v/>
      </c>
      <c r="E244" s="166" t="inlineStr">
        <is>
          <t>], 'prices' =&gt; [</t>
        </is>
      </c>
      <c r="F244" s="167">
        <f>SUBSTITUTE(INDEX(Calc!$K:$K,(ROW(A243)-1)*5+COLUMN(A243)+1),",",".")</f>
        <v/>
      </c>
      <c r="G244" s="167">
        <f>SUBSTITUTE(INDEX(Calc!$K:$K,(ROW(B243)-1)*5+COLUMN(B243)+1),",",".")</f>
        <v/>
      </c>
      <c r="H244" s="167">
        <f>SUBSTITUTE(INDEX(Calc!$K:$K,(ROW(C243)-1)*5+COLUMN(C243)+1),",",".")</f>
        <v/>
      </c>
      <c r="I244" s="167">
        <f>SUBSTITUTE(INDEX(Calc!$K:$K,(ROW(D243)-1)*5+COLUMN(D243)+1),",",".")</f>
        <v/>
      </c>
      <c r="J244" s="167">
        <f>SUBSTITUTE(INDEX(Calc!$K:$K,(ROW(E243)-1)*5+COLUMN(E243)+1),",",".")</f>
        <v/>
      </c>
      <c r="K244" s="166" t="inlineStr">
        <is>
          <t>], 'type' =&gt; "</t>
        </is>
      </c>
      <c r="L244" s="167">
        <f>Закуп!AA244</f>
        <v/>
      </c>
      <c r="M244" s="166" t="inlineStr">
        <is>
          <t>", 'sale' =&gt; "</t>
        </is>
      </c>
      <c r="N244" s="166">
        <f>IF(Закуп!L244="",0,Закуп!L244)</f>
        <v/>
      </c>
      <c r="O244" s="166" t="inlineStr">
        <is>
          <t>" ],</t>
        </is>
      </c>
      <c r="P244" s="144">
        <f>Закуп!N244</f>
        <v/>
      </c>
      <c r="Q244" s="210">
        <f>CONCATENATE(A244,B244,",",C244,",",D244,E244,F244,",",G244,",",H244,",",I244,",",J244,K244,L244,M244,N244,O244,)</f>
        <v/>
      </c>
    </row>
    <row r="245">
      <c r="A245" s="166" t="inlineStr">
        <is>
          <t xml:space="preserve">        [ 'dims' =&gt; [</t>
        </is>
      </c>
      <c r="B245" s="166">
        <f>Закуп!R245</f>
        <v/>
      </c>
      <c r="C245" s="166">
        <f>Закуп!S245</f>
        <v/>
      </c>
      <c r="D245" s="166">
        <f>Закуп!T245</f>
        <v/>
      </c>
      <c r="E245" s="166" t="inlineStr">
        <is>
          <t>], 'prices' =&gt; [</t>
        </is>
      </c>
      <c r="F245" s="167">
        <f>SUBSTITUTE(INDEX(Calc!$K:$K,(ROW(A244)-1)*5+COLUMN(A244)+1),",",".")</f>
        <v/>
      </c>
      <c r="G245" s="167">
        <f>SUBSTITUTE(INDEX(Calc!$K:$K,(ROW(B244)-1)*5+COLUMN(B244)+1),",",".")</f>
        <v/>
      </c>
      <c r="H245" s="167">
        <f>SUBSTITUTE(INDEX(Calc!$K:$K,(ROW(C244)-1)*5+COLUMN(C244)+1),",",".")</f>
        <v/>
      </c>
      <c r="I245" s="167">
        <f>SUBSTITUTE(INDEX(Calc!$K:$K,(ROW(D244)-1)*5+COLUMN(D244)+1),",",".")</f>
        <v/>
      </c>
      <c r="J245" s="167">
        <f>SUBSTITUTE(INDEX(Calc!$K:$K,(ROW(E244)-1)*5+COLUMN(E244)+1),",",".")</f>
        <v/>
      </c>
      <c r="K245" s="166" t="inlineStr">
        <is>
          <t>], 'type' =&gt; "</t>
        </is>
      </c>
      <c r="L245" s="167">
        <f>Закуп!AA245</f>
        <v/>
      </c>
      <c r="M245" s="166" t="inlineStr">
        <is>
          <t>", 'sale' =&gt; "</t>
        </is>
      </c>
      <c r="N245" s="166">
        <f>IF(Закуп!L245="",0,Закуп!L245)</f>
        <v/>
      </c>
      <c r="O245" s="166" t="inlineStr">
        <is>
          <t>" ],</t>
        </is>
      </c>
      <c r="P245" s="144">
        <f>Закуп!N245</f>
        <v/>
      </c>
      <c r="Q245" s="210">
        <f>CONCATENATE(A245,B245,",",C245,",",D245,E245,F245,",",G245,",",H245,",",I245,",",J245,K245,L245,M245,N245,O245,)</f>
        <v/>
      </c>
    </row>
    <row r="246">
      <c r="A246" s="166" t="inlineStr">
        <is>
          <t xml:space="preserve">        [ 'dims' =&gt; [</t>
        </is>
      </c>
      <c r="B246" s="166">
        <f>Закуп!R246</f>
        <v/>
      </c>
      <c r="C246" s="166">
        <f>Закуп!S246</f>
        <v/>
      </c>
      <c r="D246" s="166">
        <f>Закуп!T246</f>
        <v/>
      </c>
      <c r="E246" s="166" t="inlineStr">
        <is>
          <t>], 'prices' =&gt; [</t>
        </is>
      </c>
      <c r="F246" s="167">
        <f>SUBSTITUTE(INDEX(Calc!$K:$K,(ROW(A245)-1)*5+COLUMN(A245)+1),",",".")</f>
        <v/>
      </c>
      <c r="G246" s="167">
        <f>SUBSTITUTE(INDEX(Calc!$K:$K,(ROW(B245)-1)*5+COLUMN(B245)+1),",",".")</f>
        <v/>
      </c>
      <c r="H246" s="167">
        <f>SUBSTITUTE(INDEX(Calc!$K:$K,(ROW(C245)-1)*5+COLUMN(C245)+1),",",".")</f>
        <v/>
      </c>
      <c r="I246" s="167">
        <f>SUBSTITUTE(INDEX(Calc!$K:$K,(ROW(D245)-1)*5+COLUMN(D245)+1),",",".")</f>
        <v/>
      </c>
      <c r="J246" s="167">
        <f>SUBSTITUTE(INDEX(Calc!$K:$K,(ROW(E245)-1)*5+COLUMN(E245)+1),",",".")</f>
        <v/>
      </c>
      <c r="K246" s="166" t="inlineStr">
        <is>
          <t>], 'type' =&gt; "</t>
        </is>
      </c>
      <c r="L246" s="167">
        <f>Закуп!AA246</f>
        <v/>
      </c>
      <c r="M246" s="166" t="inlineStr">
        <is>
          <t>", 'sale' =&gt; "</t>
        </is>
      </c>
      <c r="N246" s="166">
        <f>IF(Закуп!L246="",0,Закуп!L246)</f>
        <v/>
      </c>
      <c r="O246" s="166" t="inlineStr">
        <is>
          <t>" ],</t>
        </is>
      </c>
      <c r="P246" s="144">
        <f>Закуп!N246</f>
        <v/>
      </c>
      <c r="Q246" s="210">
        <f>CONCATENATE(A246,B246,",",C246,",",D246,E246,F246,",",G246,",",H246,",",I246,",",J246,K246,L246,M246,N246,O246,)</f>
        <v/>
      </c>
    </row>
    <row r="247">
      <c r="A247" s="166" t="inlineStr">
        <is>
          <t xml:space="preserve">        [ 'dims' =&gt; [</t>
        </is>
      </c>
      <c r="B247" s="166">
        <f>Закуп!R247</f>
        <v/>
      </c>
      <c r="C247" s="166">
        <f>Закуп!S247</f>
        <v/>
      </c>
      <c r="D247" s="166">
        <f>Закуп!T247</f>
        <v/>
      </c>
      <c r="E247" s="166" t="inlineStr">
        <is>
          <t>], 'prices' =&gt; [</t>
        </is>
      </c>
      <c r="F247" s="167">
        <f>SUBSTITUTE(INDEX(Calc!$K:$K,(ROW(A246)-1)*5+COLUMN(A246)+1),",",".")</f>
        <v/>
      </c>
      <c r="G247" s="167">
        <f>SUBSTITUTE(INDEX(Calc!$K:$K,(ROW(B246)-1)*5+COLUMN(B246)+1),",",".")</f>
        <v/>
      </c>
      <c r="H247" s="167">
        <f>SUBSTITUTE(INDEX(Calc!$K:$K,(ROW(C246)-1)*5+COLUMN(C246)+1),",",".")</f>
        <v/>
      </c>
      <c r="I247" s="167">
        <f>SUBSTITUTE(INDEX(Calc!$K:$K,(ROW(D246)-1)*5+COLUMN(D246)+1),",",".")</f>
        <v/>
      </c>
      <c r="J247" s="167">
        <f>SUBSTITUTE(INDEX(Calc!$K:$K,(ROW(E246)-1)*5+COLUMN(E246)+1),",",".")</f>
        <v/>
      </c>
      <c r="K247" s="166" t="inlineStr">
        <is>
          <t>], 'type' =&gt; "</t>
        </is>
      </c>
      <c r="L247" s="167">
        <f>Закуп!AA247</f>
        <v/>
      </c>
      <c r="M247" s="166" t="inlineStr">
        <is>
          <t>", 'sale' =&gt; "</t>
        </is>
      </c>
      <c r="N247" s="166">
        <f>IF(Закуп!L247="",0,Закуп!L247)</f>
        <v/>
      </c>
      <c r="O247" s="166" t="inlineStr">
        <is>
          <t>" ],</t>
        </is>
      </c>
      <c r="P247" s="144">
        <f>Закуп!N247</f>
        <v/>
      </c>
      <c r="Q247" s="210">
        <f>CONCATENATE(A247,B247,",",C247,",",D247,E247,F247,",",G247,",",H247,",",I247,",",J247,K247,L247,M247,N247,O247,)</f>
        <v/>
      </c>
    </row>
    <row r="248">
      <c r="A248" s="166" t="inlineStr">
        <is>
          <t xml:space="preserve">        [ 'dims' =&gt; [</t>
        </is>
      </c>
      <c r="B248" s="166">
        <f>Закуп!R248</f>
        <v/>
      </c>
      <c r="C248" s="166">
        <f>Закуп!S248</f>
        <v/>
      </c>
      <c r="D248" s="166">
        <f>Закуп!T248</f>
        <v/>
      </c>
      <c r="E248" s="166" t="inlineStr">
        <is>
          <t>], 'prices' =&gt; [</t>
        </is>
      </c>
      <c r="F248" s="167">
        <f>SUBSTITUTE(INDEX(Calc!$K:$K,(ROW(A247)-1)*5+COLUMN(A247)+1),",",".")</f>
        <v/>
      </c>
      <c r="G248" s="167">
        <f>SUBSTITUTE(INDEX(Calc!$K:$K,(ROW(B247)-1)*5+COLUMN(B247)+1),",",".")</f>
        <v/>
      </c>
      <c r="H248" s="167">
        <f>SUBSTITUTE(INDEX(Calc!$K:$K,(ROW(C247)-1)*5+COLUMN(C247)+1),",",".")</f>
        <v/>
      </c>
      <c r="I248" s="167">
        <f>SUBSTITUTE(INDEX(Calc!$K:$K,(ROW(D247)-1)*5+COLUMN(D247)+1),",",".")</f>
        <v/>
      </c>
      <c r="J248" s="167">
        <f>SUBSTITUTE(INDEX(Calc!$K:$K,(ROW(E247)-1)*5+COLUMN(E247)+1),",",".")</f>
        <v/>
      </c>
      <c r="K248" s="166" t="inlineStr">
        <is>
          <t>], 'type' =&gt; "</t>
        </is>
      </c>
      <c r="L248" s="167">
        <f>Закуп!AA248</f>
        <v/>
      </c>
      <c r="M248" s="166" t="inlineStr">
        <is>
          <t>", 'sale' =&gt; "</t>
        </is>
      </c>
      <c r="N248" s="166">
        <f>IF(Закуп!L248="",0,Закуп!L248)</f>
        <v/>
      </c>
      <c r="O248" s="166" t="inlineStr">
        <is>
          <t>" ],</t>
        </is>
      </c>
      <c r="P248" s="144">
        <f>Закуп!N248</f>
        <v/>
      </c>
      <c r="Q248" s="210">
        <f>CONCATENATE(A248,B248,",",C248,",",D248,E248,F248,",",G248,",",H248,",",I248,",",J248,K248,L248,M248,N248,O248,)</f>
        <v/>
      </c>
    </row>
    <row r="249">
      <c r="A249" s="166" t="inlineStr">
        <is>
          <t xml:space="preserve">        [ 'dims' =&gt; [</t>
        </is>
      </c>
      <c r="B249" s="166">
        <f>Закуп!R249</f>
        <v/>
      </c>
      <c r="C249" s="166">
        <f>Закуп!S249</f>
        <v/>
      </c>
      <c r="D249" s="166">
        <f>Закуп!T249</f>
        <v/>
      </c>
      <c r="E249" s="166" t="inlineStr">
        <is>
          <t>], 'prices' =&gt; [</t>
        </is>
      </c>
      <c r="F249" s="167">
        <f>SUBSTITUTE(INDEX(Calc!$K:$K,(ROW(A248)-1)*5+COLUMN(A248)+1),",",".")</f>
        <v/>
      </c>
      <c r="G249" s="167">
        <f>SUBSTITUTE(INDEX(Calc!$K:$K,(ROW(B248)-1)*5+COLUMN(B248)+1),",",".")</f>
        <v/>
      </c>
      <c r="H249" s="167">
        <f>SUBSTITUTE(INDEX(Calc!$K:$K,(ROW(C248)-1)*5+COLUMN(C248)+1),",",".")</f>
        <v/>
      </c>
      <c r="I249" s="167">
        <f>SUBSTITUTE(INDEX(Calc!$K:$K,(ROW(D248)-1)*5+COLUMN(D248)+1),",",".")</f>
        <v/>
      </c>
      <c r="J249" s="167">
        <f>SUBSTITUTE(INDEX(Calc!$K:$K,(ROW(E248)-1)*5+COLUMN(E248)+1),",",".")</f>
        <v/>
      </c>
      <c r="K249" s="166" t="inlineStr">
        <is>
          <t>], 'type' =&gt; "</t>
        </is>
      </c>
      <c r="L249" s="167">
        <f>Закуп!AA249</f>
        <v/>
      </c>
      <c r="M249" s="166" t="inlineStr">
        <is>
          <t>", 'sale' =&gt; "</t>
        </is>
      </c>
      <c r="N249" s="166">
        <f>IF(Закуп!L249="",0,Закуп!L249)</f>
        <v/>
      </c>
      <c r="O249" s="166" t="inlineStr">
        <is>
          <t>" ],</t>
        </is>
      </c>
      <c r="P249" s="144">
        <f>Закуп!N249</f>
        <v/>
      </c>
      <c r="Q249" s="210">
        <f>CONCATENATE(A249,B249,",",C249,",",D249,E249,F249,",",G249,",",H249,",",I249,",",J249,K249,L249,M249,N249,O249,)</f>
        <v/>
      </c>
    </row>
    <row r="250" customFormat="1" s="168">
      <c r="A250" s="166" t="inlineStr">
        <is>
          <t xml:space="preserve">        [ 'dims' =&gt; [</t>
        </is>
      </c>
      <c r="B250" s="166">
        <f>Закуп!R250</f>
        <v/>
      </c>
      <c r="C250" s="166">
        <f>Закуп!S250</f>
        <v/>
      </c>
      <c r="D250" s="166">
        <f>Закуп!T250</f>
        <v/>
      </c>
      <c r="E250" s="166" t="inlineStr">
        <is>
          <t>], 'prices' =&gt; [</t>
        </is>
      </c>
      <c r="F250" s="167">
        <f>SUBSTITUTE(INDEX(Calc!$K:$K,(ROW(A249)-1)*5+COLUMN(A249)+1),",",".")</f>
        <v/>
      </c>
      <c r="G250" s="167">
        <f>SUBSTITUTE(INDEX(Calc!$K:$K,(ROW(B249)-1)*5+COLUMN(B249)+1),",",".")</f>
        <v/>
      </c>
      <c r="H250" s="167">
        <f>SUBSTITUTE(INDEX(Calc!$K:$K,(ROW(C249)-1)*5+COLUMN(C249)+1),",",".")</f>
        <v/>
      </c>
      <c r="I250" s="167">
        <f>SUBSTITUTE(INDEX(Calc!$K:$K,(ROW(D249)-1)*5+COLUMN(D249)+1),",",".")</f>
        <v/>
      </c>
      <c r="J250" s="167">
        <f>SUBSTITUTE(INDEX(Calc!$K:$K,(ROW(E249)-1)*5+COLUMN(E249)+1),",",".")</f>
        <v/>
      </c>
      <c r="K250" s="166" t="inlineStr">
        <is>
          <t>], 'type' =&gt; "</t>
        </is>
      </c>
      <c r="L250" s="167">
        <f>Закуп!AA250</f>
        <v/>
      </c>
      <c r="M250" s="166" t="inlineStr">
        <is>
          <t>", 'sale' =&gt; "</t>
        </is>
      </c>
      <c r="N250" s="166">
        <f>IF(Закуп!L250="",0,Закуп!L250)</f>
        <v/>
      </c>
      <c r="O250" s="166" t="inlineStr">
        <is>
          <t>" ],</t>
        </is>
      </c>
      <c r="P250" s="144">
        <f>Закуп!N250</f>
        <v/>
      </c>
      <c r="Q250" s="210">
        <f>CONCATENATE(A250,B250,",",C250,",",D250,E250,F250,",",G250,",",H250,",",I250,",",J250,K250,L250,M250,N250,O250,)</f>
        <v/>
      </c>
    </row>
    <row r="251">
      <c r="A251" s="166" t="inlineStr">
        <is>
          <t xml:space="preserve">        [ 'dims' =&gt; [</t>
        </is>
      </c>
      <c r="B251" s="166">
        <f>Закуп!R251</f>
        <v/>
      </c>
      <c r="C251" s="166">
        <f>Закуп!S251</f>
        <v/>
      </c>
      <c r="D251" s="166">
        <f>Закуп!T251</f>
        <v/>
      </c>
      <c r="E251" s="166" t="inlineStr">
        <is>
          <t>], 'prices' =&gt; [</t>
        </is>
      </c>
      <c r="F251" s="167">
        <f>SUBSTITUTE(INDEX(Calc!$K:$K,(ROW(A250)-1)*5+COLUMN(A250)+1),",",".")</f>
        <v/>
      </c>
      <c r="G251" s="167">
        <f>SUBSTITUTE(INDEX(Calc!$K:$K,(ROW(B250)-1)*5+COLUMN(B250)+1),",",".")</f>
        <v/>
      </c>
      <c r="H251" s="167">
        <f>SUBSTITUTE(INDEX(Calc!$K:$K,(ROW(C250)-1)*5+COLUMN(C250)+1),",",".")</f>
        <v/>
      </c>
      <c r="I251" s="167">
        <f>SUBSTITUTE(INDEX(Calc!$K:$K,(ROW(D250)-1)*5+COLUMN(D250)+1),",",".")</f>
        <v/>
      </c>
      <c r="J251" s="167">
        <f>SUBSTITUTE(INDEX(Calc!$K:$K,(ROW(E250)-1)*5+COLUMN(E250)+1),",",".")</f>
        <v/>
      </c>
      <c r="K251" s="166" t="inlineStr">
        <is>
          <t>], 'type' =&gt; "</t>
        </is>
      </c>
      <c r="L251" s="167">
        <f>Закуп!AA251</f>
        <v/>
      </c>
      <c r="M251" s="166" t="inlineStr">
        <is>
          <t>", 'sale' =&gt; "</t>
        </is>
      </c>
      <c r="N251" s="166">
        <f>IF(Закуп!L251="",0,Закуп!L251)</f>
        <v/>
      </c>
      <c r="O251" s="166" t="inlineStr">
        <is>
          <t>" ],</t>
        </is>
      </c>
      <c r="P251" s="144">
        <f>Закуп!N251</f>
        <v/>
      </c>
      <c r="Q251" s="210">
        <f>CONCATENATE(A251,B251,",",C251,",",D251,E251,F251,",",G251,",",H251,",",I251,",",J251,K251,L251,M251,N251,O251,)</f>
        <v/>
      </c>
    </row>
    <row r="252">
      <c r="A252" s="166" t="inlineStr">
        <is>
          <t xml:space="preserve">        [ 'dims' =&gt; [</t>
        </is>
      </c>
      <c r="B252" s="166">
        <f>Закуп!R252</f>
        <v/>
      </c>
      <c r="C252" s="166">
        <f>Закуп!S252</f>
        <v/>
      </c>
      <c r="D252" s="166">
        <f>Закуп!T252</f>
        <v/>
      </c>
      <c r="E252" s="166" t="inlineStr">
        <is>
          <t>], 'prices' =&gt; [</t>
        </is>
      </c>
      <c r="F252" s="167">
        <f>SUBSTITUTE(INDEX(Calc!$K:$K,(ROW(A251)-1)*5+COLUMN(A251)+1),",",".")</f>
        <v/>
      </c>
      <c r="G252" s="167">
        <f>SUBSTITUTE(INDEX(Calc!$K:$K,(ROW(B251)-1)*5+COLUMN(B251)+1),",",".")</f>
        <v/>
      </c>
      <c r="H252" s="167">
        <f>SUBSTITUTE(INDEX(Calc!$K:$K,(ROW(C251)-1)*5+COLUMN(C251)+1),",",".")</f>
        <v/>
      </c>
      <c r="I252" s="167">
        <f>SUBSTITUTE(INDEX(Calc!$K:$K,(ROW(D251)-1)*5+COLUMN(D251)+1),",",".")</f>
        <v/>
      </c>
      <c r="J252" s="167">
        <f>SUBSTITUTE(INDEX(Calc!$K:$K,(ROW(E251)-1)*5+COLUMN(E251)+1),",",".")</f>
        <v/>
      </c>
      <c r="K252" s="166" t="inlineStr">
        <is>
          <t>], 'type' =&gt; "</t>
        </is>
      </c>
      <c r="L252" s="167">
        <f>Закуп!AA252</f>
        <v/>
      </c>
      <c r="M252" s="166" t="inlineStr">
        <is>
          <t>", 'sale' =&gt; "</t>
        </is>
      </c>
      <c r="N252" s="166">
        <f>IF(Закуп!L252="",0,Закуп!L252)</f>
        <v/>
      </c>
      <c r="O252" s="166" t="inlineStr">
        <is>
          <t>" ],</t>
        </is>
      </c>
      <c r="P252" s="144">
        <f>Закуп!N252</f>
        <v/>
      </c>
      <c r="Q252" s="210">
        <f>CONCATENATE(A252,B252,",",C252,",",D252,E252,F252,",",G252,",",H252,",",I252,",",J252,K252,L252,M252,N252,O252,)</f>
        <v/>
      </c>
    </row>
    <row r="253">
      <c r="A253" s="166" t="inlineStr">
        <is>
          <t xml:space="preserve">        [ 'dims' =&gt; [</t>
        </is>
      </c>
      <c r="B253" s="166">
        <f>Закуп!R253</f>
        <v/>
      </c>
      <c r="C253" s="166">
        <f>Закуп!S253</f>
        <v/>
      </c>
      <c r="D253" s="166">
        <f>Закуп!T253</f>
        <v/>
      </c>
      <c r="E253" s="166" t="inlineStr">
        <is>
          <t>], 'prices' =&gt; [</t>
        </is>
      </c>
      <c r="F253" s="167">
        <f>SUBSTITUTE(INDEX(Calc!$K:$K,(ROW(A252)-1)*5+COLUMN(A252)+1),",",".")</f>
        <v/>
      </c>
      <c r="G253" s="167">
        <f>SUBSTITUTE(INDEX(Calc!$K:$K,(ROW(B252)-1)*5+COLUMN(B252)+1),",",".")</f>
        <v/>
      </c>
      <c r="H253" s="167">
        <f>SUBSTITUTE(INDEX(Calc!$K:$K,(ROW(C252)-1)*5+COLUMN(C252)+1),",",".")</f>
        <v/>
      </c>
      <c r="I253" s="167">
        <f>SUBSTITUTE(INDEX(Calc!$K:$K,(ROW(D252)-1)*5+COLUMN(D252)+1),",",".")</f>
        <v/>
      </c>
      <c r="J253" s="167">
        <f>SUBSTITUTE(INDEX(Calc!$K:$K,(ROW(E252)-1)*5+COLUMN(E252)+1),",",".")</f>
        <v/>
      </c>
      <c r="K253" s="166" t="inlineStr">
        <is>
          <t>], 'type' =&gt; "</t>
        </is>
      </c>
      <c r="L253" s="167">
        <f>Закуп!AA253</f>
        <v/>
      </c>
      <c r="M253" s="166" t="inlineStr">
        <is>
          <t>", 'sale' =&gt; "</t>
        </is>
      </c>
      <c r="N253" s="166">
        <f>IF(Закуп!L253="",0,Закуп!L253)</f>
        <v/>
      </c>
      <c r="O253" s="166" t="inlineStr">
        <is>
          <t>" ],</t>
        </is>
      </c>
      <c r="P253" s="144">
        <f>Закуп!N253</f>
        <v/>
      </c>
      <c r="Q253" s="210">
        <f>CONCATENATE(A253,B253,",",C253,",",D253,E253,F253,",",G253,",",H253,",",I253,",",J253,K253,L253,M253,N253,O253,)</f>
        <v/>
      </c>
    </row>
    <row r="254">
      <c r="A254" s="166" t="inlineStr">
        <is>
          <t xml:space="preserve">        [ 'dims' =&gt; [</t>
        </is>
      </c>
      <c r="B254" s="166">
        <f>Закуп!R254</f>
        <v/>
      </c>
      <c r="C254" s="166">
        <f>Закуп!S254</f>
        <v/>
      </c>
      <c r="D254" s="166">
        <f>Закуп!T254</f>
        <v/>
      </c>
      <c r="E254" s="166" t="inlineStr">
        <is>
          <t>], 'prices' =&gt; [</t>
        </is>
      </c>
      <c r="F254" s="167">
        <f>SUBSTITUTE(INDEX(Calc!$K:$K,(ROW(A253)-1)*5+COLUMN(A253)+1),",",".")</f>
        <v/>
      </c>
      <c r="G254" s="167">
        <f>SUBSTITUTE(INDEX(Calc!$K:$K,(ROW(B253)-1)*5+COLUMN(B253)+1),",",".")</f>
        <v/>
      </c>
      <c r="H254" s="167">
        <f>SUBSTITUTE(INDEX(Calc!$K:$K,(ROW(C253)-1)*5+COLUMN(C253)+1),",",".")</f>
        <v/>
      </c>
      <c r="I254" s="167">
        <f>SUBSTITUTE(INDEX(Calc!$K:$K,(ROW(D253)-1)*5+COLUMN(D253)+1),",",".")</f>
        <v/>
      </c>
      <c r="J254" s="167">
        <f>SUBSTITUTE(INDEX(Calc!$K:$K,(ROW(E253)-1)*5+COLUMN(E253)+1),",",".")</f>
        <v/>
      </c>
      <c r="K254" s="166" t="inlineStr">
        <is>
          <t>], 'type' =&gt; "</t>
        </is>
      </c>
      <c r="L254" s="167">
        <f>Закуп!AA254</f>
        <v/>
      </c>
      <c r="M254" s="166" t="inlineStr">
        <is>
          <t>", 'sale' =&gt; "</t>
        </is>
      </c>
      <c r="N254" s="166">
        <f>IF(Закуп!L254="",0,Закуп!L254)</f>
        <v/>
      </c>
      <c r="O254" s="166" t="inlineStr">
        <is>
          <t>" ],</t>
        </is>
      </c>
      <c r="P254" s="144">
        <f>Закуп!N254</f>
        <v/>
      </c>
      <c r="Q254" s="210">
        <f>CONCATENATE(A254,B254,",",C254,",",D254,E254,F254,",",G254,",",H254,",",I254,",",J254,K254,L254,M254,N254,O254,)</f>
        <v/>
      </c>
    </row>
    <row r="255">
      <c r="A255" s="166" t="inlineStr">
        <is>
          <t xml:space="preserve">        [ 'dims' =&gt; [</t>
        </is>
      </c>
      <c r="B255" s="166">
        <f>Закуп!R255</f>
        <v/>
      </c>
      <c r="C255" s="166">
        <f>Закуп!S255</f>
        <v/>
      </c>
      <c r="D255" s="166">
        <f>Закуп!T255</f>
        <v/>
      </c>
      <c r="E255" s="166" t="inlineStr">
        <is>
          <t>], 'prices' =&gt; [</t>
        </is>
      </c>
      <c r="F255" s="167">
        <f>SUBSTITUTE(INDEX(Calc!$K:$K,(ROW(A254)-1)*5+COLUMN(A254)+1),",",".")</f>
        <v/>
      </c>
      <c r="G255" s="167">
        <f>SUBSTITUTE(INDEX(Calc!$K:$K,(ROW(B254)-1)*5+COLUMN(B254)+1),",",".")</f>
        <v/>
      </c>
      <c r="H255" s="167">
        <f>SUBSTITUTE(INDEX(Calc!$K:$K,(ROW(C254)-1)*5+COLUMN(C254)+1),",",".")</f>
        <v/>
      </c>
      <c r="I255" s="167">
        <f>SUBSTITUTE(INDEX(Calc!$K:$K,(ROW(D254)-1)*5+COLUMN(D254)+1),",",".")</f>
        <v/>
      </c>
      <c r="J255" s="167">
        <f>SUBSTITUTE(INDEX(Calc!$K:$K,(ROW(E254)-1)*5+COLUMN(E254)+1),",",".")</f>
        <v/>
      </c>
      <c r="K255" s="166" t="inlineStr">
        <is>
          <t>], 'type' =&gt; "</t>
        </is>
      </c>
      <c r="L255" s="167">
        <f>Закуп!AA255</f>
        <v/>
      </c>
      <c r="M255" s="166" t="inlineStr">
        <is>
          <t>", 'sale' =&gt; "</t>
        </is>
      </c>
      <c r="N255" s="166">
        <f>IF(Закуп!L255="",0,Закуп!L255)</f>
        <v/>
      </c>
      <c r="O255" s="166" t="inlineStr">
        <is>
          <t>" ],</t>
        </is>
      </c>
      <c r="P255" s="144">
        <f>Закуп!N255</f>
        <v/>
      </c>
      <c r="Q255" s="210">
        <f>CONCATENATE(A255,B255,",",C255,",",D255,E255,F255,",",G255,",",H255,",",I255,",",J255,K255,L255,M255,N255,O255,)</f>
        <v/>
      </c>
    </row>
    <row r="256" hidden="1" s="55">
      <c r="A256" s="47" t="inlineStr">
        <is>
          <t xml:space="preserve">        [ 'dims' =&gt; [</t>
        </is>
      </c>
      <c r="B256" s="47">
        <f>Закуп!R256</f>
        <v/>
      </c>
      <c r="C256" s="47">
        <f>Закуп!S256</f>
        <v/>
      </c>
      <c r="D256" s="47">
        <f>Закуп!T256</f>
        <v/>
      </c>
      <c r="E256" s="47" t="inlineStr">
        <is>
          <t>], 'prices' =&gt; [</t>
        </is>
      </c>
      <c r="F256" s="101">
        <f>SUBSTITUTE(INDEX(Calc!$K:$K,(ROW(A255)-1)*5+COLUMN(A255)+1),",",".")</f>
        <v/>
      </c>
      <c r="G256" s="101">
        <f>SUBSTITUTE(INDEX(Calc!$K:$K,(ROW(B255)-1)*5+COLUMN(B255)+1),",",".")</f>
        <v/>
      </c>
      <c r="H256" s="101">
        <f>SUBSTITUTE(INDEX(Calc!$K:$K,(ROW(C255)-1)*5+COLUMN(C255)+1),",",".")</f>
        <v/>
      </c>
      <c r="I256" s="101">
        <f>SUBSTITUTE(INDEX(Calc!$K:$K,(ROW(D255)-1)*5+COLUMN(D255)+1),",",".")</f>
        <v/>
      </c>
      <c r="J256" s="101">
        <f>SUBSTITUTE(INDEX(Calc!$K:$K,(ROW(E255)-1)*5+COLUMN(E255)+1),",",".")</f>
        <v/>
      </c>
      <c r="K256" s="47" t="inlineStr">
        <is>
          <t>], 'type' =&gt; "</t>
        </is>
      </c>
      <c r="L256" s="101">
        <f>Закуп!AA256</f>
        <v/>
      </c>
      <c r="M256" s="47" t="inlineStr">
        <is>
          <t>", 'sale' =&gt; "</t>
        </is>
      </c>
      <c r="N256" s="47">
        <f>IF(Закуп!L256="",0,Закуп!L256)</f>
        <v/>
      </c>
      <c r="O256" s="47" t="inlineStr">
        <is>
          <t>" ],</t>
        </is>
      </c>
      <c r="P256" s="165">
        <f>Закуп!N256</f>
        <v/>
      </c>
      <c r="Q256" s="42">
        <f>CONCATENATE(A256,B256,",",C256,",",D256,E256,F256,",",G256,",",H256,",",I256,",",J256,K256,L256,M256,N256,O256,)</f>
        <v/>
      </c>
    </row>
    <row r="257" hidden="1" s="55">
      <c r="A257" s="47" t="inlineStr">
        <is>
          <t xml:space="preserve">        [ 'dims' =&gt; [</t>
        </is>
      </c>
      <c r="B257" s="47">
        <f>Закуп!R257</f>
        <v/>
      </c>
      <c r="C257" s="47">
        <f>Закуп!S257</f>
        <v/>
      </c>
      <c r="D257" s="47">
        <f>Закуп!T257</f>
        <v/>
      </c>
      <c r="E257" s="47" t="inlineStr">
        <is>
          <t>], 'prices' =&gt; [</t>
        </is>
      </c>
      <c r="F257" s="101">
        <f>SUBSTITUTE(INDEX(Calc!$K:$K,(ROW(A256)-1)*5+COLUMN(A256)+1),",",".")</f>
        <v/>
      </c>
      <c r="G257" s="101">
        <f>SUBSTITUTE(INDEX(Calc!$K:$K,(ROW(B256)-1)*5+COLUMN(B256)+1),",",".")</f>
        <v/>
      </c>
      <c r="H257" s="101">
        <f>SUBSTITUTE(INDEX(Calc!$K:$K,(ROW(C256)-1)*5+COLUMN(C256)+1),",",".")</f>
        <v/>
      </c>
      <c r="I257" s="101">
        <f>SUBSTITUTE(INDEX(Calc!$K:$K,(ROW(D256)-1)*5+COLUMN(D256)+1),",",".")</f>
        <v/>
      </c>
      <c r="J257" s="101">
        <f>SUBSTITUTE(INDEX(Calc!$K:$K,(ROW(E256)-1)*5+COLUMN(E256)+1),",",".")</f>
        <v/>
      </c>
      <c r="K257" s="47" t="inlineStr">
        <is>
          <t>], 'type' =&gt; "</t>
        </is>
      </c>
      <c r="L257" s="101">
        <f>Закуп!AA257</f>
        <v/>
      </c>
      <c r="M257" s="47" t="inlineStr">
        <is>
          <t>", 'sale' =&gt; "</t>
        </is>
      </c>
      <c r="N257" s="47">
        <f>IF(Закуп!L257="",0,Закуп!L257)</f>
        <v/>
      </c>
      <c r="O257" s="47" t="inlineStr">
        <is>
          <t>" ],</t>
        </is>
      </c>
      <c r="P257" s="165">
        <f>Закуп!N257</f>
        <v/>
      </c>
      <c r="Q257" s="42">
        <f>CONCATENATE(A257,B257,",",C257,",",D257,E257,F257,",",G257,",",H257,",",I257,",",J257,K257,L257,M257,N257,O257,)</f>
        <v/>
      </c>
    </row>
    <row r="258">
      <c r="A258" s="166" t="inlineStr">
        <is>
          <t xml:space="preserve">        [ 'dims' =&gt; [</t>
        </is>
      </c>
      <c r="B258" s="166">
        <f>Закуп!R258</f>
        <v/>
      </c>
      <c r="C258" s="166">
        <f>Закуп!S258</f>
        <v/>
      </c>
      <c r="D258" s="166">
        <f>Закуп!T258</f>
        <v/>
      </c>
      <c r="E258" s="166" t="inlineStr">
        <is>
          <t>], 'prices' =&gt; [</t>
        </is>
      </c>
      <c r="F258" s="167">
        <f>SUBSTITUTE(INDEX(Calc!$K:$K,(ROW(A257)-1)*5+COLUMN(A257)+1),",",".")</f>
        <v/>
      </c>
      <c r="G258" s="167">
        <f>SUBSTITUTE(INDEX(Calc!$K:$K,(ROW(B257)-1)*5+COLUMN(B257)+1),",",".")</f>
        <v/>
      </c>
      <c r="H258" s="167">
        <f>SUBSTITUTE(INDEX(Calc!$K:$K,(ROW(C257)-1)*5+COLUMN(C257)+1),",",".")</f>
        <v/>
      </c>
      <c r="I258" s="167">
        <f>SUBSTITUTE(INDEX(Calc!$K:$K,(ROW(D257)-1)*5+COLUMN(D257)+1),",",".")</f>
        <v/>
      </c>
      <c r="J258" s="167">
        <f>SUBSTITUTE(INDEX(Calc!$K:$K,(ROW(E257)-1)*5+COLUMN(E257)+1),",",".")</f>
        <v/>
      </c>
      <c r="K258" s="166" t="inlineStr">
        <is>
          <t>], 'type' =&gt; "</t>
        </is>
      </c>
      <c r="L258" s="167">
        <f>Закуп!AA258</f>
        <v/>
      </c>
      <c r="M258" s="166" t="inlineStr">
        <is>
          <t>", 'sale' =&gt; "</t>
        </is>
      </c>
      <c r="N258" s="166">
        <f>IF(Закуп!L258="",0,Закуп!L258)</f>
        <v/>
      </c>
      <c r="O258" s="166" t="inlineStr">
        <is>
          <t>" ],</t>
        </is>
      </c>
      <c r="P258" s="144">
        <f>Закуп!N258</f>
        <v/>
      </c>
      <c r="Q258" s="210">
        <f>CONCATENATE(A258,B258,",",C258,",",D258,E258,F258,",",G258,",",H258,",",I258,",",J258,K258,L258,M258,N258,O258,)</f>
        <v/>
      </c>
    </row>
    <row r="259">
      <c r="A259" s="166" t="inlineStr">
        <is>
          <t xml:space="preserve">        [ 'dims' =&gt; [</t>
        </is>
      </c>
      <c r="B259" s="166">
        <f>Закуп!R259</f>
        <v/>
      </c>
      <c r="C259" s="166">
        <f>Закуп!S259</f>
        <v/>
      </c>
      <c r="D259" s="166">
        <f>Закуп!T259</f>
        <v/>
      </c>
      <c r="E259" s="166" t="inlineStr">
        <is>
          <t>], 'prices' =&gt; [</t>
        </is>
      </c>
      <c r="F259" s="167">
        <f>SUBSTITUTE(INDEX(Calc!$K:$K,(ROW(A258)-1)*5+COLUMN(A258)+1),",",".")</f>
        <v/>
      </c>
      <c r="G259" s="167">
        <f>SUBSTITUTE(INDEX(Calc!$K:$K,(ROW(B258)-1)*5+COLUMN(B258)+1),",",".")</f>
        <v/>
      </c>
      <c r="H259" s="167">
        <f>SUBSTITUTE(INDEX(Calc!$K:$K,(ROW(C258)-1)*5+COLUMN(C258)+1),",",".")</f>
        <v/>
      </c>
      <c r="I259" s="167">
        <f>SUBSTITUTE(INDEX(Calc!$K:$K,(ROW(D258)-1)*5+COLUMN(D258)+1),",",".")</f>
        <v/>
      </c>
      <c r="J259" s="167">
        <f>SUBSTITUTE(INDEX(Calc!$K:$K,(ROW(E258)-1)*5+COLUMN(E258)+1),",",".")</f>
        <v/>
      </c>
      <c r="K259" s="166" t="inlineStr">
        <is>
          <t>], 'type' =&gt; "</t>
        </is>
      </c>
      <c r="L259" s="167">
        <f>Закуп!AA259</f>
        <v/>
      </c>
      <c r="M259" s="166" t="inlineStr">
        <is>
          <t>", 'sale' =&gt; "</t>
        </is>
      </c>
      <c r="N259" s="166">
        <f>IF(Закуп!L259="",0,Закуп!L259)</f>
        <v/>
      </c>
      <c r="O259" s="166" t="inlineStr">
        <is>
          <t>" ],</t>
        </is>
      </c>
      <c r="P259" s="144">
        <f>Закуп!N259</f>
        <v/>
      </c>
      <c r="Q259" s="210">
        <f>CONCATENATE(A259,B259,",",C259,",",D259,E259,F259,",",G259,",",H259,",",I259,",",J259,K259,L259,M259,N259,O259,)</f>
        <v/>
      </c>
    </row>
    <row r="260">
      <c r="A260" s="166" t="inlineStr">
        <is>
          <t xml:space="preserve">        [ 'dims' =&gt; [</t>
        </is>
      </c>
      <c r="B260" s="166">
        <f>Закуп!R260</f>
        <v/>
      </c>
      <c r="C260" s="166">
        <f>Закуп!S260</f>
        <v/>
      </c>
      <c r="D260" s="166">
        <f>Закуп!T260</f>
        <v/>
      </c>
      <c r="E260" s="166" t="inlineStr">
        <is>
          <t>], 'prices' =&gt; [</t>
        </is>
      </c>
      <c r="F260" s="167">
        <f>SUBSTITUTE(INDEX(Calc!$K:$K,(ROW(A259)-1)*5+COLUMN(A259)+1),",",".")</f>
        <v/>
      </c>
      <c r="G260" s="167">
        <f>SUBSTITUTE(INDEX(Calc!$K:$K,(ROW(B259)-1)*5+COLUMN(B259)+1),",",".")</f>
        <v/>
      </c>
      <c r="H260" s="167">
        <f>SUBSTITUTE(INDEX(Calc!$K:$K,(ROW(C259)-1)*5+COLUMN(C259)+1),",",".")</f>
        <v/>
      </c>
      <c r="I260" s="167">
        <f>SUBSTITUTE(INDEX(Calc!$K:$K,(ROW(D259)-1)*5+COLUMN(D259)+1),",",".")</f>
        <v/>
      </c>
      <c r="J260" s="167">
        <f>SUBSTITUTE(INDEX(Calc!$K:$K,(ROW(E259)-1)*5+COLUMN(E259)+1),",",".")</f>
        <v/>
      </c>
      <c r="K260" s="166" t="inlineStr">
        <is>
          <t>], 'type' =&gt; "</t>
        </is>
      </c>
      <c r="L260" s="167">
        <f>Закуп!AA260</f>
        <v/>
      </c>
      <c r="M260" s="166" t="inlineStr">
        <is>
          <t>", 'sale' =&gt; "</t>
        </is>
      </c>
      <c r="N260" s="166">
        <f>IF(Закуп!L260="",0,Закуп!L260)</f>
        <v/>
      </c>
      <c r="O260" s="166" t="inlineStr">
        <is>
          <t>" ],</t>
        </is>
      </c>
      <c r="P260" s="144">
        <f>Закуп!N260</f>
        <v/>
      </c>
      <c r="Q260" s="210">
        <f>CONCATENATE(A260,B260,",",C260,",",D260,E260,F260,",",G260,",",H260,",",I260,",",J260,K260,L260,M260,N260,O260,)</f>
        <v/>
      </c>
    </row>
    <row r="261">
      <c r="A261" s="166" t="inlineStr">
        <is>
          <t xml:space="preserve">        [ 'dims' =&gt; [</t>
        </is>
      </c>
      <c r="B261" s="166">
        <f>Закуп!R261</f>
        <v/>
      </c>
      <c r="C261" s="166">
        <f>Закуп!S261</f>
        <v/>
      </c>
      <c r="D261" s="166">
        <f>Закуп!T261</f>
        <v/>
      </c>
      <c r="E261" s="166" t="inlineStr">
        <is>
          <t>], 'prices' =&gt; [</t>
        </is>
      </c>
      <c r="F261" s="167">
        <f>SUBSTITUTE(INDEX(Calc!$K:$K,(ROW(A260)-1)*5+COLUMN(A260)+1),",",".")</f>
        <v/>
      </c>
      <c r="G261" s="167">
        <f>SUBSTITUTE(INDEX(Calc!$K:$K,(ROW(B260)-1)*5+COLUMN(B260)+1),",",".")</f>
        <v/>
      </c>
      <c r="H261" s="167">
        <f>SUBSTITUTE(INDEX(Calc!$K:$K,(ROW(C260)-1)*5+COLUMN(C260)+1),",",".")</f>
        <v/>
      </c>
      <c r="I261" s="167">
        <f>SUBSTITUTE(INDEX(Calc!$K:$K,(ROW(D260)-1)*5+COLUMN(D260)+1),",",".")</f>
        <v/>
      </c>
      <c r="J261" s="167">
        <f>SUBSTITUTE(INDEX(Calc!$K:$K,(ROW(E260)-1)*5+COLUMN(E260)+1),",",".")</f>
        <v/>
      </c>
      <c r="K261" s="166" t="inlineStr">
        <is>
          <t>], 'type' =&gt; "</t>
        </is>
      </c>
      <c r="L261" s="167">
        <f>Закуп!AA261</f>
        <v/>
      </c>
      <c r="M261" s="166" t="inlineStr">
        <is>
          <t>", 'sale' =&gt; "</t>
        </is>
      </c>
      <c r="N261" s="166">
        <f>IF(Закуп!L261="",0,Закуп!L261)</f>
        <v/>
      </c>
      <c r="O261" s="166" t="inlineStr">
        <is>
          <t>" ],</t>
        </is>
      </c>
      <c r="P261" s="144">
        <f>Закуп!N261</f>
        <v/>
      </c>
      <c r="Q261" s="210">
        <f>CONCATENATE(A261,B261,",",C261,",",D261,E261,F261,",",G261,",",H261,",",I261,",",J261,K261,L261,M261,N261,O261,)</f>
        <v/>
      </c>
    </row>
    <row r="262">
      <c r="A262" s="166" t="inlineStr">
        <is>
          <t xml:space="preserve">        [ 'dims' =&gt; [</t>
        </is>
      </c>
      <c r="B262" s="166">
        <f>Закуп!R262</f>
        <v/>
      </c>
      <c r="C262" s="166">
        <f>Закуп!S262</f>
        <v/>
      </c>
      <c r="D262" s="166">
        <f>Закуп!T262</f>
        <v/>
      </c>
      <c r="E262" s="166" t="inlineStr">
        <is>
          <t>], 'prices' =&gt; [</t>
        </is>
      </c>
      <c r="F262" s="167">
        <f>SUBSTITUTE(INDEX(Calc!$K:$K,(ROW(A261)-1)*5+COLUMN(A261)+1),",",".")</f>
        <v/>
      </c>
      <c r="G262" s="167">
        <f>SUBSTITUTE(INDEX(Calc!$K:$K,(ROW(B261)-1)*5+COLUMN(B261)+1),",",".")</f>
        <v/>
      </c>
      <c r="H262" s="167">
        <f>SUBSTITUTE(INDEX(Calc!$K:$K,(ROW(C261)-1)*5+COLUMN(C261)+1),",",".")</f>
        <v/>
      </c>
      <c r="I262" s="167">
        <f>SUBSTITUTE(INDEX(Calc!$K:$K,(ROW(D261)-1)*5+COLUMN(D261)+1),",",".")</f>
        <v/>
      </c>
      <c r="J262" s="167">
        <f>SUBSTITUTE(INDEX(Calc!$K:$K,(ROW(E261)-1)*5+COLUMN(E261)+1),",",".")</f>
        <v/>
      </c>
      <c r="K262" s="166" t="inlineStr">
        <is>
          <t>], 'type' =&gt; "</t>
        </is>
      </c>
      <c r="L262" s="167">
        <f>Закуп!AA262</f>
        <v/>
      </c>
      <c r="M262" s="166" t="inlineStr">
        <is>
          <t>", 'sale' =&gt; "</t>
        </is>
      </c>
      <c r="N262" s="166">
        <f>IF(Закуп!L262="",0,Закуп!L262)</f>
        <v/>
      </c>
      <c r="O262" s="166" t="inlineStr">
        <is>
          <t>" ],</t>
        </is>
      </c>
      <c r="P262" s="144">
        <f>Закуп!N262</f>
        <v/>
      </c>
      <c r="Q262" s="210">
        <f>CONCATENATE(A262,B262,",",C262,",",D262,E262,F262,",",G262,",",H262,",",I262,",",J262,K262,L262,M262,N262,O262,)</f>
        <v/>
      </c>
    </row>
    <row r="263">
      <c r="A263" s="166" t="inlineStr">
        <is>
          <t xml:space="preserve">        [ 'dims' =&gt; [</t>
        </is>
      </c>
      <c r="B263" s="166">
        <f>Закуп!R263</f>
        <v/>
      </c>
      <c r="C263" s="166">
        <f>Закуп!S263</f>
        <v/>
      </c>
      <c r="D263" s="166">
        <f>Закуп!T263</f>
        <v/>
      </c>
      <c r="E263" s="166" t="inlineStr">
        <is>
          <t>], 'prices' =&gt; [</t>
        </is>
      </c>
      <c r="F263" s="167">
        <f>SUBSTITUTE(INDEX(Calc!$K:$K,(ROW(A262)-1)*5+COLUMN(A262)+1),",",".")</f>
        <v/>
      </c>
      <c r="G263" s="167">
        <f>SUBSTITUTE(INDEX(Calc!$K:$K,(ROW(B262)-1)*5+COLUMN(B262)+1),",",".")</f>
        <v/>
      </c>
      <c r="H263" s="167">
        <f>SUBSTITUTE(INDEX(Calc!$K:$K,(ROW(C262)-1)*5+COLUMN(C262)+1),",",".")</f>
        <v/>
      </c>
      <c r="I263" s="167">
        <f>SUBSTITUTE(INDEX(Calc!$K:$K,(ROW(D262)-1)*5+COLUMN(D262)+1),",",".")</f>
        <v/>
      </c>
      <c r="J263" s="167">
        <f>SUBSTITUTE(INDEX(Calc!$K:$K,(ROW(E262)-1)*5+COLUMN(E262)+1),",",".")</f>
        <v/>
      </c>
      <c r="K263" s="166" t="inlineStr">
        <is>
          <t>], 'type' =&gt; "</t>
        </is>
      </c>
      <c r="L263" s="167">
        <f>Закуп!AA263</f>
        <v/>
      </c>
      <c r="M263" s="166" t="inlineStr">
        <is>
          <t>", 'sale' =&gt; "</t>
        </is>
      </c>
      <c r="N263" s="166">
        <f>IF(Закуп!L263="",0,Закуп!L263)</f>
        <v/>
      </c>
      <c r="O263" s="166" t="inlineStr">
        <is>
          <t>" ],</t>
        </is>
      </c>
      <c r="P263" s="144">
        <f>Закуп!N263</f>
        <v/>
      </c>
      <c r="Q263" s="210">
        <f>CONCATENATE(A263,B263,",",C263,",",D263,E263,F263,",",G263,",",H263,",",I263,",",J263,K263,L263,M263,N263,O263,)</f>
        <v/>
      </c>
    </row>
    <row r="264">
      <c r="A264" s="166" t="inlineStr">
        <is>
          <t xml:space="preserve">        [ 'dims' =&gt; [</t>
        </is>
      </c>
      <c r="B264" s="166">
        <f>Закуп!R264</f>
        <v/>
      </c>
      <c r="C264" s="166">
        <f>Закуп!S264</f>
        <v/>
      </c>
      <c r="D264" s="166">
        <f>Закуп!T264</f>
        <v/>
      </c>
      <c r="E264" s="166" t="inlineStr">
        <is>
          <t>], 'prices' =&gt; [</t>
        </is>
      </c>
      <c r="F264" s="167">
        <f>SUBSTITUTE(INDEX(Calc!$K:$K,(ROW(A263)-1)*5+COLUMN(A263)+1),",",".")</f>
        <v/>
      </c>
      <c r="G264" s="167">
        <f>SUBSTITUTE(INDEX(Calc!$K:$K,(ROW(B263)-1)*5+COLUMN(B263)+1),",",".")</f>
        <v/>
      </c>
      <c r="H264" s="167">
        <f>SUBSTITUTE(INDEX(Calc!$K:$K,(ROW(C263)-1)*5+COLUMN(C263)+1),",",".")</f>
        <v/>
      </c>
      <c r="I264" s="167">
        <f>SUBSTITUTE(INDEX(Calc!$K:$K,(ROW(D263)-1)*5+COLUMN(D263)+1),",",".")</f>
        <v/>
      </c>
      <c r="J264" s="167">
        <f>SUBSTITUTE(INDEX(Calc!$K:$K,(ROW(E263)-1)*5+COLUMN(E263)+1),",",".")</f>
        <v/>
      </c>
      <c r="K264" s="166" t="inlineStr">
        <is>
          <t>], 'type' =&gt; "</t>
        </is>
      </c>
      <c r="L264" s="167">
        <f>Закуп!AA264</f>
        <v/>
      </c>
      <c r="M264" s="166" t="inlineStr">
        <is>
          <t>", 'sale' =&gt; "</t>
        </is>
      </c>
      <c r="N264" s="166">
        <f>IF(Закуп!L264="",0,Закуп!L264)</f>
        <v/>
      </c>
      <c r="O264" s="166" t="inlineStr">
        <is>
          <t>" ],</t>
        </is>
      </c>
      <c r="P264" s="144">
        <f>Закуп!N264</f>
        <v/>
      </c>
      <c r="Q264" s="210">
        <f>CONCATENATE(A264,B264,",",C264,",",D264,E264,F264,",",G264,",",H264,",",I264,",",J264,K264,L264,M264,N264,O264,)</f>
        <v/>
      </c>
    </row>
    <row r="265">
      <c r="A265" s="166" t="inlineStr">
        <is>
          <t xml:space="preserve">        [ 'dims' =&gt; [</t>
        </is>
      </c>
      <c r="B265" s="166">
        <f>Закуп!R265</f>
        <v/>
      </c>
      <c r="C265" s="166">
        <f>Закуп!S265</f>
        <v/>
      </c>
      <c r="D265" s="166">
        <f>Закуп!T265</f>
        <v/>
      </c>
      <c r="E265" s="166" t="inlineStr">
        <is>
          <t>], 'prices' =&gt; [</t>
        </is>
      </c>
      <c r="F265" s="167">
        <f>SUBSTITUTE(INDEX(Calc!$K:$K,(ROW(A264)-1)*5+COLUMN(A264)+1),",",".")</f>
        <v/>
      </c>
      <c r="G265" s="167">
        <f>SUBSTITUTE(INDEX(Calc!$K:$K,(ROW(B264)-1)*5+COLUMN(B264)+1),",",".")</f>
        <v/>
      </c>
      <c r="H265" s="167">
        <f>SUBSTITUTE(INDEX(Calc!$K:$K,(ROW(C264)-1)*5+COLUMN(C264)+1),",",".")</f>
        <v/>
      </c>
      <c r="I265" s="167">
        <f>SUBSTITUTE(INDEX(Calc!$K:$K,(ROW(D264)-1)*5+COLUMN(D264)+1),",",".")</f>
        <v/>
      </c>
      <c r="J265" s="167">
        <f>SUBSTITUTE(INDEX(Calc!$K:$K,(ROW(E264)-1)*5+COLUMN(E264)+1),",",".")</f>
        <v/>
      </c>
      <c r="K265" s="166" t="inlineStr">
        <is>
          <t>], 'type' =&gt; "</t>
        </is>
      </c>
      <c r="L265" s="167">
        <f>Закуп!AA265</f>
        <v/>
      </c>
      <c r="M265" s="166" t="inlineStr">
        <is>
          <t>", 'sale' =&gt; "</t>
        </is>
      </c>
      <c r="N265" s="166">
        <f>IF(Закуп!L265="",0,Закуп!L265)</f>
        <v/>
      </c>
      <c r="O265" s="166" t="inlineStr">
        <is>
          <t>" ],</t>
        </is>
      </c>
      <c r="P265" s="144">
        <f>Закуп!N265</f>
        <v/>
      </c>
      <c r="Q265" s="210">
        <f>CONCATENATE(A265,B265,",",C265,",",D265,E265,F265,",",G265,",",H265,",",I265,",",J265,K265,L265,M265,N265,O265,)</f>
        <v/>
      </c>
    </row>
    <row r="266">
      <c r="A266" s="166" t="inlineStr">
        <is>
          <t xml:space="preserve">        [ 'dims' =&gt; [</t>
        </is>
      </c>
      <c r="B266" s="166">
        <f>Закуп!R266</f>
        <v/>
      </c>
      <c r="C266" s="166">
        <f>Закуп!S266</f>
        <v/>
      </c>
      <c r="D266" s="166">
        <f>Закуп!T266</f>
        <v/>
      </c>
      <c r="E266" s="166" t="inlineStr">
        <is>
          <t>], 'prices' =&gt; [</t>
        </is>
      </c>
      <c r="F266" s="167">
        <f>SUBSTITUTE(INDEX(Calc!$K:$K,(ROW(A265)-1)*5+COLUMN(A265)+1),",",".")</f>
        <v/>
      </c>
      <c r="G266" s="167">
        <f>SUBSTITUTE(INDEX(Calc!$K:$K,(ROW(B265)-1)*5+COLUMN(B265)+1),",",".")</f>
        <v/>
      </c>
      <c r="H266" s="167">
        <f>SUBSTITUTE(INDEX(Calc!$K:$K,(ROW(C265)-1)*5+COLUMN(C265)+1),",",".")</f>
        <v/>
      </c>
      <c r="I266" s="167">
        <f>SUBSTITUTE(INDEX(Calc!$K:$K,(ROW(D265)-1)*5+COLUMN(D265)+1),",",".")</f>
        <v/>
      </c>
      <c r="J266" s="167">
        <f>SUBSTITUTE(INDEX(Calc!$K:$K,(ROW(E265)-1)*5+COLUMN(E265)+1),",",".")</f>
        <v/>
      </c>
      <c r="K266" s="166" t="inlineStr">
        <is>
          <t>], 'type' =&gt; "</t>
        </is>
      </c>
      <c r="L266" s="167">
        <f>Закуп!AA266</f>
        <v/>
      </c>
      <c r="M266" s="166" t="inlineStr">
        <is>
          <t>", 'sale' =&gt; "</t>
        </is>
      </c>
      <c r="N266" s="166">
        <f>IF(Закуп!L266="",0,Закуп!L266)</f>
        <v/>
      </c>
      <c r="O266" s="166" t="inlineStr">
        <is>
          <t>" ],</t>
        </is>
      </c>
      <c r="P266" s="144">
        <f>Закуп!N266</f>
        <v/>
      </c>
      <c r="Q266" s="210">
        <f>CONCATENATE(A266,B266,",",C266,",",D266,E266,F266,",",G266,",",H266,",",I266,",",J266,K266,L266,M266,N266,O266,)</f>
        <v/>
      </c>
    </row>
    <row r="267">
      <c r="A267" s="166" t="inlineStr">
        <is>
          <t xml:space="preserve">        [ 'dims' =&gt; [</t>
        </is>
      </c>
      <c r="B267" s="166">
        <f>Закуп!R267</f>
        <v/>
      </c>
      <c r="C267" s="166">
        <f>Закуп!S267</f>
        <v/>
      </c>
      <c r="D267" s="166">
        <f>Закуп!T267</f>
        <v/>
      </c>
      <c r="E267" s="166" t="inlineStr">
        <is>
          <t>], 'prices' =&gt; [</t>
        </is>
      </c>
      <c r="F267" s="167">
        <f>SUBSTITUTE(INDEX(Calc!$K:$K,(ROW(A266)-1)*5+COLUMN(A266)+1),",",".")</f>
        <v/>
      </c>
      <c r="G267" s="167">
        <f>SUBSTITUTE(INDEX(Calc!$K:$K,(ROW(B266)-1)*5+COLUMN(B266)+1),",",".")</f>
        <v/>
      </c>
      <c r="H267" s="167">
        <f>SUBSTITUTE(INDEX(Calc!$K:$K,(ROW(C266)-1)*5+COLUMN(C266)+1),",",".")</f>
        <v/>
      </c>
      <c r="I267" s="167">
        <f>SUBSTITUTE(INDEX(Calc!$K:$K,(ROW(D266)-1)*5+COLUMN(D266)+1),",",".")</f>
        <v/>
      </c>
      <c r="J267" s="167">
        <f>SUBSTITUTE(INDEX(Calc!$K:$K,(ROW(E266)-1)*5+COLUMN(E266)+1),",",".")</f>
        <v/>
      </c>
      <c r="K267" s="166" t="inlineStr">
        <is>
          <t>], 'type' =&gt; "</t>
        </is>
      </c>
      <c r="L267" s="167">
        <f>Закуп!AA267</f>
        <v/>
      </c>
      <c r="M267" s="166" t="inlineStr">
        <is>
          <t>", 'sale' =&gt; "</t>
        </is>
      </c>
      <c r="N267" s="166">
        <f>IF(Закуп!L267="",0,Закуп!L267)</f>
        <v/>
      </c>
      <c r="O267" s="166" t="inlineStr">
        <is>
          <t>" ],</t>
        </is>
      </c>
      <c r="P267" s="144">
        <f>Закуп!N267</f>
        <v/>
      </c>
      <c r="Q267" s="210">
        <f>CONCATENATE(A267,B267,",",C267,",",D267,E267,F267,",",G267,",",H267,",",I267,",",J267,K267,L267,M267,N267,O267,)</f>
        <v/>
      </c>
    </row>
    <row r="268">
      <c r="A268" s="166" t="inlineStr">
        <is>
          <t xml:space="preserve">        [ 'dims' =&gt; [</t>
        </is>
      </c>
      <c r="B268" s="166">
        <f>Закуп!R268</f>
        <v/>
      </c>
      <c r="C268" s="166">
        <f>Закуп!S268</f>
        <v/>
      </c>
      <c r="D268" s="166">
        <f>Закуп!T268</f>
        <v/>
      </c>
      <c r="E268" s="166" t="inlineStr">
        <is>
          <t>], 'prices' =&gt; [</t>
        </is>
      </c>
      <c r="F268" s="167">
        <f>SUBSTITUTE(INDEX(Calc!$K:$K,(ROW(A267)-1)*5+COLUMN(A267)+1),",",".")</f>
        <v/>
      </c>
      <c r="G268" s="167">
        <f>SUBSTITUTE(INDEX(Calc!$K:$K,(ROW(B267)-1)*5+COLUMN(B267)+1),",",".")</f>
        <v/>
      </c>
      <c r="H268" s="167">
        <f>SUBSTITUTE(INDEX(Calc!$K:$K,(ROW(C267)-1)*5+COLUMN(C267)+1),",",".")</f>
        <v/>
      </c>
      <c r="I268" s="167">
        <f>SUBSTITUTE(INDEX(Calc!$K:$K,(ROW(D267)-1)*5+COLUMN(D267)+1),",",".")</f>
        <v/>
      </c>
      <c r="J268" s="167">
        <f>SUBSTITUTE(INDEX(Calc!$K:$K,(ROW(E267)-1)*5+COLUMN(E267)+1),",",".")</f>
        <v/>
      </c>
      <c r="K268" s="166" t="inlineStr">
        <is>
          <t>], 'type' =&gt; "</t>
        </is>
      </c>
      <c r="L268" s="167">
        <f>Закуп!AA268</f>
        <v/>
      </c>
      <c r="M268" s="166" t="inlineStr">
        <is>
          <t>", 'sale' =&gt; "</t>
        </is>
      </c>
      <c r="N268" s="166">
        <f>IF(Закуп!L268="",0,Закуп!L268)</f>
        <v/>
      </c>
      <c r="O268" s="166" t="inlineStr">
        <is>
          <t>" ],</t>
        </is>
      </c>
      <c r="P268" s="144">
        <f>Закуп!N268</f>
        <v/>
      </c>
      <c r="Q268" s="210">
        <f>CONCATENATE(A268,B268,",",C268,",",D268,E268,F268,",",G268,",",H268,",",I268,",",J268,K268,L268,M268,N268,O268,)</f>
        <v/>
      </c>
    </row>
    <row r="269">
      <c r="A269" s="166" t="inlineStr">
        <is>
          <t xml:space="preserve">        [ 'dims' =&gt; [</t>
        </is>
      </c>
      <c r="B269" s="166">
        <f>Закуп!R269</f>
        <v/>
      </c>
      <c r="C269" s="166">
        <f>Закуп!S269</f>
        <v/>
      </c>
      <c r="D269" s="166">
        <f>Закуп!T269</f>
        <v/>
      </c>
      <c r="E269" s="166" t="inlineStr">
        <is>
          <t>], 'prices' =&gt; [</t>
        </is>
      </c>
      <c r="F269" s="167">
        <f>SUBSTITUTE(INDEX(Calc!$K:$K,(ROW(A268)-1)*5+COLUMN(A268)+1),",",".")</f>
        <v/>
      </c>
      <c r="G269" s="167">
        <f>SUBSTITUTE(INDEX(Calc!$K:$K,(ROW(B268)-1)*5+COLUMN(B268)+1),",",".")</f>
        <v/>
      </c>
      <c r="H269" s="167">
        <f>SUBSTITUTE(INDEX(Calc!$K:$K,(ROW(C268)-1)*5+COLUMN(C268)+1),",",".")</f>
        <v/>
      </c>
      <c r="I269" s="167">
        <f>SUBSTITUTE(INDEX(Calc!$K:$K,(ROW(D268)-1)*5+COLUMN(D268)+1),",",".")</f>
        <v/>
      </c>
      <c r="J269" s="167">
        <f>SUBSTITUTE(INDEX(Calc!$K:$K,(ROW(E268)-1)*5+COLUMN(E268)+1),",",".")</f>
        <v/>
      </c>
      <c r="K269" s="166" t="inlineStr">
        <is>
          <t>], 'type' =&gt; "</t>
        </is>
      </c>
      <c r="L269" s="167">
        <f>Закуп!AA269</f>
        <v/>
      </c>
      <c r="M269" s="166" t="inlineStr">
        <is>
          <t>", 'sale' =&gt; "</t>
        </is>
      </c>
      <c r="N269" s="166">
        <f>IF(Закуп!L269="",0,Закуп!L269)</f>
        <v/>
      </c>
      <c r="O269" s="166" t="inlineStr">
        <is>
          <t>" ],</t>
        </is>
      </c>
      <c r="P269" s="144">
        <f>Закуп!N269</f>
        <v/>
      </c>
      <c r="Q269" s="210">
        <f>CONCATENATE(A269,B269,",",C269,",",D269,E269,F269,",",G269,",",H269,",",I269,",",J269,K269,L269,M269,N269,O269,)</f>
        <v/>
      </c>
    </row>
    <row r="270">
      <c r="A270" s="166" t="inlineStr">
        <is>
          <t xml:space="preserve">        [ 'dims' =&gt; [</t>
        </is>
      </c>
      <c r="B270" s="166">
        <f>Закуп!R270</f>
        <v/>
      </c>
      <c r="C270" s="166">
        <f>Закуп!S270</f>
        <v/>
      </c>
      <c r="D270" s="166">
        <f>Закуп!T270</f>
        <v/>
      </c>
      <c r="E270" s="166" t="inlineStr">
        <is>
          <t>], 'prices' =&gt; [</t>
        </is>
      </c>
      <c r="F270" s="167">
        <f>SUBSTITUTE(INDEX(Calc!$K:$K,(ROW(A269)-1)*5+COLUMN(A269)+1),",",".")</f>
        <v/>
      </c>
      <c r="G270" s="167">
        <f>SUBSTITUTE(INDEX(Calc!$K:$K,(ROW(B269)-1)*5+COLUMN(B269)+1),",",".")</f>
        <v/>
      </c>
      <c r="H270" s="167">
        <f>SUBSTITUTE(INDEX(Calc!$K:$K,(ROW(C269)-1)*5+COLUMN(C269)+1),",",".")</f>
        <v/>
      </c>
      <c r="I270" s="167">
        <f>SUBSTITUTE(INDEX(Calc!$K:$K,(ROW(D269)-1)*5+COLUMN(D269)+1),",",".")</f>
        <v/>
      </c>
      <c r="J270" s="167">
        <f>SUBSTITUTE(INDEX(Calc!$K:$K,(ROW(E269)-1)*5+COLUMN(E269)+1),",",".")</f>
        <v/>
      </c>
      <c r="K270" s="166" t="inlineStr">
        <is>
          <t>], 'type' =&gt; "</t>
        </is>
      </c>
      <c r="L270" s="167">
        <f>Закуп!AA270</f>
        <v/>
      </c>
      <c r="M270" s="166" t="inlineStr">
        <is>
          <t>", 'sale' =&gt; "</t>
        </is>
      </c>
      <c r="N270" s="166">
        <f>IF(Закуп!L270="",0,Закуп!L270)</f>
        <v/>
      </c>
      <c r="O270" s="166" t="inlineStr">
        <is>
          <t>" ],</t>
        </is>
      </c>
      <c r="P270" s="144">
        <f>Закуп!N270</f>
        <v/>
      </c>
      <c r="Q270" s="210">
        <f>CONCATENATE(A270,B270,",",C270,",",D270,E270,F270,",",G270,",",H270,",",I270,",",J270,K270,L270,M270,N270,O270,)</f>
        <v/>
      </c>
    </row>
    <row r="271">
      <c r="A271" s="166" t="inlineStr">
        <is>
          <t xml:space="preserve">        [ 'dims' =&gt; [</t>
        </is>
      </c>
      <c r="B271" s="166">
        <f>Закуп!R271</f>
        <v/>
      </c>
      <c r="C271" s="166">
        <f>Закуп!S271</f>
        <v/>
      </c>
      <c r="D271" s="166">
        <f>Закуп!T271</f>
        <v/>
      </c>
      <c r="E271" s="166" t="inlineStr">
        <is>
          <t>], 'prices' =&gt; [</t>
        </is>
      </c>
      <c r="F271" s="167">
        <f>SUBSTITUTE(INDEX(Calc!$K:$K,(ROW(A270)-1)*5+COLUMN(A270)+1),",",".")</f>
        <v/>
      </c>
      <c r="G271" s="167">
        <f>SUBSTITUTE(INDEX(Calc!$K:$K,(ROW(B270)-1)*5+COLUMN(B270)+1),",",".")</f>
        <v/>
      </c>
      <c r="H271" s="167">
        <f>SUBSTITUTE(INDEX(Calc!$K:$K,(ROW(C270)-1)*5+COLUMN(C270)+1),",",".")</f>
        <v/>
      </c>
      <c r="I271" s="167">
        <f>SUBSTITUTE(INDEX(Calc!$K:$K,(ROW(D270)-1)*5+COLUMN(D270)+1),",",".")</f>
        <v/>
      </c>
      <c r="J271" s="167">
        <f>SUBSTITUTE(INDEX(Calc!$K:$K,(ROW(E270)-1)*5+COLUMN(E270)+1),",",".")</f>
        <v/>
      </c>
      <c r="K271" s="166" t="inlineStr">
        <is>
          <t>], 'type' =&gt; "</t>
        </is>
      </c>
      <c r="L271" s="167">
        <f>Закуп!AA271</f>
        <v/>
      </c>
      <c r="M271" s="166" t="inlineStr">
        <is>
          <t>", 'sale' =&gt; "</t>
        </is>
      </c>
      <c r="N271" s="166">
        <f>IF(Закуп!L271="",0,Закуп!L271)</f>
        <v/>
      </c>
      <c r="O271" s="166" t="inlineStr">
        <is>
          <t>" ],</t>
        </is>
      </c>
      <c r="P271" s="144">
        <f>Закуп!N271</f>
        <v/>
      </c>
      <c r="Q271" s="210">
        <f>CONCATENATE(A271,B271,",",C271,",",D271,E271,F271,",",G271,",",H271,",",I271,",",J271,K271,L271,M271,N271,O271,)</f>
        <v/>
      </c>
    </row>
    <row r="272">
      <c r="A272" s="166" t="inlineStr">
        <is>
          <t xml:space="preserve">        [ 'dims' =&gt; [</t>
        </is>
      </c>
      <c r="B272" s="166">
        <f>Закуп!R272</f>
        <v/>
      </c>
      <c r="C272" s="166">
        <f>Закуп!S272</f>
        <v/>
      </c>
      <c r="D272" s="166">
        <f>Закуп!T272</f>
        <v/>
      </c>
      <c r="E272" s="166" t="inlineStr">
        <is>
          <t>], 'prices' =&gt; [</t>
        </is>
      </c>
      <c r="F272" s="167">
        <f>SUBSTITUTE(INDEX(Calc!$K:$K,(ROW(A271)-1)*5+COLUMN(A271)+1),",",".")</f>
        <v/>
      </c>
      <c r="G272" s="167">
        <f>SUBSTITUTE(INDEX(Calc!$K:$K,(ROW(B271)-1)*5+COLUMN(B271)+1),",",".")</f>
        <v/>
      </c>
      <c r="H272" s="167">
        <f>SUBSTITUTE(INDEX(Calc!$K:$K,(ROW(C271)-1)*5+COLUMN(C271)+1),",",".")</f>
        <v/>
      </c>
      <c r="I272" s="167">
        <f>SUBSTITUTE(INDEX(Calc!$K:$K,(ROW(D271)-1)*5+COLUMN(D271)+1),",",".")</f>
        <v/>
      </c>
      <c r="J272" s="167">
        <f>SUBSTITUTE(INDEX(Calc!$K:$K,(ROW(E271)-1)*5+COLUMN(E271)+1),",",".")</f>
        <v/>
      </c>
      <c r="K272" s="166" t="inlineStr">
        <is>
          <t>], 'type' =&gt; "</t>
        </is>
      </c>
      <c r="L272" s="167">
        <f>Закуп!AA272</f>
        <v/>
      </c>
      <c r="M272" s="166" t="inlineStr">
        <is>
          <t>", 'sale' =&gt; "</t>
        </is>
      </c>
      <c r="N272" s="166">
        <f>IF(Закуп!L272="",0,Закуп!L272)</f>
        <v/>
      </c>
      <c r="O272" s="166" t="inlineStr">
        <is>
          <t>" ],</t>
        </is>
      </c>
      <c r="P272" s="144">
        <f>Закуп!N272</f>
        <v/>
      </c>
      <c r="Q272" s="210">
        <f>CONCATENATE(A272,B272,",",C272,",",D272,E272,F272,",",G272,",",H272,",",I272,",",J272,K272,L272,M272,N272,O272,)</f>
        <v/>
      </c>
    </row>
    <row r="273">
      <c r="A273" s="166" t="inlineStr">
        <is>
          <t xml:space="preserve">        [ 'dims' =&gt; [</t>
        </is>
      </c>
      <c r="B273" s="166">
        <f>Закуп!R273</f>
        <v/>
      </c>
      <c r="C273" s="166">
        <f>Закуп!S273</f>
        <v/>
      </c>
      <c r="D273" s="166">
        <f>Закуп!T273</f>
        <v/>
      </c>
      <c r="E273" s="166" t="inlineStr">
        <is>
          <t>], 'prices' =&gt; [</t>
        </is>
      </c>
      <c r="F273" s="167">
        <f>SUBSTITUTE(INDEX(Calc!$K:$K,(ROW(A272)-1)*5+COLUMN(A272)+1),",",".")</f>
        <v/>
      </c>
      <c r="G273" s="167">
        <f>SUBSTITUTE(INDEX(Calc!$K:$K,(ROW(B272)-1)*5+COLUMN(B272)+1),",",".")</f>
        <v/>
      </c>
      <c r="H273" s="167">
        <f>SUBSTITUTE(INDEX(Calc!$K:$K,(ROW(C272)-1)*5+COLUMN(C272)+1),",",".")</f>
        <v/>
      </c>
      <c r="I273" s="167">
        <f>SUBSTITUTE(INDEX(Calc!$K:$K,(ROW(D272)-1)*5+COLUMN(D272)+1),",",".")</f>
        <v/>
      </c>
      <c r="J273" s="167">
        <f>SUBSTITUTE(INDEX(Calc!$K:$K,(ROW(E272)-1)*5+COLUMN(E272)+1),",",".")</f>
        <v/>
      </c>
      <c r="K273" s="166" t="inlineStr">
        <is>
          <t>], 'type' =&gt; "</t>
        </is>
      </c>
      <c r="L273" s="167">
        <f>Закуп!AA273</f>
        <v/>
      </c>
      <c r="M273" s="166" t="inlineStr">
        <is>
          <t>", 'sale' =&gt; "</t>
        </is>
      </c>
      <c r="N273" s="166">
        <f>IF(Закуп!L273="",0,Закуп!L273)</f>
        <v/>
      </c>
      <c r="O273" s="166" t="inlineStr">
        <is>
          <t>" ],</t>
        </is>
      </c>
      <c r="P273" s="144">
        <f>Закуп!N273</f>
        <v/>
      </c>
      <c r="Q273" s="210">
        <f>CONCATENATE(A273,B273,",",C273,",",D273,E273,F273,",",G273,",",H273,",",I273,",",J273,K273,L273,M273,N273,O273,)</f>
        <v/>
      </c>
    </row>
    <row r="274">
      <c r="A274" s="166" t="inlineStr">
        <is>
          <t xml:space="preserve">        [ 'dims' =&gt; [</t>
        </is>
      </c>
      <c r="B274" s="166">
        <f>Закуп!R274</f>
        <v/>
      </c>
      <c r="C274" s="166">
        <f>Закуп!S274</f>
        <v/>
      </c>
      <c r="D274" s="166">
        <f>Закуп!T274</f>
        <v/>
      </c>
      <c r="E274" s="166" t="inlineStr">
        <is>
          <t>], 'prices' =&gt; [</t>
        </is>
      </c>
      <c r="F274" s="167">
        <f>SUBSTITUTE(INDEX(Calc!$K:$K,(ROW(A273)-1)*5+COLUMN(A273)+1),",",".")</f>
        <v/>
      </c>
      <c r="G274" s="167">
        <f>SUBSTITUTE(INDEX(Calc!$K:$K,(ROW(B273)-1)*5+COLUMN(B273)+1),",",".")</f>
        <v/>
      </c>
      <c r="H274" s="167">
        <f>SUBSTITUTE(INDEX(Calc!$K:$K,(ROW(C273)-1)*5+COLUMN(C273)+1),",",".")</f>
        <v/>
      </c>
      <c r="I274" s="167">
        <f>SUBSTITUTE(INDEX(Calc!$K:$K,(ROW(D273)-1)*5+COLUMN(D273)+1),",",".")</f>
        <v/>
      </c>
      <c r="J274" s="167">
        <f>SUBSTITUTE(INDEX(Calc!$K:$K,(ROW(E273)-1)*5+COLUMN(E273)+1),",",".")</f>
        <v/>
      </c>
      <c r="K274" s="166" t="inlineStr">
        <is>
          <t>], 'type' =&gt; "</t>
        </is>
      </c>
      <c r="L274" s="167">
        <f>Закуп!AA274</f>
        <v/>
      </c>
      <c r="M274" s="166" t="inlineStr">
        <is>
          <t>", 'sale' =&gt; "</t>
        </is>
      </c>
      <c r="N274" s="166">
        <f>IF(Закуп!L274="",0,Закуп!L274)</f>
        <v/>
      </c>
      <c r="O274" s="166" t="inlineStr">
        <is>
          <t>" ],</t>
        </is>
      </c>
      <c r="P274" s="144">
        <f>Закуп!N274</f>
        <v/>
      </c>
      <c r="Q274" s="210">
        <f>CONCATENATE(A274,B274,",",C274,",",D274,E274,F274,",",G274,",",H274,",",I274,",",J274,K274,L274,M274,N274,O274,)</f>
        <v/>
      </c>
    </row>
    <row r="275">
      <c r="A275" s="166" t="inlineStr">
        <is>
          <t xml:space="preserve">        [ 'dims' =&gt; [</t>
        </is>
      </c>
      <c r="B275" s="166">
        <f>Закуп!R275</f>
        <v/>
      </c>
      <c r="C275" s="166">
        <f>Закуп!S275</f>
        <v/>
      </c>
      <c r="D275" s="166">
        <f>Закуп!T275</f>
        <v/>
      </c>
      <c r="E275" s="166" t="inlineStr">
        <is>
          <t>], 'prices' =&gt; [</t>
        </is>
      </c>
      <c r="F275" s="167">
        <f>SUBSTITUTE(INDEX(Calc!$K:$K,(ROW(A274)-1)*5+COLUMN(A274)+1),",",".")</f>
        <v/>
      </c>
      <c r="G275" s="167">
        <f>SUBSTITUTE(INDEX(Calc!$K:$K,(ROW(B274)-1)*5+COLUMN(B274)+1),",",".")</f>
        <v/>
      </c>
      <c r="H275" s="167">
        <f>SUBSTITUTE(INDEX(Calc!$K:$K,(ROW(C274)-1)*5+COLUMN(C274)+1),",",".")</f>
        <v/>
      </c>
      <c r="I275" s="167">
        <f>SUBSTITUTE(INDEX(Calc!$K:$K,(ROW(D274)-1)*5+COLUMN(D274)+1),",",".")</f>
        <v/>
      </c>
      <c r="J275" s="167">
        <f>SUBSTITUTE(INDEX(Calc!$K:$K,(ROW(E274)-1)*5+COLUMN(E274)+1),",",".")</f>
        <v/>
      </c>
      <c r="K275" s="166" t="inlineStr">
        <is>
          <t>], 'type' =&gt; "</t>
        </is>
      </c>
      <c r="L275" s="167">
        <f>Закуп!AA275</f>
        <v/>
      </c>
      <c r="M275" s="166" t="inlineStr">
        <is>
          <t>", 'sale' =&gt; "</t>
        </is>
      </c>
      <c r="N275" s="166">
        <f>IF(Закуп!L275="",0,Закуп!L275)</f>
        <v/>
      </c>
      <c r="O275" s="166" t="inlineStr">
        <is>
          <t>" ],</t>
        </is>
      </c>
      <c r="P275" s="144">
        <f>Закуп!N275</f>
        <v/>
      </c>
      <c r="Q275" s="210">
        <f>CONCATENATE(A275,B275,",",C275,",",D275,E275,F275,",",G275,",",H275,",",I275,",",J275,K275,L275,M275,N275,O275,)</f>
        <v/>
      </c>
    </row>
    <row r="276">
      <c r="A276" s="166" t="inlineStr">
        <is>
          <t xml:space="preserve">        [ 'dims' =&gt; [</t>
        </is>
      </c>
      <c r="B276" s="166">
        <f>Закуп!R276</f>
        <v/>
      </c>
      <c r="C276" s="166">
        <f>Закуп!S276</f>
        <v/>
      </c>
      <c r="D276" s="166">
        <f>Закуп!T276</f>
        <v/>
      </c>
      <c r="E276" s="166" t="inlineStr">
        <is>
          <t>], 'prices' =&gt; [</t>
        </is>
      </c>
      <c r="F276" s="167">
        <f>SUBSTITUTE(INDEX(Calc!$K:$K,(ROW(A275)-1)*5+COLUMN(A275)+1),",",".")</f>
        <v/>
      </c>
      <c r="G276" s="167">
        <f>SUBSTITUTE(INDEX(Calc!$K:$K,(ROW(B275)-1)*5+COLUMN(B275)+1),",",".")</f>
        <v/>
      </c>
      <c r="H276" s="167">
        <f>SUBSTITUTE(INDEX(Calc!$K:$K,(ROW(C275)-1)*5+COLUMN(C275)+1),",",".")</f>
        <v/>
      </c>
      <c r="I276" s="167">
        <f>SUBSTITUTE(INDEX(Calc!$K:$K,(ROW(D275)-1)*5+COLUMN(D275)+1),",",".")</f>
        <v/>
      </c>
      <c r="J276" s="167">
        <f>SUBSTITUTE(INDEX(Calc!$K:$K,(ROW(E275)-1)*5+COLUMN(E275)+1),",",".")</f>
        <v/>
      </c>
      <c r="K276" s="166" t="inlineStr">
        <is>
          <t>], 'type' =&gt; "</t>
        </is>
      </c>
      <c r="L276" s="167">
        <f>Закуп!AA276</f>
        <v/>
      </c>
      <c r="M276" s="166" t="inlineStr">
        <is>
          <t>", 'sale' =&gt; "</t>
        </is>
      </c>
      <c r="N276" s="166">
        <f>IF(Закуп!L276="",0,Закуп!L276)</f>
        <v/>
      </c>
      <c r="O276" s="166" t="inlineStr">
        <is>
          <t>" ],</t>
        </is>
      </c>
      <c r="P276" s="144">
        <f>Закуп!N276</f>
        <v/>
      </c>
      <c r="Q276" s="210">
        <f>CONCATENATE(A276,B276,",",C276,",",D276,E276,F276,",",G276,",",H276,",",I276,",",J276,K276,L276,M276,N276,O276,)</f>
        <v/>
      </c>
    </row>
    <row r="277">
      <c r="A277" s="166" t="inlineStr">
        <is>
          <t xml:space="preserve">        [ 'dims' =&gt; [</t>
        </is>
      </c>
      <c r="B277" s="166">
        <f>Закуп!R277</f>
        <v/>
      </c>
      <c r="C277" s="166">
        <f>Закуп!S277</f>
        <v/>
      </c>
      <c r="D277" s="166">
        <f>Закуп!T277</f>
        <v/>
      </c>
      <c r="E277" s="166" t="inlineStr">
        <is>
          <t>], 'prices' =&gt; [</t>
        </is>
      </c>
      <c r="F277" s="167">
        <f>SUBSTITUTE(INDEX(Calc!$K:$K,(ROW(A276)-1)*5+COLUMN(A276)+1),",",".")</f>
        <v/>
      </c>
      <c r="G277" s="167">
        <f>SUBSTITUTE(INDEX(Calc!$K:$K,(ROW(B276)-1)*5+COLUMN(B276)+1),",",".")</f>
        <v/>
      </c>
      <c r="H277" s="167">
        <f>SUBSTITUTE(INDEX(Calc!$K:$K,(ROW(C276)-1)*5+COLUMN(C276)+1),",",".")</f>
        <v/>
      </c>
      <c r="I277" s="167">
        <f>SUBSTITUTE(INDEX(Calc!$K:$K,(ROW(D276)-1)*5+COLUMN(D276)+1),",",".")</f>
        <v/>
      </c>
      <c r="J277" s="167">
        <f>SUBSTITUTE(INDEX(Calc!$K:$K,(ROW(E276)-1)*5+COLUMN(E276)+1),",",".")</f>
        <v/>
      </c>
      <c r="K277" s="166" t="inlineStr">
        <is>
          <t>], 'type' =&gt; "</t>
        </is>
      </c>
      <c r="L277" s="167">
        <f>Закуп!AA277</f>
        <v/>
      </c>
      <c r="M277" s="166" t="inlineStr">
        <is>
          <t>", 'sale' =&gt; "</t>
        </is>
      </c>
      <c r="N277" s="166">
        <f>IF(Закуп!L277="",0,Закуп!L277)</f>
        <v/>
      </c>
      <c r="O277" s="166" t="inlineStr">
        <is>
          <t>" ],</t>
        </is>
      </c>
      <c r="P277" s="144">
        <f>Закуп!N277</f>
        <v/>
      </c>
      <c r="Q277" s="210">
        <f>CONCATENATE(A277,B277,",",C277,",",D277,E277,F277,",",G277,",",H277,",",I277,",",J277,K277,L277,M277,N277,O277,)</f>
        <v/>
      </c>
    </row>
    <row r="278">
      <c r="A278" s="166" t="inlineStr">
        <is>
          <t xml:space="preserve">        [ 'dims' =&gt; [</t>
        </is>
      </c>
      <c r="B278" s="166">
        <f>Закуп!R278</f>
        <v/>
      </c>
      <c r="C278" s="166">
        <f>Закуп!S278</f>
        <v/>
      </c>
      <c r="D278" s="166">
        <f>Закуп!T278</f>
        <v/>
      </c>
      <c r="E278" s="166" t="inlineStr">
        <is>
          <t>], 'prices' =&gt; [</t>
        </is>
      </c>
      <c r="F278" s="167">
        <f>SUBSTITUTE(INDEX(Calc!$K:$K,(ROW(A277)-1)*5+COLUMN(A277)+1),",",".")</f>
        <v/>
      </c>
      <c r="G278" s="167">
        <f>SUBSTITUTE(INDEX(Calc!$K:$K,(ROW(B277)-1)*5+COLUMN(B277)+1),",",".")</f>
        <v/>
      </c>
      <c r="H278" s="167">
        <f>SUBSTITUTE(INDEX(Calc!$K:$K,(ROW(C277)-1)*5+COLUMN(C277)+1),",",".")</f>
        <v/>
      </c>
      <c r="I278" s="167">
        <f>SUBSTITUTE(INDEX(Calc!$K:$K,(ROW(D277)-1)*5+COLUMN(D277)+1),",",".")</f>
        <v/>
      </c>
      <c r="J278" s="167">
        <f>SUBSTITUTE(INDEX(Calc!$K:$K,(ROW(E277)-1)*5+COLUMN(E277)+1),",",".")</f>
        <v/>
      </c>
      <c r="K278" s="166" t="inlineStr">
        <is>
          <t>], 'type' =&gt; "</t>
        </is>
      </c>
      <c r="L278" s="167">
        <f>Закуп!AA278</f>
        <v/>
      </c>
      <c r="M278" s="166" t="inlineStr">
        <is>
          <t>", 'sale' =&gt; "</t>
        </is>
      </c>
      <c r="N278" s="166">
        <f>IF(Закуп!L278="",0,Закуп!L278)</f>
        <v/>
      </c>
      <c r="O278" s="166" t="inlineStr">
        <is>
          <t>" ],</t>
        </is>
      </c>
      <c r="P278" s="144">
        <f>Закуп!N278</f>
        <v/>
      </c>
      <c r="Q278" s="210">
        <f>CONCATENATE(A278,B278,",",C278,",",D278,E278,F278,",",G278,",",H278,",",I278,",",J278,K278,L278,M278,N278,O278,)</f>
        <v/>
      </c>
    </row>
    <row r="279">
      <c r="A279" s="166" t="inlineStr">
        <is>
          <t xml:space="preserve">        [ 'dims' =&gt; [</t>
        </is>
      </c>
      <c r="B279" s="166">
        <f>Закуп!R279</f>
        <v/>
      </c>
      <c r="C279" s="166">
        <f>Закуп!S279</f>
        <v/>
      </c>
      <c r="D279" s="166">
        <f>Закуп!T279</f>
        <v/>
      </c>
      <c r="E279" s="166" t="inlineStr">
        <is>
          <t>], 'prices' =&gt; [</t>
        </is>
      </c>
      <c r="F279" s="167">
        <f>SUBSTITUTE(INDEX(Calc!$K:$K,(ROW(A278)-1)*5+COLUMN(A278)+1),",",".")</f>
        <v/>
      </c>
      <c r="G279" s="167">
        <f>SUBSTITUTE(INDEX(Calc!$K:$K,(ROW(B278)-1)*5+COLUMN(B278)+1),",",".")</f>
        <v/>
      </c>
      <c r="H279" s="167">
        <f>SUBSTITUTE(INDEX(Calc!$K:$K,(ROW(C278)-1)*5+COLUMN(C278)+1),",",".")</f>
        <v/>
      </c>
      <c r="I279" s="167">
        <f>SUBSTITUTE(INDEX(Calc!$K:$K,(ROW(D278)-1)*5+COLUMN(D278)+1),",",".")</f>
        <v/>
      </c>
      <c r="J279" s="167">
        <f>SUBSTITUTE(INDEX(Calc!$K:$K,(ROW(E278)-1)*5+COLUMN(E278)+1),",",".")</f>
        <v/>
      </c>
      <c r="K279" s="166" t="inlineStr">
        <is>
          <t>], 'type' =&gt; "</t>
        </is>
      </c>
      <c r="L279" s="167">
        <f>Закуп!AA279</f>
        <v/>
      </c>
      <c r="M279" s="166" t="inlineStr">
        <is>
          <t>", 'sale' =&gt; "</t>
        </is>
      </c>
      <c r="N279" s="166">
        <f>IF(Закуп!L279="",0,Закуп!L279)</f>
        <v/>
      </c>
      <c r="O279" s="166" t="inlineStr">
        <is>
          <t>" ],</t>
        </is>
      </c>
      <c r="P279" s="144">
        <f>Закуп!N279</f>
        <v/>
      </c>
      <c r="Q279" s="210">
        <f>CONCATENATE(A279,B279,",",C279,",",D279,E279,F279,",",G279,",",H279,",",I279,",",J279,K279,L279,M279,N279,O279,)</f>
        <v/>
      </c>
    </row>
    <row r="280">
      <c r="A280" s="166" t="inlineStr">
        <is>
          <t xml:space="preserve">        [ 'dims' =&gt; [</t>
        </is>
      </c>
      <c r="B280" s="166">
        <f>Закуп!R280</f>
        <v/>
      </c>
      <c r="C280" s="166">
        <f>Закуп!S280</f>
        <v/>
      </c>
      <c r="D280" s="166">
        <f>Закуп!T280</f>
        <v/>
      </c>
      <c r="E280" s="166" t="inlineStr">
        <is>
          <t>], 'prices' =&gt; [</t>
        </is>
      </c>
      <c r="F280" s="167">
        <f>SUBSTITUTE(INDEX(Calc!$K:$K,(ROW(A279)-1)*5+COLUMN(A279)+1),",",".")</f>
        <v/>
      </c>
      <c r="G280" s="167">
        <f>SUBSTITUTE(INDEX(Calc!$K:$K,(ROW(B279)-1)*5+COLUMN(B279)+1),",",".")</f>
        <v/>
      </c>
      <c r="H280" s="167">
        <f>SUBSTITUTE(INDEX(Calc!$K:$K,(ROW(C279)-1)*5+COLUMN(C279)+1),",",".")</f>
        <v/>
      </c>
      <c r="I280" s="167">
        <f>SUBSTITUTE(INDEX(Calc!$K:$K,(ROW(D279)-1)*5+COLUMN(D279)+1),",",".")</f>
        <v/>
      </c>
      <c r="J280" s="167">
        <f>SUBSTITUTE(INDEX(Calc!$K:$K,(ROW(E279)-1)*5+COLUMN(E279)+1),",",".")</f>
        <v/>
      </c>
      <c r="K280" s="166" t="inlineStr">
        <is>
          <t>], 'type' =&gt; "</t>
        </is>
      </c>
      <c r="L280" s="167">
        <f>Закуп!AA280</f>
        <v/>
      </c>
      <c r="M280" s="166" t="inlineStr">
        <is>
          <t>", 'sale' =&gt; "</t>
        </is>
      </c>
      <c r="N280" s="166">
        <f>IF(Закуп!L280="",0,Закуп!L280)</f>
        <v/>
      </c>
      <c r="O280" s="166" t="inlineStr">
        <is>
          <t>" ],</t>
        </is>
      </c>
      <c r="P280" s="144">
        <f>Закуп!N280</f>
        <v/>
      </c>
      <c r="Q280" s="210">
        <f>CONCATENATE(A280,B280,",",C280,",",D280,E280,F280,",",G280,",",H280,",",I280,",",J280,K280,L280,M280,N280,O280,)</f>
        <v/>
      </c>
    </row>
    <row r="281">
      <c r="A281" s="166" t="inlineStr">
        <is>
          <t xml:space="preserve">        [ 'dims' =&gt; [</t>
        </is>
      </c>
      <c r="B281" s="166">
        <f>Закуп!R281</f>
        <v/>
      </c>
      <c r="C281" s="166">
        <f>Закуп!S281</f>
        <v/>
      </c>
      <c r="D281" s="166">
        <f>Закуп!T281</f>
        <v/>
      </c>
      <c r="E281" s="166" t="inlineStr">
        <is>
          <t>], 'prices' =&gt; [</t>
        </is>
      </c>
      <c r="F281" s="167">
        <f>SUBSTITUTE(INDEX(Calc!$K:$K,(ROW(A280)-1)*5+COLUMN(A280)+1),",",".")</f>
        <v/>
      </c>
      <c r="G281" s="167">
        <f>SUBSTITUTE(INDEX(Calc!$K:$K,(ROW(B280)-1)*5+COLUMN(B280)+1),",",".")</f>
        <v/>
      </c>
      <c r="H281" s="167">
        <f>SUBSTITUTE(INDEX(Calc!$K:$K,(ROW(C280)-1)*5+COLUMN(C280)+1),",",".")</f>
        <v/>
      </c>
      <c r="I281" s="167">
        <f>SUBSTITUTE(INDEX(Calc!$K:$K,(ROW(D280)-1)*5+COLUMN(D280)+1),",",".")</f>
        <v/>
      </c>
      <c r="J281" s="167">
        <f>SUBSTITUTE(INDEX(Calc!$K:$K,(ROW(E280)-1)*5+COLUMN(E280)+1),",",".")</f>
        <v/>
      </c>
      <c r="K281" s="166" t="inlineStr">
        <is>
          <t>], 'type' =&gt; "</t>
        </is>
      </c>
      <c r="L281" s="167">
        <f>Закуп!AA281</f>
        <v/>
      </c>
      <c r="M281" s="166" t="inlineStr">
        <is>
          <t>", 'sale' =&gt; "</t>
        </is>
      </c>
      <c r="N281" s="166">
        <f>IF(Закуп!L281="",0,Закуп!L281)</f>
        <v/>
      </c>
      <c r="O281" s="166" t="inlineStr">
        <is>
          <t>" ],</t>
        </is>
      </c>
      <c r="P281" s="144">
        <f>Закуп!N281</f>
        <v/>
      </c>
      <c r="Q281" s="210">
        <f>CONCATENATE(A281,B281,",",C281,",",D281,E281,F281,",",G281,",",H281,",",I281,",",J281,K281,L281,M281,N281,O281,)</f>
        <v/>
      </c>
    </row>
    <row r="282">
      <c r="A282" s="166" t="inlineStr">
        <is>
          <t xml:space="preserve">        [ 'dims' =&gt; [</t>
        </is>
      </c>
      <c r="B282" s="166">
        <f>Закуп!R282</f>
        <v/>
      </c>
      <c r="C282" s="166">
        <f>Закуп!S282</f>
        <v/>
      </c>
      <c r="D282" s="166">
        <f>Закуп!T282</f>
        <v/>
      </c>
      <c r="E282" s="166" t="inlineStr">
        <is>
          <t>], 'prices' =&gt; [</t>
        </is>
      </c>
      <c r="F282" s="167">
        <f>SUBSTITUTE(INDEX(Calc!$K:$K,(ROW(A281)-1)*5+COLUMN(A281)+1),",",".")</f>
        <v/>
      </c>
      <c r="G282" s="167">
        <f>SUBSTITUTE(INDEX(Calc!$K:$K,(ROW(B281)-1)*5+COLUMN(B281)+1),",",".")</f>
        <v/>
      </c>
      <c r="H282" s="167">
        <f>SUBSTITUTE(INDEX(Calc!$K:$K,(ROW(C281)-1)*5+COLUMN(C281)+1),",",".")</f>
        <v/>
      </c>
      <c r="I282" s="167">
        <f>SUBSTITUTE(INDEX(Calc!$K:$K,(ROW(D281)-1)*5+COLUMN(D281)+1),",",".")</f>
        <v/>
      </c>
      <c r="J282" s="167">
        <f>SUBSTITUTE(INDEX(Calc!$K:$K,(ROW(E281)-1)*5+COLUMN(E281)+1),",",".")</f>
        <v/>
      </c>
      <c r="K282" s="166" t="inlineStr">
        <is>
          <t>], 'type' =&gt; "</t>
        </is>
      </c>
      <c r="L282" s="167">
        <f>Закуп!AA282</f>
        <v/>
      </c>
      <c r="M282" s="166" t="inlineStr">
        <is>
          <t>", 'sale' =&gt; "</t>
        </is>
      </c>
      <c r="N282" s="166">
        <f>IF(Закуп!L282="",0,Закуп!L282)</f>
        <v/>
      </c>
      <c r="O282" s="166" t="inlineStr">
        <is>
          <t>" ],</t>
        </is>
      </c>
      <c r="P282" s="144">
        <f>Закуп!N282</f>
        <v/>
      </c>
      <c r="Q282" s="210">
        <f>CONCATENATE(A282,B282,",",C282,",",D282,E282,F282,",",G282,",",H282,",",I282,",",J282,K282,L282,M282,N282,O282,)</f>
        <v/>
      </c>
    </row>
    <row r="283">
      <c r="A283" s="166" t="inlineStr">
        <is>
          <t xml:space="preserve">        [ 'dims' =&gt; [</t>
        </is>
      </c>
      <c r="B283" s="166">
        <f>Закуп!R283</f>
        <v/>
      </c>
      <c r="C283" s="166">
        <f>Закуп!S283</f>
        <v/>
      </c>
      <c r="D283" s="166">
        <f>Закуп!T283</f>
        <v/>
      </c>
      <c r="E283" s="166" t="inlineStr">
        <is>
          <t>], 'prices' =&gt; [</t>
        </is>
      </c>
      <c r="F283" s="167">
        <f>SUBSTITUTE(INDEX(Calc!$K:$K,(ROW(A282)-1)*5+COLUMN(A282)+1),",",".")</f>
        <v/>
      </c>
      <c r="G283" s="167">
        <f>SUBSTITUTE(INDEX(Calc!$K:$K,(ROW(B282)-1)*5+COLUMN(B282)+1),",",".")</f>
        <v/>
      </c>
      <c r="H283" s="167">
        <f>SUBSTITUTE(INDEX(Calc!$K:$K,(ROW(C282)-1)*5+COLUMN(C282)+1),",",".")</f>
        <v/>
      </c>
      <c r="I283" s="167">
        <f>SUBSTITUTE(INDEX(Calc!$K:$K,(ROW(D282)-1)*5+COLUMN(D282)+1),",",".")</f>
        <v/>
      </c>
      <c r="J283" s="167">
        <f>SUBSTITUTE(INDEX(Calc!$K:$K,(ROW(E282)-1)*5+COLUMN(E282)+1),",",".")</f>
        <v/>
      </c>
      <c r="K283" s="166" t="inlineStr">
        <is>
          <t>], 'type' =&gt; "</t>
        </is>
      </c>
      <c r="L283" s="167">
        <f>Закуп!AA283</f>
        <v/>
      </c>
      <c r="M283" s="166" t="inlineStr">
        <is>
          <t>", 'sale' =&gt; "</t>
        </is>
      </c>
      <c r="N283" s="166">
        <f>IF(Закуп!L283="",0,Закуп!L283)</f>
        <v/>
      </c>
      <c r="O283" s="166" t="inlineStr">
        <is>
          <t>" ],</t>
        </is>
      </c>
      <c r="P283" s="144">
        <f>Закуп!N283</f>
        <v/>
      </c>
      <c r="Q283" s="210">
        <f>CONCATENATE(A283,B283,",",C283,",",D283,E283,F283,",",G283,",",H283,",",I283,",",J283,K283,L283,M283,N283,O283,)</f>
        <v/>
      </c>
    </row>
    <row r="284">
      <c r="A284" s="166" t="inlineStr">
        <is>
          <t xml:space="preserve">        [ 'dims' =&gt; [</t>
        </is>
      </c>
      <c r="B284" s="166">
        <f>Закуп!R284</f>
        <v/>
      </c>
      <c r="C284" s="166">
        <f>Закуп!S284</f>
        <v/>
      </c>
      <c r="D284" s="166">
        <f>Закуп!T284</f>
        <v/>
      </c>
      <c r="E284" s="166" t="inlineStr">
        <is>
          <t>], 'prices' =&gt; [</t>
        </is>
      </c>
      <c r="F284" s="167">
        <f>SUBSTITUTE(INDEX(Calc!$K:$K,(ROW(A283)-1)*5+COLUMN(A283)+1),",",".")</f>
        <v/>
      </c>
      <c r="G284" s="167">
        <f>SUBSTITUTE(INDEX(Calc!$K:$K,(ROW(B283)-1)*5+COLUMN(B283)+1),",",".")</f>
        <v/>
      </c>
      <c r="H284" s="167">
        <f>SUBSTITUTE(INDEX(Calc!$K:$K,(ROW(C283)-1)*5+COLUMN(C283)+1),",",".")</f>
        <v/>
      </c>
      <c r="I284" s="167">
        <f>SUBSTITUTE(INDEX(Calc!$K:$K,(ROW(D283)-1)*5+COLUMN(D283)+1),",",".")</f>
        <v/>
      </c>
      <c r="J284" s="167">
        <f>SUBSTITUTE(INDEX(Calc!$K:$K,(ROW(E283)-1)*5+COLUMN(E283)+1),",",".")</f>
        <v/>
      </c>
      <c r="K284" s="166" t="inlineStr">
        <is>
          <t>], 'type' =&gt; "</t>
        </is>
      </c>
      <c r="L284" s="167">
        <f>Закуп!AA284</f>
        <v/>
      </c>
      <c r="M284" s="166" t="inlineStr">
        <is>
          <t>", 'sale' =&gt; "</t>
        </is>
      </c>
      <c r="N284" s="166">
        <f>IF(Закуп!L284="",0,Закуп!L284)</f>
        <v/>
      </c>
      <c r="O284" s="166" t="inlineStr">
        <is>
          <t>" ],</t>
        </is>
      </c>
      <c r="P284" s="144">
        <f>Закуп!N284</f>
        <v/>
      </c>
      <c r="Q284" s="210">
        <f>CONCATENATE(A284,B284,",",C284,",",D284,E284,F284,",",G284,",",H284,",",I284,",",J284,K284,L284,M284,N284,O284,)</f>
        <v/>
      </c>
    </row>
    <row r="285">
      <c r="A285" s="166" t="inlineStr">
        <is>
          <t xml:space="preserve">        [ 'dims' =&gt; [</t>
        </is>
      </c>
      <c r="B285" s="166">
        <f>Закуп!R285</f>
        <v/>
      </c>
      <c r="C285" s="166">
        <f>Закуп!S285</f>
        <v/>
      </c>
      <c r="D285" s="166">
        <f>Закуп!T285</f>
        <v/>
      </c>
      <c r="E285" s="166" t="inlineStr">
        <is>
          <t>], 'prices' =&gt; [</t>
        </is>
      </c>
      <c r="F285" s="167">
        <f>SUBSTITUTE(INDEX(Calc!$K:$K,(ROW(A284)-1)*5+COLUMN(A284)+1),",",".")</f>
        <v/>
      </c>
      <c r="G285" s="167">
        <f>SUBSTITUTE(INDEX(Calc!$K:$K,(ROW(B284)-1)*5+COLUMN(B284)+1),",",".")</f>
        <v/>
      </c>
      <c r="H285" s="167">
        <f>SUBSTITUTE(INDEX(Calc!$K:$K,(ROW(C284)-1)*5+COLUMN(C284)+1),",",".")</f>
        <v/>
      </c>
      <c r="I285" s="167">
        <f>SUBSTITUTE(INDEX(Calc!$K:$K,(ROW(D284)-1)*5+COLUMN(D284)+1),",",".")</f>
        <v/>
      </c>
      <c r="J285" s="167">
        <f>SUBSTITUTE(INDEX(Calc!$K:$K,(ROW(E284)-1)*5+COLUMN(E284)+1),",",".")</f>
        <v/>
      </c>
      <c r="K285" s="166" t="inlineStr">
        <is>
          <t>], 'type' =&gt; "</t>
        </is>
      </c>
      <c r="L285" s="167">
        <f>Закуп!AA285</f>
        <v/>
      </c>
      <c r="M285" s="166" t="inlineStr">
        <is>
          <t>", 'sale' =&gt; "</t>
        </is>
      </c>
      <c r="N285" s="166">
        <f>IF(Закуп!L285="",0,Закуп!L285)</f>
        <v/>
      </c>
      <c r="O285" s="166" t="inlineStr">
        <is>
          <t>" ],</t>
        </is>
      </c>
      <c r="P285" s="144">
        <f>Закуп!N285</f>
        <v/>
      </c>
      <c r="Q285" s="210">
        <f>CONCATENATE(A285,B285,",",C285,",",D285,E285,F285,",",G285,",",H285,",",I285,",",J285,K285,L285,M285,N285,O285,)</f>
        <v/>
      </c>
    </row>
    <row r="286">
      <c r="A286" s="166" t="inlineStr">
        <is>
          <t xml:space="preserve">        [ 'dims' =&gt; [</t>
        </is>
      </c>
      <c r="B286" s="166">
        <f>Закуп!R286</f>
        <v/>
      </c>
      <c r="C286" s="166">
        <f>Закуп!S286</f>
        <v/>
      </c>
      <c r="D286" s="166">
        <f>Закуп!T286</f>
        <v/>
      </c>
      <c r="E286" s="166" t="inlineStr">
        <is>
          <t>], 'prices' =&gt; [</t>
        </is>
      </c>
      <c r="F286" s="167">
        <f>SUBSTITUTE(INDEX(Calc!$K:$K,(ROW(A285)-1)*5+COLUMN(A285)+1),",",".")</f>
        <v/>
      </c>
      <c r="G286" s="167">
        <f>SUBSTITUTE(INDEX(Calc!$K:$K,(ROW(B285)-1)*5+COLUMN(B285)+1),",",".")</f>
        <v/>
      </c>
      <c r="H286" s="167">
        <f>SUBSTITUTE(INDEX(Calc!$K:$K,(ROW(C285)-1)*5+COLUMN(C285)+1),",",".")</f>
        <v/>
      </c>
      <c r="I286" s="167">
        <f>SUBSTITUTE(INDEX(Calc!$K:$K,(ROW(D285)-1)*5+COLUMN(D285)+1),",",".")</f>
        <v/>
      </c>
      <c r="J286" s="167">
        <f>SUBSTITUTE(INDEX(Calc!$K:$K,(ROW(E285)-1)*5+COLUMN(E285)+1),",",".")</f>
        <v/>
      </c>
      <c r="K286" s="166" t="inlineStr">
        <is>
          <t>], 'type' =&gt; "</t>
        </is>
      </c>
      <c r="L286" s="167">
        <f>Закуп!AA286</f>
        <v/>
      </c>
      <c r="M286" s="166" t="inlineStr">
        <is>
          <t>", 'sale' =&gt; "</t>
        </is>
      </c>
      <c r="N286" s="166">
        <f>IF(Закуп!L286="",0,Закуп!L286)</f>
        <v/>
      </c>
      <c r="O286" s="166" t="inlineStr">
        <is>
          <t>" ],</t>
        </is>
      </c>
      <c r="P286" s="144">
        <f>Закуп!N286</f>
        <v/>
      </c>
      <c r="Q286" s="210">
        <f>CONCATENATE(A286,B286,",",C286,",",D286,E286,F286,",",G286,",",H286,",",I286,",",J286,K286,L286,M286,N286,O286,)</f>
        <v/>
      </c>
    </row>
    <row r="287">
      <c r="A287" s="166" t="inlineStr">
        <is>
          <t xml:space="preserve">        [ 'dims' =&gt; [</t>
        </is>
      </c>
      <c r="B287" s="166">
        <f>Закуп!R287</f>
        <v/>
      </c>
      <c r="C287" s="166">
        <f>Закуп!S287</f>
        <v/>
      </c>
      <c r="D287" s="166">
        <f>Закуп!T287</f>
        <v/>
      </c>
      <c r="E287" s="166" t="inlineStr">
        <is>
          <t>], 'prices' =&gt; [</t>
        </is>
      </c>
      <c r="F287" s="167">
        <f>SUBSTITUTE(INDEX(Calc!$K:$K,(ROW(A286)-1)*5+COLUMN(A286)+1),",",".")</f>
        <v/>
      </c>
      <c r="G287" s="167">
        <f>SUBSTITUTE(INDEX(Calc!$K:$K,(ROW(B286)-1)*5+COLUMN(B286)+1),",",".")</f>
        <v/>
      </c>
      <c r="H287" s="167">
        <f>SUBSTITUTE(INDEX(Calc!$K:$K,(ROW(C286)-1)*5+COLUMN(C286)+1),",",".")</f>
        <v/>
      </c>
      <c r="I287" s="167">
        <f>SUBSTITUTE(INDEX(Calc!$K:$K,(ROW(D286)-1)*5+COLUMN(D286)+1),",",".")</f>
        <v/>
      </c>
      <c r="J287" s="167">
        <f>SUBSTITUTE(INDEX(Calc!$K:$K,(ROW(E286)-1)*5+COLUMN(E286)+1),",",".")</f>
        <v/>
      </c>
      <c r="K287" s="166" t="inlineStr">
        <is>
          <t>], 'type' =&gt; "</t>
        </is>
      </c>
      <c r="L287" s="167">
        <f>Закуп!AA287</f>
        <v/>
      </c>
      <c r="M287" s="166" t="inlineStr">
        <is>
          <t>", 'sale' =&gt; "</t>
        </is>
      </c>
      <c r="N287" s="166">
        <f>IF(Закуп!L287="",0,Закуп!L287)</f>
        <v/>
      </c>
      <c r="O287" s="166" t="inlineStr">
        <is>
          <t>" ],</t>
        </is>
      </c>
      <c r="P287" s="144">
        <f>Закуп!N287</f>
        <v/>
      </c>
      <c r="Q287" s="210">
        <f>CONCATENATE(A287,B287,",",C287,",",D287,E287,F287,",",G287,",",H287,",",I287,",",J287,K287,L287,M287,N287,O287,)</f>
        <v/>
      </c>
    </row>
    <row r="288">
      <c r="A288" s="166" t="inlineStr">
        <is>
          <t xml:space="preserve">        [ 'dims' =&gt; [</t>
        </is>
      </c>
      <c r="B288" s="166">
        <f>Закуп!R288</f>
        <v/>
      </c>
      <c r="C288" s="166">
        <f>Закуп!S288</f>
        <v/>
      </c>
      <c r="D288" s="166">
        <f>Закуп!T288</f>
        <v/>
      </c>
      <c r="E288" s="166" t="inlineStr">
        <is>
          <t>], 'prices' =&gt; [</t>
        </is>
      </c>
      <c r="F288" s="167">
        <f>SUBSTITUTE(INDEX(Calc!$K:$K,(ROW(A287)-1)*5+COLUMN(A287)+1),",",".")</f>
        <v/>
      </c>
      <c r="G288" s="167">
        <f>SUBSTITUTE(INDEX(Calc!$K:$K,(ROW(B287)-1)*5+COLUMN(B287)+1),",",".")</f>
        <v/>
      </c>
      <c r="H288" s="167">
        <f>SUBSTITUTE(INDEX(Calc!$K:$K,(ROW(C287)-1)*5+COLUMN(C287)+1),",",".")</f>
        <v/>
      </c>
      <c r="I288" s="167">
        <f>SUBSTITUTE(INDEX(Calc!$K:$K,(ROW(D287)-1)*5+COLUMN(D287)+1),",",".")</f>
        <v/>
      </c>
      <c r="J288" s="167">
        <f>SUBSTITUTE(INDEX(Calc!$K:$K,(ROW(E287)-1)*5+COLUMN(E287)+1),",",".")</f>
        <v/>
      </c>
      <c r="K288" s="166" t="inlineStr">
        <is>
          <t>], 'type' =&gt; "</t>
        </is>
      </c>
      <c r="L288" s="167">
        <f>Закуп!AA288</f>
        <v/>
      </c>
      <c r="M288" s="166" t="inlineStr">
        <is>
          <t>", 'sale' =&gt; "</t>
        </is>
      </c>
      <c r="N288" s="166">
        <f>IF(Закуп!L288="",0,Закуп!L288)</f>
        <v/>
      </c>
      <c r="O288" s="166" t="inlineStr">
        <is>
          <t>" ],</t>
        </is>
      </c>
      <c r="P288" s="144">
        <f>Закуп!N288</f>
        <v/>
      </c>
      <c r="Q288" s="210">
        <f>CONCATENATE(A288,B288,",",C288,",",D288,E288,F288,",",G288,",",H288,",",I288,",",J288,K288,L288,M288,N288,O288,)</f>
        <v/>
      </c>
    </row>
    <row r="289">
      <c r="A289" s="166" t="inlineStr">
        <is>
          <t xml:space="preserve">        [ 'dims' =&gt; [</t>
        </is>
      </c>
      <c r="B289" s="166">
        <f>Закуп!R289</f>
        <v/>
      </c>
      <c r="C289" s="166">
        <f>Закуп!S289</f>
        <v/>
      </c>
      <c r="D289" s="166">
        <f>Закуп!T289</f>
        <v/>
      </c>
      <c r="E289" s="166" t="inlineStr">
        <is>
          <t>], 'prices' =&gt; [</t>
        </is>
      </c>
      <c r="F289" s="167">
        <f>SUBSTITUTE(INDEX(Calc!$K:$K,(ROW(A288)-1)*5+COLUMN(A288)+1),",",".")</f>
        <v/>
      </c>
      <c r="G289" s="167">
        <f>SUBSTITUTE(INDEX(Calc!$K:$K,(ROW(B288)-1)*5+COLUMN(B288)+1),",",".")</f>
        <v/>
      </c>
      <c r="H289" s="167">
        <f>SUBSTITUTE(INDEX(Calc!$K:$K,(ROW(C288)-1)*5+COLUMN(C288)+1),",",".")</f>
        <v/>
      </c>
      <c r="I289" s="167">
        <f>SUBSTITUTE(INDEX(Calc!$K:$K,(ROW(D288)-1)*5+COLUMN(D288)+1),",",".")</f>
        <v/>
      </c>
      <c r="J289" s="167">
        <f>SUBSTITUTE(INDEX(Calc!$K:$K,(ROW(E288)-1)*5+COLUMN(E288)+1),",",".")</f>
        <v/>
      </c>
      <c r="K289" s="166" t="inlineStr">
        <is>
          <t>], 'type' =&gt; "</t>
        </is>
      </c>
      <c r="L289" s="167">
        <f>Закуп!AA289</f>
        <v/>
      </c>
      <c r="M289" s="166" t="inlineStr">
        <is>
          <t>", 'sale' =&gt; "</t>
        </is>
      </c>
      <c r="N289" s="166">
        <f>IF(Закуп!L289="",0,Закуп!L289)</f>
        <v/>
      </c>
      <c r="O289" s="166" t="inlineStr">
        <is>
          <t>" ],</t>
        </is>
      </c>
      <c r="P289" s="144">
        <f>Закуп!N289</f>
        <v/>
      </c>
      <c r="Q289" s="210">
        <f>CONCATENATE(A289,B289,",",C289,",",D289,E289,F289,",",G289,",",H289,",",I289,",",J289,K289,L289,M289,N289,O289,)</f>
        <v/>
      </c>
    </row>
    <row r="290">
      <c r="A290" s="166" t="inlineStr">
        <is>
          <t xml:space="preserve">        [ 'dims' =&gt; [</t>
        </is>
      </c>
      <c r="B290" s="166">
        <f>Закуп!R290</f>
        <v/>
      </c>
      <c r="C290" s="166">
        <f>Закуп!S290</f>
        <v/>
      </c>
      <c r="D290" s="166">
        <f>Закуп!T290</f>
        <v/>
      </c>
      <c r="E290" s="166" t="inlineStr">
        <is>
          <t>], 'prices' =&gt; [</t>
        </is>
      </c>
      <c r="F290" s="167">
        <f>SUBSTITUTE(INDEX(Calc!$K:$K,(ROW(A289)-1)*5+COLUMN(A289)+1),",",".")</f>
        <v/>
      </c>
      <c r="G290" s="167">
        <f>SUBSTITUTE(INDEX(Calc!$K:$K,(ROW(B289)-1)*5+COLUMN(B289)+1),",",".")</f>
        <v/>
      </c>
      <c r="H290" s="167">
        <f>SUBSTITUTE(INDEX(Calc!$K:$K,(ROW(C289)-1)*5+COLUMN(C289)+1),",",".")</f>
        <v/>
      </c>
      <c r="I290" s="167">
        <f>SUBSTITUTE(INDEX(Calc!$K:$K,(ROW(D289)-1)*5+COLUMN(D289)+1),",",".")</f>
        <v/>
      </c>
      <c r="J290" s="167">
        <f>SUBSTITUTE(INDEX(Calc!$K:$K,(ROW(E289)-1)*5+COLUMN(E289)+1),",",".")</f>
        <v/>
      </c>
      <c r="K290" s="166" t="inlineStr">
        <is>
          <t>], 'type' =&gt; "</t>
        </is>
      </c>
      <c r="L290" s="167">
        <f>Закуп!AA290</f>
        <v/>
      </c>
      <c r="M290" s="166" t="inlineStr">
        <is>
          <t>", 'sale' =&gt; "</t>
        </is>
      </c>
      <c r="N290" s="166">
        <f>IF(Закуп!L290="",0,Закуп!L290)</f>
        <v/>
      </c>
      <c r="O290" s="166" t="inlineStr">
        <is>
          <t>" ],</t>
        </is>
      </c>
      <c r="P290" s="144">
        <f>Закуп!N290</f>
        <v/>
      </c>
      <c r="Q290" s="210">
        <f>CONCATENATE(A290,B290,",",C290,",",D290,E290,F290,",",G290,",",H290,",",I290,",",J290,K290,L290,M290,N290,O290,)</f>
        <v/>
      </c>
    </row>
    <row r="291">
      <c r="A291" s="166" t="inlineStr">
        <is>
          <t xml:space="preserve">        [ 'dims' =&gt; [</t>
        </is>
      </c>
      <c r="B291" s="166">
        <f>Закуп!R291</f>
        <v/>
      </c>
      <c r="C291" s="166">
        <f>Закуп!S291</f>
        <v/>
      </c>
      <c r="D291" s="166">
        <f>Закуп!T291</f>
        <v/>
      </c>
      <c r="E291" s="166" t="inlineStr">
        <is>
          <t>], 'prices' =&gt; [</t>
        </is>
      </c>
      <c r="F291" s="167">
        <f>SUBSTITUTE(INDEX(Calc!$K:$K,(ROW(A290)-1)*5+COLUMN(A290)+1),",",".")</f>
        <v/>
      </c>
      <c r="G291" s="167">
        <f>SUBSTITUTE(INDEX(Calc!$K:$K,(ROW(B290)-1)*5+COLUMN(B290)+1),",",".")</f>
        <v/>
      </c>
      <c r="H291" s="167">
        <f>SUBSTITUTE(INDEX(Calc!$K:$K,(ROW(C290)-1)*5+COLUMN(C290)+1),",",".")</f>
        <v/>
      </c>
      <c r="I291" s="167">
        <f>SUBSTITUTE(INDEX(Calc!$K:$K,(ROW(D290)-1)*5+COLUMN(D290)+1),",",".")</f>
        <v/>
      </c>
      <c r="J291" s="167">
        <f>SUBSTITUTE(INDEX(Calc!$K:$K,(ROW(E290)-1)*5+COLUMN(E290)+1),",",".")</f>
        <v/>
      </c>
      <c r="K291" s="166" t="inlineStr">
        <is>
          <t>], 'type' =&gt; "</t>
        </is>
      </c>
      <c r="L291" s="167">
        <f>Закуп!AA291</f>
        <v/>
      </c>
      <c r="M291" s="166" t="inlineStr">
        <is>
          <t>", 'sale' =&gt; "</t>
        </is>
      </c>
      <c r="N291" s="166">
        <f>IF(Закуп!L291="",0,Закуп!L291)</f>
        <v/>
      </c>
      <c r="O291" s="166" t="inlineStr">
        <is>
          <t>" ],</t>
        </is>
      </c>
      <c r="P291" s="144">
        <f>Закуп!N291</f>
        <v/>
      </c>
      <c r="Q291" s="210">
        <f>CONCATENATE(A291,B291,",",C291,",",D291,E291,F291,",",G291,",",H291,",",I291,",",J291,K291,L291,M291,N291,O291,)</f>
        <v/>
      </c>
    </row>
    <row r="292">
      <c r="A292" s="166" t="inlineStr">
        <is>
          <t xml:space="preserve">        [ 'dims' =&gt; [</t>
        </is>
      </c>
      <c r="B292" s="166">
        <f>Закуп!R292</f>
        <v/>
      </c>
      <c r="C292" s="166">
        <f>Закуп!S292</f>
        <v/>
      </c>
      <c r="D292" s="166">
        <f>Закуп!T292</f>
        <v/>
      </c>
      <c r="E292" s="166" t="inlineStr">
        <is>
          <t>], 'prices' =&gt; [</t>
        </is>
      </c>
      <c r="F292" s="167">
        <f>SUBSTITUTE(INDEX(Calc!$K:$K,(ROW(A291)-1)*5+COLUMN(A291)+1),",",".")</f>
        <v/>
      </c>
      <c r="G292" s="167">
        <f>SUBSTITUTE(INDEX(Calc!$K:$K,(ROW(B291)-1)*5+COLUMN(B291)+1),",",".")</f>
        <v/>
      </c>
      <c r="H292" s="167">
        <f>SUBSTITUTE(INDEX(Calc!$K:$K,(ROW(C291)-1)*5+COLUMN(C291)+1),",",".")</f>
        <v/>
      </c>
      <c r="I292" s="167">
        <f>SUBSTITUTE(INDEX(Calc!$K:$K,(ROW(D291)-1)*5+COLUMN(D291)+1),",",".")</f>
        <v/>
      </c>
      <c r="J292" s="167">
        <f>SUBSTITUTE(INDEX(Calc!$K:$K,(ROW(E291)-1)*5+COLUMN(E291)+1),",",".")</f>
        <v/>
      </c>
      <c r="K292" s="166" t="inlineStr">
        <is>
          <t>], 'type' =&gt; "</t>
        </is>
      </c>
      <c r="L292" s="167">
        <f>Закуп!AA292</f>
        <v/>
      </c>
      <c r="M292" s="166" t="inlineStr">
        <is>
          <t>", 'sale' =&gt; "</t>
        </is>
      </c>
      <c r="N292" s="166">
        <f>IF(Закуп!L292="",0,Закуп!L292)</f>
        <v/>
      </c>
      <c r="O292" s="166" t="inlineStr">
        <is>
          <t>" ],</t>
        </is>
      </c>
      <c r="P292" s="144">
        <f>Закуп!N292</f>
        <v/>
      </c>
      <c r="Q292" s="210">
        <f>CONCATENATE(A292,B292,",",C292,",",D292,E292,F292,",",G292,",",H292,",",I292,",",J292,K292,L292,M292,N292,O292,)</f>
        <v/>
      </c>
    </row>
    <row r="293">
      <c r="A293" s="166" t="inlineStr">
        <is>
          <t xml:space="preserve">        [ 'dims' =&gt; [</t>
        </is>
      </c>
      <c r="B293" s="166">
        <f>Закуп!R293</f>
        <v/>
      </c>
      <c r="C293" s="166">
        <f>Закуп!S293</f>
        <v/>
      </c>
      <c r="D293" s="166">
        <f>Закуп!T293</f>
        <v/>
      </c>
      <c r="E293" s="166" t="inlineStr">
        <is>
          <t>], 'prices' =&gt; [</t>
        </is>
      </c>
      <c r="F293" s="167">
        <f>SUBSTITUTE(INDEX(Calc!$K:$K,(ROW(A292)-1)*5+COLUMN(A292)+1),",",".")</f>
        <v/>
      </c>
      <c r="G293" s="167">
        <f>SUBSTITUTE(INDEX(Calc!$K:$K,(ROW(B292)-1)*5+COLUMN(B292)+1),",",".")</f>
        <v/>
      </c>
      <c r="H293" s="167">
        <f>SUBSTITUTE(INDEX(Calc!$K:$K,(ROW(C292)-1)*5+COLUMN(C292)+1),",",".")</f>
        <v/>
      </c>
      <c r="I293" s="167">
        <f>SUBSTITUTE(INDEX(Calc!$K:$K,(ROW(D292)-1)*5+COLUMN(D292)+1),",",".")</f>
        <v/>
      </c>
      <c r="J293" s="167">
        <f>SUBSTITUTE(INDEX(Calc!$K:$K,(ROW(E292)-1)*5+COLUMN(E292)+1),",",".")</f>
        <v/>
      </c>
      <c r="K293" s="166" t="inlineStr">
        <is>
          <t>], 'type' =&gt; "</t>
        </is>
      </c>
      <c r="L293" s="167">
        <f>Закуп!AA293</f>
        <v/>
      </c>
      <c r="M293" s="166" t="inlineStr">
        <is>
          <t>", 'sale' =&gt; "</t>
        </is>
      </c>
      <c r="N293" s="166">
        <f>IF(Закуп!L293="",0,Закуп!L293)</f>
        <v/>
      </c>
      <c r="O293" s="166" t="inlineStr">
        <is>
          <t>" ],</t>
        </is>
      </c>
      <c r="P293" s="144">
        <f>Закуп!N293</f>
        <v/>
      </c>
      <c r="Q293" s="210">
        <f>CONCATENATE(A293,B293,",",C293,",",D293,E293,F293,",",G293,",",H293,",",I293,",",J293,K293,L293,M293,N293,O293,)</f>
        <v/>
      </c>
    </row>
    <row r="294">
      <c r="A294" s="166" t="inlineStr">
        <is>
          <t xml:space="preserve">        [ 'dims' =&gt; [</t>
        </is>
      </c>
      <c r="B294" s="166">
        <f>Закуп!R294</f>
        <v/>
      </c>
      <c r="C294" s="166">
        <f>Закуп!S294</f>
        <v/>
      </c>
      <c r="D294" s="166">
        <f>Закуп!T294</f>
        <v/>
      </c>
      <c r="E294" s="166" t="inlineStr">
        <is>
          <t>], 'prices' =&gt; [</t>
        </is>
      </c>
      <c r="F294" s="167">
        <f>SUBSTITUTE(INDEX(Calc!$K:$K,(ROW(A293)-1)*5+COLUMN(A293)+1),",",".")</f>
        <v/>
      </c>
      <c r="G294" s="167">
        <f>SUBSTITUTE(INDEX(Calc!$K:$K,(ROW(B293)-1)*5+COLUMN(B293)+1),",",".")</f>
        <v/>
      </c>
      <c r="H294" s="167">
        <f>SUBSTITUTE(INDEX(Calc!$K:$K,(ROW(C293)-1)*5+COLUMN(C293)+1),",",".")</f>
        <v/>
      </c>
      <c r="I294" s="167">
        <f>SUBSTITUTE(INDEX(Calc!$K:$K,(ROW(D293)-1)*5+COLUMN(D293)+1),",",".")</f>
        <v/>
      </c>
      <c r="J294" s="167">
        <f>SUBSTITUTE(INDEX(Calc!$K:$K,(ROW(E293)-1)*5+COLUMN(E293)+1),",",".")</f>
        <v/>
      </c>
      <c r="K294" s="166" t="inlineStr">
        <is>
          <t>], 'type' =&gt; "</t>
        </is>
      </c>
      <c r="L294" s="167">
        <f>Закуп!AA294</f>
        <v/>
      </c>
      <c r="M294" s="166" t="inlineStr">
        <is>
          <t>", 'sale' =&gt; "</t>
        </is>
      </c>
      <c r="N294" s="166">
        <f>IF(Закуп!L294="",0,Закуп!L294)</f>
        <v/>
      </c>
      <c r="O294" s="166" t="inlineStr">
        <is>
          <t>" ],</t>
        </is>
      </c>
      <c r="P294" s="144">
        <f>Закуп!N294</f>
        <v/>
      </c>
      <c r="Q294" s="210">
        <f>CONCATENATE(A294,B294,",",C294,",",D294,E294,F294,",",G294,",",H294,",",I294,",",J294,K294,L294,M294,N294,O294,)</f>
        <v/>
      </c>
    </row>
    <row r="295">
      <c r="A295" s="166" t="inlineStr">
        <is>
          <t xml:space="preserve">        [ 'dims' =&gt; [</t>
        </is>
      </c>
      <c r="B295" s="166">
        <f>Закуп!R295</f>
        <v/>
      </c>
      <c r="C295" s="166">
        <f>Закуп!S295</f>
        <v/>
      </c>
      <c r="D295" s="166">
        <f>Закуп!T295</f>
        <v/>
      </c>
      <c r="E295" s="166" t="inlineStr">
        <is>
          <t>], 'prices' =&gt; [</t>
        </is>
      </c>
      <c r="F295" s="167">
        <f>SUBSTITUTE(INDEX(Calc!$K:$K,(ROW(A294)-1)*5+COLUMN(A294)+1),",",".")</f>
        <v/>
      </c>
      <c r="G295" s="167">
        <f>SUBSTITUTE(INDEX(Calc!$K:$K,(ROW(B294)-1)*5+COLUMN(B294)+1),",",".")</f>
        <v/>
      </c>
      <c r="H295" s="167">
        <f>SUBSTITUTE(INDEX(Calc!$K:$K,(ROW(C294)-1)*5+COLUMN(C294)+1),",",".")</f>
        <v/>
      </c>
      <c r="I295" s="167">
        <f>SUBSTITUTE(INDEX(Calc!$K:$K,(ROW(D294)-1)*5+COLUMN(D294)+1),",",".")</f>
        <v/>
      </c>
      <c r="J295" s="167">
        <f>SUBSTITUTE(INDEX(Calc!$K:$K,(ROW(E294)-1)*5+COLUMN(E294)+1),",",".")</f>
        <v/>
      </c>
      <c r="K295" s="166" t="inlineStr">
        <is>
          <t>], 'type' =&gt; "</t>
        </is>
      </c>
      <c r="L295" s="167">
        <f>Закуп!AA295</f>
        <v/>
      </c>
      <c r="M295" s="166" t="inlineStr">
        <is>
          <t>", 'sale' =&gt; "</t>
        </is>
      </c>
      <c r="N295" s="166">
        <f>IF(Закуп!L295="",0,Закуп!L295)</f>
        <v/>
      </c>
      <c r="O295" s="166" t="inlineStr">
        <is>
          <t>" ],</t>
        </is>
      </c>
      <c r="P295" s="144">
        <f>Закуп!N295</f>
        <v/>
      </c>
      <c r="Q295" s="210">
        <f>CONCATENATE(A295,B295,",",C295,",",D295,E295,F295,",",G295,",",H295,",",I295,",",J295,K295,L295,M295,N295,O295,)</f>
        <v/>
      </c>
    </row>
    <row r="296">
      <c r="A296" s="166" t="inlineStr">
        <is>
          <t xml:space="preserve">        [ 'dims' =&gt; [</t>
        </is>
      </c>
      <c r="B296" s="166">
        <f>Закуп!R296</f>
        <v/>
      </c>
      <c r="C296" s="166">
        <f>Закуп!S296</f>
        <v/>
      </c>
      <c r="D296" s="166">
        <f>Закуп!T296</f>
        <v/>
      </c>
      <c r="E296" s="166" t="inlineStr">
        <is>
          <t>], 'prices' =&gt; [</t>
        </is>
      </c>
      <c r="F296" s="167">
        <f>SUBSTITUTE(INDEX(Calc!$K:$K,(ROW(A295)-1)*5+COLUMN(A295)+1),",",".")</f>
        <v/>
      </c>
      <c r="G296" s="167">
        <f>SUBSTITUTE(INDEX(Calc!$K:$K,(ROW(B295)-1)*5+COLUMN(B295)+1),",",".")</f>
        <v/>
      </c>
      <c r="H296" s="167">
        <f>SUBSTITUTE(INDEX(Calc!$K:$K,(ROW(C295)-1)*5+COLUMN(C295)+1),",",".")</f>
        <v/>
      </c>
      <c r="I296" s="167">
        <f>SUBSTITUTE(INDEX(Calc!$K:$K,(ROW(D295)-1)*5+COLUMN(D295)+1),",",".")</f>
        <v/>
      </c>
      <c r="J296" s="167">
        <f>SUBSTITUTE(INDEX(Calc!$K:$K,(ROW(E295)-1)*5+COLUMN(E295)+1),",",".")</f>
        <v/>
      </c>
      <c r="K296" s="166" t="inlineStr">
        <is>
          <t>], 'type' =&gt; "</t>
        </is>
      </c>
      <c r="L296" s="167">
        <f>Закуп!AA296</f>
        <v/>
      </c>
      <c r="M296" s="166" t="inlineStr">
        <is>
          <t>", 'sale' =&gt; "</t>
        </is>
      </c>
      <c r="N296" s="166">
        <f>IF(Закуп!L296="",0,Закуп!L296)</f>
        <v/>
      </c>
      <c r="O296" s="166" t="inlineStr">
        <is>
          <t>" ],</t>
        </is>
      </c>
      <c r="P296" s="144">
        <f>Закуп!N296</f>
        <v/>
      </c>
      <c r="Q296" s="210">
        <f>CONCATENATE(A296,B296,",",C296,",",D296,E296,F296,",",G296,",",H296,",",I296,",",J296,K296,L296,M296,N296,O296,)</f>
        <v/>
      </c>
    </row>
    <row r="297">
      <c r="A297" s="166" t="inlineStr">
        <is>
          <t xml:space="preserve">        [ 'dims' =&gt; [</t>
        </is>
      </c>
      <c r="B297" s="166">
        <f>Закуп!R297</f>
        <v/>
      </c>
      <c r="C297" s="166">
        <f>Закуп!S297</f>
        <v/>
      </c>
      <c r="D297" s="166">
        <f>Закуп!T297</f>
        <v/>
      </c>
      <c r="E297" s="166" t="inlineStr">
        <is>
          <t>], 'prices' =&gt; [</t>
        </is>
      </c>
      <c r="F297" s="167">
        <f>SUBSTITUTE(INDEX(Calc!$K:$K,(ROW(A296)-1)*5+COLUMN(A296)+1),",",".")</f>
        <v/>
      </c>
      <c r="G297" s="167">
        <f>SUBSTITUTE(INDEX(Calc!$K:$K,(ROW(B296)-1)*5+COLUMN(B296)+1),",",".")</f>
        <v/>
      </c>
      <c r="H297" s="167">
        <f>SUBSTITUTE(INDEX(Calc!$K:$K,(ROW(C296)-1)*5+COLUMN(C296)+1),",",".")</f>
        <v/>
      </c>
      <c r="I297" s="167">
        <f>SUBSTITUTE(INDEX(Calc!$K:$K,(ROW(D296)-1)*5+COLUMN(D296)+1),",",".")</f>
        <v/>
      </c>
      <c r="J297" s="167">
        <f>SUBSTITUTE(INDEX(Calc!$K:$K,(ROW(E296)-1)*5+COLUMN(E296)+1),",",".")</f>
        <v/>
      </c>
      <c r="K297" s="166" t="inlineStr">
        <is>
          <t>], 'type' =&gt; "</t>
        </is>
      </c>
      <c r="L297" s="167">
        <f>Закуп!AA297</f>
        <v/>
      </c>
      <c r="M297" s="166" t="inlineStr">
        <is>
          <t>", 'sale' =&gt; "</t>
        </is>
      </c>
      <c r="N297" s="166">
        <f>IF(Закуп!L297="",0,Закуп!L297)</f>
        <v/>
      </c>
      <c r="O297" s="166" t="inlineStr">
        <is>
          <t>" ],</t>
        </is>
      </c>
      <c r="P297" s="144">
        <f>Закуп!N297</f>
        <v/>
      </c>
      <c r="Q297" s="210">
        <f>CONCATENATE(A297,B297,",",C297,",",D297,E297,F297,",",G297,",",H297,",",I297,",",J297,K297,L297,M297,N297,O297,)</f>
        <v/>
      </c>
    </row>
    <row r="298">
      <c r="A298" s="166" t="inlineStr">
        <is>
          <t xml:space="preserve">        [ 'dims' =&gt; [</t>
        </is>
      </c>
      <c r="B298" s="166">
        <f>Закуп!R298</f>
        <v/>
      </c>
      <c r="C298" s="166">
        <f>Закуп!S298</f>
        <v/>
      </c>
      <c r="D298" s="166">
        <f>Закуп!T298</f>
        <v/>
      </c>
      <c r="E298" s="166" t="inlineStr">
        <is>
          <t>], 'prices' =&gt; [</t>
        </is>
      </c>
      <c r="F298" s="167">
        <f>SUBSTITUTE(INDEX(Calc!$K:$K,(ROW(A297)-1)*5+COLUMN(A297)+1),",",".")</f>
        <v/>
      </c>
      <c r="G298" s="167">
        <f>SUBSTITUTE(INDEX(Calc!$K:$K,(ROW(B297)-1)*5+COLUMN(B297)+1),",",".")</f>
        <v/>
      </c>
      <c r="H298" s="167">
        <f>SUBSTITUTE(INDEX(Calc!$K:$K,(ROW(C297)-1)*5+COLUMN(C297)+1),",",".")</f>
        <v/>
      </c>
      <c r="I298" s="167">
        <f>SUBSTITUTE(INDEX(Calc!$K:$K,(ROW(D297)-1)*5+COLUMN(D297)+1),",",".")</f>
        <v/>
      </c>
      <c r="J298" s="167">
        <f>SUBSTITUTE(INDEX(Calc!$K:$K,(ROW(E297)-1)*5+COLUMN(E297)+1),",",".")</f>
        <v/>
      </c>
      <c r="K298" s="166" t="inlineStr">
        <is>
          <t>], 'type' =&gt; "</t>
        </is>
      </c>
      <c r="L298" s="167">
        <f>Закуп!AA298</f>
        <v/>
      </c>
      <c r="M298" s="166" t="inlineStr">
        <is>
          <t>", 'sale' =&gt; "</t>
        </is>
      </c>
      <c r="N298" s="166">
        <f>IF(Закуп!L298="",0,Закуп!L298)</f>
        <v/>
      </c>
      <c r="O298" s="166" t="inlineStr">
        <is>
          <t>" ],</t>
        </is>
      </c>
      <c r="P298" s="144">
        <f>Закуп!N298</f>
        <v/>
      </c>
      <c r="Q298" s="210">
        <f>CONCATENATE(A298,B298,",",C298,",",D298,E298,F298,",",G298,",",H298,",",I298,",",J298,K298,L298,M298,N298,O298,)</f>
        <v/>
      </c>
    </row>
    <row r="299">
      <c r="A299" s="47" t="inlineStr">
        <is>
          <t xml:space="preserve">        [ 'dims' =&gt; [</t>
        </is>
      </c>
      <c r="B299" s="47">
        <f>Закуп!R299</f>
        <v/>
      </c>
      <c r="C299" s="47">
        <f>Закуп!S299</f>
        <v/>
      </c>
      <c r="D299" s="47">
        <f>Закуп!T299</f>
        <v/>
      </c>
      <c r="E299" s="47" t="inlineStr">
        <is>
          <t>], 'prices' =&gt; [</t>
        </is>
      </c>
      <c r="F299" s="101">
        <f>SUBSTITUTE(INDEX(Calc!$K:$K,(ROW(A298)-1)*5+COLUMN(A298)+1),",",".")</f>
        <v/>
      </c>
      <c r="G299" s="101">
        <f>SUBSTITUTE(INDEX(Calc!$K:$K,(ROW(B298)-1)*5+COLUMN(B298)+1),",",".")</f>
        <v/>
      </c>
      <c r="H299" s="101">
        <f>SUBSTITUTE(INDEX(Calc!$K:$K,(ROW(C298)-1)*5+COLUMN(C298)+1),",",".")</f>
        <v/>
      </c>
      <c r="I299" s="101">
        <f>SUBSTITUTE(INDEX(Calc!$K:$K,(ROW(D298)-1)*5+COLUMN(D298)+1),",",".")</f>
        <v/>
      </c>
      <c r="J299" s="101">
        <f>SUBSTITUTE(INDEX(Calc!$K:$K,(ROW(E298)-1)*5+COLUMN(E298)+1),",",".")</f>
        <v/>
      </c>
      <c r="K299" s="47" t="inlineStr">
        <is>
          <t>], 'type' =&gt; "</t>
        </is>
      </c>
      <c r="L299" s="101">
        <f>Закуп!AA299</f>
        <v/>
      </c>
      <c r="M299" s="47" t="inlineStr">
        <is>
          <t>", 'sale' =&gt; "</t>
        </is>
      </c>
      <c r="N299" s="47">
        <f>IF(Закуп!L299="",0,Закуп!L299)</f>
        <v/>
      </c>
      <c r="O299" s="47" t="inlineStr">
        <is>
          <t>" ],</t>
        </is>
      </c>
      <c r="P299" s="165">
        <f>Закуп!N299</f>
        <v/>
      </c>
      <c r="Q299" s="210">
        <f>CONCATENATE(A299,B299,",",C299,",",D299,E299,F299,",",G299,",",H299,",",I299,",",J299,K299,L299,M299,N299,O299,)</f>
        <v/>
      </c>
    </row>
    <row r="300">
      <c r="A300" s="166" t="inlineStr">
        <is>
          <t xml:space="preserve">        [ 'dims' =&gt; [</t>
        </is>
      </c>
      <c r="B300" s="166">
        <f>Закуп!R300</f>
        <v/>
      </c>
      <c r="C300" s="166">
        <f>Закуп!S300</f>
        <v/>
      </c>
      <c r="D300" s="166">
        <f>Закуп!T300</f>
        <v/>
      </c>
      <c r="E300" s="166" t="inlineStr">
        <is>
          <t>], 'prices' =&gt; [</t>
        </is>
      </c>
      <c r="F300" s="167">
        <f>SUBSTITUTE(INDEX(Calc!$K:$K,(ROW(A299)-1)*5+COLUMN(A299)+1),",",".")</f>
        <v/>
      </c>
      <c r="G300" s="167">
        <f>SUBSTITUTE(INDEX(Calc!$K:$K,(ROW(B299)-1)*5+COLUMN(B299)+1),",",".")</f>
        <v/>
      </c>
      <c r="H300" s="167">
        <f>SUBSTITUTE(INDEX(Calc!$K:$K,(ROW(C299)-1)*5+COLUMN(C299)+1),",",".")</f>
        <v/>
      </c>
      <c r="I300" s="167">
        <f>SUBSTITUTE(INDEX(Calc!$K:$K,(ROW(D299)-1)*5+COLUMN(D299)+1),",",".")</f>
        <v/>
      </c>
      <c r="J300" s="167">
        <f>SUBSTITUTE(INDEX(Calc!$K:$K,(ROW(E299)-1)*5+COLUMN(E299)+1),",",".")</f>
        <v/>
      </c>
      <c r="K300" s="166" t="inlineStr">
        <is>
          <t>], 'type' =&gt; "</t>
        </is>
      </c>
      <c r="L300" s="167">
        <f>Закуп!AA300</f>
        <v/>
      </c>
      <c r="M300" s="166" t="inlineStr">
        <is>
          <t>", 'sale' =&gt; "</t>
        </is>
      </c>
      <c r="N300" s="166">
        <f>IF(Закуп!L300="",0,Закуп!L300)</f>
        <v/>
      </c>
      <c r="O300" s="166" t="inlineStr">
        <is>
          <t>" ],</t>
        </is>
      </c>
      <c r="P300" s="144">
        <f>Закуп!N300</f>
        <v/>
      </c>
      <c r="Q300" s="210">
        <f>CONCATENATE(A300,B300,",",C300,",",D300,E300,F300,",",G300,",",H300,",",I300,",",J300,K300,L300,M300,N300,O300,)</f>
        <v/>
      </c>
    </row>
    <row r="301">
      <c r="A301" s="166" t="inlineStr">
        <is>
          <t xml:space="preserve">        [ 'dims' =&gt; [</t>
        </is>
      </c>
      <c r="B301" s="166">
        <f>Закуп!R301</f>
        <v/>
      </c>
      <c r="C301" s="166">
        <f>Закуп!S301</f>
        <v/>
      </c>
      <c r="D301" s="166">
        <f>Закуп!T301</f>
        <v/>
      </c>
      <c r="E301" s="166" t="inlineStr">
        <is>
          <t>], 'prices' =&gt; [</t>
        </is>
      </c>
      <c r="F301" s="167">
        <f>SUBSTITUTE(INDEX(Calc!$K:$K,(ROW(A300)-1)*5+COLUMN(A300)+1),",",".")</f>
        <v/>
      </c>
      <c r="G301" s="167">
        <f>SUBSTITUTE(INDEX(Calc!$K:$K,(ROW(B300)-1)*5+COLUMN(B300)+1),",",".")</f>
        <v/>
      </c>
      <c r="H301" s="167">
        <f>SUBSTITUTE(INDEX(Calc!$K:$K,(ROW(C300)-1)*5+COLUMN(C300)+1),",",".")</f>
        <v/>
      </c>
      <c r="I301" s="167">
        <f>SUBSTITUTE(INDEX(Calc!$K:$K,(ROW(D300)-1)*5+COLUMN(D300)+1),",",".")</f>
        <v/>
      </c>
      <c r="J301" s="167">
        <f>SUBSTITUTE(INDEX(Calc!$K:$K,(ROW(E300)-1)*5+COLUMN(E300)+1),",",".")</f>
        <v/>
      </c>
      <c r="K301" s="166" t="inlineStr">
        <is>
          <t>], 'type' =&gt; "</t>
        </is>
      </c>
      <c r="L301" s="167">
        <f>Закуп!AA301</f>
        <v/>
      </c>
      <c r="M301" s="166" t="inlineStr">
        <is>
          <t>", 'sale' =&gt; "</t>
        </is>
      </c>
      <c r="N301" s="166">
        <f>IF(Закуп!L301="",0,Закуп!L301)</f>
        <v/>
      </c>
      <c r="O301" s="166" t="inlineStr">
        <is>
          <t>" ],</t>
        </is>
      </c>
      <c r="P301" s="144">
        <f>Закуп!N301</f>
        <v/>
      </c>
      <c r="Q301" s="210">
        <f>CONCATENATE(A301,B301,",",C301,",",D301,E301,F301,",",G301,",",H301,",",I301,",",J301,K301,L301,M301,N301,O301,)</f>
        <v/>
      </c>
    </row>
    <row r="302">
      <c r="A302" s="166" t="inlineStr">
        <is>
          <t xml:space="preserve">        [ 'dims' =&gt; [</t>
        </is>
      </c>
      <c r="B302" s="166">
        <f>Закуп!R302</f>
        <v/>
      </c>
      <c r="C302" s="166">
        <f>Закуп!S302</f>
        <v/>
      </c>
      <c r="D302" s="166">
        <f>Закуп!T302</f>
        <v/>
      </c>
      <c r="E302" s="166" t="inlineStr">
        <is>
          <t>], 'prices' =&gt; [</t>
        </is>
      </c>
      <c r="F302" s="167">
        <f>SUBSTITUTE(INDEX(Calc!$K:$K,(ROW(A301)-1)*5+COLUMN(A301)+1),",",".")</f>
        <v/>
      </c>
      <c r="G302" s="167">
        <f>SUBSTITUTE(INDEX(Calc!$K:$K,(ROW(B301)-1)*5+COLUMN(B301)+1),",",".")</f>
        <v/>
      </c>
      <c r="H302" s="167">
        <f>SUBSTITUTE(INDEX(Calc!$K:$K,(ROW(C301)-1)*5+COLUMN(C301)+1),",",".")</f>
        <v/>
      </c>
      <c r="I302" s="167">
        <f>SUBSTITUTE(INDEX(Calc!$K:$K,(ROW(D301)-1)*5+COLUMN(D301)+1),",",".")</f>
        <v/>
      </c>
      <c r="J302" s="167">
        <f>SUBSTITUTE(INDEX(Calc!$K:$K,(ROW(E301)-1)*5+COLUMN(E301)+1),",",".")</f>
        <v/>
      </c>
      <c r="K302" s="166" t="inlineStr">
        <is>
          <t>], 'type' =&gt; "</t>
        </is>
      </c>
      <c r="L302" s="167">
        <f>Закуп!AA302</f>
        <v/>
      </c>
      <c r="M302" s="166" t="inlineStr">
        <is>
          <t>", 'sale' =&gt; "</t>
        </is>
      </c>
      <c r="N302" s="166">
        <f>IF(Закуп!L302="",0,Закуп!L302)</f>
        <v/>
      </c>
      <c r="O302" s="166" t="inlineStr">
        <is>
          <t>" ],</t>
        </is>
      </c>
      <c r="P302" s="144">
        <f>Закуп!N302</f>
        <v/>
      </c>
      <c r="Q302" s="210">
        <f>CONCATENATE(A302,B302,",",C302,",",D302,E302,F302,",",G302,",",H302,",",I302,",",J302,K302,L302,M302,N302,O302,)</f>
        <v/>
      </c>
    </row>
    <row r="303">
      <c r="A303" s="47" t="inlineStr">
        <is>
          <t xml:space="preserve">        [ 'dims' =&gt; [</t>
        </is>
      </c>
      <c r="B303" s="47">
        <f>Закуп!R303</f>
        <v/>
      </c>
      <c r="C303" s="47">
        <f>Закуп!S303</f>
        <v/>
      </c>
      <c r="D303" s="47">
        <f>Закуп!T303</f>
        <v/>
      </c>
      <c r="E303" s="47" t="inlineStr">
        <is>
          <t>], 'prices' =&gt; [</t>
        </is>
      </c>
      <c r="F303" s="101">
        <f>SUBSTITUTE(INDEX(Calc!$K:$K,(ROW(A302)-1)*5+COLUMN(A302)+1),",",".")</f>
        <v/>
      </c>
      <c r="G303" s="101">
        <f>SUBSTITUTE(INDEX(Calc!$K:$K,(ROW(B302)-1)*5+COLUMN(B302)+1),",",".")</f>
        <v/>
      </c>
      <c r="H303" s="101">
        <f>SUBSTITUTE(INDEX(Calc!$K:$K,(ROW(C302)-1)*5+COLUMN(C302)+1),",",".")</f>
        <v/>
      </c>
      <c r="I303" s="101">
        <f>SUBSTITUTE(INDEX(Calc!$K:$K,(ROW(D302)-1)*5+COLUMN(D302)+1),",",".")</f>
        <v/>
      </c>
      <c r="J303" s="101">
        <f>SUBSTITUTE(INDEX(Calc!$K:$K,(ROW(E302)-1)*5+COLUMN(E302)+1),",",".")</f>
        <v/>
      </c>
      <c r="K303" s="47" t="inlineStr">
        <is>
          <t>], 'type' =&gt; "</t>
        </is>
      </c>
      <c r="L303" s="101">
        <f>Закуп!AA303</f>
        <v/>
      </c>
      <c r="M303" s="47" t="inlineStr">
        <is>
          <t>", 'sale' =&gt; "</t>
        </is>
      </c>
      <c r="N303" s="47">
        <f>IF(Закуп!L303="",0,Закуп!L303)</f>
        <v/>
      </c>
      <c r="O303" s="47" t="inlineStr">
        <is>
          <t>" ],</t>
        </is>
      </c>
      <c r="P303" s="165">
        <f>Закуп!N303</f>
        <v/>
      </c>
      <c r="Q303" s="210">
        <f>CONCATENATE(A303,B303,",",C303,",",D303,E303,F303,",",G303,",",H303,",",I303,",",J303,K303,L303,M303,N303,O303,)</f>
        <v/>
      </c>
    </row>
    <row r="304">
      <c r="A304" s="47" t="inlineStr">
        <is>
          <t xml:space="preserve">        [ 'dims' =&gt; [</t>
        </is>
      </c>
      <c r="B304" s="47">
        <f>Закуп!R304</f>
        <v/>
      </c>
      <c r="C304" s="47">
        <f>Закуп!S304</f>
        <v/>
      </c>
      <c r="D304" s="47">
        <f>Закуп!T304</f>
        <v/>
      </c>
      <c r="E304" s="47" t="inlineStr">
        <is>
          <t>], 'prices' =&gt; [</t>
        </is>
      </c>
      <c r="F304" s="101">
        <f>SUBSTITUTE(INDEX(Calc!$K:$K,(ROW(A303)-1)*5+COLUMN(A303)+1),",",".")</f>
        <v/>
      </c>
      <c r="G304" s="101">
        <f>SUBSTITUTE(INDEX(Calc!$K:$K,(ROW(B303)-1)*5+COLUMN(B303)+1),",",".")</f>
        <v/>
      </c>
      <c r="H304" s="101">
        <f>SUBSTITUTE(INDEX(Calc!$K:$K,(ROW(C303)-1)*5+COLUMN(C303)+1),",",".")</f>
        <v/>
      </c>
      <c r="I304" s="101">
        <f>SUBSTITUTE(INDEX(Calc!$K:$K,(ROW(D303)-1)*5+COLUMN(D303)+1),",",".")</f>
        <v/>
      </c>
      <c r="J304" s="101">
        <f>SUBSTITUTE(INDEX(Calc!$K:$K,(ROW(E303)-1)*5+COLUMN(E303)+1),",",".")</f>
        <v/>
      </c>
      <c r="K304" s="47" t="inlineStr">
        <is>
          <t>], 'type' =&gt; "</t>
        </is>
      </c>
      <c r="L304" s="101">
        <f>Закуп!AA304</f>
        <v/>
      </c>
      <c r="M304" s="47" t="inlineStr">
        <is>
          <t>", 'sale' =&gt; "</t>
        </is>
      </c>
      <c r="N304" s="47">
        <f>IF(Закуп!L304="",0,Закуп!L304)</f>
        <v/>
      </c>
      <c r="O304" s="47" t="inlineStr">
        <is>
          <t>" ],</t>
        </is>
      </c>
      <c r="P304" s="165">
        <f>Закуп!N304</f>
        <v/>
      </c>
      <c r="Q304" s="210">
        <f>CONCATENATE(A304,B304,",",C304,",",D304,E304,F304,",",G304,",",H304,",",I304,",",J304,K304,L304,M304,N304,O304,)</f>
        <v/>
      </c>
    </row>
    <row r="305">
      <c r="A305" s="47" t="inlineStr">
        <is>
          <t xml:space="preserve">        [ 'dims' =&gt; [</t>
        </is>
      </c>
      <c r="B305" s="47">
        <f>Закуп!R305</f>
        <v/>
      </c>
      <c r="C305" s="47">
        <f>Закуп!S305</f>
        <v/>
      </c>
      <c r="D305" s="47">
        <f>Закуп!T305</f>
        <v/>
      </c>
      <c r="E305" s="47" t="inlineStr">
        <is>
          <t>], 'prices' =&gt; [</t>
        </is>
      </c>
      <c r="F305" s="101">
        <f>SUBSTITUTE(INDEX(Calc!$K:$K,(ROW(A304)-1)*5+COLUMN(A304)+1),",",".")</f>
        <v/>
      </c>
      <c r="G305" s="101">
        <f>SUBSTITUTE(INDEX(Calc!$K:$K,(ROW(B304)-1)*5+COLUMN(B304)+1),",",".")</f>
        <v/>
      </c>
      <c r="H305" s="101">
        <f>SUBSTITUTE(INDEX(Calc!$K:$K,(ROW(C304)-1)*5+COLUMN(C304)+1),",",".")</f>
        <v/>
      </c>
      <c r="I305" s="101">
        <f>SUBSTITUTE(INDEX(Calc!$K:$K,(ROW(D304)-1)*5+COLUMN(D304)+1),",",".")</f>
        <v/>
      </c>
      <c r="J305" s="101">
        <f>SUBSTITUTE(INDEX(Calc!$K:$K,(ROW(E304)-1)*5+COLUMN(E304)+1),",",".")</f>
        <v/>
      </c>
      <c r="K305" s="47" t="inlineStr">
        <is>
          <t>], 'type' =&gt; "</t>
        </is>
      </c>
      <c r="L305" s="101">
        <f>Закуп!AA305</f>
        <v/>
      </c>
      <c r="M305" s="47" t="inlineStr">
        <is>
          <t>", 'sale' =&gt; "</t>
        </is>
      </c>
      <c r="N305" s="47">
        <f>IF(Закуп!L305="",0,Закуп!L305)</f>
        <v/>
      </c>
      <c r="O305" s="47" t="inlineStr">
        <is>
          <t>" ],</t>
        </is>
      </c>
      <c r="P305" s="165">
        <f>Закуп!N305</f>
        <v/>
      </c>
      <c r="Q305" s="210">
        <f>CONCATENATE(A305,B305,",",C305,",",D305,E305,F305,",",G305,",",H305,",",I305,",",J305,K305,L305,M305,N305,O305,)</f>
        <v/>
      </c>
    </row>
    <row r="306">
      <c r="A306" s="47" t="inlineStr">
        <is>
          <t xml:space="preserve">        [ 'dims' =&gt; [</t>
        </is>
      </c>
      <c r="B306" s="47">
        <f>Закуп!R306</f>
        <v/>
      </c>
      <c r="C306" s="47">
        <f>Закуп!S306</f>
        <v/>
      </c>
      <c r="D306" s="47">
        <f>Закуп!T306</f>
        <v/>
      </c>
      <c r="E306" s="47" t="inlineStr">
        <is>
          <t>], 'prices' =&gt; [</t>
        </is>
      </c>
      <c r="F306" s="101">
        <f>SUBSTITUTE(INDEX(Calc!$K:$K,(ROW(A305)-1)*5+COLUMN(A305)+1),",",".")</f>
        <v/>
      </c>
      <c r="G306" s="101">
        <f>SUBSTITUTE(INDEX(Calc!$K:$K,(ROW(B305)-1)*5+COLUMN(B305)+1),",",".")</f>
        <v/>
      </c>
      <c r="H306" s="101">
        <f>SUBSTITUTE(INDEX(Calc!$K:$K,(ROW(C305)-1)*5+COLUMN(C305)+1),",",".")</f>
        <v/>
      </c>
      <c r="I306" s="101">
        <f>SUBSTITUTE(INDEX(Calc!$K:$K,(ROW(D305)-1)*5+COLUMN(D305)+1),",",".")</f>
        <v/>
      </c>
      <c r="J306" s="101">
        <f>SUBSTITUTE(INDEX(Calc!$K:$K,(ROW(E305)-1)*5+COLUMN(E305)+1),",",".")</f>
        <v/>
      </c>
      <c r="K306" s="47" t="inlineStr">
        <is>
          <t>], 'type' =&gt; "</t>
        </is>
      </c>
      <c r="L306" s="101">
        <f>Закуп!AA306</f>
        <v/>
      </c>
      <c r="M306" s="47" t="inlineStr">
        <is>
          <t>", 'sale' =&gt; "</t>
        </is>
      </c>
      <c r="N306" s="47">
        <f>IF(Закуп!L306="",0,Закуп!L306)</f>
        <v/>
      </c>
      <c r="O306" s="47" t="inlineStr">
        <is>
          <t>" ],</t>
        </is>
      </c>
      <c r="P306" s="165">
        <f>Закуп!N306</f>
        <v/>
      </c>
      <c r="Q306" s="210">
        <f>CONCATENATE(A306,B306,",",C306,",",D306,E306,F306,",",G306,",",H306,",",I306,",",J306,K306,L306,M306,N306,O306,)</f>
        <v/>
      </c>
    </row>
    <row r="307">
      <c r="A307" s="47" t="inlineStr">
        <is>
          <t xml:space="preserve">        [ 'dims' =&gt; [</t>
        </is>
      </c>
      <c r="B307" s="47">
        <f>Закуп!R307</f>
        <v/>
      </c>
      <c r="C307" s="47">
        <f>Закуп!S307</f>
        <v/>
      </c>
      <c r="D307" s="47">
        <f>Закуп!T307</f>
        <v/>
      </c>
      <c r="E307" s="47" t="inlineStr">
        <is>
          <t>], 'prices' =&gt; [</t>
        </is>
      </c>
      <c r="F307" s="101">
        <f>SUBSTITUTE(INDEX(Calc!$K:$K,(ROW(A306)-1)*5+COLUMN(A306)+1),",",".")</f>
        <v/>
      </c>
      <c r="G307" s="101">
        <f>SUBSTITUTE(INDEX(Calc!$K:$K,(ROW(B306)-1)*5+COLUMN(B306)+1),",",".")</f>
        <v/>
      </c>
      <c r="H307" s="101">
        <f>SUBSTITUTE(INDEX(Calc!$K:$K,(ROW(C306)-1)*5+COLUMN(C306)+1),",",".")</f>
        <v/>
      </c>
      <c r="I307" s="101">
        <f>SUBSTITUTE(INDEX(Calc!$K:$K,(ROW(D306)-1)*5+COLUMN(D306)+1),",",".")</f>
        <v/>
      </c>
      <c r="J307" s="101">
        <f>SUBSTITUTE(INDEX(Calc!$K:$K,(ROW(E306)-1)*5+COLUMN(E306)+1),",",".")</f>
        <v/>
      </c>
      <c r="K307" s="47" t="inlineStr">
        <is>
          <t>], 'type' =&gt; "</t>
        </is>
      </c>
      <c r="L307" s="101">
        <f>Закуп!AA307</f>
        <v/>
      </c>
      <c r="M307" s="47" t="inlineStr">
        <is>
          <t>", 'sale' =&gt; "</t>
        </is>
      </c>
      <c r="N307" s="47">
        <f>IF(Закуп!L307="",0,Закуп!L307)</f>
        <v/>
      </c>
      <c r="O307" s="47" t="inlineStr">
        <is>
          <t>" ],</t>
        </is>
      </c>
      <c r="P307" s="165">
        <f>Закуп!N307</f>
        <v/>
      </c>
      <c r="Q307" s="210">
        <f>CONCATENATE(A307,B307,",",C307,",",D307,E307,F307,",",G307,",",H307,",",I307,",",J307,K307,L307,M307,N307,O307,)</f>
        <v/>
      </c>
    </row>
    <row r="308">
      <c r="A308" s="47" t="inlineStr">
        <is>
          <t xml:space="preserve">        [ 'dims' =&gt; [</t>
        </is>
      </c>
      <c r="B308" s="47">
        <f>Закуп!R308</f>
        <v/>
      </c>
      <c r="C308" s="47">
        <f>Закуп!S308</f>
        <v/>
      </c>
      <c r="D308" s="47">
        <f>Закуп!T308</f>
        <v/>
      </c>
      <c r="E308" s="47" t="inlineStr">
        <is>
          <t>], 'prices' =&gt; [</t>
        </is>
      </c>
      <c r="F308" s="101">
        <f>SUBSTITUTE(INDEX(Calc!$K:$K,(ROW(A307)-1)*5+COLUMN(A307)+1),",",".")</f>
        <v/>
      </c>
      <c r="G308" s="101">
        <f>SUBSTITUTE(INDEX(Calc!$K:$K,(ROW(B307)-1)*5+COLUMN(B307)+1),",",".")</f>
        <v/>
      </c>
      <c r="H308" s="101">
        <f>SUBSTITUTE(INDEX(Calc!$K:$K,(ROW(C307)-1)*5+COLUMN(C307)+1),",",".")</f>
        <v/>
      </c>
      <c r="I308" s="101">
        <f>SUBSTITUTE(INDEX(Calc!$K:$K,(ROW(D307)-1)*5+COLUMN(D307)+1),",",".")</f>
        <v/>
      </c>
      <c r="J308" s="101">
        <f>SUBSTITUTE(INDEX(Calc!$K:$K,(ROW(E307)-1)*5+COLUMN(E307)+1),",",".")</f>
        <v/>
      </c>
      <c r="K308" s="47" t="inlineStr">
        <is>
          <t>], 'type' =&gt; "</t>
        </is>
      </c>
      <c r="L308" s="101">
        <f>Закуп!AA308</f>
        <v/>
      </c>
      <c r="M308" s="47" t="inlineStr">
        <is>
          <t>", 'sale' =&gt; "</t>
        </is>
      </c>
      <c r="N308" s="47">
        <f>IF(Закуп!L308="",0,Закуп!L308)</f>
        <v/>
      </c>
      <c r="O308" s="47" t="inlineStr">
        <is>
          <t>" ],</t>
        </is>
      </c>
      <c r="P308" s="165">
        <f>Закуп!N308</f>
        <v/>
      </c>
      <c r="Q308" s="210">
        <f>CONCATENATE(A308,B308,",",C308,",",D308,E308,F308,",",G308,",",H308,",",I308,",",J308,K308,L308,M308,N308,O308,)</f>
        <v/>
      </c>
    </row>
    <row r="309">
      <c r="A309" s="47" t="inlineStr">
        <is>
          <t xml:space="preserve">        [ 'dims' =&gt; [</t>
        </is>
      </c>
      <c r="B309" s="47">
        <f>Закуп!R309</f>
        <v/>
      </c>
      <c r="C309" s="47">
        <f>Закуп!S309</f>
        <v/>
      </c>
      <c r="D309" s="47">
        <f>Закуп!T309</f>
        <v/>
      </c>
      <c r="E309" s="47" t="inlineStr">
        <is>
          <t>], 'prices' =&gt; [</t>
        </is>
      </c>
      <c r="F309" s="101">
        <f>SUBSTITUTE(INDEX(Calc!$K:$K,(ROW(A308)-1)*5+COLUMN(A308)+1),",",".")</f>
        <v/>
      </c>
      <c r="G309" s="101">
        <f>SUBSTITUTE(INDEX(Calc!$K:$K,(ROW(B308)-1)*5+COLUMN(B308)+1),",",".")</f>
        <v/>
      </c>
      <c r="H309" s="101">
        <f>SUBSTITUTE(INDEX(Calc!$K:$K,(ROW(C308)-1)*5+COLUMN(C308)+1),",",".")</f>
        <v/>
      </c>
      <c r="I309" s="101">
        <f>SUBSTITUTE(INDEX(Calc!$K:$K,(ROW(D308)-1)*5+COLUMN(D308)+1),",",".")</f>
        <v/>
      </c>
      <c r="J309" s="101">
        <f>SUBSTITUTE(INDEX(Calc!$K:$K,(ROW(E308)-1)*5+COLUMN(E308)+1),",",".")</f>
        <v/>
      </c>
      <c r="K309" s="47" t="inlineStr">
        <is>
          <t>], 'type' =&gt; "</t>
        </is>
      </c>
      <c r="L309" s="101">
        <f>Закуп!AA309</f>
        <v/>
      </c>
      <c r="M309" s="47" t="inlineStr">
        <is>
          <t>", 'sale' =&gt; "</t>
        </is>
      </c>
      <c r="N309" s="47">
        <f>IF(Закуп!L309="",0,Закуп!L309)</f>
        <v/>
      </c>
      <c r="O309" s="47" t="inlineStr">
        <is>
          <t>" ],</t>
        </is>
      </c>
      <c r="P309" s="165">
        <f>Закуп!N309</f>
        <v/>
      </c>
      <c r="Q309" s="210">
        <f>CONCATENATE(A309,B309,",",C309,",",D309,E309,F309,",",G309,",",H309,",",I309,",",J309,K309,L309,M309,N309,O309,)</f>
        <v/>
      </c>
    </row>
    <row r="310">
      <c r="A310" s="166" t="inlineStr">
        <is>
          <t xml:space="preserve">        [ 'dims' =&gt; [</t>
        </is>
      </c>
      <c r="B310" s="166">
        <f>Закуп!R310</f>
        <v/>
      </c>
      <c r="C310" s="166">
        <f>Закуп!S310</f>
        <v/>
      </c>
      <c r="D310" s="166">
        <f>Закуп!T310</f>
        <v/>
      </c>
      <c r="E310" s="166" t="inlineStr">
        <is>
          <t>], 'prices' =&gt; [</t>
        </is>
      </c>
      <c r="F310" s="167">
        <f>SUBSTITUTE(INDEX(Calc!$K:$K,(ROW(A309)-1)*5+COLUMN(A309)+1),",",".")</f>
        <v/>
      </c>
      <c r="G310" s="167">
        <f>SUBSTITUTE(INDEX(Calc!$K:$K,(ROW(B309)-1)*5+COLUMN(B309)+1),",",".")</f>
        <v/>
      </c>
      <c r="H310" s="167">
        <f>SUBSTITUTE(INDEX(Calc!$K:$K,(ROW(C309)-1)*5+COLUMN(C309)+1),",",".")</f>
        <v/>
      </c>
      <c r="I310" s="167">
        <f>SUBSTITUTE(INDEX(Calc!$K:$K,(ROW(D309)-1)*5+COLUMN(D309)+1),",",".")</f>
        <v/>
      </c>
      <c r="J310" s="167">
        <f>SUBSTITUTE(INDEX(Calc!$K:$K,(ROW(E309)-1)*5+COLUMN(E309)+1),",",".")</f>
        <v/>
      </c>
      <c r="K310" s="166" t="inlineStr">
        <is>
          <t>], 'type' =&gt; "</t>
        </is>
      </c>
      <c r="L310" s="167">
        <f>Закуп!AA310</f>
        <v/>
      </c>
      <c r="M310" s="166" t="inlineStr">
        <is>
          <t>", 'sale' =&gt; "</t>
        </is>
      </c>
      <c r="N310" s="166">
        <f>IF(Закуп!L310="",0,Закуп!L310)</f>
        <v/>
      </c>
      <c r="O310" s="166" t="inlineStr">
        <is>
          <t>" ],</t>
        </is>
      </c>
      <c r="P310" s="144">
        <f>Закуп!N310</f>
        <v/>
      </c>
      <c r="Q310" s="210">
        <f>CONCATENATE(A310,B310,",",C310,",",D310,E310,F310,",",G310,",",H310,",",I310,",",J310,K310,L310,M310,N310,O310,)</f>
        <v/>
      </c>
    </row>
    <row r="311">
      <c r="A311" s="166" t="inlineStr">
        <is>
          <t xml:space="preserve">        [ 'dims' =&gt; [</t>
        </is>
      </c>
      <c r="B311" s="166">
        <f>Закуп!R311</f>
        <v/>
      </c>
      <c r="C311" s="166">
        <f>Закуп!S311</f>
        <v/>
      </c>
      <c r="D311" s="166">
        <f>Закуп!T311</f>
        <v/>
      </c>
      <c r="E311" s="166" t="inlineStr">
        <is>
          <t>], 'prices' =&gt; [</t>
        </is>
      </c>
      <c r="F311" s="167">
        <f>SUBSTITUTE(INDEX(Calc!$K:$K,(ROW(A310)-1)*5+COLUMN(A310)+1),",",".")</f>
        <v/>
      </c>
      <c r="G311" s="167">
        <f>SUBSTITUTE(INDEX(Calc!$K:$K,(ROW(B310)-1)*5+COLUMN(B310)+1),",",".")</f>
        <v/>
      </c>
      <c r="H311" s="167">
        <f>SUBSTITUTE(INDEX(Calc!$K:$K,(ROW(C310)-1)*5+COLUMN(C310)+1),",",".")</f>
        <v/>
      </c>
      <c r="I311" s="167">
        <f>SUBSTITUTE(INDEX(Calc!$K:$K,(ROW(D310)-1)*5+COLUMN(D310)+1),",",".")</f>
        <v/>
      </c>
      <c r="J311" s="167">
        <f>SUBSTITUTE(INDEX(Calc!$K:$K,(ROW(E310)-1)*5+COLUMN(E310)+1),",",".")</f>
        <v/>
      </c>
      <c r="K311" s="166" t="inlineStr">
        <is>
          <t>], 'type' =&gt; "</t>
        </is>
      </c>
      <c r="L311" s="167">
        <f>Закуп!AA311</f>
        <v/>
      </c>
      <c r="M311" s="166" t="inlineStr">
        <is>
          <t>", 'sale' =&gt; "</t>
        </is>
      </c>
      <c r="N311" s="166">
        <f>IF(Закуп!L311="",0,Закуп!L311)</f>
        <v/>
      </c>
      <c r="O311" s="166" t="inlineStr">
        <is>
          <t>" ],</t>
        </is>
      </c>
      <c r="P311" s="144">
        <f>Закуп!N311</f>
        <v/>
      </c>
      <c r="Q311" s="210">
        <f>CONCATENATE(A311,B311,",",C311,",",D311,E311,F311,",",G311,",",H311,",",I311,",",J311,K311,L311,M311,N311,O311,)</f>
        <v/>
      </c>
    </row>
    <row r="312" hidden="1" s="55">
      <c r="A312" s="166" t="inlineStr">
        <is>
          <t xml:space="preserve">        [ 'dims' =&gt; [</t>
        </is>
      </c>
      <c r="B312" s="166">
        <f>Закуп!R312</f>
        <v/>
      </c>
      <c r="C312" s="166">
        <f>Закуп!S312</f>
        <v/>
      </c>
      <c r="D312" s="166">
        <f>Закуп!T312</f>
        <v/>
      </c>
      <c r="E312" s="166" t="inlineStr">
        <is>
          <t>], 'prices' =&gt; [</t>
        </is>
      </c>
      <c r="F312" s="167">
        <f>SUBSTITUTE(INDEX(Calc!$K:$K,(ROW(A311)-1)*5+COLUMN(A311)+1),",",".")</f>
        <v/>
      </c>
      <c r="G312" s="167">
        <f>SUBSTITUTE(INDEX(Calc!$K:$K,(ROW(B311)-1)*5+COLUMN(B311)+1),",",".")</f>
        <v/>
      </c>
      <c r="H312" s="167">
        <f>SUBSTITUTE(INDEX(Calc!$K:$K,(ROW(C311)-1)*5+COLUMN(C311)+1),",",".")</f>
        <v/>
      </c>
      <c r="I312" s="167">
        <f>SUBSTITUTE(INDEX(Calc!$K:$K,(ROW(D311)-1)*5+COLUMN(D311)+1),",",".")</f>
        <v/>
      </c>
      <c r="J312" s="167">
        <f>SUBSTITUTE(INDEX(Calc!$K:$K,(ROW(E311)-1)*5+COLUMN(E311)+1),",",".")</f>
        <v/>
      </c>
      <c r="K312" s="166" t="inlineStr">
        <is>
          <t>], 'type' =&gt; "</t>
        </is>
      </c>
      <c r="L312" s="167">
        <f>Закуп!AA312</f>
        <v/>
      </c>
      <c r="M312" s="166" t="inlineStr">
        <is>
          <t>", 'sale' =&gt; "</t>
        </is>
      </c>
      <c r="N312" s="166">
        <f>IF(Закуп!L312="",0,Закуп!L312)</f>
        <v/>
      </c>
      <c r="O312" s="166" t="inlineStr">
        <is>
          <t>" ],</t>
        </is>
      </c>
      <c r="P312" s="144">
        <f>Закуп!N312</f>
        <v/>
      </c>
      <c r="Q312" s="210">
        <f>CONCATENATE(A312,B312,",",C312,",",D312,E312,F312,",",G312,",",H312,",",I312,",",J312,K312,L312,M312,N312,O312,)</f>
        <v/>
      </c>
    </row>
    <row r="313" hidden="1" s="55">
      <c r="A313" s="166" t="inlineStr">
        <is>
          <t xml:space="preserve">        [ 'dims' =&gt; [</t>
        </is>
      </c>
      <c r="B313" s="166">
        <f>Закуп!R313</f>
        <v/>
      </c>
      <c r="C313" s="166">
        <f>Закуп!S313</f>
        <v/>
      </c>
      <c r="D313" s="166">
        <f>Закуп!T313</f>
        <v/>
      </c>
      <c r="E313" s="166" t="inlineStr">
        <is>
          <t>], 'prices' =&gt; [</t>
        </is>
      </c>
      <c r="F313" s="167">
        <f>SUBSTITUTE(INDEX(Calc!$K:$K,(ROW(A312)-1)*5+COLUMN(A312)+1),",",".")</f>
        <v/>
      </c>
      <c r="G313" s="167">
        <f>SUBSTITUTE(INDEX(Calc!$K:$K,(ROW(B312)-1)*5+COLUMN(B312)+1),",",".")</f>
        <v/>
      </c>
      <c r="H313" s="167">
        <f>SUBSTITUTE(INDEX(Calc!$K:$K,(ROW(C312)-1)*5+COLUMN(C312)+1),",",".")</f>
        <v/>
      </c>
      <c r="I313" s="167">
        <f>SUBSTITUTE(INDEX(Calc!$K:$K,(ROW(D312)-1)*5+COLUMN(D312)+1),",",".")</f>
        <v/>
      </c>
      <c r="J313" s="167">
        <f>SUBSTITUTE(INDEX(Calc!$K:$K,(ROW(E312)-1)*5+COLUMN(E312)+1),",",".")</f>
        <v/>
      </c>
      <c r="K313" s="166" t="inlineStr">
        <is>
          <t>], 'type' =&gt; "</t>
        </is>
      </c>
      <c r="L313" s="167">
        <f>Закуп!AA313</f>
        <v/>
      </c>
      <c r="M313" s="166" t="inlineStr">
        <is>
          <t>", 'sale' =&gt; "</t>
        </is>
      </c>
      <c r="N313" s="166">
        <f>IF(Закуп!L313="",0,Закуп!L313)</f>
        <v/>
      </c>
      <c r="O313" s="166" t="inlineStr">
        <is>
          <t>" ],</t>
        </is>
      </c>
      <c r="P313" s="144">
        <f>Закуп!N313</f>
        <v/>
      </c>
      <c r="Q313" s="210">
        <f>CONCATENATE(A313,B313,",",C313,",",D313,E313,F313,",",G313,",",H313,",",I313,",",J313,K313,L313,M313,N313,O313,)</f>
        <v/>
      </c>
    </row>
    <row r="314" hidden="1" s="55">
      <c r="A314" s="166" t="inlineStr">
        <is>
          <t xml:space="preserve">        [ 'dims' =&gt; [</t>
        </is>
      </c>
      <c r="B314" s="166">
        <f>Закуп!R314</f>
        <v/>
      </c>
      <c r="C314" s="166">
        <f>Закуп!S314</f>
        <v/>
      </c>
      <c r="D314" s="166">
        <f>Закуп!T314</f>
        <v/>
      </c>
      <c r="E314" s="166" t="inlineStr">
        <is>
          <t>], 'prices' =&gt; [</t>
        </is>
      </c>
      <c r="F314" s="167">
        <f>SUBSTITUTE(INDEX(Calc!$K:$K,(ROW(A313)-1)*5+COLUMN(A313)+1),",",".")</f>
        <v/>
      </c>
      <c r="G314" s="167">
        <f>SUBSTITUTE(INDEX(Calc!$K:$K,(ROW(B313)-1)*5+COLUMN(B313)+1),",",".")</f>
        <v/>
      </c>
      <c r="H314" s="167">
        <f>SUBSTITUTE(INDEX(Calc!$K:$K,(ROW(C313)-1)*5+COLUMN(C313)+1),",",".")</f>
        <v/>
      </c>
      <c r="I314" s="167">
        <f>SUBSTITUTE(INDEX(Calc!$K:$K,(ROW(D313)-1)*5+COLUMN(D313)+1),",",".")</f>
        <v/>
      </c>
      <c r="J314" s="167">
        <f>SUBSTITUTE(INDEX(Calc!$K:$K,(ROW(E313)-1)*5+COLUMN(E313)+1),",",".")</f>
        <v/>
      </c>
      <c r="K314" s="166" t="inlineStr">
        <is>
          <t>], 'type' =&gt; "</t>
        </is>
      </c>
      <c r="L314" s="167">
        <f>Закуп!AA314</f>
        <v/>
      </c>
      <c r="M314" s="166" t="inlineStr">
        <is>
          <t>", 'sale' =&gt; "</t>
        </is>
      </c>
      <c r="N314" s="166">
        <f>IF(Закуп!L314="",0,Закуп!L314)</f>
        <v/>
      </c>
      <c r="O314" s="166" t="inlineStr">
        <is>
          <t>" ],</t>
        </is>
      </c>
      <c r="P314" s="144">
        <f>Закуп!N314</f>
        <v/>
      </c>
      <c r="Q314" s="210">
        <f>CONCATENATE(A314,B314,",",C314,",",D314,E314,F314,",",G314,",",H314,",",I314,",",J314,K314,L314,M314,N314,O314,)</f>
        <v/>
      </c>
    </row>
    <row r="315">
      <c r="A315" s="166" t="inlineStr">
        <is>
          <t xml:space="preserve">        [ 'dims' =&gt; [</t>
        </is>
      </c>
      <c r="B315" s="166">
        <f>Закуп!R315</f>
        <v/>
      </c>
      <c r="C315" s="166">
        <f>Закуп!S315</f>
        <v/>
      </c>
      <c r="D315" s="166">
        <f>Закуп!T315</f>
        <v/>
      </c>
      <c r="E315" s="166" t="inlineStr">
        <is>
          <t>], 'prices' =&gt; [</t>
        </is>
      </c>
      <c r="F315" s="167">
        <f>SUBSTITUTE(INDEX(Calc!$K:$K,(ROW(A314)-1)*5+COLUMN(A314)+1),",",".")</f>
        <v/>
      </c>
      <c r="G315" s="167">
        <f>SUBSTITUTE(INDEX(Calc!$K:$K,(ROW(B314)-1)*5+COLUMN(B314)+1),",",".")</f>
        <v/>
      </c>
      <c r="H315" s="167">
        <f>SUBSTITUTE(INDEX(Calc!$K:$K,(ROW(C314)-1)*5+COLUMN(C314)+1),",",".")</f>
        <v/>
      </c>
      <c r="I315" s="167">
        <f>SUBSTITUTE(INDEX(Calc!$K:$K,(ROW(D314)-1)*5+COLUMN(D314)+1),",",".")</f>
        <v/>
      </c>
      <c r="J315" s="167">
        <f>SUBSTITUTE(INDEX(Calc!$K:$K,(ROW(E314)-1)*5+COLUMN(E314)+1),",",".")</f>
        <v/>
      </c>
      <c r="K315" s="166" t="inlineStr">
        <is>
          <t>], 'type' =&gt; "</t>
        </is>
      </c>
      <c r="L315" s="167">
        <f>Закуп!AA315</f>
        <v/>
      </c>
      <c r="M315" s="166" t="inlineStr">
        <is>
          <t>", 'sale' =&gt; "</t>
        </is>
      </c>
      <c r="N315" s="166">
        <f>IF(Закуп!L315="",0,Закуп!L315)</f>
        <v/>
      </c>
      <c r="O315" s="166" t="inlineStr">
        <is>
          <t>" ],</t>
        </is>
      </c>
      <c r="P315" s="144">
        <f>Закуп!N315</f>
        <v/>
      </c>
      <c r="Q315" s="210">
        <f>CONCATENATE(A315,B315,",",C315,",",D315,E315,F315,",",G315,",",H315,",",I315,",",J315,K315,L315,M315,N315,O315,)</f>
        <v/>
      </c>
    </row>
    <row r="316">
      <c r="A316" s="166" t="inlineStr">
        <is>
          <t xml:space="preserve">        [ 'dims' =&gt; [</t>
        </is>
      </c>
      <c r="B316" s="166">
        <f>Закуп!R316</f>
        <v/>
      </c>
      <c r="C316" s="166">
        <f>Закуп!S316</f>
        <v/>
      </c>
      <c r="D316" s="166">
        <f>Закуп!T316</f>
        <v/>
      </c>
      <c r="E316" s="166" t="inlineStr">
        <is>
          <t>], 'prices' =&gt; [</t>
        </is>
      </c>
      <c r="F316" s="167">
        <f>SUBSTITUTE(INDEX(Calc!$K:$K,(ROW(A315)-1)*5+COLUMN(A315)+1),",",".")</f>
        <v/>
      </c>
      <c r="G316" s="167">
        <f>SUBSTITUTE(INDEX(Calc!$K:$K,(ROW(B315)-1)*5+COLUMN(B315)+1),",",".")</f>
        <v/>
      </c>
      <c r="H316" s="167">
        <f>SUBSTITUTE(INDEX(Calc!$K:$K,(ROW(C315)-1)*5+COLUMN(C315)+1),",",".")</f>
        <v/>
      </c>
      <c r="I316" s="167">
        <f>SUBSTITUTE(INDEX(Calc!$K:$K,(ROW(D315)-1)*5+COLUMN(D315)+1),",",".")</f>
        <v/>
      </c>
      <c r="J316" s="167">
        <f>SUBSTITUTE(INDEX(Calc!$K:$K,(ROW(E315)-1)*5+COLUMN(E315)+1),",",".")</f>
        <v/>
      </c>
      <c r="K316" s="166" t="inlineStr">
        <is>
          <t>], 'type' =&gt; "</t>
        </is>
      </c>
      <c r="L316" s="167">
        <f>Закуп!AA316</f>
        <v/>
      </c>
      <c r="M316" s="166" t="inlineStr">
        <is>
          <t>", 'sale' =&gt; "</t>
        </is>
      </c>
      <c r="N316" s="166">
        <f>IF(Закуп!L316="",0,Закуп!L316)</f>
        <v/>
      </c>
      <c r="O316" s="166" t="inlineStr">
        <is>
          <t>" ],</t>
        </is>
      </c>
      <c r="P316" s="144">
        <f>Закуп!N316</f>
        <v/>
      </c>
      <c r="Q316" s="210">
        <f>CONCATENATE(A316,B316,",",C316,",",D316,E316,F316,",",G316,",",H316,",",I316,",",J316,K316,L316,M316,N316,O316,)</f>
        <v/>
      </c>
    </row>
    <row r="317">
      <c r="A317" s="166" t="inlineStr">
        <is>
          <t xml:space="preserve">        [ 'dims' =&gt; [</t>
        </is>
      </c>
      <c r="B317" s="166">
        <f>Закуп!R317</f>
        <v/>
      </c>
      <c r="C317" s="166">
        <f>Закуп!S317</f>
        <v/>
      </c>
      <c r="D317" s="166">
        <f>Закуп!T317</f>
        <v/>
      </c>
      <c r="E317" s="166" t="inlineStr">
        <is>
          <t>], 'prices' =&gt; [</t>
        </is>
      </c>
      <c r="F317" s="167">
        <f>SUBSTITUTE(INDEX(Calc!$K:$K,(ROW(A316)-1)*5+COLUMN(A316)+1),",",".")</f>
        <v/>
      </c>
      <c r="G317" s="167">
        <f>SUBSTITUTE(INDEX(Calc!$K:$K,(ROW(B316)-1)*5+COLUMN(B316)+1),",",".")</f>
        <v/>
      </c>
      <c r="H317" s="167">
        <f>SUBSTITUTE(INDEX(Calc!$K:$K,(ROW(C316)-1)*5+COLUMN(C316)+1),",",".")</f>
        <v/>
      </c>
      <c r="I317" s="167">
        <f>SUBSTITUTE(INDEX(Calc!$K:$K,(ROW(D316)-1)*5+COLUMN(D316)+1),",",".")</f>
        <v/>
      </c>
      <c r="J317" s="167">
        <f>SUBSTITUTE(INDEX(Calc!$K:$K,(ROW(E316)-1)*5+COLUMN(E316)+1),",",".")</f>
        <v/>
      </c>
      <c r="K317" s="166" t="inlineStr">
        <is>
          <t>], 'type' =&gt; "</t>
        </is>
      </c>
      <c r="L317" s="167">
        <f>Закуп!AA317</f>
        <v/>
      </c>
      <c r="M317" s="166" t="inlineStr">
        <is>
          <t>", 'sale' =&gt; "</t>
        </is>
      </c>
      <c r="N317" s="166">
        <f>IF(Закуп!L317="",0,Закуп!L317)</f>
        <v/>
      </c>
      <c r="O317" s="166" t="inlineStr">
        <is>
          <t>" ],</t>
        </is>
      </c>
      <c r="P317" s="144">
        <f>Закуп!N317</f>
        <v/>
      </c>
      <c r="Q317" s="210">
        <f>CONCATENATE(A317,B317,",",C317,",",D317,E317,F317,",",G317,",",H317,",",I317,",",J317,K317,L317,M317,N317,O317,)</f>
        <v/>
      </c>
    </row>
    <row r="318">
      <c r="A318" s="166" t="inlineStr">
        <is>
          <t xml:space="preserve">        [ 'dims' =&gt; [</t>
        </is>
      </c>
      <c r="B318" s="166">
        <f>Закуп!R318</f>
        <v/>
      </c>
      <c r="C318" s="166">
        <f>Закуп!S318</f>
        <v/>
      </c>
      <c r="D318" s="166">
        <f>Закуп!T318</f>
        <v/>
      </c>
      <c r="E318" s="166" t="inlineStr">
        <is>
          <t>], 'prices' =&gt; [</t>
        </is>
      </c>
      <c r="F318" s="167">
        <f>SUBSTITUTE(INDEX(Calc!$K:$K,(ROW(A317)-1)*5+COLUMN(A317)+1),",",".")</f>
        <v/>
      </c>
      <c r="G318" s="167">
        <f>SUBSTITUTE(INDEX(Calc!$K:$K,(ROW(B317)-1)*5+COLUMN(B317)+1),",",".")</f>
        <v/>
      </c>
      <c r="H318" s="167">
        <f>SUBSTITUTE(INDEX(Calc!$K:$K,(ROW(C317)-1)*5+COLUMN(C317)+1),",",".")</f>
        <v/>
      </c>
      <c r="I318" s="167">
        <f>SUBSTITUTE(INDEX(Calc!$K:$K,(ROW(D317)-1)*5+COLUMN(D317)+1),",",".")</f>
        <v/>
      </c>
      <c r="J318" s="167">
        <f>SUBSTITUTE(INDEX(Calc!$K:$K,(ROW(E317)-1)*5+COLUMN(E317)+1),",",".")</f>
        <v/>
      </c>
      <c r="K318" s="166" t="inlineStr">
        <is>
          <t>], 'type' =&gt; "</t>
        </is>
      </c>
      <c r="L318" s="167">
        <f>Закуп!AA318</f>
        <v/>
      </c>
      <c r="M318" s="166" t="inlineStr">
        <is>
          <t>", 'sale' =&gt; "</t>
        </is>
      </c>
      <c r="N318" s="166">
        <f>IF(Закуп!L318="",0,Закуп!L318)</f>
        <v/>
      </c>
      <c r="O318" s="166" t="inlineStr">
        <is>
          <t>" ],</t>
        </is>
      </c>
      <c r="P318" s="144">
        <f>Закуп!N318</f>
        <v/>
      </c>
      <c r="Q318" s="210">
        <f>CONCATENATE(A318,B318,",",C318,",",D318,E318,F318,",",G318,",",H318,",",I318,",",J318,K318,L318,M318,N318,O318,)</f>
        <v/>
      </c>
    </row>
    <row r="319">
      <c r="A319" s="166" t="inlineStr">
        <is>
          <t xml:space="preserve">        [ 'dims' =&gt; [</t>
        </is>
      </c>
      <c r="B319" s="166">
        <f>Закуп!R319</f>
        <v/>
      </c>
      <c r="C319" s="166">
        <f>Закуп!S319</f>
        <v/>
      </c>
      <c r="D319" s="166">
        <f>Закуп!T319</f>
        <v/>
      </c>
      <c r="E319" s="166" t="inlineStr">
        <is>
          <t>], 'prices' =&gt; [</t>
        </is>
      </c>
      <c r="F319" s="167">
        <f>SUBSTITUTE(INDEX(Calc!$K:$K,(ROW(A318)-1)*5+COLUMN(A318)+1),",",".")</f>
        <v/>
      </c>
      <c r="G319" s="167">
        <f>SUBSTITUTE(INDEX(Calc!$K:$K,(ROW(B318)-1)*5+COLUMN(B318)+1),",",".")</f>
        <v/>
      </c>
      <c r="H319" s="167">
        <f>SUBSTITUTE(INDEX(Calc!$K:$K,(ROW(C318)-1)*5+COLUMN(C318)+1),",",".")</f>
        <v/>
      </c>
      <c r="I319" s="167">
        <f>SUBSTITUTE(INDEX(Calc!$K:$K,(ROW(D318)-1)*5+COLUMN(D318)+1),",",".")</f>
        <v/>
      </c>
      <c r="J319" s="167">
        <f>SUBSTITUTE(INDEX(Calc!$K:$K,(ROW(E318)-1)*5+COLUMN(E318)+1),",",".")</f>
        <v/>
      </c>
      <c r="K319" s="166" t="inlineStr">
        <is>
          <t>], 'type' =&gt; "</t>
        </is>
      </c>
      <c r="L319" s="167">
        <f>Закуп!AA319</f>
        <v/>
      </c>
      <c r="M319" s="166" t="inlineStr">
        <is>
          <t>", 'sale' =&gt; "</t>
        </is>
      </c>
      <c r="N319" s="166">
        <f>IF(Закуп!L319="",0,Закуп!L319)</f>
        <v/>
      </c>
      <c r="O319" s="166" t="inlineStr">
        <is>
          <t>" ],</t>
        </is>
      </c>
      <c r="P319" s="144">
        <f>Закуп!N319</f>
        <v/>
      </c>
      <c r="Q319" s="210">
        <f>CONCATENATE(A319,B319,",",C319,",",D319,E319,F319,",",G319,",",H319,",",I319,",",J319,K319,L319,M319,N319,O319,)</f>
        <v/>
      </c>
    </row>
    <row r="320">
      <c r="A320" s="166" t="inlineStr">
        <is>
          <t xml:space="preserve">        [ 'dims' =&gt; [</t>
        </is>
      </c>
      <c r="B320" s="166">
        <f>Закуп!R320</f>
        <v/>
      </c>
      <c r="C320" s="166">
        <f>Закуп!S320</f>
        <v/>
      </c>
      <c r="D320" s="166">
        <f>Закуп!T320</f>
        <v/>
      </c>
      <c r="E320" s="166" t="inlineStr">
        <is>
          <t>], 'prices' =&gt; [</t>
        </is>
      </c>
      <c r="F320" s="167">
        <f>SUBSTITUTE(INDEX(Calc!$K:$K,(ROW(A319)-1)*5+COLUMN(A319)+1),",",".")</f>
        <v/>
      </c>
      <c r="G320" s="167">
        <f>SUBSTITUTE(INDEX(Calc!$K:$K,(ROW(B319)-1)*5+COLUMN(B319)+1),",",".")</f>
        <v/>
      </c>
      <c r="H320" s="167">
        <f>SUBSTITUTE(INDEX(Calc!$K:$K,(ROW(C319)-1)*5+COLUMN(C319)+1),",",".")</f>
        <v/>
      </c>
      <c r="I320" s="167">
        <f>SUBSTITUTE(INDEX(Calc!$K:$K,(ROW(D319)-1)*5+COLUMN(D319)+1),",",".")</f>
        <v/>
      </c>
      <c r="J320" s="167">
        <f>SUBSTITUTE(INDEX(Calc!$K:$K,(ROW(E319)-1)*5+COLUMN(E319)+1),",",".")</f>
        <v/>
      </c>
      <c r="K320" s="166" t="inlineStr">
        <is>
          <t>], 'type' =&gt; "</t>
        </is>
      </c>
      <c r="L320" s="167">
        <f>Закуп!AA320</f>
        <v/>
      </c>
      <c r="M320" s="166" t="inlineStr">
        <is>
          <t>", 'sale' =&gt; "</t>
        </is>
      </c>
      <c r="N320" s="166">
        <f>IF(Закуп!L320="",0,Закуп!L320)</f>
        <v/>
      </c>
      <c r="O320" s="166" t="inlineStr">
        <is>
          <t>" ],</t>
        </is>
      </c>
      <c r="P320" s="144">
        <f>Закуп!N320</f>
        <v/>
      </c>
      <c r="Q320" s="210">
        <f>CONCATENATE(A320,B320,",",C320,",",D320,E320,F320,",",G320,",",H320,",",I320,",",J320,K320,L320,M320,N320,O320,)</f>
        <v/>
      </c>
    </row>
    <row r="321">
      <c r="A321" s="166" t="inlineStr">
        <is>
          <t xml:space="preserve">        [ 'dims' =&gt; [</t>
        </is>
      </c>
      <c r="B321" s="166">
        <f>Закуп!R321</f>
        <v/>
      </c>
      <c r="C321" s="166">
        <f>Закуп!S321</f>
        <v/>
      </c>
      <c r="D321" s="166">
        <f>Закуп!T321</f>
        <v/>
      </c>
      <c r="E321" s="166" t="inlineStr">
        <is>
          <t>], 'prices' =&gt; [</t>
        </is>
      </c>
      <c r="F321" s="167">
        <f>SUBSTITUTE(INDEX(Calc!$K:$K,(ROW(A320)-1)*5+COLUMN(A320)+1),",",".")</f>
        <v/>
      </c>
      <c r="G321" s="167">
        <f>SUBSTITUTE(INDEX(Calc!$K:$K,(ROW(B320)-1)*5+COLUMN(B320)+1),",",".")</f>
        <v/>
      </c>
      <c r="H321" s="167">
        <f>SUBSTITUTE(INDEX(Calc!$K:$K,(ROW(C320)-1)*5+COLUMN(C320)+1),",",".")</f>
        <v/>
      </c>
      <c r="I321" s="167">
        <f>SUBSTITUTE(INDEX(Calc!$K:$K,(ROW(D320)-1)*5+COLUMN(D320)+1),",",".")</f>
        <v/>
      </c>
      <c r="J321" s="167">
        <f>SUBSTITUTE(INDEX(Calc!$K:$K,(ROW(E320)-1)*5+COLUMN(E320)+1),",",".")</f>
        <v/>
      </c>
      <c r="K321" s="166" t="inlineStr">
        <is>
          <t>], 'type' =&gt; "</t>
        </is>
      </c>
      <c r="L321" s="167">
        <f>Закуп!AA321</f>
        <v/>
      </c>
      <c r="M321" s="166" t="inlineStr">
        <is>
          <t>", 'sale' =&gt; "</t>
        </is>
      </c>
      <c r="N321" s="166">
        <f>IF(Закуп!L321="",0,Закуп!L321)</f>
        <v/>
      </c>
      <c r="O321" s="166" t="inlineStr">
        <is>
          <t>" ],</t>
        </is>
      </c>
      <c r="P321" s="144">
        <f>Закуп!N321</f>
        <v/>
      </c>
      <c r="Q321" s="210">
        <f>CONCATENATE(A321,B321,",",C321,",",D321,E321,F321,",",G321,",",H321,",",I321,",",J321,K321,L321,M321,N321,O321,)</f>
        <v/>
      </c>
    </row>
    <row r="322">
      <c r="A322" s="166" t="inlineStr">
        <is>
          <t xml:space="preserve">        [ 'dims' =&gt; [</t>
        </is>
      </c>
      <c r="B322" s="166">
        <f>Закуп!R322</f>
        <v/>
      </c>
      <c r="C322" s="166">
        <f>Закуп!S322</f>
        <v/>
      </c>
      <c r="D322" s="166">
        <f>Закуп!T322</f>
        <v/>
      </c>
      <c r="E322" s="166" t="inlineStr">
        <is>
          <t>], 'prices' =&gt; [</t>
        </is>
      </c>
      <c r="F322" s="167">
        <f>SUBSTITUTE(INDEX(Calc!$K:$K,(ROW(A321)-1)*5+COLUMN(A321)+1),",",".")</f>
        <v/>
      </c>
      <c r="G322" s="167">
        <f>SUBSTITUTE(INDEX(Calc!$K:$K,(ROW(B321)-1)*5+COLUMN(B321)+1),",",".")</f>
        <v/>
      </c>
      <c r="H322" s="167">
        <f>SUBSTITUTE(INDEX(Calc!$K:$K,(ROW(C321)-1)*5+COLUMN(C321)+1),",",".")</f>
        <v/>
      </c>
      <c r="I322" s="167">
        <f>SUBSTITUTE(INDEX(Calc!$K:$K,(ROW(D321)-1)*5+COLUMN(D321)+1),",",".")</f>
        <v/>
      </c>
      <c r="J322" s="167">
        <f>SUBSTITUTE(INDEX(Calc!$K:$K,(ROW(E321)-1)*5+COLUMN(E321)+1),",",".")</f>
        <v/>
      </c>
      <c r="K322" s="166" t="inlineStr">
        <is>
          <t>], 'type' =&gt; "</t>
        </is>
      </c>
      <c r="L322" s="167">
        <f>Закуп!AA322</f>
        <v/>
      </c>
      <c r="M322" s="166" t="inlineStr">
        <is>
          <t>", 'sale' =&gt; "</t>
        </is>
      </c>
      <c r="N322" s="166">
        <f>IF(Закуп!L322="",0,Закуп!L322)</f>
        <v/>
      </c>
      <c r="O322" s="166" t="inlineStr">
        <is>
          <t>" ],</t>
        </is>
      </c>
      <c r="P322" s="144">
        <f>Закуп!N322</f>
        <v/>
      </c>
      <c r="Q322" s="210">
        <f>CONCATENATE(A322,B322,",",C322,",",D322,E322,F322,",",G322,",",H322,",",I322,",",J322,K322,L322,M322,N322,O322,)</f>
        <v/>
      </c>
    </row>
    <row r="323">
      <c r="A323" s="166" t="inlineStr">
        <is>
          <t xml:space="preserve">        [ 'dims' =&gt; [</t>
        </is>
      </c>
      <c r="B323" s="166">
        <f>Закуп!R323</f>
        <v/>
      </c>
      <c r="C323" s="166">
        <f>Закуп!S323</f>
        <v/>
      </c>
      <c r="D323" s="166">
        <f>Закуп!T323</f>
        <v/>
      </c>
      <c r="E323" s="166" t="inlineStr">
        <is>
          <t>], 'prices' =&gt; [</t>
        </is>
      </c>
      <c r="F323" s="167">
        <f>SUBSTITUTE(INDEX(Calc!$K:$K,(ROW(A322)-1)*5+COLUMN(A322)+1),",",".")</f>
        <v/>
      </c>
      <c r="G323" s="167">
        <f>SUBSTITUTE(INDEX(Calc!$K:$K,(ROW(B322)-1)*5+COLUMN(B322)+1),",",".")</f>
        <v/>
      </c>
      <c r="H323" s="167">
        <f>SUBSTITUTE(INDEX(Calc!$K:$K,(ROW(C322)-1)*5+COLUMN(C322)+1),",",".")</f>
        <v/>
      </c>
      <c r="I323" s="167">
        <f>SUBSTITUTE(INDEX(Calc!$K:$K,(ROW(D322)-1)*5+COLUMN(D322)+1),",",".")</f>
        <v/>
      </c>
      <c r="J323" s="167">
        <f>SUBSTITUTE(INDEX(Calc!$K:$K,(ROW(E322)-1)*5+COLUMN(E322)+1),",",".")</f>
        <v/>
      </c>
      <c r="K323" s="166" t="inlineStr">
        <is>
          <t>], 'type' =&gt; "</t>
        </is>
      </c>
      <c r="L323" s="167">
        <f>Закуп!AA323</f>
        <v/>
      </c>
      <c r="M323" s="166" t="inlineStr">
        <is>
          <t>", 'sale' =&gt; "</t>
        </is>
      </c>
      <c r="N323" s="166">
        <f>IF(Закуп!L323="",0,Закуп!L323)</f>
        <v/>
      </c>
      <c r="O323" s="166" t="inlineStr">
        <is>
          <t>" ],</t>
        </is>
      </c>
      <c r="P323" s="144">
        <f>Закуп!N323</f>
        <v/>
      </c>
      <c r="Q323" s="210">
        <f>CONCATENATE(A323,B323,",",C323,",",D323,E323,F323,",",G323,",",H323,",",I323,",",J323,K323,L323,M323,N323,O323,)</f>
        <v/>
      </c>
    </row>
    <row r="324">
      <c r="A324" s="166" t="inlineStr">
        <is>
          <t xml:space="preserve">        [ 'dims' =&gt; [</t>
        </is>
      </c>
      <c r="B324" s="166">
        <f>Закуп!R324</f>
        <v/>
      </c>
      <c r="C324" s="166">
        <f>Закуп!S324</f>
        <v/>
      </c>
      <c r="D324" s="166">
        <f>Закуп!T324</f>
        <v/>
      </c>
      <c r="E324" s="166" t="inlineStr">
        <is>
          <t>], 'prices' =&gt; [</t>
        </is>
      </c>
      <c r="F324" s="167">
        <f>SUBSTITUTE(INDEX(Calc!$K:$K,(ROW(A323)-1)*5+COLUMN(A323)+1),",",".")</f>
        <v/>
      </c>
      <c r="G324" s="167">
        <f>SUBSTITUTE(INDEX(Calc!$K:$K,(ROW(B323)-1)*5+COLUMN(B323)+1),",",".")</f>
        <v/>
      </c>
      <c r="H324" s="167">
        <f>SUBSTITUTE(INDEX(Calc!$K:$K,(ROW(C323)-1)*5+COLUMN(C323)+1),",",".")</f>
        <v/>
      </c>
      <c r="I324" s="167">
        <f>SUBSTITUTE(INDEX(Calc!$K:$K,(ROW(D323)-1)*5+COLUMN(D323)+1),",",".")</f>
        <v/>
      </c>
      <c r="J324" s="167">
        <f>SUBSTITUTE(INDEX(Calc!$K:$K,(ROW(E323)-1)*5+COLUMN(E323)+1),",",".")</f>
        <v/>
      </c>
      <c r="K324" s="166" t="inlineStr">
        <is>
          <t>], 'type' =&gt; "</t>
        </is>
      </c>
      <c r="L324" s="167">
        <f>Закуп!AA324</f>
        <v/>
      </c>
      <c r="M324" s="166" t="inlineStr">
        <is>
          <t>", 'sale' =&gt; "</t>
        </is>
      </c>
      <c r="N324" s="166">
        <f>IF(Закуп!L324="",0,Закуп!L324)</f>
        <v/>
      </c>
      <c r="O324" s="166" t="inlineStr">
        <is>
          <t>" ],</t>
        </is>
      </c>
      <c r="P324" s="144">
        <f>Закуп!N324</f>
        <v/>
      </c>
      <c r="Q324" s="210">
        <f>CONCATENATE(A324,B324,",",C324,",",D324,E324,F324,",",G324,",",H324,",",I324,",",J324,K324,L324,M324,N324,O324,)</f>
        <v/>
      </c>
    </row>
    <row r="325">
      <c r="A325" s="166" t="inlineStr">
        <is>
          <t xml:space="preserve">        [ 'dims' =&gt; [</t>
        </is>
      </c>
      <c r="B325" s="166">
        <f>Закуп!R325</f>
        <v/>
      </c>
      <c r="C325" s="166">
        <f>Закуп!S325</f>
        <v/>
      </c>
      <c r="D325" s="166">
        <f>Закуп!T325</f>
        <v/>
      </c>
      <c r="E325" s="166" t="inlineStr">
        <is>
          <t>], 'prices' =&gt; [</t>
        </is>
      </c>
      <c r="F325" s="167">
        <f>SUBSTITUTE(INDEX(Calc!$K:$K,(ROW(A324)-1)*5+COLUMN(A324)+1),",",".")</f>
        <v/>
      </c>
      <c r="G325" s="167">
        <f>SUBSTITUTE(INDEX(Calc!$K:$K,(ROW(B324)-1)*5+COLUMN(B324)+1),",",".")</f>
        <v/>
      </c>
      <c r="H325" s="167">
        <f>SUBSTITUTE(INDEX(Calc!$K:$K,(ROW(C324)-1)*5+COLUMN(C324)+1),",",".")</f>
        <v/>
      </c>
      <c r="I325" s="167">
        <f>SUBSTITUTE(INDEX(Calc!$K:$K,(ROW(D324)-1)*5+COLUMN(D324)+1),",",".")</f>
        <v/>
      </c>
      <c r="J325" s="167">
        <f>SUBSTITUTE(INDEX(Calc!$K:$K,(ROW(E324)-1)*5+COLUMN(E324)+1),",",".")</f>
        <v/>
      </c>
      <c r="K325" s="166" t="inlineStr">
        <is>
          <t>], 'type' =&gt; "</t>
        </is>
      </c>
      <c r="L325" s="167">
        <f>Закуп!AA325</f>
        <v/>
      </c>
      <c r="M325" s="166" t="inlineStr">
        <is>
          <t>", 'sale' =&gt; "</t>
        </is>
      </c>
      <c r="N325" s="166">
        <f>IF(Закуп!L325="",0,Закуп!L325)</f>
        <v/>
      </c>
      <c r="O325" s="166" t="inlineStr">
        <is>
          <t>" ],</t>
        </is>
      </c>
      <c r="P325" s="144">
        <f>Закуп!N325</f>
        <v/>
      </c>
      <c r="Q325" s="210">
        <f>CONCATENATE(A325,B325,",",C325,",",D325,E325,F325,",",G325,",",H325,",",I325,",",J325,K325,L325,M325,N325,O325,)</f>
        <v/>
      </c>
    </row>
    <row r="326">
      <c r="A326" s="47" t="inlineStr">
        <is>
          <t xml:space="preserve">        [ 'dims' =&gt; [</t>
        </is>
      </c>
      <c r="B326" s="47">
        <f>Закуп!R326</f>
        <v/>
      </c>
      <c r="C326" s="47">
        <f>Закуп!S326</f>
        <v/>
      </c>
      <c r="D326" s="47">
        <f>Закуп!T326</f>
        <v/>
      </c>
      <c r="E326" s="47" t="inlineStr">
        <is>
          <t>], 'prices' =&gt; [</t>
        </is>
      </c>
      <c r="F326" s="101">
        <f>SUBSTITUTE(INDEX(Calc!$K:$K,(ROW(A325)-1)*5+COLUMN(A325)+1),",",".")</f>
        <v/>
      </c>
      <c r="G326" s="101">
        <f>SUBSTITUTE(INDEX(Calc!$K:$K,(ROW(B325)-1)*5+COLUMN(B325)+1),",",".")</f>
        <v/>
      </c>
      <c r="H326" s="101">
        <f>SUBSTITUTE(INDEX(Calc!$K:$K,(ROW(C325)-1)*5+COLUMN(C325)+1),",",".")</f>
        <v/>
      </c>
      <c r="I326" s="101">
        <f>SUBSTITUTE(INDEX(Calc!$K:$K,(ROW(D325)-1)*5+COLUMN(D325)+1),",",".")</f>
        <v/>
      </c>
      <c r="J326" s="101">
        <f>SUBSTITUTE(INDEX(Calc!$K:$K,(ROW(E325)-1)*5+COLUMN(E325)+1),",",".")</f>
        <v/>
      </c>
      <c r="K326" s="47" t="inlineStr">
        <is>
          <t>], 'type' =&gt; "</t>
        </is>
      </c>
      <c r="L326" s="101">
        <f>Закуп!AA326</f>
        <v/>
      </c>
      <c r="M326" s="47" t="inlineStr">
        <is>
          <t>", 'sale' =&gt; "</t>
        </is>
      </c>
      <c r="N326" s="47">
        <f>IF(Закуп!L326="",0,Закуп!L326)</f>
        <v/>
      </c>
      <c r="O326" s="47" t="inlineStr">
        <is>
          <t>" ],</t>
        </is>
      </c>
      <c r="P326" s="165">
        <f>Закуп!N326</f>
        <v/>
      </c>
      <c r="Q326" s="210">
        <f>CONCATENATE(A326,B326,",",C326,",",D326,E326,F326,",",G326,",",H326,",",I326,",",J326,K326,L326,M326,N326,O326,)</f>
        <v/>
      </c>
    </row>
    <row r="327">
      <c r="A327" s="47" t="inlineStr">
        <is>
          <t xml:space="preserve">        [ 'dims' =&gt; [</t>
        </is>
      </c>
      <c r="B327" s="47">
        <f>Закуп!R327</f>
        <v/>
      </c>
      <c r="C327" s="47">
        <f>Закуп!S327</f>
        <v/>
      </c>
      <c r="D327" s="47">
        <f>Закуп!T327</f>
        <v/>
      </c>
      <c r="E327" s="47" t="inlineStr">
        <is>
          <t>], 'prices' =&gt; [</t>
        </is>
      </c>
      <c r="F327" s="101">
        <f>SUBSTITUTE(INDEX(Calc!$K:$K,(ROW(A326)-1)*5+COLUMN(A326)+1),",",".")</f>
        <v/>
      </c>
      <c r="G327" s="101">
        <f>SUBSTITUTE(INDEX(Calc!$K:$K,(ROW(B326)-1)*5+COLUMN(B326)+1),",",".")</f>
        <v/>
      </c>
      <c r="H327" s="101">
        <f>SUBSTITUTE(INDEX(Calc!$K:$K,(ROW(C326)-1)*5+COLUMN(C326)+1),",",".")</f>
        <v/>
      </c>
      <c r="I327" s="101">
        <f>SUBSTITUTE(INDEX(Calc!$K:$K,(ROW(D326)-1)*5+COLUMN(D326)+1),",",".")</f>
        <v/>
      </c>
      <c r="J327" s="101">
        <f>SUBSTITUTE(INDEX(Calc!$K:$K,(ROW(E326)-1)*5+COLUMN(E326)+1),",",".")</f>
        <v/>
      </c>
      <c r="K327" s="47" t="inlineStr">
        <is>
          <t>], 'type' =&gt; "</t>
        </is>
      </c>
      <c r="L327" s="101">
        <f>Закуп!AA327</f>
        <v/>
      </c>
      <c r="M327" s="47" t="inlineStr">
        <is>
          <t>", 'sale' =&gt; "</t>
        </is>
      </c>
      <c r="N327" s="47">
        <f>IF(Закуп!L327="",0,Закуп!L327)</f>
        <v/>
      </c>
      <c r="O327" s="47" t="inlineStr">
        <is>
          <t>" ],</t>
        </is>
      </c>
      <c r="P327" s="165">
        <f>Закуп!N327</f>
        <v/>
      </c>
      <c r="Q327" s="210">
        <f>CONCATENATE(A327,B327,",",C327,",",D327,E327,F327,",",G327,",",H327,",",I327,",",J327,K327,L327,M327,N327,O327,)</f>
        <v/>
      </c>
    </row>
    <row r="328">
      <c r="A328" s="47" t="inlineStr">
        <is>
          <t xml:space="preserve">        [ 'dims' =&gt; [</t>
        </is>
      </c>
      <c r="B328" s="47">
        <f>Закуп!R328</f>
        <v/>
      </c>
      <c r="C328" s="47">
        <f>Закуп!S328</f>
        <v/>
      </c>
      <c r="D328" s="47">
        <f>Закуп!T328</f>
        <v/>
      </c>
      <c r="E328" s="47" t="inlineStr">
        <is>
          <t>], 'prices' =&gt; [</t>
        </is>
      </c>
      <c r="F328" s="101">
        <f>SUBSTITUTE(INDEX(Calc!$K:$K,(ROW(A327)-1)*5+COLUMN(A327)+1),",",".")</f>
        <v/>
      </c>
      <c r="G328" s="101">
        <f>SUBSTITUTE(INDEX(Calc!$K:$K,(ROW(B327)-1)*5+COLUMN(B327)+1),",",".")</f>
        <v/>
      </c>
      <c r="H328" s="101">
        <f>SUBSTITUTE(INDEX(Calc!$K:$K,(ROW(C327)-1)*5+COLUMN(C327)+1),",",".")</f>
        <v/>
      </c>
      <c r="I328" s="101">
        <f>SUBSTITUTE(INDEX(Calc!$K:$K,(ROW(D327)-1)*5+COLUMN(D327)+1),",",".")</f>
        <v/>
      </c>
      <c r="J328" s="101">
        <f>SUBSTITUTE(INDEX(Calc!$K:$K,(ROW(E327)-1)*5+COLUMN(E327)+1),",",".")</f>
        <v/>
      </c>
      <c r="K328" s="47" t="inlineStr">
        <is>
          <t>], 'type' =&gt; "</t>
        </is>
      </c>
      <c r="L328" s="101">
        <f>Закуп!AA328</f>
        <v/>
      </c>
      <c r="M328" s="47" t="inlineStr">
        <is>
          <t>", 'sale' =&gt; "</t>
        </is>
      </c>
      <c r="N328" s="47">
        <f>IF(Закуп!L328="",0,Закуп!L328)</f>
        <v/>
      </c>
      <c r="O328" s="47" t="inlineStr">
        <is>
          <t>" ],</t>
        </is>
      </c>
      <c r="P328" s="165">
        <f>Закуп!N328</f>
        <v/>
      </c>
      <c r="Q328" s="210">
        <f>CONCATENATE(A328,B328,",",C328,",",D328,E328,F328,",",G328,",",H328,",",I328,",",J328,K328,L328,M328,N328,O328,)</f>
        <v/>
      </c>
    </row>
    <row r="329">
      <c r="A329" s="47" t="inlineStr">
        <is>
          <t xml:space="preserve">        [ 'dims' =&gt; [</t>
        </is>
      </c>
      <c r="B329" s="47">
        <f>Закуп!R329</f>
        <v/>
      </c>
      <c r="C329" s="47">
        <f>Закуп!S329</f>
        <v/>
      </c>
      <c r="D329" s="47">
        <f>Закуп!T329</f>
        <v/>
      </c>
      <c r="E329" s="47" t="inlineStr">
        <is>
          <t>], 'prices' =&gt; [</t>
        </is>
      </c>
      <c r="F329" s="101">
        <f>SUBSTITUTE(INDEX(Calc!$K:$K,(ROW(A328)-1)*5+COLUMN(A328)+1),",",".")</f>
        <v/>
      </c>
      <c r="G329" s="101">
        <f>SUBSTITUTE(INDEX(Calc!$K:$K,(ROW(B328)-1)*5+COLUMN(B328)+1),",",".")</f>
        <v/>
      </c>
      <c r="H329" s="101">
        <f>SUBSTITUTE(INDEX(Calc!$K:$K,(ROW(C328)-1)*5+COLUMN(C328)+1),",",".")</f>
        <v/>
      </c>
      <c r="I329" s="101">
        <f>SUBSTITUTE(INDEX(Calc!$K:$K,(ROW(D328)-1)*5+COLUMN(D328)+1),",",".")</f>
        <v/>
      </c>
      <c r="J329" s="101">
        <f>SUBSTITUTE(INDEX(Calc!$K:$K,(ROW(E328)-1)*5+COLUMN(E328)+1),",",".")</f>
        <v/>
      </c>
      <c r="K329" s="47" t="inlineStr">
        <is>
          <t>], 'type' =&gt; "</t>
        </is>
      </c>
      <c r="L329" s="101">
        <f>Закуп!AA329</f>
        <v/>
      </c>
      <c r="M329" s="47" t="inlineStr">
        <is>
          <t>", 'sale' =&gt; "</t>
        </is>
      </c>
      <c r="N329" s="47">
        <f>IF(Закуп!L329="",0,Закуп!L329)</f>
        <v/>
      </c>
      <c r="O329" s="47" t="inlineStr">
        <is>
          <t>" ],</t>
        </is>
      </c>
      <c r="P329" s="165">
        <f>Закуп!N329</f>
        <v/>
      </c>
      <c r="Q329" s="210">
        <f>CONCATENATE(A329,B329,",",C329,",",D329,E329,F329,",",G329,",",H329,",",I329,",",J329,K329,L329,M329,N329,O329,)</f>
        <v/>
      </c>
    </row>
    <row r="330">
      <c r="A330" s="47" t="inlineStr">
        <is>
          <t xml:space="preserve">        [ 'dims' =&gt; [</t>
        </is>
      </c>
      <c r="B330" s="47">
        <f>Закуп!R330</f>
        <v/>
      </c>
      <c r="C330" s="47">
        <f>Закуп!S330</f>
        <v/>
      </c>
      <c r="D330" s="47">
        <f>Закуп!T330</f>
        <v/>
      </c>
      <c r="E330" s="47" t="inlineStr">
        <is>
          <t>], 'prices' =&gt; [</t>
        </is>
      </c>
      <c r="F330" s="101">
        <f>SUBSTITUTE(INDEX(Calc!$K:$K,(ROW(A329)-1)*5+COLUMN(A329)+1),",",".")</f>
        <v/>
      </c>
      <c r="G330" s="101">
        <f>SUBSTITUTE(INDEX(Calc!$K:$K,(ROW(B329)-1)*5+COLUMN(B329)+1),",",".")</f>
        <v/>
      </c>
      <c r="H330" s="101">
        <f>SUBSTITUTE(INDEX(Calc!$K:$K,(ROW(C329)-1)*5+COLUMN(C329)+1),",",".")</f>
        <v/>
      </c>
      <c r="I330" s="101">
        <f>SUBSTITUTE(INDEX(Calc!$K:$K,(ROW(D329)-1)*5+COLUMN(D329)+1),",",".")</f>
        <v/>
      </c>
      <c r="J330" s="101">
        <f>SUBSTITUTE(INDEX(Calc!$K:$K,(ROW(E329)-1)*5+COLUMN(E329)+1),",",".")</f>
        <v/>
      </c>
      <c r="K330" s="47" t="inlineStr">
        <is>
          <t>], 'type' =&gt; "</t>
        </is>
      </c>
      <c r="L330" s="101">
        <f>Закуп!AA330</f>
        <v/>
      </c>
      <c r="M330" s="47" t="inlineStr">
        <is>
          <t>", 'sale' =&gt; "</t>
        </is>
      </c>
      <c r="N330" s="47">
        <f>IF(Закуп!L330="",0,Закуп!L330)</f>
        <v/>
      </c>
      <c r="O330" s="47" t="inlineStr">
        <is>
          <t>" ],</t>
        </is>
      </c>
      <c r="P330" s="165">
        <f>Закуп!N330</f>
        <v/>
      </c>
      <c r="Q330" s="210">
        <f>CONCATENATE(A330,B330,",",C330,",",D330,E330,F330,",",G330,",",H330,",",I330,",",J330,K330,L330,M330,N330,O330,)</f>
        <v/>
      </c>
    </row>
    <row r="331">
      <c r="A331" s="47" t="inlineStr">
        <is>
          <t xml:space="preserve">        [ 'dims' =&gt; [</t>
        </is>
      </c>
      <c r="B331" s="47">
        <f>Закуп!R331</f>
        <v/>
      </c>
      <c r="C331" s="47">
        <f>Закуп!S331</f>
        <v/>
      </c>
      <c r="D331" s="47">
        <f>Закуп!T331</f>
        <v/>
      </c>
      <c r="E331" s="47" t="inlineStr">
        <is>
          <t>], 'prices' =&gt; [</t>
        </is>
      </c>
      <c r="F331" s="101">
        <f>SUBSTITUTE(INDEX(Calc!$K:$K,(ROW(A330)-1)*5+COLUMN(A330)+1),",",".")</f>
        <v/>
      </c>
      <c r="G331" s="101">
        <f>SUBSTITUTE(INDEX(Calc!$K:$K,(ROW(B330)-1)*5+COLUMN(B330)+1),",",".")</f>
        <v/>
      </c>
      <c r="H331" s="101">
        <f>SUBSTITUTE(INDEX(Calc!$K:$K,(ROW(C330)-1)*5+COLUMN(C330)+1),",",".")</f>
        <v/>
      </c>
      <c r="I331" s="101">
        <f>SUBSTITUTE(INDEX(Calc!$K:$K,(ROW(D330)-1)*5+COLUMN(D330)+1),",",".")</f>
        <v/>
      </c>
      <c r="J331" s="101">
        <f>SUBSTITUTE(INDEX(Calc!$K:$K,(ROW(E330)-1)*5+COLUMN(E330)+1),",",".")</f>
        <v/>
      </c>
      <c r="K331" s="47" t="inlineStr">
        <is>
          <t>], 'type' =&gt; "</t>
        </is>
      </c>
      <c r="L331" s="101">
        <f>Закуп!AA331</f>
        <v/>
      </c>
      <c r="M331" s="47" t="inlineStr">
        <is>
          <t>", 'sale' =&gt; "</t>
        </is>
      </c>
      <c r="N331" s="47">
        <f>IF(Закуп!L331="",0,Закуп!L331)</f>
        <v/>
      </c>
      <c r="O331" s="47" t="inlineStr">
        <is>
          <t>" ],</t>
        </is>
      </c>
      <c r="P331" s="165">
        <f>Закуп!N331</f>
        <v/>
      </c>
      <c r="Q331" s="210">
        <f>CONCATENATE(A331,B331,",",C331,",",D331,E331,F331,",",G331,",",H331,",",I331,",",J331,K331,L331,M331,N331,O331,)</f>
        <v/>
      </c>
    </row>
    <row r="332">
      <c r="A332" s="47" t="inlineStr">
        <is>
          <t xml:space="preserve">        [ 'dims' =&gt; [</t>
        </is>
      </c>
      <c r="B332" s="47">
        <f>Закуп!R332</f>
        <v/>
      </c>
      <c r="C332" s="47">
        <f>Закуп!S332</f>
        <v/>
      </c>
      <c r="D332" s="47">
        <f>Закуп!T332</f>
        <v/>
      </c>
      <c r="E332" s="47" t="inlineStr">
        <is>
          <t>], 'prices' =&gt; [</t>
        </is>
      </c>
      <c r="F332" s="101">
        <f>SUBSTITUTE(INDEX(Calc!$K:$K,(ROW(A331)-1)*5+COLUMN(A331)+1),",",".")</f>
        <v/>
      </c>
      <c r="G332" s="101">
        <f>SUBSTITUTE(INDEX(Calc!$K:$K,(ROW(B331)-1)*5+COLUMN(B331)+1),",",".")</f>
        <v/>
      </c>
      <c r="H332" s="101">
        <f>SUBSTITUTE(INDEX(Calc!$K:$K,(ROW(C331)-1)*5+COLUMN(C331)+1),",",".")</f>
        <v/>
      </c>
      <c r="I332" s="101">
        <f>SUBSTITUTE(INDEX(Calc!$K:$K,(ROW(D331)-1)*5+COLUMN(D331)+1),",",".")</f>
        <v/>
      </c>
      <c r="J332" s="101">
        <f>SUBSTITUTE(INDEX(Calc!$K:$K,(ROW(E331)-1)*5+COLUMN(E331)+1),",",".")</f>
        <v/>
      </c>
      <c r="K332" s="47" t="inlineStr">
        <is>
          <t>], 'type' =&gt; "</t>
        </is>
      </c>
      <c r="L332" s="101">
        <f>Закуп!AA332</f>
        <v/>
      </c>
      <c r="M332" s="47" t="inlineStr">
        <is>
          <t>", 'sale' =&gt; "</t>
        </is>
      </c>
      <c r="N332" s="47">
        <f>IF(Закуп!L332="",0,Закуп!L332)</f>
        <v/>
      </c>
      <c r="O332" s="47" t="inlineStr">
        <is>
          <t>" ],</t>
        </is>
      </c>
      <c r="P332" s="165">
        <f>Закуп!N332</f>
        <v/>
      </c>
      <c r="Q332" s="210">
        <f>CONCATENATE(A332,B332,",",C332,",",D332,E332,F332,",",G332,",",H332,",",I332,",",J332,K332,L332,M332,N332,O332,)</f>
        <v/>
      </c>
    </row>
    <row r="333">
      <c r="A333" s="47" t="inlineStr">
        <is>
          <t xml:space="preserve">        [ 'dims' =&gt; [</t>
        </is>
      </c>
      <c r="B333" s="47">
        <f>Закуп!R333</f>
        <v/>
      </c>
      <c r="C333" s="47">
        <f>Закуп!S333</f>
        <v/>
      </c>
      <c r="D333" s="47">
        <f>Закуп!T333</f>
        <v/>
      </c>
      <c r="E333" s="47" t="inlineStr">
        <is>
          <t>], 'prices' =&gt; [</t>
        </is>
      </c>
      <c r="F333" s="101">
        <f>SUBSTITUTE(INDEX(Calc!$K:$K,(ROW(A332)-1)*5+COLUMN(A332)+1),",",".")</f>
        <v/>
      </c>
      <c r="G333" s="101">
        <f>SUBSTITUTE(INDEX(Calc!$K:$K,(ROW(B332)-1)*5+COLUMN(B332)+1),",",".")</f>
        <v/>
      </c>
      <c r="H333" s="101">
        <f>SUBSTITUTE(INDEX(Calc!$K:$K,(ROW(C332)-1)*5+COLUMN(C332)+1),",",".")</f>
        <v/>
      </c>
      <c r="I333" s="101">
        <f>SUBSTITUTE(INDEX(Calc!$K:$K,(ROW(D332)-1)*5+COLUMN(D332)+1),",",".")</f>
        <v/>
      </c>
      <c r="J333" s="101">
        <f>SUBSTITUTE(INDEX(Calc!$K:$K,(ROW(E332)-1)*5+COLUMN(E332)+1),",",".")</f>
        <v/>
      </c>
      <c r="K333" s="47" t="inlineStr">
        <is>
          <t>], 'type' =&gt; "</t>
        </is>
      </c>
      <c r="L333" s="101">
        <f>Закуп!AA333</f>
        <v/>
      </c>
      <c r="M333" s="47" t="inlineStr">
        <is>
          <t>", 'sale' =&gt; "</t>
        </is>
      </c>
      <c r="N333" s="47">
        <f>IF(Закуп!L333="",0,Закуп!L333)</f>
        <v/>
      </c>
      <c r="O333" s="47" t="inlineStr">
        <is>
          <t>" ],</t>
        </is>
      </c>
      <c r="P333" s="165">
        <f>Закуп!N333</f>
        <v/>
      </c>
      <c r="Q333" s="210">
        <f>CONCATENATE(A333,B333,",",C333,",",D333,E333,F333,",",G333,",",H333,",",I333,",",J333,K333,L333,M333,N333,O333,)</f>
        <v/>
      </c>
    </row>
    <row r="334">
      <c r="A334" s="47" t="inlineStr">
        <is>
          <t xml:space="preserve">        [ 'dims' =&gt; [</t>
        </is>
      </c>
      <c r="B334" s="47">
        <f>Закуп!R334</f>
        <v/>
      </c>
      <c r="C334" s="47">
        <f>Закуп!S334</f>
        <v/>
      </c>
      <c r="D334" s="47">
        <f>Закуп!T334</f>
        <v/>
      </c>
      <c r="E334" s="47" t="inlineStr">
        <is>
          <t>], 'prices' =&gt; [</t>
        </is>
      </c>
      <c r="F334" s="101">
        <f>SUBSTITUTE(INDEX(Calc!$K:$K,(ROW(A333)-1)*5+COLUMN(A333)+1),",",".")</f>
        <v/>
      </c>
      <c r="G334" s="101">
        <f>SUBSTITUTE(INDEX(Calc!$K:$K,(ROW(B333)-1)*5+COLUMN(B333)+1),",",".")</f>
        <v/>
      </c>
      <c r="H334" s="101">
        <f>SUBSTITUTE(INDEX(Calc!$K:$K,(ROW(C333)-1)*5+COLUMN(C333)+1),",",".")</f>
        <v/>
      </c>
      <c r="I334" s="101">
        <f>SUBSTITUTE(INDEX(Calc!$K:$K,(ROW(D333)-1)*5+COLUMN(D333)+1),",",".")</f>
        <v/>
      </c>
      <c r="J334" s="101">
        <f>SUBSTITUTE(INDEX(Calc!$K:$K,(ROW(E333)-1)*5+COLUMN(E333)+1),",",".")</f>
        <v/>
      </c>
      <c r="K334" s="47" t="inlineStr">
        <is>
          <t>], 'type' =&gt; "</t>
        </is>
      </c>
      <c r="L334" s="101">
        <f>Закуп!AA334</f>
        <v/>
      </c>
      <c r="M334" s="47" t="inlineStr">
        <is>
          <t>", 'sale' =&gt; "</t>
        </is>
      </c>
      <c r="N334" s="47">
        <f>IF(Закуп!L334="",0,Закуп!L334)</f>
        <v/>
      </c>
      <c r="O334" s="47" t="inlineStr">
        <is>
          <t>" ],</t>
        </is>
      </c>
      <c r="P334" s="165">
        <f>Закуп!N334</f>
        <v/>
      </c>
      <c r="Q334" s="210">
        <f>CONCATENATE(A334,B334,",",C334,",",D334,E334,F334,",",G334,",",H334,",",I334,",",J334,K334,L334,M334,N334,O334,)</f>
        <v/>
      </c>
    </row>
    <row r="335">
      <c r="A335" s="47" t="inlineStr">
        <is>
          <t xml:space="preserve">        [ 'dims' =&gt; [</t>
        </is>
      </c>
      <c r="B335" s="47">
        <f>Закуп!R335</f>
        <v/>
      </c>
      <c r="C335" s="47">
        <f>Закуп!S335</f>
        <v/>
      </c>
      <c r="D335" s="47">
        <f>Закуп!T335</f>
        <v/>
      </c>
      <c r="E335" s="47" t="inlineStr">
        <is>
          <t>], 'prices' =&gt; [</t>
        </is>
      </c>
      <c r="F335" s="101">
        <f>SUBSTITUTE(INDEX(Calc!$K:$K,(ROW(A334)-1)*5+COLUMN(A334)+1),",",".")</f>
        <v/>
      </c>
      <c r="G335" s="101">
        <f>SUBSTITUTE(INDEX(Calc!$K:$K,(ROW(B334)-1)*5+COLUMN(B334)+1),",",".")</f>
        <v/>
      </c>
      <c r="H335" s="101">
        <f>SUBSTITUTE(INDEX(Calc!$K:$K,(ROW(C334)-1)*5+COLUMN(C334)+1),",",".")</f>
        <v/>
      </c>
      <c r="I335" s="101">
        <f>SUBSTITUTE(INDEX(Calc!$K:$K,(ROW(D334)-1)*5+COLUMN(D334)+1),",",".")</f>
        <v/>
      </c>
      <c r="J335" s="101">
        <f>SUBSTITUTE(INDEX(Calc!$K:$K,(ROW(E334)-1)*5+COLUMN(E334)+1),",",".")</f>
        <v/>
      </c>
      <c r="K335" s="47" t="inlineStr">
        <is>
          <t>], 'type' =&gt; "</t>
        </is>
      </c>
      <c r="L335" s="101">
        <f>Закуп!AA335</f>
        <v/>
      </c>
      <c r="M335" s="47" t="inlineStr">
        <is>
          <t>", 'sale' =&gt; "</t>
        </is>
      </c>
      <c r="N335" s="47">
        <f>IF(Закуп!L335="",0,Закуп!L335)</f>
        <v/>
      </c>
      <c r="O335" s="47" t="inlineStr">
        <is>
          <t>" ],</t>
        </is>
      </c>
      <c r="P335" s="165">
        <f>Закуп!N335</f>
        <v/>
      </c>
      <c r="Q335" s="210">
        <f>CONCATENATE(A335,B335,",",C335,",",D335,E335,F335,",",G335,",",H335,",",I335,",",J335,K335,L335,M335,N335,O335,)</f>
        <v/>
      </c>
    </row>
    <row r="336">
      <c r="A336" s="47" t="inlineStr">
        <is>
          <t xml:space="preserve">        [ 'dims' =&gt; [</t>
        </is>
      </c>
      <c r="B336" s="47">
        <f>Закуп!R336</f>
        <v/>
      </c>
      <c r="C336" s="47">
        <f>Закуп!S336</f>
        <v/>
      </c>
      <c r="D336" s="47">
        <f>Закуп!T336</f>
        <v/>
      </c>
      <c r="E336" s="47" t="inlineStr">
        <is>
          <t>], 'prices' =&gt; [</t>
        </is>
      </c>
      <c r="F336" s="101">
        <f>SUBSTITUTE(INDEX(Calc!$K:$K,(ROW(A335)-1)*5+COLUMN(A335)+1),",",".")</f>
        <v/>
      </c>
      <c r="G336" s="101">
        <f>SUBSTITUTE(INDEX(Calc!$K:$K,(ROW(B335)-1)*5+COLUMN(B335)+1),",",".")</f>
        <v/>
      </c>
      <c r="H336" s="101">
        <f>SUBSTITUTE(INDEX(Calc!$K:$K,(ROW(C335)-1)*5+COLUMN(C335)+1),",",".")</f>
        <v/>
      </c>
      <c r="I336" s="101">
        <f>SUBSTITUTE(INDEX(Calc!$K:$K,(ROW(D335)-1)*5+COLUMN(D335)+1),",",".")</f>
        <v/>
      </c>
      <c r="J336" s="101">
        <f>SUBSTITUTE(INDEX(Calc!$K:$K,(ROW(E335)-1)*5+COLUMN(E335)+1),",",".")</f>
        <v/>
      </c>
      <c r="K336" s="47" t="inlineStr">
        <is>
          <t>], 'type' =&gt; "</t>
        </is>
      </c>
      <c r="L336" s="101">
        <f>Закуп!AA336</f>
        <v/>
      </c>
      <c r="M336" s="47" t="inlineStr">
        <is>
          <t>", 'sale' =&gt; "</t>
        </is>
      </c>
      <c r="N336" s="47">
        <f>IF(Закуп!L336="",0,Закуп!L336)</f>
        <v/>
      </c>
      <c r="O336" s="47" t="inlineStr">
        <is>
          <t>" ],</t>
        </is>
      </c>
      <c r="P336" s="165">
        <f>Закуп!N336</f>
        <v/>
      </c>
      <c r="Q336" s="210">
        <f>CONCATENATE(A336,B336,",",C336,",",D336,E336,F336,",",G336,",",H336,",",I336,",",J336,K336,L336,M336,N336,O336,)</f>
        <v/>
      </c>
    </row>
    <row r="337">
      <c r="A337" s="47" t="inlineStr">
        <is>
          <t xml:space="preserve">        [ 'dims' =&gt; [</t>
        </is>
      </c>
      <c r="B337" s="47">
        <f>Закуп!R337</f>
        <v/>
      </c>
      <c r="C337" s="47">
        <f>Закуп!S337</f>
        <v/>
      </c>
      <c r="D337" s="47">
        <f>Закуп!T337</f>
        <v/>
      </c>
      <c r="E337" s="47" t="inlineStr">
        <is>
          <t>], 'prices' =&gt; [</t>
        </is>
      </c>
      <c r="F337" s="101">
        <f>SUBSTITUTE(INDEX(Calc!$K:$K,(ROW(A336)-1)*5+COLUMN(A336)+1),",",".")</f>
        <v/>
      </c>
      <c r="G337" s="101">
        <f>SUBSTITUTE(INDEX(Calc!$K:$K,(ROW(B336)-1)*5+COLUMN(B336)+1),",",".")</f>
        <v/>
      </c>
      <c r="H337" s="101">
        <f>SUBSTITUTE(INDEX(Calc!$K:$K,(ROW(C336)-1)*5+COLUMN(C336)+1),",",".")</f>
        <v/>
      </c>
      <c r="I337" s="101">
        <f>SUBSTITUTE(INDEX(Calc!$K:$K,(ROW(D336)-1)*5+COLUMN(D336)+1),",",".")</f>
        <v/>
      </c>
      <c r="J337" s="101">
        <f>SUBSTITUTE(INDEX(Calc!$K:$K,(ROW(E336)-1)*5+COLUMN(E336)+1),",",".")</f>
        <v/>
      </c>
      <c r="K337" s="47" t="inlineStr">
        <is>
          <t>], 'type' =&gt; "</t>
        </is>
      </c>
      <c r="L337" s="101">
        <f>Закуп!AA337</f>
        <v/>
      </c>
      <c r="M337" s="47" t="inlineStr">
        <is>
          <t>", 'sale' =&gt; "</t>
        </is>
      </c>
      <c r="N337" s="47">
        <f>IF(Закуп!L337="",0,Закуп!L337)</f>
        <v/>
      </c>
      <c r="O337" s="47" t="inlineStr">
        <is>
          <t>" ],</t>
        </is>
      </c>
      <c r="P337" s="165">
        <f>Закуп!N337</f>
        <v/>
      </c>
      <c r="Q337" s="210">
        <f>CONCATENATE(A337,B337,",",C337,",",D337,E337,F337,",",G337,",",H337,",",I337,",",J337,K337,L337,M337,N337,O337,)</f>
        <v/>
      </c>
    </row>
    <row r="338">
      <c r="A338" s="47" t="inlineStr">
        <is>
          <t xml:space="preserve">        [ 'dims' =&gt; [</t>
        </is>
      </c>
      <c r="B338" s="47">
        <f>Закуп!R338</f>
        <v/>
      </c>
      <c r="C338" s="47">
        <f>Закуп!S338</f>
        <v/>
      </c>
      <c r="D338" s="47">
        <f>Закуп!T338</f>
        <v/>
      </c>
      <c r="E338" s="47" t="inlineStr">
        <is>
          <t>], 'prices' =&gt; [</t>
        </is>
      </c>
      <c r="F338" s="101">
        <f>SUBSTITUTE(INDEX(Calc!$K:$K,(ROW(A337)-1)*5+COLUMN(A337)+1),",",".")</f>
        <v/>
      </c>
      <c r="G338" s="101">
        <f>SUBSTITUTE(INDEX(Calc!$K:$K,(ROW(B337)-1)*5+COLUMN(B337)+1),",",".")</f>
        <v/>
      </c>
      <c r="H338" s="101">
        <f>SUBSTITUTE(INDEX(Calc!$K:$K,(ROW(C337)-1)*5+COLUMN(C337)+1),",",".")</f>
        <v/>
      </c>
      <c r="I338" s="101">
        <f>SUBSTITUTE(INDEX(Calc!$K:$K,(ROW(D337)-1)*5+COLUMN(D337)+1),",",".")</f>
        <v/>
      </c>
      <c r="J338" s="101">
        <f>SUBSTITUTE(INDEX(Calc!$K:$K,(ROW(E337)-1)*5+COLUMN(E337)+1),",",".")</f>
        <v/>
      </c>
      <c r="K338" s="47" t="inlineStr">
        <is>
          <t>], 'type' =&gt; "</t>
        </is>
      </c>
      <c r="L338" s="101">
        <f>Закуп!AA338</f>
        <v/>
      </c>
      <c r="M338" s="47" t="inlineStr">
        <is>
          <t>", 'sale' =&gt; "</t>
        </is>
      </c>
      <c r="N338" s="47">
        <f>IF(Закуп!L338="",0,Закуп!L338)</f>
        <v/>
      </c>
      <c r="O338" s="47" t="inlineStr">
        <is>
          <t>" ],</t>
        </is>
      </c>
      <c r="P338" s="165">
        <f>Закуп!N338</f>
        <v/>
      </c>
      <c r="Q338" s="210">
        <f>CONCATENATE(A338,B338,",",C338,",",D338,E338,F338,",",G338,",",H338,",",I338,",",J338,K338,L338,M338,N338,O338,)</f>
        <v/>
      </c>
    </row>
    <row r="339">
      <c r="A339" s="47" t="inlineStr">
        <is>
          <t xml:space="preserve">        [ 'dims' =&gt; [</t>
        </is>
      </c>
      <c r="B339" s="47">
        <f>Закуп!R339</f>
        <v/>
      </c>
      <c r="C339" s="47">
        <f>Закуп!S339</f>
        <v/>
      </c>
      <c r="D339" s="47">
        <f>Закуп!T339</f>
        <v/>
      </c>
      <c r="E339" s="47" t="inlineStr">
        <is>
          <t>], 'prices' =&gt; [</t>
        </is>
      </c>
      <c r="F339" s="101">
        <f>SUBSTITUTE(INDEX(Calc!$K:$K,(ROW(A338)-1)*5+COLUMN(A338)+1),",",".")</f>
        <v/>
      </c>
      <c r="G339" s="101">
        <f>SUBSTITUTE(INDEX(Calc!$K:$K,(ROW(B338)-1)*5+COLUMN(B338)+1),",",".")</f>
        <v/>
      </c>
      <c r="H339" s="101">
        <f>SUBSTITUTE(INDEX(Calc!$K:$K,(ROW(C338)-1)*5+COLUMN(C338)+1),",",".")</f>
        <v/>
      </c>
      <c r="I339" s="101">
        <f>SUBSTITUTE(INDEX(Calc!$K:$K,(ROW(D338)-1)*5+COLUMN(D338)+1),",",".")</f>
        <v/>
      </c>
      <c r="J339" s="101">
        <f>SUBSTITUTE(INDEX(Calc!$K:$K,(ROW(E338)-1)*5+COLUMN(E338)+1),",",".")</f>
        <v/>
      </c>
      <c r="K339" s="47" t="inlineStr">
        <is>
          <t>], 'type' =&gt; "</t>
        </is>
      </c>
      <c r="L339" s="101">
        <f>Закуп!AA339</f>
        <v/>
      </c>
      <c r="M339" s="47" t="inlineStr">
        <is>
          <t>", 'sale' =&gt; "</t>
        </is>
      </c>
      <c r="N339" s="47">
        <f>IF(Закуп!L339="",0,Закуп!L339)</f>
        <v/>
      </c>
      <c r="O339" s="47" t="inlineStr">
        <is>
          <t>" ],</t>
        </is>
      </c>
      <c r="P339" s="165">
        <f>Закуп!N339</f>
        <v/>
      </c>
      <c r="Q339" s="210">
        <f>CONCATENATE(A339,B339,",",C339,",",D339,E339,F339,",",G339,",",H339,",",I339,",",J339,K339,L339,M339,N339,O339,)</f>
        <v/>
      </c>
    </row>
    <row r="340">
      <c r="A340" s="47" t="inlineStr">
        <is>
          <t xml:space="preserve">        [ 'dims' =&gt; [</t>
        </is>
      </c>
      <c r="B340" s="47">
        <f>Закуп!R340</f>
        <v/>
      </c>
      <c r="C340" s="47">
        <f>Закуп!S340</f>
        <v/>
      </c>
      <c r="D340" s="47">
        <f>Закуп!T340</f>
        <v/>
      </c>
      <c r="E340" s="47" t="inlineStr">
        <is>
          <t>], 'prices' =&gt; [</t>
        </is>
      </c>
      <c r="F340" s="101">
        <f>SUBSTITUTE(INDEX(Calc!$K:$K,(ROW(A339)-1)*5+COLUMN(A339)+1),",",".")</f>
        <v/>
      </c>
      <c r="G340" s="101">
        <f>SUBSTITUTE(INDEX(Calc!$K:$K,(ROW(B339)-1)*5+COLUMN(B339)+1),",",".")</f>
        <v/>
      </c>
      <c r="H340" s="101">
        <f>SUBSTITUTE(INDEX(Calc!$K:$K,(ROW(C339)-1)*5+COLUMN(C339)+1),",",".")</f>
        <v/>
      </c>
      <c r="I340" s="101">
        <f>SUBSTITUTE(INDEX(Calc!$K:$K,(ROW(D339)-1)*5+COLUMN(D339)+1),",",".")</f>
        <v/>
      </c>
      <c r="J340" s="101">
        <f>SUBSTITUTE(INDEX(Calc!$K:$K,(ROW(E339)-1)*5+COLUMN(E339)+1),",",".")</f>
        <v/>
      </c>
      <c r="K340" s="47" t="inlineStr">
        <is>
          <t>], 'type' =&gt; "</t>
        </is>
      </c>
      <c r="L340" s="101">
        <f>Закуп!AA340</f>
        <v/>
      </c>
      <c r="M340" s="47" t="inlineStr">
        <is>
          <t>", 'sale' =&gt; "</t>
        </is>
      </c>
      <c r="N340" s="47">
        <f>IF(Закуп!L340="",0,Закуп!L340)</f>
        <v/>
      </c>
      <c r="O340" s="47" t="inlineStr">
        <is>
          <t>" ],</t>
        </is>
      </c>
      <c r="P340" s="165">
        <f>Закуп!N340</f>
        <v/>
      </c>
      <c r="Q340" s="210">
        <f>CONCATENATE(A340,B340,",",C340,",",D340,E340,F340,",",G340,",",H340,",",I340,",",J340,K340,L340,M340,N340,O340,)</f>
        <v/>
      </c>
    </row>
    <row r="341">
      <c r="A341" s="47" t="inlineStr">
        <is>
          <t xml:space="preserve">        [ 'dims' =&gt; [</t>
        </is>
      </c>
      <c r="B341" s="47">
        <f>Закуп!R341</f>
        <v/>
      </c>
      <c r="C341" s="47">
        <f>Закуп!S341</f>
        <v/>
      </c>
      <c r="D341" s="47">
        <f>Закуп!T341</f>
        <v/>
      </c>
      <c r="E341" s="47" t="inlineStr">
        <is>
          <t>], 'prices' =&gt; [</t>
        </is>
      </c>
      <c r="F341" s="101">
        <f>SUBSTITUTE(INDEX(Calc!$K:$K,(ROW(A340)-1)*5+COLUMN(A340)+1),",",".")</f>
        <v/>
      </c>
      <c r="G341" s="101">
        <f>SUBSTITUTE(INDEX(Calc!$K:$K,(ROW(B340)-1)*5+COLUMN(B340)+1),",",".")</f>
        <v/>
      </c>
      <c r="H341" s="101">
        <f>SUBSTITUTE(INDEX(Calc!$K:$K,(ROW(C340)-1)*5+COLUMN(C340)+1),",",".")</f>
        <v/>
      </c>
      <c r="I341" s="101">
        <f>SUBSTITUTE(INDEX(Calc!$K:$K,(ROW(D340)-1)*5+COLUMN(D340)+1),",",".")</f>
        <v/>
      </c>
      <c r="J341" s="101">
        <f>SUBSTITUTE(INDEX(Calc!$K:$K,(ROW(E340)-1)*5+COLUMN(E340)+1),",",".")</f>
        <v/>
      </c>
      <c r="K341" s="47" t="inlineStr">
        <is>
          <t>], 'type' =&gt; "</t>
        </is>
      </c>
      <c r="L341" s="101">
        <f>Закуп!AA341</f>
        <v/>
      </c>
      <c r="M341" s="47" t="inlineStr">
        <is>
          <t>", 'sale' =&gt; "</t>
        </is>
      </c>
      <c r="N341" s="47">
        <f>IF(Закуп!L341="",0,Закуп!L341)</f>
        <v/>
      </c>
      <c r="O341" s="47" t="inlineStr">
        <is>
          <t>" ],</t>
        </is>
      </c>
      <c r="P341" s="165">
        <f>Закуп!N341</f>
        <v/>
      </c>
      <c r="Q341" s="210">
        <f>CONCATENATE(A341,B341,",",C341,",",D341,E341,F341,",",G341,",",H341,",",I341,",",J341,K341,L341,M341,N341,O341,)</f>
        <v/>
      </c>
    </row>
    <row r="342" hidden="1" s="55">
      <c r="A342" s="47" t="inlineStr">
        <is>
          <t xml:space="preserve">        [ 'dims' =&gt; [</t>
        </is>
      </c>
      <c r="B342" s="47">
        <f>Закуп!R342</f>
        <v/>
      </c>
      <c r="C342" s="47">
        <f>Закуп!S342</f>
        <v/>
      </c>
      <c r="D342" s="47">
        <f>Закуп!T342</f>
        <v/>
      </c>
      <c r="E342" s="47" t="inlineStr">
        <is>
          <t>], 'prices' =&gt; [</t>
        </is>
      </c>
      <c r="F342" s="101">
        <f>SUBSTITUTE(INDEX(Calc!$K:$K,(ROW(A341)-1)*5+COLUMN(A341)+1),",",".")</f>
        <v/>
      </c>
      <c r="G342" s="101">
        <f>SUBSTITUTE(INDEX(Calc!$K:$K,(ROW(B341)-1)*5+COLUMN(B341)+1),",",".")</f>
        <v/>
      </c>
      <c r="H342" s="101">
        <f>SUBSTITUTE(INDEX(Calc!$K:$K,(ROW(C341)-1)*5+COLUMN(C341)+1),",",".")</f>
        <v/>
      </c>
      <c r="I342" s="101">
        <f>SUBSTITUTE(INDEX(Calc!$K:$K,(ROW(D341)-1)*5+COLUMN(D341)+1),",",".")</f>
        <v/>
      </c>
      <c r="J342" s="101">
        <f>SUBSTITUTE(INDEX(Calc!$K:$K,(ROW(E341)-1)*5+COLUMN(E341)+1),",",".")</f>
        <v/>
      </c>
      <c r="K342" s="47" t="inlineStr">
        <is>
          <t>], 'type' =&gt; "</t>
        </is>
      </c>
      <c r="L342" s="101">
        <f>Закуп!AA342</f>
        <v/>
      </c>
      <c r="M342" s="47" t="inlineStr">
        <is>
          <t>", 'sale' =&gt; "</t>
        </is>
      </c>
      <c r="N342" s="47">
        <f>IF(Закуп!L342="",0,Закуп!L342)</f>
        <v/>
      </c>
      <c r="O342" s="47" t="inlineStr">
        <is>
          <t>" ],</t>
        </is>
      </c>
      <c r="P342" s="165">
        <f>Закуп!N342</f>
        <v/>
      </c>
      <c r="Q342" s="210">
        <f>CONCATENATE(A342,B342,",",C342,",",D342,E342,F342,",",G342,",",H342,",",I342,",",J342,K342,L342,M342,N342,O342,)</f>
        <v/>
      </c>
    </row>
    <row r="343" hidden="1" s="55">
      <c r="A343" s="47" t="inlineStr">
        <is>
          <t xml:space="preserve">        [ 'dims' =&gt; [</t>
        </is>
      </c>
      <c r="B343" s="47">
        <f>Закуп!R343</f>
        <v/>
      </c>
      <c r="C343" s="47">
        <f>Закуп!S343</f>
        <v/>
      </c>
      <c r="D343" s="47">
        <f>Закуп!T343</f>
        <v/>
      </c>
      <c r="E343" s="47" t="inlineStr">
        <is>
          <t>], 'prices' =&gt; [</t>
        </is>
      </c>
      <c r="F343" s="101">
        <f>SUBSTITUTE(INDEX(Calc!$K:$K,(ROW(A342)-1)*5+COLUMN(A342)+1),",",".")</f>
        <v/>
      </c>
      <c r="G343" s="101">
        <f>SUBSTITUTE(INDEX(Calc!$K:$K,(ROW(B342)-1)*5+COLUMN(B342)+1),",",".")</f>
        <v/>
      </c>
      <c r="H343" s="101">
        <f>SUBSTITUTE(INDEX(Calc!$K:$K,(ROW(C342)-1)*5+COLUMN(C342)+1),",",".")</f>
        <v/>
      </c>
      <c r="I343" s="101">
        <f>SUBSTITUTE(INDEX(Calc!$K:$K,(ROW(D342)-1)*5+COLUMN(D342)+1),",",".")</f>
        <v/>
      </c>
      <c r="J343" s="101">
        <f>SUBSTITUTE(INDEX(Calc!$K:$K,(ROW(E342)-1)*5+COLUMN(E342)+1),",",".")</f>
        <v/>
      </c>
      <c r="K343" s="47" t="inlineStr">
        <is>
          <t>], 'type' =&gt; "</t>
        </is>
      </c>
      <c r="L343" s="101">
        <f>Закуп!AA343</f>
        <v/>
      </c>
      <c r="M343" s="47" t="inlineStr">
        <is>
          <t>", 'sale' =&gt; "</t>
        </is>
      </c>
      <c r="N343" s="47">
        <f>IF(Закуп!L343="",0,Закуп!L343)</f>
        <v/>
      </c>
      <c r="O343" s="47" t="inlineStr">
        <is>
          <t>" ],</t>
        </is>
      </c>
      <c r="P343" s="165">
        <f>Закуп!N343</f>
        <v/>
      </c>
      <c r="Q343" s="210">
        <f>CONCATENATE(A343,B343,",",C343,",",D343,E343,F343,",",G343,",",H343,",",I343,",",J343,K343,L343,M343,N343,O343,)</f>
        <v/>
      </c>
    </row>
    <row r="344" hidden="1" s="55">
      <c r="A344" s="47" t="inlineStr">
        <is>
          <t xml:space="preserve">        [ 'dims' =&gt; [</t>
        </is>
      </c>
      <c r="B344" s="47">
        <f>Закуп!R344</f>
        <v/>
      </c>
      <c r="C344" s="47">
        <f>Закуп!S344</f>
        <v/>
      </c>
      <c r="D344" s="47">
        <f>Закуп!T344</f>
        <v/>
      </c>
      <c r="E344" s="47" t="inlineStr">
        <is>
          <t>], 'prices' =&gt; [</t>
        </is>
      </c>
      <c r="F344" s="101">
        <f>SUBSTITUTE(INDEX(Calc!$K:$K,(ROW(A343)-1)*5+COLUMN(A343)+1),",",".")</f>
        <v/>
      </c>
      <c r="G344" s="101">
        <f>SUBSTITUTE(INDEX(Calc!$K:$K,(ROW(B343)-1)*5+COLUMN(B343)+1),",",".")</f>
        <v/>
      </c>
      <c r="H344" s="101">
        <f>SUBSTITUTE(INDEX(Calc!$K:$K,(ROW(C343)-1)*5+COLUMN(C343)+1),",",".")</f>
        <v/>
      </c>
      <c r="I344" s="101">
        <f>SUBSTITUTE(INDEX(Calc!$K:$K,(ROW(D343)-1)*5+COLUMN(D343)+1),",",".")</f>
        <v/>
      </c>
      <c r="J344" s="101">
        <f>SUBSTITUTE(INDEX(Calc!$K:$K,(ROW(E343)-1)*5+COLUMN(E343)+1),",",".")</f>
        <v/>
      </c>
      <c r="K344" s="47" t="inlineStr">
        <is>
          <t>], 'type' =&gt; "</t>
        </is>
      </c>
      <c r="L344" s="101">
        <f>Закуп!AA344</f>
        <v/>
      </c>
      <c r="M344" s="47" t="inlineStr">
        <is>
          <t>", 'sale' =&gt; "</t>
        </is>
      </c>
      <c r="N344" s="47">
        <f>IF(Закуп!L344="",0,Закуп!L344)</f>
        <v/>
      </c>
      <c r="O344" s="47" t="inlineStr">
        <is>
          <t>" ],</t>
        </is>
      </c>
      <c r="P344" s="165">
        <f>Закуп!N344</f>
        <v/>
      </c>
      <c r="Q344" s="210">
        <f>CONCATENATE(A344,B344,",",C344,",",D344,E344,F344,",",G344,",",H344,",",I344,",",J344,K344,L344,M344,N344,O344,)</f>
        <v/>
      </c>
    </row>
    <row r="345" hidden="1" s="55">
      <c r="A345" s="47" t="inlineStr">
        <is>
          <t xml:space="preserve">        [ 'dims' =&gt; [</t>
        </is>
      </c>
      <c r="B345" s="47">
        <f>Закуп!R345</f>
        <v/>
      </c>
      <c r="C345" s="47">
        <f>Закуп!S345</f>
        <v/>
      </c>
      <c r="D345" s="47">
        <f>Закуп!T345</f>
        <v/>
      </c>
      <c r="E345" s="47" t="inlineStr">
        <is>
          <t>], 'prices' =&gt; [</t>
        </is>
      </c>
      <c r="F345" s="101">
        <f>SUBSTITUTE(INDEX(Calc!$K:$K,(ROW(A344)-1)*5+COLUMN(A344)+1),",",".")</f>
        <v/>
      </c>
      <c r="G345" s="101">
        <f>SUBSTITUTE(INDEX(Calc!$K:$K,(ROW(B344)-1)*5+COLUMN(B344)+1),",",".")</f>
        <v/>
      </c>
      <c r="H345" s="101">
        <f>SUBSTITUTE(INDEX(Calc!$K:$K,(ROW(C344)-1)*5+COLUMN(C344)+1),",",".")</f>
        <v/>
      </c>
      <c r="I345" s="101">
        <f>SUBSTITUTE(INDEX(Calc!$K:$K,(ROW(D344)-1)*5+COLUMN(D344)+1),",",".")</f>
        <v/>
      </c>
      <c r="J345" s="101">
        <f>SUBSTITUTE(INDEX(Calc!$K:$K,(ROW(E344)-1)*5+COLUMN(E344)+1),",",".")</f>
        <v/>
      </c>
      <c r="K345" s="47" t="inlineStr">
        <is>
          <t>], 'type' =&gt; "</t>
        </is>
      </c>
      <c r="L345" s="101">
        <f>Закуп!AA345</f>
        <v/>
      </c>
      <c r="M345" s="47" t="inlineStr">
        <is>
          <t>", 'sale' =&gt; "</t>
        </is>
      </c>
      <c r="N345" s="47">
        <f>IF(Закуп!L345="",0,Закуп!L345)</f>
        <v/>
      </c>
      <c r="O345" s="47" t="inlineStr">
        <is>
          <t>" ],</t>
        </is>
      </c>
      <c r="P345" s="165">
        <f>Закуп!N345</f>
        <v/>
      </c>
      <c r="Q345" s="210">
        <f>CONCATENATE(A345,B345,",",C345,",",D345,E345,F345,",",G345,",",H345,",",I345,",",J345,K345,L345,M345,N345,O345,)</f>
        <v/>
      </c>
    </row>
    <row r="346" hidden="1" s="55">
      <c r="A346" s="47" t="inlineStr">
        <is>
          <t xml:space="preserve">        [ 'dims' =&gt; [</t>
        </is>
      </c>
      <c r="B346" s="47">
        <f>Закуп!R346</f>
        <v/>
      </c>
      <c r="C346" s="47">
        <f>Закуп!S346</f>
        <v/>
      </c>
      <c r="D346" s="47">
        <f>Закуп!T346</f>
        <v/>
      </c>
      <c r="E346" s="47" t="inlineStr">
        <is>
          <t>], 'prices' =&gt; [</t>
        </is>
      </c>
      <c r="F346" s="101">
        <f>SUBSTITUTE(INDEX(Calc!$K:$K,(ROW(A345)-1)*5+COLUMN(A345)+1),",",".")</f>
        <v/>
      </c>
      <c r="G346" s="101">
        <f>SUBSTITUTE(INDEX(Calc!$K:$K,(ROW(B345)-1)*5+COLUMN(B345)+1),",",".")</f>
        <v/>
      </c>
      <c r="H346" s="101">
        <f>SUBSTITUTE(INDEX(Calc!$K:$K,(ROW(C345)-1)*5+COLUMN(C345)+1),",",".")</f>
        <v/>
      </c>
      <c r="I346" s="101">
        <f>SUBSTITUTE(INDEX(Calc!$K:$K,(ROW(D345)-1)*5+COLUMN(D345)+1),",",".")</f>
        <v/>
      </c>
      <c r="J346" s="101">
        <f>SUBSTITUTE(INDEX(Calc!$K:$K,(ROW(E345)-1)*5+COLUMN(E345)+1),",",".")</f>
        <v/>
      </c>
      <c r="K346" s="47" t="inlineStr">
        <is>
          <t>], 'type' =&gt; "</t>
        </is>
      </c>
      <c r="L346" s="101">
        <f>Закуп!AA346</f>
        <v/>
      </c>
      <c r="M346" s="47" t="inlineStr">
        <is>
          <t>", 'sale' =&gt; "</t>
        </is>
      </c>
      <c r="N346" s="47">
        <f>IF(Закуп!L346="",0,Закуп!L346)</f>
        <v/>
      </c>
      <c r="O346" s="47" t="inlineStr">
        <is>
          <t>" ],</t>
        </is>
      </c>
      <c r="P346" s="165">
        <f>Закуп!N346</f>
        <v/>
      </c>
      <c r="Q346" s="210">
        <f>CONCATENATE(A346,B346,",",C346,",",D346,E346,F346,",",G346,",",H346,",",I346,",",J346,K346,L346,M346,N346,O346,)</f>
        <v/>
      </c>
    </row>
    <row r="347" hidden="1" s="55">
      <c r="A347" s="47" t="inlineStr">
        <is>
          <t xml:space="preserve">        [ 'dims' =&gt; [</t>
        </is>
      </c>
      <c r="B347" s="47">
        <f>Закуп!R347</f>
        <v/>
      </c>
      <c r="C347" s="47">
        <f>Закуп!S347</f>
        <v/>
      </c>
      <c r="D347" s="47">
        <f>Закуп!T347</f>
        <v/>
      </c>
      <c r="E347" s="47" t="inlineStr">
        <is>
          <t>], 'prices' =&gt; [</t>
        </is>
      </c>
      <c r="F347" s="101">
        <f>SUBSTITUTE(INDEX(Calc!$K:$K,(ROW(A346)-1)*5+COLUMN(A346)+1),",",".")</f>
        <v/>
      </c>
      <c r="G347" s="101">
        <f>SUBSTITUTE(INDEX(Calc!$K:$K,(ROW(B346)-1)*5+COLUMN(B346)+1),",",".")</f>
        <v/>
      </c>
      <c r="H347" s="101">
        <f>SUBSTITUTE(INDEX(Calc!$K:$K,(ROW(C346)-1)*5+COLUMN(C346)+1),",",".")</f>
        <v/>
      </c>
      <c r="I347" s="101">
        <f>SUBSTITUTE(INDEX(Calc!$K:$K,(ROW(D346)-1)*5+COLUMN(D346)+1),",",".")</f>
        <v/>
      </c>
      <c r="J347" s="101">
        <f>SUBSTITUTE(INDEX(Calc!$K:$K,(ROW(E346)-1)*5+COLUMN(E346)+1),",",".")</f>
        <v/>
      </c>
      <c r="K347" s="47" t="inlineStr">
        <is>
          <t>], 'type' =&gt; "</t>
        </is>
      </c>
      <c r="L347" s="101">
        <f>Закуп!AA347</f>
        <v/>
      </c>
      <c r="M347" s="47" t="inlineStr">
        <is>
          <t>", 'sale' =&gt; "</t>
        </is>
      </c>
      <c r="N347" s="47">
        <f>IF(Закуп!L347="",0,Закуп!L347)</f>
        <v/>
      </c>
      <c r="O347" s="47" t="inlineStr">
        <is>
          <t>" ],</t>
        </is>
      </c>
      <c r="P347" s="165">
        <f>Закуп!N347</f>
        <v/>
      </c>
      <c r="Q347" s="210">
        <f>CONCATENATE(A347,B347,",",C347,",",D347,E347,F347,",",G347,",",H347,",",I347,",",J347,K347,L347,M347,N347,O347,)</f>
        <v/>
      </c>
    </row>
    <row r="348" hidden="1" s="55">
      <c r="A348" s="47" t="inlineStr">
        <is>
          <t xml:space="preserve">        [ 'dims' =&gt; [</t>
        </is>
      </c>
      <c r="B348" s="47">
        <f>Закуп!R348</f>
        <v/>
      </c>
      <c r="C348" s="47">
        <f>Закуп!S348</f>
        <v/>
      </c>
      <c r="D348" s="47">
        <f>Закуп!T348</f>
        <v/>
      </c>
      <c r="E348" s="47" t="inlineStr">
        <is>
          <t>], 'prices' =&gt; [</t>
        </is>
      </c>
      <c r="F348" s="101">
        <f>SUBSTITUTE(INDEX(Calc!$K:$K,(ROW(A347)-1)*5+COLUMN(A347)+1),",",".")</f>
        <v/>
      </c>
      <c r="G348" s="101">
        <f>SUBSTITUTE(INDEX(Calc!$K:$K,(ROW(B347)-1)*5+COLUMN(B347)+1),",",".")</f>
        <v/>
      </c>
      <c r="H348" s="101">
        <f>SUBSTITUTE(INDEX(Calc!$K:$K,(ROW(C347)-1)*5+COLUMN(C347)+1),",",".")</f>
        <v/>
      </c>
      <c r="I348" s="101">
        <f>SUBSTITUTE(INDEX(Calc!$K:$K,(ROW(D347)-1)*5+COLUMN(D347)+1),",",".")</f>
        <v/>
      </c>
      <c r="J348" s="101">
        <f>SUBSTITUTE(INDEX(Calc!$K:$K,(ROW(E347)-1)*5+COLUMN(E347)+1),",",".")</f>
        <v/>
      </c>
      <c r="K348" s="47" t="inlineStr">
        <is>
          <t>], 'type' =&gt; "</t>
        </is>
      </c>
      <c r="L348" s="101">
        <f>Закуп!AA348</f>
        <v/>
      </c>
      <c r="M348" s="47" t="inlineStr">
        <is>
          <t>", 'sale' =&gt; "</t>
        </is>
      </c>
      <c r="N348" s="47">
        <f>IF(Закуп!L348="",0,Закуп!L348)</f>
        <v/>
      </c>
      <c r="O348" s="47" t="inlineStr">
        <is>
          <t>" ],</t>
        </is>
      </c>
      <c r="P348" s="165">
        <f>Закуп!N348</f>
        <v/>
      </c>
      <c r="Q348" s="210">
        <f>CONCATENATE(A348,B348,",",C348,",",D348,E348,F348,",",G348,",",H348,",",I348,",",J348,K348,L348,M348,N348,O348,)</f>
        <v/>
      </c>
    </row>
    <row r="349" hidden="1" s="55">
      <c r="A349" s="47" t="inlineStr">
        <is>
          <t xml:space="preserve">        [ 'dims' =&gt; [</t>
        </is>
      </c>
      <c r="B349" s="47">
        <f>Закуп!R349</f>
        <v/>
      </c>
      <c r="C349" s="47">
        <f>Закуп!S349</f>
        <v/>
      </c>
      <c r="D349" s="47">
        <f>Закуп!T349</f>
        <v/>
      </c>
      <c r="E349" s="47" t="inlineStr">
        <is>
          <t>], 'prices' =&gt; [</t>
        </is>
      </c>
      <c r="F349" s="101">
        <f>SUBSTITUTE(INDEX(Calc!$K:$K,(ROW(A348)-1)*5+COLUMN(A348)+1),",",".")</f>
        <v/>
      </c>
      <c r="G349" s="101">
        <f>SUBSTITUTE(INDEX(Calc!$K:$K,(ROW(B348)-1)*5+COLUMN(B348)+1),",",".")</f>
        <v/>
      </c>
      <c r="H349" s="101">
        <f>SUBSTITUTE(INDEX(Calc!$K:$K,(ROW(C348)-1)*5+COLUMN(C348)+1),",",".")</f>
        <v/>
      </c>
      <c r="I349" s="101">
        <f>SUBSTITUTE(INDEX(Calc!$K:$K,(ROW(D348)-1)*5+COLUMN(D348)+1),",",".")</f>
        <v/>
      </c>
      <c r="J349" s="101">
        <f>SUBSTITUTE(INDEX(Calc!$K:$K,(ROW(E348)-1)*5+COLUMN(E348)+1),",",".")</f>
        <v/>
      </c>
      <c r="K349" s="47" t="inlineStr">
        <is>
          <t>], 'type' =&gt; "</t>
        </is>
      </c>
      <c r="L349" s="101">
        <f>Закуп!AA349</f>
        <v/>
      </c>
      <c r="M349" s="47" t="inlineStr">
        <is>
          <t>", 'sale' =&gt; "</t>
        </is>
      </c>
      <c r="N349" s="47">
        <f>IF(Закуп!L349="",0,Закуп!L349)</f>
        <v/>
      </c>
      <c r="O349" s="47" t="inlineStr">
        <is>
          <t>" ],</t>
        </is>
      </c>
      <c r="P349" s="165">
        <f>Закуп!N349</f>
        <v/>
      </c>
      <c r="Q349" s="210">
        <f>CONCATENATE(A349,B349,",",C349,",",D349,E349,F349,",",G349,",",H349,",",I349,",",J349,K349,L349,M349,N349,O349,)</f>
        <v/>
      </c>
    </row>
    <row r="350" hidden="1" s="55">
      <c r="A350" s="47" t="inlineStr">
        <is>
          <t xml:space="preserve">        [ 'dims' =&gt; [</t>
        </is>
      </c>
      <c r="B350" s="47">
        <f>Закуп!R350</f>
        <v/>
      </c>
      <c r="C350" s="47">
        <f>Закуп!S350</f>
        <v/>
      </c>
      <c r="D350" s="47">
        <f>Закуп!T350</f>
        <v/>
      </c>
      <c r="E350" s="47" t="inlineStr">
        <is>
          <t>], 'prices' =&gt; [</t>
        </is>
      </c>
      <c r="F350" s="101">
        <f>SUBSTITUTE(INDEX(Calc!$K:$K,(ROW(A349)-1)*5+COLUMN(A349)+1),",",".")</f>
        <v/>
      </c>
      <c r="G350" s="101">
        <f>SUBSTITUTE(INDEX(Calc!$K:$K,(ROW(B349)-1)*5+COLUMN(B349)+1),",",".")</f>
        <v/>
      </c>
      <c r="H350" s="101">
        <f>SUBSTITUTE(INDEX(Calc!$K:$K,(ROW(C349)-1)*5+COLUMN(C349)+1),",",".")</f>
        <v/>
      </c>
      <c r="I350" s="101">
        <f>SUBSTITUTE(INDEX(Calc!$K:$K,(ROW(D349)-1)*5+COLUMN(D349)+1),",",".")</f>
        <v/>
      </c>
      <c r="J350" s="101">
        <f>SUBSTITUTE(INDEX(Calc!$K:$K,(ROW(E349)-1)*5+COLUMN(E349)+1),",",".")</f>
        <v/>
      </c>
      <c r="K350" s="47" t="inlineStr">
        <is>
          <t>], 'type' =&gt; "</t>
        </is>
      </c>
      <c r="L350" s="101">
        <f>Закуп!AA350</f>
        <v/>
      </c>
      <c r="M350" s="47" t="inlineStr">
        <is>
          <t>", 'sale' =&gt; "</t>
        </is>
      </c>
      <c r="N350" s="47">
        <f>IF(Закуп!L350="",0,Закуп!L350)</f>
        <v/>
      </c>
      <c r="O350" s="47" t="inlineStr">
        <is>
          <t>" ],</t>
        </is>
      </c>
      <c r="P350" s="165">
        <f>Закуп!N350</f>
        <v/>
      </c>
      <c r="Q350" s="210">
        <f>CONCATENATE(A350,B350,",",C350,",",D350,E350,F350,",",G350,",",H350,",",I350,",",J350,K350,L350,M350,N350,O350,)</f>
        <v/>
      </c>
    </row>
    <row r="351" hidden="1" s="55">
      <c r="A351" s="47" t="inlineStr">
        <is>
          <t xml:space="preserve">        [ 'dims' =&gt; [</t>
        </is>
      </c>
      <c r="B351" s="47">
        <f>Закуп!R351</f>
        <v/>
      </c>
      <c r="C351" s="47">
        <f>Закуп!S351</f>
        <v/>
      </c>
      <c r="D351" s="47">
        <f>Закуп!T351</f>
        <v/>
      </c>
      <c r="E351" s="47" t="inlineStr">
        <is>
          <t>], 'prices' =&gt; [</t>
        </is>
      </c>
      <c r="F351" s="101">
        <f>SUBSTITUTE(INDEX(Calc!$K:$K,(ROW(A350)-1)*5+COLUMN(A350)+1),",",".")</f>
        <v/>
      </c>
      <c r="G351" s="101">
        <f>SUBSTITUTE(INDEX(Calc!$K:$K,(ROW(B350)-1)*5+COLUMN(B350)+1),",",".")</f>
        <v/>
      </c>
      <c r="H351" s="101">
        <f>SUBSTITUTE(INDEX(Calc!$K:$K,(ROW(C350)-1)*5+COLUMN(C350)+1),",",".")</f>
        <v/>
      </c>
      <c r="I351" s="101">
        <f>SUBSTITUTE(INDEX(Calc!$K:$K,(ROW(D350)-1)*5+COLUMN(D350)+1),",",".")</f>
        <v/>
      </c>
      <c r="J351" s="101">
        <f>SUBSTITUTE(INDEX(Calc!$K:$K,(ROW(E350)-1)*5+COLUMN(E350)+1),",",".")</f>
        <v/>
      </c>
      <c r="K351" s="47" t="inlineStr">
        <is>
          <t>], 'type' =&gt; "</t>
        </is>
      </c>
      <c r="L351" s="101">
        <f>Закуп!AA351</f>
        <v/>
      </c>
      <c r="M351" s="47" t="inlineStr">
        <is>
          <t>", 'sale' =&gt; "</t>
        </is>
      </c>
      <c r="N351" s="47">
        <f>IF(Закуп!L351="",0,Закуп!L351)</f>
        <v/>
      </c>
      <c r="O351" s="47" t="inlineStr">
        <is>
          <t>" ],</t>
        </is>
      </c>
      <c r="P351" s="165">
        <f>Закуп!N351</f>
        <v/>
      </c>
      <c r="Q351" s="210">
        <f>CONCATENATE(A351,B351,",",C351,",",D351,E351,F351,",",G351,",",H351,",",I351,",",J351,K351,L351,M351,N351,O351,)</f>
        <v/>
      </c>
    </row>
    <row r="352" hidden="1" s="55">
      <c r="A352" s="47" t="inlineStr">
        <is>
          <t xml:space="preserve">        [ 'dims' =&gt; [</t>
        </is>
      </c>
      <c r="B352" s="47">
        <f>Закуп!R352</f>
        <v/>
      </c>
      <c r="C352" s="47">
        <f>Закуп!S352</f>
        <v/>
      </c>
      <c r="D352" s="47">
        <f>Закуп!T352</f>
        <v/>
      </c>
      <c r="E352" s="47" t="inlineStr">
        <is>
          <t>], 'prices' =&gt; [</t>
        </is>
      </c>
      <c r="F352" s="101">
        <f>SUBSTITUTE(INDEX(Calc!$K:$K,(ROW(A351)-1)*5+COLUMN(A351)+1),",",".")</f>
        <v/>
      </c>
      <c r="G352" s="101">
        <f>SUBSTITUTE(INDEX(Calc!$K:$K,(ROW(B351)-1)*5+COLUMN(B351)+1),",",".")</f>
        <v/>
      </c>
      <c r="H352" s="101">
        <f>SUBSTITUTE(INDEX(Calc!$K:$K,(ROW(C351)-1)*5+COLUMN(C351)+1),",",".")</f>
        <v/>
      </c>
      <c r="I352" s="101">
        <f>SUBSTITUTE(INDEX(Calc!$K:$K,(ROW(D351)-1)*5+COLUMN(D351)+1),",",".")</f>
        <v/>
      </c>
      <c r="J352" s="101">
        <f>SUBSTITUTE(INDEX(Calc!$K:$K,(ROW(E351)-1)*5+COLUMN(E351)+1),",",".")</f>
        <v/>
      </c>
      <c r="K352" s="47" t="inlineStr">
        <is>
          <t>], 'type' =&gt; "</t>
        </is>
      </c>
      <c r="L352" s="101">
        <f>Закуп!AA352</f>
        <v/>
      </c>
      <c r="M352" s="47" t="inlineStr">
        <is>
          <t>", 'sale' =&gt; "</t>
        </is>
      </c>
      <c r="N352" s="47">
        <f>IF(Закуп!L352="",0,Закуп!L352)</f>
        <v/>
      </c>
      <c r="O352" s="47" t="inlineStr">
        <is>
          <t>" ],</t>
        </is>
      </c>
      <c r="P352" s="165">
        <f>Закуп!N352</f>
        <v/>
      </c>
      <c r="Q352" s="210">
        <f>CONCATENATE(A352,B352,",",C352,",",D352,E352,F352,",",G352,",",H352,",",I352,",",J352,K352,L352,M352,N352,O352,)</f>
        <v/>
      </c>
    </row>
    <row r="353" hidden="1" s="55">
      <c r="A353" s="47" t="inlineStr">
        <is>
          <t xml:space="preserve">        [ 'dims' =&gt; [</t>
        </is>
      </c>
      <c r="B353" s="47">
        <f>Закуп!R353</f>
        <v/>
      </c>
      <c r="C353" s="47">
        <f>Закуп!S353</f>
        <v/>
      </c>
      <c r="D353" s="47">
        <f>Закуп!T353</f>
        <v/>
      </c>
      <c r="E353" s="47" t="inlineStr">
        <is>
          <t>], 'prices' =&gt; [</t>
        </is>
      </c>
      <c r="F353" s="101">
        <f>SUBSTITUTE(INDEX(Calc!$K:$K,(ROW(A352)-1)*5+COLUMN(A352)+1),",",".")</f>
        <v/>
      </c>
      <c r="G353" s="101">
        <f>SUBSTITUTE(INDEX(Calc!$K:$K,(ROW(B352)-1)*5+COLUMN(B352)+1),",",".")</f>
        <v/>
      </c>
      <c r="H353" s="101">
        <f>SUBSTITUTE(INDEX(Calc!$K:$K,(ROW(C352)-1)*5+COLUMN(C352)+1),",",".")</f>
        <v/>
      </c>
      <c r="I353" s="101">
        <f>SUBSTITUTE(INDEX(Calc!$K:$K,(ROW(D352)-1)*5+COLUMN(D352)+1),",",".")</f>
        <v/>
      </c>
      <c r="J353" s="101">
        <f>SUBSTITUTE(INDEX(Calc!$K:$K,(ROW(E352)-1)*5+COLUMN(E352)+1),",",".")</f>
        <v/>
      </c>
      <c r="K353" s="47" t="inlineStr">
        <is>
          <t>], 'type' =&gt; "</t>
        </is>
      </c>
      <c r="L353" s="101">
        <f>Закуп!AA353</f>
        <v/>
      </c>
      <c r="M353" s="47" t="inlineStr">
        <is>
          <t>", 'sale' =&gt; "</t>
        </is>
      </c>
      <c r="N353" s="47">
        <f>IF(Закуп!L353="",0,Закуп!L353)</f>
        <v/>
      </c>
      <c r="O353" s="47" t="inlineStr">
        <is>
          <t>" ],</t>
        </is>
      </c>
      <c r="P353" s="165">
        <f>Закуп!N353</f>
        <v/>
      </c>
      <c r="Q353" s="210">
        <f>CONCATENATE(A353,B353,",",C353,",",D353,E353,F353,",",G353,",",H353,",",I353,",",J353,K353,L353,M353,N353,O353,)</f>
        <v/>
      </c>
    </row>
    <row r="354" hidden="1" s="55">
      <c r="A354" s="47" t="inlineStr">
        <is>
          <t xml:space="preserve">        [ 'dims' =&gt; [</t>
        </is>
      </c>
      <c r="B354" s="47">
        <f>Закуп!R354</f>
        <v/>
      </c>
      <c r="C354" s="47">
        <f>Закуп!S354</f>
        <v/>
      </c>
      <c r="D354" s="47">
        <f>Закуп!T354</f>
        <v/>
      </c>
      <c r="E354" s="47" t="inlineStr">
        <is>
          <t>], 'prices' =&gt; [</t>
        </is>
      </c>
      <c r="F354" s="101">
        <f>SUBSTITUTE(INDEX(Calc!$K:$K,(ROW(A353)-1)*5+COLUMN(A353)+1),",",".")</f>
        <v/>
      </c>
      <c r="G354" s="101">
        <f>SUBSTITUTE(INDEX(Calc!$K:$K,(ROW(B353)-1)*5+COLUMN(B353)+1),",",".")</f>
        <v/>
      </c>
      <c r="H354" s="101">
        <f>SUBSTITUTE(INDEX(Calc!$K:$K,(ROW(C353)-1)*5+COLUMN(C353)+1),",",".")</f>
        <v/>
      </c>
      <c r="I354" s="101">
        <f>SUBSTITUTE(INDEX(Calc!$K:$K,(ROW(D353)-1)*5+COLUMN(D353)+1),",",".")</f>
        <v/>
      </c>
      <c r="J354" s="101">
        <f>SUBSTITUTE(INDEX(Calc!$K:$K,(ROW(E353)-1)*5+COLUMN(E353)+1),",",".")</f>
        <v/>
      </c>
      <c r="K354" s="47" t="inlineStr">
        <is>
          <t>], 'type' =&gt; "</t>
        </is>
      </c>
      <c r="L354" s="101">
        <f>Закуп!AA354</f>
        <v/>
      </c>
      <c r="M354" s="47" t="inlineStr">
        <is>
          <t>", 'sale' =&gt; "</t>
        </is>
      </c>
      <c r="N354" s="47">
        <f>IF(Закуп!L354="",0,Закуп!L354)</f>
        <v/>
      </c>
      <c r="O354" s="47" t="inlineStr">
        <is>
          <t>" ],</t>
        </is>
      </c>
      <c r="P354" s="165">
        <f>Закуп!N354</f>
        <v/>
      </c>
      <c r="Q354" s="210">
        <f>CONCATENATE(A354,B354,",",C354,",",D354,E354,F354,",",G354,",",H354,",",I354,",",J354,K354,L354,M354,N354,O354,)</f>
        <v/>
      </c>
    </row>
    <row r="355" hidden="1" s="55">
      <c r="A355" s="47" t="inlineStr">
        <is>
          <t xml:space="preserve">        [ 'dims' =&gt; [</t>
        </is>
      </c>
      <c r="B355" s="47">
        <f>Закуп!R355</f>
        <v/>
      </c>
      <c r="C355" s="47">
        <f>Закуп!S355</f>
        <v/>
      </c>
      <c r="D355" s="47">
        <f>Закуп!T355</f>
        <v/>
      </c>
      <c r="E355" s="47" t="inlineStr">
        <is>
          <t>], 'prices' =&gt; [</t>
        </is>
      </c>
      <c r="F355" s="101">
        <f>SUBSTITUTE(INDEX(Calc!$K:$K,(ROW(A354)-1)*5+COLUMN(A354)+1),",",".")</f>
        <v/>
      </c>
      <c r="G355" s="101">
        <f>SUBSTITUTE(INDEX(Calc!$K:$K,(ROW(B354)-1)*5+COLUMN(B354)+1),",",".")</f>
        <v/>
      </c>
      <c r="H355" s="101">
        <f>SUBSTITUTE(INDEX(Calc!$K:$K,(ROW(C354)-1)*5+COLUMN(C354)+1),",",".")</f>
        <v/>
      </c>
      <c r="I355" s="101">
        <f>SUBSTITUTE(INDEX(Calc!$K:$K,(ROW(D354)-1)*5+COLUMN(D354)+1),",",".")</f>
        <v/>
      </c>
      <c r="J355" s="101">
        <f>SUBSTITUTE(INDEX(Calc!$K:$K,(ROW(E354)-1)*5+COLUMN(E354)+1),",",".")</f>
        <v/>
      </c>
      <c r="K355" s="47" t="inlineStr">
        <is>
          <t>], 'type' =&gt; "</t>
        </is>
      </c>
      <c r="L355" s="101">
        <f>Закуп!AA355</f>
        <v/>
      </c>
      <c r="M355" s="47" t="inlineStr">
        <is>
          <t>", 'sale' =&gt; "</t>
        </is>
      </c>
      <c r="N355" s="47">
        <f>IF(Закуп!L355="",0,Закуп!L355)</f>
        <v/>
      </c>
      <c r="O355" s="47" t="inlineStr">
        <is>
          <t>" ],</t>
        </is>
      </c>
      <c r="P355" s="165">
        <f>Закуп!N355</f>
        <v/>
      </c>
      <c r="Q355" s="210">
        <f>CONCATENATE(A355,B355,",",C355,",",D355,E355,F355,",",G355,",",H355,",",I355,",",J355,K355,L355,M355,N355,O355,)</f>
        <v/>
      </c>
    </row>
    <row r="356" hidden="1" s="55">
      <c r="A356" s="47" t="inlineStr">
        <is>
          <t xml:space="preserve">        [ 'dims' =&gt; [</t>
        </is>
      </c>
      <c r="B356" s="47">
        <f>Закуп!R356</f>
        <v/>
      </c>
      <c r="C356" s="47">
        <f>Закуп!S356</f>
        <v/>
      </c>
      <c r="D356" s="47">
        <f>Закуп!T356</f>
        <v/>
      </c>
      <c r="E356" s="47" t="inlineStr">
        <is>
          <t>], 'prices' =&gt; [</t>
        </is>
      </c>
      <c r="F356" s="101">
        <f>SUBSTITUTE(INDEX(Calc!$K:$K,(ROW(A355)-1)*5+COLUMN(A355)+1),",",".")</f>
        <v/>
      </c>
      <c r="G356" s="101">
        <f>SUBSTITUTE(INDEX(Calc!$K:$K,(ROW(B355)-1)*5+COLUMN(B355)+1),",",".")</f>
        <v/>
      </c>
      <c r="H356" s="101">
        <f>SUBSTITUTE(INDEX(Calc!$K:$K,(ROW(C355)-1)*5+COLUMN(C355)+1),",",".")</f>
        <v/>
      </c>
      <c r="I356" s="101">
        <f>SUBSTITUTE(INDEX(Calc!$K:$K,(ROW(D355)-1)*5+COLUMN(D355)+1),",",".")</f>
        <v/>
      </c>
      <c r="J356" s="101">
        <f>SUBSTITUTE(INDEX(Calc!$K:$K,(ROW(E355)-1)*5+COLUMN(E355)+1),",",".")</f>
        <v/>
      </c>
      <c r="K356" s="47" t="inlineStr">
        <is>
          <t>], 'type' =&gt; "</t>
        </is>
      </c>
      <c r="L356" s="101">
        <f>Закуп!AA356</f>
        <v/>
      </c>
      <c r="M356" s="47" t="inlineStr">
        <is>
          <t>", 'sale' =&gt; "</t>
        </is>
      </c>
      <c r="N356" s="47">
        <f>IF(Закуп!L356="",0,Закуп!L356)</f>
        <v/>
      </c>
      <c r="O356" s="47" t="inlineStr">
        <is>
          <t>" ],</t>
        </is>
      </c>
      <c r="P356" s="165">
        <f>Закуп!N356</f>
        <v/>
      </c>
      <c r="Q356" s="210">
        <f>CONCATENATE(A356,B356,",",C356,",",D356,E356,F356,",",G356,",",H356,",",I356,",",J356,K356,L356,M356,N356,O356,)</f>
        <v/>
      </c>
    </row>
    <row r="357" hidden="1" s="55">
      <c r="A357" s="47" t="inlineStr">
        <is>
          <t xml:space="preserve">        [ 'dims' =&gt; [</t>
        </is>
      </c>
      <c r="B357" s="47">
        <f>Закуп!R357</f>
        <v/>
      </c>
      <c r="C357" s="47">
        <f>Закуп!S357</f>
        <v/>
      </c>
      <c r="D357" s="47">
        <f>Закуп!T357</f>
        <v/>
      </c>
      <c r="E357" s="47" t="inlineStr">
        <is>
          <t>], 'prices' =&gt; [</t>
        </is>
      </c>
      <c r="F357" s="101">
        <f>SUBSTITUTE(INDEX(Calc!$K:$K,(ROW(A356)-1)*5+COLUMN(A356)+1),",",".")</f>
        <v/>
      </c>
      <c r="G357" s="101">
        <f>SUBSTITUTE(INDEX(Calc!$K:$K,(ROW(B356)-1)*5+COLUMN(B356)+1),",",".")</f>
        <v/>
      </c>
      <c r="H357" s="101">
        <f>SUBSTITUTE(INDEX(Calc!$K:$K,(ROW(C356)-1)*5+COLUMN(C356)+1),",",".")</f>
        <v/>
      </c>
      <c r="I357" s="101">
        <f>SUBSTITUTE(INDEX(Calc!$K:$K,(ROW(D356)-1)*5+COLUMN(D356)+1),",",".")</f>
        <v/>
      </c>
      <c r="J357" s="101">
        <f>SUBSTITUTE(INDEX(Calc!$K:$K,(ROW(E356)-1)*5+COLUMN(E356)+1),",",".")</f>
        <v/>
      </c>
      <c r="K357" s="47" t="inlineStr">
        <is>
          <t>], 'type' =&gt; "</t>
        </is>
      </c>
      <c r="L357" s="101">
        <f>Закуп!AA357</f>
        <v/>
      </c>
      <c r="M357" s="47" t="inlineStr">
        <is>
          <t>", 'sale' =&gt; "</t>
        </is>
      </c>
      <c r="N357" s="47">
        <f>IF(Закуп!L357="",0,Закуп!L357)</f>
        <v/>
      </c>
      <c r="O357" s="47" t="inlineStr">
        <is>
          <t>" ],</t>
        </is>
      </c>
      <c r="P357" s="165">
        <f>Закуп!N357</f>
        <v/>
      </c>
      <c r="Q357" s="210">
        <f>CONCATENATE(A357,B357,",",C357,",",D357,E357,F357,",",G357,",",H357,",",I357,",",J357,K357,L357,M357,N357,O357,)</f>
        <v/>
      </c>
    </row>
    <row r="358" hidden="1" s="55">
      <c r="A358" s="47" t="inlineStr">
        <is>
          <t xml:space="preserve">        [ 'dims' =&gt; [</t>
        </is>
      </c>
      <c r="B358" s="47">
        <f>Закуп!R358</f>
        <v/>
      </c>
      <c r="C358" s="47">
        <f>Закуп!S358</f>
        <v/>
      </c>
      <c r="D358" s="47">
        <f>Закуп!T358</f>
        <v/>
      </c>
      <c r="E358" s="47" t="inlineStr">
        <is>
          <t>], 'prices' =&gt; [</t>
        </is>
      </c>
      <c r="F358" s="101">
        <f>SUBSTITUTE(INDEX(Calc!$K:$K,(ROW(A357)-1)*5+COLUMN(A357)+1),",",".")</f>
        <v/>
      </c>
      <c r="G358" s="101">
        <f>SUBSTITUTE(INDEX(Calc!$K:$K,(ROW(B357)-1)*5+COLUMN(B357)+1),",",".")</f>
        <v/>
      </c>
      <c r="H358" s="101">
        <f>SUBSTITUTE(INDEX(Calc!$K:$K,(ROW(C357)-1)*5+COLUMN(C357)+1),",",".")</f>
        <v/>
      </c>
      <c r="I358" s="101">
        <f>SUBSTITUTE(INDEX(Calc!$K:$K,(ROW(D357)-1)*5+COLUMN(D357)+1),",",".")</f>
        <v/>
      </c>
      <c r="J358" s="101">
        <f>SUBSTITUTE(INDEX(Calc!$K:$K,(ROW(E357)-1)*5+COLUMN(E357)+1),",",".")</f>
        <v/>
      </c>
      <c r="K358" s="47" t="inlineStr">
        <is>
          <t>], 'type' =&gt; "</t>
        </is>
      </c>
      <c r="L358" s="101">
        <f>Закуп!AA358</f>
        <v/>
      </c>
      <c r="M358" s="47" t="inlineStr">
        <is>
          <t>", 'sale' =&gt; "</t>
        </is>
      </c>
      <c r="N358" s="47">
        <f>IF(Закуп!L358="",0,Закуп!L358)</f>
        <v/>
      </c>
      <c r="O358" s="47" t="inlineStr">
        <is>
          <t>" ],</t>
        </is>
      </c>
      <c r="P358" s="165">
        <f>Закуп!N358</f>
        <v/>
      </c>
      <c r="Q358" s="210">
        <f>CONCATENATE(A358,B358,",",C358,",",D358,E358,F358,",",G358,",",H358,",",I358,",",J358,K358,L358,M358,N358,O358,)</f>
        <v/>
      </c>
    </row>
    <row r="359" hidden="1" s="55">
      <c r="A359" s="47" t="inlineStr">
        <is>
          <t xml:space="preserve">        [ 'dims' =&gt; [</t>
        </is>
      </c>
      <c r="B359" s="47">
        <f>Закуп!R359</f>
        <v/>
      </c>
      <c r="C359" s="47">
        <f>Закуп!S359</f>
        <v/>
      </c>
      <c r="D359" s="47">
        <f>Закуп!T359</f>
        <v/>
      </c>
      <c r="E359" s="47" t="inlineStr">
        <is>
          <t>], 'prices' =&gt; [</t>
        </is>
      </c>
      <c r="F359" s="101">
        <f>SUBSTITUTE(INDEX(Calc!$K:$K,(ROW(A358)-1)*5+COLUMN(A358)+1),",",".")</f>
        <v/>
      </c>
      <c r="G359" s="101">
        <f>SUBSTITUTE(INDEX(Calc!$K:$K,(ROW(B358)-1)*5+COLUMN(B358)+1),",",".")</f>
        <v/>
      </c>
      <c r="H359" s="101">
        <f>SUBSTITUTE(INDEX(Calc!$K:$K,(ROW(C358)-1)*5+COLUMN(C358)+1),",",".")</f>
        <v/>
      </c>
      <c r="I359" s="101">
        <f>SUBSTITUTE(INDEX(Calc!$K:$K,(ROW(D358)-1)*5+COLUMN(D358)+1),",",".")</f>
        <v/>
      </c>
      <c r="J359" s="101">
        <f>SUBSTITUTE(INDEX(Calc!$K:$K,(ROW(E358)-1)*5+COLUMN(E358)+1),",",".")</f>
        <v/>
      </c>
      <c r="K359" s="47" t="inlineStr">
        <is>
          <t>], 'type' =&gt; "</t>
        </is>
      </c>
      <c r="L359" s="101">
        <f>Закуп!AA359</f>
        <v/>
      </c>
      <c r="M359" s="47" t="inlineStr">
        <is>
          <t>", 'sale' =&gt; "</t>
        </is>
      </c>
      <c r="N359" s="47">
        <f>IF(Закуп!L359="",0,Закуп!L359)</f>
        <v/>
      </c>
      <c r="O359" s="47" t="inlineStr">
        <is>
          <t>" ],</t>
        </is>
      </c>
      <c r="P359" s="165">
        <f>Закуп!N359</f>
        <v/>
      </c>
      <c r="Q359" s="210">
        <f>CONCATENATE(A359,B359,",",C359,",",D359,E359,F359,",",G359,",",H359,",",I359,",",J359,K359,L359,M359,N359,O359,)</f>
        <v/>
      </c>
    </row>
    <row r="360" hidden="1" s="55">
      <c r="A360" s="47" t="inlineStr">
        <is>
          <t xml:space="preserve">        [ 'dims' =&gt; [</t>
        </is>
      </c>
      <c r="B360" s="47">
        <f>Закуп!R360</f>
        <v/>
      </c>
      <c r="C360" s="47">
        <f>Закуп!S360</f>
        <v/>
      </c>
      <c r="D360" s="47">
        <f>Закуп!T360</f>
        <v/>
      </c>
      <c r="E360" s="47" t="inlineStr">
        <is>
          <t>], 'prices' =&gt; [</t>
        </is>
      </c>
      <c r="F360" s="101">
        <f>SUBSTITUTE(INDEX(Calc!$K:$K,(ROW(A359)-1)*5+COLUMN(A359)+1),",",".")</f>
        <v/>
      </c>
      <c r="G360" s="101">
        <f>SUBSTITUTE(INDEX(Calc!$K:$K,(ROW(B359)-1)*5+COLUMN(B359)+1),",",".")</f>
        <v/>
      </c>
      <c r="H360" s="101">
        <f>SUBSTITUTE(INDEX(Calc!$K:$K,(ROW(C359)-1)*5+COLUMN(C359)+1),",",".")</f>
        <v/>
      </c>
      <c r="I360" s="101">
        <f>SUBSTITUTE(INDEX(Calc!$K:$K,(ROW(D359)-1)*5+COLUMN(D359)+1),",",".")</f>
        <v/>
      </c>
      <c r="J360" s="101">
        <f>SUBSTITUTE(INDEX(Calc!$K:$K,(ROW(E359)-1)*5+COLUMN(E359)+1),",",".")</f>
        <v/>
      </c>
      <c r="K360" s="47" t="inlineStr">
        <is>
          <t>], 'type' =&gt; "</t>
        </is>
      </c>
      <c r="L360" s="101">
        <f>Закуп!AA360</f>
        <v/>
      </c>
      <c r="M360" s="47" t="inlineStr">
        <is>
          <t>", 'sale' =&gt; "</t>
        </is>
      </c>
      <c r="N360" s="47">
        <f>IF(Закуп!L360="",0,Закуп!L360)</f>
        <v/>
      </c>
      <c r="O360" s="47" t="inlineStr">
        <is>
          <t>" ],</t>
        </is>
      </c>
      <c r="P360" s="165">
        <f>Закуп!N360</f>
        <v/>
      </c>
      <c r="Q360" s="210">
        <f>CONCATENATE(A360,B360,",",C360,",",D360,E360,F360,",",G360,",",H360,",",I360,",",J360,K360,L360,M360,N360,O360,)</f>
        <v/>
      </c>
    </row>
    <row r="361" hidden="1" s="55">
      <c r="A361" s="47" t="inlineStr">
        <is>
          <t xml:space="preserve">        [ 'dims' =&gt; [</t>
        </is>
      </c>
      <c r="B361" s="47">
        <f>Закуп!R361</f>
        <v/>
      </c>
      <c r="C361" s="47">
        <f>Закуп!S361</f>
        <v/>
      </c>
      <c r="D361" s="47">
        <f>Закуп!T361</f>
        <v/>
      </c>
      <c r="E361" s="47" t="inlineStr">
        <is>
          <t>], 'prices' =&gt; [</t>
        </is>
      </c>
      <c r="F361" s="101">
        <f>SUBSTITUTE(INDEX(Calc!$K:$K,(ROW(A360)-1)*5+COLUMN(A360)+1),",",".")</f>
        <v/>
      </c>
      <c r="G361" s="101">
        <f>SUBSTITUTE(INDEX(Calc!$K:$K,(ROW(B360)-1)*5+COLUMN(B360)+1),",",".")</f>
        <v/>
      </c>
      <c r="H361" s="101">
        <f>SUBSTITUTE(INDEX(Calc!$K:$K,(ROW(C360)-1)*5+COLUMN(C360)+1),",",".")</f>
        <v/>
      </c>
      <c r="I361" s="101">
        <f>SUBSTITUTE(INDEX(Calc!$K:$K,(ROW(D360)-1)*5+COLUMN(D360)+1),",",".")</f>
        <v/>
      </c>
      <c r="J361" s="101">
        <f>SUBSTITUTE(INDEX(Calc!$K:$K,(ROW(E360)-1)*5+COLUMN(E360)+1),",",".")</f>
        <v/>
      </c>
      <c r="K361" s="47" t="inlineStr">
        <is>
          <t>], 'type' =&gt; "</t>
        </is>
      </c>
      <c r="L361" s="101">
        <f>Закуп!AA361</f>
        <v/>
      </c>
      <c r="M361" s="47" t="inlineStr">
        <is>
          <t>", 'sale' =&gt; "</t>
        </is>
      </c>
      <c r="N361" s="47">
        <f>IF(Закуп!L361="",0,Закуп!L361)</f>
        <v/>
      </c>
      <c r="O361" s="47" t="inlineStr">
        <is>
          <t>" ],</t>
        </is>
      </c>
      <c r="P361" s="165">
        <f>Закуп!N361</f>
        <v/>
      </c>
      <c r="Q361" s="210">
        <f>CONCATENATE(A361,B361,",",C361,",",D361,E361,F361,",",G361,",",H361,",",I361,",",J361,K361,L361,M361,N361,O361,)</f>
        <v/>
      </c>
    </row>
    <row r="362" hidden="1" s="55">
      <c r="A362" s="47" t="inlineStr">
        <is>
          <t xml:space="preserve">        [ 'dims' =&gt; [</t>
        </is>
      </c>
      <c r="B362" s="47">
        <f>Закуп!R362</f>
        <v/>
      </c>
      <c r="C362" s="47">
        <f>Закуп!S362</f>
        <v/>
      </c>
      <c r="D362" s="47">
        <f>Закуп!T362</f>
        <v/>
      </c>
      <c r="E362" s="47" t="inlineStr">
        <is>
          <t>], 'prices' =&gt; [</t>
        </is>
      </c>
      <c r="F362" s="101">
        <f>SUBSTITUTE(INDEX(Calc!$K:$K,(ROW(A361)-1)*5+COLUMN(A361)+1),",",".")</f>
        <v/>
      </c>
      <c r="G362" s="101">
        <f>SUBSTITUTE(INDEX(Calc!$K:$K,(ROW(B361)-1)*5+COLUMN(B361)+1),",",".")</f>
        <v/>
      </c>
      <c r="H362" s="101">
        <f>SUBSTITUTE(INDEX(Calc!$K:$K,(ROW(C361)-1)*5+COLUMN(C361)+1),",",".")</f>
        <v/>
      </c>
      <c r="I362" s="101">
        <f>SUBSTITUTE(INDEX(Calc!$K:$K,(ROW(D361)-1)*5+COLUMN(D361)+1),",",".")</f>
        <v/>
      </c>
      <c r="J362" s="101">
        <f>SUBSTITUTE(INDEX(Calc!$K:$K,(ROW(E361)-1)*5+COLUMN(E361)+1),",",".")</f>
        <v/>
      </c>
      <c r="K362" s="47" t="inlineStr">
        <is>
          <t>], 'type' =&gt; "</t>
        </is>
      </c>
      <c r="L362" s="101">
        <f>Закуп!AA362</f>
        <v/>
      </c>
      <c r="M362" s="47" t="inlineStr">
        <is>
          <t>", 'sale' =&gt; "</t>
        </is>
      </c>
      <c r="N362" s="47">
        <f>IF(Закуп!L362="",0,Закуп!L362)</f>
        <v/>
      </c>
      <c r="O362" s="47" t="inlineStr">
        <is>
          <t>" ],</t>
        </is>
      </c>
      <c r="P362" s="165">
        <f>Закуп!N362</f>
        <v/>
      </c>
      <c r="Q362" s="210">
        <f>CONCATENATE(A362,B362,",",C362,",",D362,E362,F362,",",G362,",",H362,",",I362,",",J362,K362,L362,M362,N362,O362,)</f>
        <v/>
      </c>
    </row>
    <row r="363" hidden="1" s="55">
      <c r="A363" s="47" t="inlineStr">
        <is>
          <t xml:space="preserve">        [ 'dims' =&gt; [</t>
        </is>
      </c>
      <c r="B363" s="47">
        <f>Закуп!R363</f>
        <v/>
      </c>
      <c r="C363" s="47">
        <f>Закуп!S363</f>
        <v/>
      </c>
      <c r="D363" s="47">
        <f>Закуп!T363</f>
        <v/>
      </c>
      <c r="E363" s="47" t="inlineStr">
        <is>
          <t>], 'prices' =&gt; [</t>
        </is>
      </c>
      <c r="F363" s="101">
        <f>SUBSTITUTE(INDEX(Calc!$K:$K,(ROW(A362)-1)*5+COLUMN(A362)+1),",",".")</f>
        <v/>
      </c>
      <c r="G363" s="101">
        <f>SUBSTITUTE(INDEX(Calc!$K:$K,(ROW(B362)-1)*5+COLUMN(B362)+1),",",".")</f>
        <v/>
      </c>
      <c r="H363" s="101">
        <f>SUBSTITUTE(INDEX(Calc!$K:$K,(ROW(C362)-1)*5+COLUMN(C362)+1),",",".")</f>
        <v/>
      </c>
      <c r="I363" s="101">
        <f>SUBSTITUTE(INDEX(Calc!$K:$K,(ROW(D362)-1)*5+COLUMN(D362)+1),",",".")</f>
        <v/>
      </c>
      <c r="J363" s="101">
        <f>SUBSTITUTE(INDEX(Calc!$K:$K,(ROW(E362)-1)*5+COLUMN(E362)+1),",",".")</f>
        <v/>
      </c>
      <c r="K363" s="47" t="inlineStr">
        <is>
          <t>], 'type' =&gt; "</t>
        </is>
      </c>
      <c r="L363" s="101">
        <f>Закуп!AA363</f>
        <v/>
      </c>
      <c r="M363" s="47" t="inlineStr">
        <is>
          <t>", 'sale' =&gt; "</t>
        </is>
      </c>
      <c r="N363" s="47">
        <f>IF(Закуп!L363="",0,Закуп!L363)</f>
        <v/>
      </c>
      <c r="O363" s="47" t="inlineStr">
        <is>
          <t>" ],</t>
        </is>
      </c>
      <c r="P363" s="165">
        <f>Закуп!N363</f>
        <v/>
      </c>
      <c r="Q363" s="210">
        <f>CONCATENATE(A363,B363,",",C363,",",D363,E363,F363,",",G363,",",H363,",",I363,",",J363,K363,L363,M363,N363,O363,)</f>
        <v/>
      </c>
    </row>
    <row r="364" hidden="1" s="55">
      <c r="A364" s="47" t="inlineStr">
        <is>
          <t xml:space="preserve">        [ 'dims' =&gt; [</t>
        </is>
      </c>
      <c r="B364" s="47">
        <f>Закуп!R364</f>
        <v/>
      </c>
      <c r="C364" s="47">
        <f>Закуп!S364</f>
        <v/>
      </c>
      <c r="D364" s="47">
        <f>Закуп!T364</f>
        <v/>
      </c>
      <c r="E364" s="47" t="inlineStr">
        <is>
          <t>], 'prices' =&gt; [</t>
        </is>
      </c>
      <c r="F364" s="101">
        <f>SUBSTITUTE(INDEX(Calc!$K:$K,(ROW(A363)-1)*5+COLUMN(A363)+1),",",".")</f>
        <v/>
      </c>
      <c r="G364" s="101">
        <f>SUBSTITUTE(INDEX(Calc!$K:$K,(ROW(B363)-1)*5+COLUMN(B363)+1),",",".")</f>
        <v/>
      </c>
      <c r="H364" s="101">
        <f>SUBSTITUTE(INDEX(Calc!$K:$K,(ROW(C363)-1)*5+COLUMN(C363)+1),",",".")</f>
        <v/>
      </c>
      <c r="I364" s="101">
        <f>SUBSTITUTE(INDEX(Calc!$K:$K,(ROW(D363)-1)*5+COLUMN(D363)+1),",",".")</f>
        <v/>
      </c>
      <c r="J364" s="101">
        <f>SUBSTITUTE(INDEX(Calc!$K:$K,(ROW(E363)-1)*5+COLUMN(E363)+1),",",".")</f>
        <v/>
      </c>
      <c r="K364" s="47" t="inlineStr">
        <is>
          <t>], 'type' =&gt; "</t>
        </is>
      </c>
      <c r="L364" s="101">
        <f>Закуп!AA364</f>
        <v/>
      </c>
      <c r="M364" s="47" t="inlineStr">
        <is>
          <t>", 'sale' =&gt; "</t>
        </is>
      </c>
      <c r="N364" s="47">
        <f>IF(Закуп!L364="",0,Закуп!L364)</f>
        <v/>
      </c>
      <c r="O364" s="47" t="inlineStr">
        <is>
          <t>" ],</t>
        </is>
      </c>
      <c r="P364" s="165">
        <f>Закуп!N364</f>
        <v/>
      </c>
      <c r="Q364" s="210">
        <f>CONCATENATE(A364,B364,",",C364,",",D364,E364,F364,",",G364,",",H364,",",I364,",",J364,K364,L364,M364,N364,O364,)</f>
        <v/>
      </c>
    </row>
    <row r="365" hidden="1" s="55">
      <c r="A365" s="47" t="inlineStr">
        <is>
          <t xml:space="preserve">        [ 'dims' =&gt; [</t>
        </is>
      </c>
      <c r="B365" s="47">
        <f>Закуп!R365</f>
        <v/>
      </c>
      <c r="C365" s="47">
        <f>Закуп!S365</f>
        <v/>
      </c>
      <c r="D365" s="47">
        <f>Закуп!T365</f>
        <v/>
      </c>
      <c r="E365" s="47" t="inlineStr">
        <is>
          <t>], 'prices' =&gt; [</t>
        </is>
      </c>
      <c r="F365" s="101">
        <f>SUBSTITUTE(INDEX(Calc!$K:$K,(ROW(A364)-1)*5+COLUMN(A364)+1),",",".")</f>
        <v/>
      </c>
      <c r="G365" s="101">
        <f>SUBSTITUTE(INDEX(Calc!$K:$K,(ROW(B364)-1)*5+COLUMN(B364)+1),",",".")</f>
        <v/>
      </c>
      <c r="H365" s="101">
        <f>SUBSTITUTE(INDEX(Calc!$K:$K,(ROW(C364)-1)*5+COLUMN(C364)+1),",",".")</f>
        <v/>
      </c>
      <c r="I365" s="101">
        <f>SUBSTITUTE(INDEX(Calc!$K:$K,(ROW(D364)-1)*5+COLUMN(D364)+1),",",".")</f>
        <v/>
      </c>
      <c r="J365" s="101">
        <f>SUBSTITUTE(INDEX(Calc!$K:$K,(ROW(E364)-1)*5+COLUMN(E364)+1),",",".")</f>
        <v/>
      </c>
      <c r="K365" s="47" t="inlineStr">
        <is>
          <t>], 'type' =&gt; "</t>
        </is>
      </c>
      <c r="L365" s="101">
        <f>Закуп!AA365</f>
        <v/>
      </c>
      <c r="M365" s="47" t="inlineStr">
        <is>
          <t>", 'sale' =&gt; "</t>
        </is>
      </c>
      <c r="N365" s="47">
        <f>IF(Закуп!L365="",0,Закуп!L365)</f>
        <v/>
      </c>
      <c r="O365" s="47" t="inlineStr">
        <is>
          <t>" ],</t>
        </is>
      </c>
      <c r="P365" s="165">
        <f>Закуп!N365</f>
        <v/>
      </c>
      <c r="Q365" s="210">
        <f>CONCATENATE(A365,B365,",",C365,",",D365,E365,F365,",",G365,",",H365,",",I365,",",J365,K365,L365,M365,N365,O365,)</f>
        <v/>
      </c>
    </row>
    <row r="366" hidden="1" s="55">
      <c r="A366" s="47" t="inlineStr">
        <is>
          <t xml:space="preserve">        [ 'dims' =&gt; [</t>
        </is>
      </c>
      <c r="B366" s="47">
        <f>Закуп!R366</f>
        <v/>
      </c>
      <c r="C366" s="47">
        <f>Закуп!S366</f>
        <v/>
      </c>
      <c r="D366" s="47">
        <f>Закуп!T366</f>
        <v/>
      </c>
      <c r="E366" s="47" t="inlineStr">
        <is>
          <t>], 'prices' =&gt; [</t>
        </is>
      </c>
      <c r="F366" s="101">
        <f>SUBSTITUTE(INDEX(Calc!$K:$K,(ROW(A365)-1)*5+COLUMN(A365)+1),",",".")</f>
        <v/>
      </c>
      <c r="G366" s="101">
        <f>SUBSTITUTE(INDEX(Calc!$K:$K,(ROW(B365)-1)*5+COLUMN(B365)+1),",",".")</f>
        <v/>
      </c>
      <c r="H366" s="101">
        <f>SUBSTITUTE(INDEX(Calc!$K:$K,(ROW(C365)-1)*5+COLUMN(C365)+1),",",".")</f>
        <v/>
      </c>
      <c r="I366" s="101">
        <f>SUBSTITUTE(INDEX(Calc!$K:$K,(ROW(D365)-1)*5+COLUMN(D365)+1),",",".")</f>
        <v/>
      </c>
      <c r="J366" s="101">
        <f>SUBSTITUTE(INDEX(Calc!$K:$K,(ROW(E365)-1)*5+COLUMN(E365)+1),",",".")</f>
        <v/>
      </c>
      <c r="K366" s="47" t="inlineStr">
        <is>
          <t>], 'type' =&gt; "</t>
        </is>
      </c>
      <c r="L366" s="101">
        <f>Закуп!AA366</f>
        <v/>
      </c>
      <c r="M366" s="47" t="inlineStr">
        <is>
          <t>", 'sale' =&gt; "</t>
        </is>
      </c>
      <c r="N366" s="47">
        <f>IF(Закуп!L366="",0,Закуп!L366)</f>
        <v/>
      </c>
      <c r="O366" s="47" t="inlineStr">
        <is>
          <t>" ],</t>
        </is>
      </c>
      <c r="P366" s="165">
        <f>Закуп!N366</f>
        <v/>
      </c>
      <c r="Q366" s="210">
        <f>CONCATENATE(A366,B366,",",C366,",",D366,E366,F366,",",G366,",",H366,",",I366,",",J366,K366,L366,M366,N366,O366,)</f>
        <v/>
      </c>
    </row>
    <row r="367" hidden="1" s="55">
      <c r="A367" s="47" t="inlineStr">
        <is>
          <t xml:space="preserve">        [ 'dims' =&gt; [</t>
        </is>
      </c>
      <c r="B367" s="47">
        <f>Закуп!R367</f>
        <v/>
      </c>
      <c r="C367" s="47">
        <f>Закуп!S367</f>
        <v/>
      </c>
      <c r="D367" s="47">
        <f>Закуп!T367</f>
        <v/>
      </c>
      <c r="E367" s="47" t="inlineStr">
        <is>
          <t>], 'prices' =&gt; [</t>
        </is>
      </c>
      <c r="F367" s="101">
        <f>SUBSTITUTE(INDEX(Calc!$K:$K,(ROW(A366)-1)*5+COLUMN(A366)+1),",",".")</f>
        <v/>
      </c>
      <c r="G367" s="101">
        <f>SUBSTITUTE(INDEX(Calc!$K:$K,(ROW(B366)-1)*5+COLUMN(B366)+1),",",".")</f>
        <v/>
      </c>
      <c r="H367" s="101">
        <f>SUBSTITUTE(INDEX(Calc!$K:$K,(ROW(C366)-1)*5+COLUMN(C366)+1),",",".")</f>
        <v/>
      </c>
      <c r="I367" s="101">
        <f>SUBSTITUTE(INDEX(Calc!$K:$K,(ROW(D366)-1)*5+COLUMN(D366)+1),",",".")</f>
        <v/>
      </c>
      <c r="J367" s="101">
        <f>SUBSTITUTE(INDEX(Calc!$K:$K,(ROW(E366)-1)*5+COLUMN(E366)+1),",",".")</f>
        <v/>
      </c>
      <c r="K367" s="47" t="inlineStr">
        <is>
          <t>], 'type' =&gt; "</t>
        </is>
      </c>
      <c r="L367" s="101">
        <f>Закуп!AA367</f>
        <v/>
      </c>
      <c r="M367" s="47" t="inlineStr">
        <is>
          <t>", 'sale' =&gt; "</t>
        </is>
      </c>
      <c r="N367" s="47">
        <f>IF(Закуп!L367="",0,Закуп!L367)</f>
        <v/>
      </c>
      <c r="O367" s="47" t="inlineStr">
        <is>
          <t>" ],</t>
        </is>
      </c>
      <c r="P367" s="165">
        <f>Закуп!N367</f>
        <v/>
      </c>
      <c r="Q367" s="210">
        <f>CONCATENATE(A367,B367,",",C367,",",D367,E367,F367,",",G367,",",H367,",",I367,",",J367,K367,L367,M367,N367,O367,)</f>
        <v/>
      </c>
    </row>
    <row r="368" hidden="1" s="55">
      <c r="A368" s="47" t="inlineStr">
        <is>
          <t xml:space="preserve">        [ 'dims' =&gt; [</t>
        </is>
      </c>
      <c r="B368" s="47">
        <f>Закуп!R368</f>
        <v/>
      </c>
      <c r="C368" s="47">
        <f>Закуп!S368</f>
        <v/>
      </c>
      <c r="D368" s="47">
        <f>Закуп!T368</f>
        <v/>
      </c>
      <c r="E368" s="47" t="inlineStr">
        <is>
          <t>], 'prices' =&gt; [</t>
        </is>
      </c>
      <c r="F368" s="101">
        <f>SUBSTITUTE(INDEX(Calc!$K:$K,(ROW(A367)-1)*5+COLUMN(A367)+1),",",".")</f>
        <v/>
      </c>
      <c r="G368" s="101">
        <f>SUBSTITUTE(INDEX(Calc!$K:$K,(ROW(B367)-1)*5+COLUMN(B367)+1),",",".")</f>
        <v/>
      </c>
      <c r="H368" s="101">
        <f>SUBSTITUTE(INDEX(Calc!$K:$K,(ROW(C367)-1)*5+COLUMN(C367)+1),",",".")</f>
        <v/>
      </c>
      <c r="I368" s="101">
        <f>SUBSTITUTE(INDEX(Calc!$K:$K,(ROW(D367)-1)*5+COLUMN(D367)+1),",",".")</f>
        <v/>
      </c>
      <c r="J368" s="101">
        <f>SUBSTITUTE(INDEX(Calc!$K:$K,(ROW(E367)-1)*5+COLUMN(E367)+1),",",".")</f>
        <v/>
      </c>
      <c r="K368" s="47" t="inlineStr">
        <is>
          <t>], 'type' =&gt; "</t>
        </is>
      </c>
      <c r="L368" s="101">
        <f>Закуп!AA368</f>
        <v/>
      </c>
      <c r="M368" s="47" t="inlineStr">
        <is>
          <t>", 'sale' =&gt; "</t>
        </is>
      </c>
      <c r="N368" s="47">
        <f>IF(Закуп!L368="",0,Закуп!L368)</f>
        <v/>
      </c>
      <c r="O368" s="47" t="inlineStr">
        <is>
          <t>" ],</t>
        </is>
      </c>
      <c r="P368" s="165">
        <f>Закуп!N368</f>
        <v/>
      </c>
      <c r="Q368" s="210">
        <f>CONCATENATE(A368,B368,",",C368,",",D368,E368,F368,",",G368,",",H368,",",I368,",",J368,K368,L368,M368,N368,O368,)</f>
        <v/>
      </c>
    </row>
    <row r="369" hidden="1" s="55">
      <c r="A369" s="47" t="inlineStr">
        <is>
          <t xml:space="preserve">        [ 'dims' =&gt; [</t>
        </is>
      </c>
      <c r="B369" s="47">
        <f>Закуп!R369</f>
        <v/>
      </c>
      <c r="C369" s="47">
        <f>Закуп!S369</f>
        <v/>
      </c>
      <c r="D369" s="47">
        <f>Закуп!T369</f>
        <v/>
      </c>
      <c r="E369" s="47" t="inlineStr">
        <is>
          <t>], 'prices' =&gt; [</t>
        </is>
      </c>
      <c r="F369" s="101">
        <f>SUBSTITUTE(INDEX(Calc!$K:$K,(ROW(A368)-1)*5+COLUMN(A368)+1),",",".")</f>
        <v/>
      </c>
      <c r="G369" s="101">
        <f>SUBSTITUTE(INDEX(Calc!$K:$K,(ROW(B368)-1)*5+COLUMN(B368)+1),",",".")</f>
        <v/>
      </c>
      <c r="H369" s="101">
        <f>SUBSTITUTE(INDEX(Calc!$K:$K,(ROW(C368)-1)*5+COLUMN(C368)+1),",",".")</f>
        <v/>
      </c>
      <c r="I369" s="101">
        <f>SUBSTITUTE(INDEX(Calc!$K:$K,(ROW(D368)-1)*5+COLUMN(D368)+1),",",".")</f>
        <v/>
      </c>
      <c r="J369" s="101">
        <f>SUBSTITUTE(INDEX(Calc!$K:$K,(ROW(E368)-1)*5+COLUMN(E368)+1),",",".")</f>
        <v/>
      </c>
      <c r="K369" s="47" t="inlineStr">
        <is>
          <t>], 'type' =&gt; "</t>
        </is>
      </c>
      <c r="L369" s="101">
        <f>Закуп!AA369</f>
        <v/>
      </c>
      <c r="M369" s="47" t="inlineStr">
        <is>
          <t>", 'sale' =&gt; "</t>
        </is>
      </c>
      <c r="N369" s="47">
        <f>IF(Закуп!L369="",0,Закуп!L369)</f>
        <v/>
      </c>
      <c r="O369" s="47" t="inlineStr">
        <is>
          <t>" ],</t>
        </is>
      </c>
      <c r="P369" s="165">
        <f>Закуп!N369</f>
        <v/>
      </c>
      <c r="Q369" s="210">
        <f>CONCATENATE(A369,B369,",",C369,",",D369,E369,F369,",",G369,",",H369,",",I369,",",J369,K369,L369,M369,N369,O369,)</f>
        <v/>
      </c>
    </row>
    <row r="370" hidden="1" s="55">
      <c r="A370" s="47" t="inlineStr">
        <is>
          <t xml:space="preserve">        [ 'dims' =&gt; [</t>
        </is>
      </c>
      <c r="B370" s="47">
        <f>Закуп!R370</f>
        <v/>
      </c>
      <c r="C370" s="47">
        <f>Закуп!S370</f>
        <v/>
      </c>
      <c r="D370" s="47">
        <f>Закуп!T370</f>
        <v/>
      </c>
      <c r="E370" s="47" t="inlineStr">
        <is>
          <t>], 'prices' =&gt; [</t>
        </is>
      </c>
      <c r="F370" s="101">
        <f>SUBSTITUTE(INDEX(Calc!$K:$K,(ROW(A369)-1)*5+COLUMN(A369)+1),",",".")</f>
        <v/>
      </c>
      <c r="G370" s="101">
        <f>SUBSTITUTE(INDEX(Calc!$K:$K,(ROW(B369)-1)*5+COLUMN(B369)+1),",",".")</f>
        <v/>
      </c>
      <c r="H370" s="101">
        <f>SUBSTITUTE(INDEX(Calc!$K:$K,(ROW(C369)-1)*5+COLUMN(C369)+1),",",".")</f>
        <v/>
      </c>
      <c r="I370" s="101">
        <f>SUBSTITUTE(INDEX(Calc!$K:$K,(ROW(D369)-1)*5+COLUMN(D369)+1),",",".")</f>
        <v/>
      </c>
      <c r="J370" s="101">
        <f>SUBSTITUTE(INDEX(Calc!$K:$K,(ROW(E369)-1)*5+COLUMN(E369)+1),",",".")</f>
        <v/>
      </c>
      <c r="K370" s="47" t="inlineStr">
        <is>
          <t>], 'type' =&gt; "</t>
        </is>
      </c>
      <c r="L370" s="101">
        <f>Закуп!AA370</f>
        <v/>
      </c>
      <c r="M370" s="47" t="inlineStr">
        <is>
          <t>", 'sale' =&gt; "</t>
        </is>
      </c>
      <c r="N370" s="47">
        <f>IF(Закуп!L370="",0,Закуп!L370)</f>
        <v/>
      </c>
      <c r="O370" s="47" t="inlineStr">
        <is>
          <t>" ],</t>
        </is>
      </c>
      <c r="P370" s="165">
        <f>Закуп!N370</f>
        <v/>
      </c>
      <c r="Q370" s="210">
        <f>CONCATENATE(A370,B370,",",C370,",",D370,E370,F370,",",G370,",",H370,",",I370,",",J370,K370,L370,M370,N370,O370,)</f>
        <v/>
      </c>
    </row>
    <row r="371" hidden="1" s="55">
      <c r="A371" s="47" t="inlineStr">
        <is>
          <t xml:space="preserve">        [ 'dims' =&gt; [</t>
        </is>
      </c>
      <c r="B371" s="47">
        <f>Закуп!R371</f>
        <v/>
      </c>
      <c r="C371" s="47">
        <f>Закуп!S371</f>
        <v/>
      </c>
      <c r="D371" s="47">
        <f>Закуп!T371</f>
        <v/>
      </c>
      <c r="E371" s="47" t="inlineStr">
        <is>
          <t>], 'prices' =&gt; [</t>
        </is>
      </c>
      <c r="F371" s="101">
        <f>SUBSTITUTE(INDEX(Calc!$K:$K,(ROW(A370)-1)*5+COLUMN(A370)+1),",",".")</f>
        <v/>
      </c>
      <c r="G371" s="101">
        <f>SUBSTITUTE(INDEX(Calc!$K:$K,(ROW(B370)-1)*5+COLUMN(B370)+1),",",".")</f>
        <v/>
      </c>
      <c r="H371" s="101">
        <f>SUBSTITUTE(INDEX(Calc!$K:$K,(ROW(C370)-1)*5+COLUMN(C370)+1),",",".")</f>
        <v/>
      </c>
      <c r="I371" s="101">
        <f>SUBSTITUTE(INDEX(Calc!$K:$K,(ROW(D370)-1)*5+COLUMN(D370)+1),",",".")</f>
        <v/>
      </c>
      <c r="J371" s="101">
        <f>SUBSTITUTE(INDEX(Calc!$K:$K,(ROW(E370)-1)*5+COLUMN(E370)+1),",",".")</f>
        <v/>
      </c>
      <c r="K371" s="47" t="inlineStr">
        <is>
          <t>], 'type' =&gt; "</t>
        </is>
      </c>
      <c r="L371" s="101">
        <f>Закуп!AA371</f>
        <v/>
      </c>
      <c r="M371" s="47" t="inlineStr">
        <is>
          <t>", 'sale' =&gt; "</t>
        </is>
      </c>
      <c r="N371" s="47">
        <f>IF(Закуп!L371="",0,Закуп!L371)</f>
        <v/>
      </c>
      <c r="O371" s="47" t="inlineStr">
        <is>
          <t>" ],</t>
        </is>
      </c>
      <c r="P371" s="165">
        <f>Закуп!N371</f>
        <v/>
      </c>
      <c r="Q371" s="210">
        <f>CONCATENATE(A371,B371,",",C371,",",D371,E371,F371,",",G371,",",H371,",",I371,",",J371,K371,L371,M371,N371,O371,)</f>
        <v/>
      </c>
    </row>
    <row r="372" hidden="1" s="55">
      <c r="A372" s="47" t="inlineStr">
        <is>
          <t xml:space="preserve">        [ 'dims' =&gt; [</t>
        </is>
      </c>
      <c r="B372" s="47">
        <f>Закуп!R372</f>
        <v/>
      </c>
      <c r="C372" s="47">
        <f>Закуп!S372</f>
        <v/>
      </c>
      <c r="D372" s="47">
        <f>Закуп!T372</f>
        <v/>
      </c>
      <c r="E372" s="47" t="inlineStr">
        <is>
          <t>], 'prices' =&gt; [</t>
        </is>
      </c>
      <c r="F372" s="101">
        <f>SUBSTITUTE(INDEX(Calc!$K:$K,(ROW(A371)-1)*5+COLUMN(A371)+1),",",".")</f>
        <v/>
      </c>
      <c r="G372" s="101">
        <f>SUBSTITUTE(INDEX(Calc!$K:$K,(ROW(B371)-1)*5+COLUMN(B371)+1),",",".")</f>
        <v/>
      </c>
      <c r="H372" s="101">
        <f>SUBSTITUTE(INDEX(Calc!$K:$K,(ROW(C371)-1)*5+COLUMN(C371)+1),",",".")</f>
        <v/>
      </c>
      <c r="I372" s="101">
        <f>SUBSTITUTE(INDEX(Calc!$K:$K,(ROW(D371)-1)*5+COLUMN(D371)+1),",",".")</f>
        <v/>
      </c>
      <c r="J372" s="101">
        <f>SUBSTITUTE(INDEX(Calc!$K:$K,(ROW(E371)-1)*5+COLUMN(E371)+1),",",".")</f>
        <v/>
      </c>
      <c r="K372" s="47" t="inlineStr">
        <is>
          <t>], 'type' =&gt; "</t>
        </is>
      </c>
      <c r="L372" s="101">
        <f>Закуп!AA372</f>
        <v/>
      </c>
      <c r="M372" s="47" t="inlineStr">
        <is>
          <t>", 'sale' =&gt; "</t>
        </is>
      </c>
      <c r="N372" s="47">
        <f>IF(Закуп!L372="",0,Закуп!L372)</f>
        <v/>
      </c>
      <c r="O372" s="47" t="inlineStr">
        <is>
          <t>" ],</t>
        </is>
      </c>
      <c r="P372" s="165">
        <f>Закуп!N372</f>
        <v/>
      </c>
      <c r="Q372" s="210">
        <f>CONCATENATE(A372,B372,",",C372,",",D372,E372,F372,",",G372,",",H372,",",I372,",",J372,K372,L372,M372,N372,O372,)</f>
        <v/>
      </c>
    </row>
    <row r="373" hidden="1" s="55">
      <c r="A373" s="47" t="inlineStr">
        <is>
          <t xml:space="preserve">        [ 'dims' =&gt; [</t>
        </is>
      </c>
      <c r="B373" s="47">
        <f>Закуп!R373</f>
        <v/>
      </c>
      <c r="C373" s="47">
        <f>Закуп!S373</f>
        <v/>
      </c>
      <c r="D373" s="47">
        <f>Закуп!T373</f>
        <v/>
      </c>
      <c r="E373" s="47" t="inlineStr">
        <is>
          <t>], 'prices' =&gt; [</t>
        </is>
      </c>
      <c r="F373" s="101">
        <f>SUBSTITUTE(INDEX(Calc!$K:$K,(ROW(A372)-1)*5+COLUMN(A372)+1),",",".")</f>
        <v/>
      </c>
      <c r="G373" s="101">
        <f>SUBSTITUTE(INDEX(Calc!$K:$K,(ROW(B372)-1)*5+COLUMN(B372)+1),",",".")</f>
        <v/>
      </c>
      <c r="H373" s="101">
        <f>SUBSTITUTE(INDEX(Calc!$K:$K,(ROW(C372)-1)*5+COLUMN(C372)+1),",",".")</f>
        <v/>
      </c>
      <c r="I373" s="101">
        <f>SUBSTITUTE(INDEX(Calc!$K:$K,(ROW(D372)-1)*5+COLUMN(D372)+1),",",".")</f>
        <v/>
      </c>
      <c r="J373" s="101">
        <f>SUBSTITUTE(INDEX(Calc!$K:$K,(ROW(E372)-1)*5+COLUMN(E372)+1),",",".")</f>
        <v/>
      </c>
      <c r="K373" s="47" t="inlineStr">
        <is>
          <t>], 'type' =&gt; "</t>
        </is>
      </c>
      <c r="L373" s="101">
        <f>Закуп!AA373</f>
        <v/>
      </c>
      <c r="M373" s="47" t="inlineStr">
        <is>
          <t>", 'sale' =&gt; "</t>
        </is>
      </c>
      <c r="N373" s="47">
        <f>IF(Закуп!L373="",0,Закуп!L373)</f>
        <v/>
      </c>
      <c r="O373" s="47" t="inlineStr">
        <is>
          <t>" ],</t>
        </is>
      </c>
      <c r="P373" s="165">
        <f>Закуп!N373</f>
        <v/>
      </c>
      <c r="Q373" s="210">
        <f>CONCATENATE(A373,B373,",",C373,",",D373,E373,F373,",",G373,",",H373,",",I373,",",J373,K373,L373,M373,N373,O373,)</f>
        <v/>
      </c>
    </row>
    <row r="374" hidden="1" s="55">
      <c r="A374" s="47" t="inlineStr">
        <is>
          <t xml:space="preserve">        [ 'dims' =&gt; [</t>
        </is>
      </c>
      <c r="B374" s="47">
        <f>Закуп!R374</f>
        <v/>
      </c>
      <c r="C374" s="47">
        <f>Закуп!S374</f>
        <v/>
      </c>
      <c r="D374" s="47">
        <f>Закуп!T374</f>
        <v/>
      </c>
      <c r="E374" s="47" t="inlineStr">
        <is>
          <t>], 'prices' =&gt; [</t>
        </is>
      </c>
      <c r="F374" s="101">
        <f>SUBSTITUTE(INDEX(Calc!$K:$K,(ROW(A373)-1)*5+COLUMN(A373)+1),",",".")</f>
        <v/>
      </c>
      <c r="G374" s="101">
        <f>SUBSTITUTE(INDEX(Calc!$K:$K,(ROW(B373)-1)*5+COLUMN(B373)+1),",",".")</f>
        <v/>
      </c>
      <c r="H374" s="101">
        <f>SUBSTITUTE(INDEX(Calc!$K:$K,(ROW(C373)-1)*5+COLUMN(C373)+1),",",".")</f>
        <v/>
      </c>
      <c r="I374" s="101">
        <f>SUBSTITUTE(INDEX(Calc!$K:$K,(ROW(D373)-1)*5+COLUMN(D373)+1),",",".")</f>
        <v/>
      </c>
      <c r="J374" s="101">
        <f>SUBSTITUTE(INDEX(Calc!$K:$K,(ROW(E373)-1)*5+COLUMN(E373)+1),",",".")</f>
        <v/>
      </c>
      <c r="K374" s="47" t="inlineStr">
        <is>
          <t>], 'type' =&gt; "</t>
        </is>
      </c>
      <c r="L374" s="101">
        <f>Закуп!AA374</f>
        <v/>
      </c>
      <c r="M374" s="47" t="inlineStr">
        <is>
          <t>", 'sale' =&gt; "</t>
        </is>
      </c>
      <c r="N374" s="47">
        <f>IF(Закуп!L374="",0,Закуп!L374)</f>
        <v/>
      </c>
      <c r="O374" s="47" t="inlineStr">
        <is>
          <t>" ],</t>
        </is>
      </c>
      <c r="P374" s="165">
        <f>Закуп!N374</f>
        <v/>
      </c>
      <c r="Q374" s="210">
        <f>CONCATENATE(A374,B374,",",C374,",",D374,E374,F374,",",G374,",",H374,",",I374,",",J374,K374,L374,M374,N374,O374,)</f>
        <v/>
      </c>
    </row>
    <row r="375" hidden="1" s="55">
      <c r="A375" s="47" t="inlineStr">
        <is>
          <t xml:space="preserve">        [ 'dims' =&gt; [</t>
        </is>
      </c>
      <c r="B375" s="47">
        <f>Закуп!R375</f>
        <v/>
      </c>
      <c r="C375" s="47">
        <f>Закуп!S375</f>
        <v/>
      </c>
      <c r="D375" s="47">
        <f>Закуп!T375</f>
        <v/>
      </c>
      <c r="E375" s="47" t="inlineStr">
        <is>
          <t>], 'prices' =&gt; [</t>
        </is>
      </c>
      <c r="F375" s="101">
        <f>SUBSTITUTE(INDEX(Calc!$K:$K,(ROW(A374)-1)*5+COLUMN(A374)+1),",",".")</f>
        <v/>
      </c>
      <c r="G375" s="101">
        <f>SUBSTITUTE(INDEX(Calc!$K:$K,(ROW(B374)-1)*5+COLUMN(B374)+1),",",".")</f>
        <v/>
      </c>
      <c r="H375" s="101">
        <f>SUBSTITUTE(INDEX(Calc!$K:$K,(ROW(C374)-1)*5+COLUMN(C374)+1),",",".")</f>
        <v/>
      </c>
      <c r="I375" s="101">
        <f>SUBSTITUTE(INDEX(Calc!$K:$K,(ROW(D374)-1)*5+COLUMN(D374)+1),",",".")</f>
        <v/>
      </c>
      <c r="J375" s="101">
        <f>SUBSTITUTE(INDEX(Calc!$K:$K,(ROW(E374)-1)*5+COLUMN(E374)+1),",",".")</f>
        <v/>
      </c>
      <c r="K375" s="47" t="inlineStr">
        <is>
          <t>], 'type' =&gt; "</t>
        </is>
      </c>
      <c r="L375" s="101">
        <f>Закуп!AA375</f>
        <v/>
      </c>
      <c r="M375" s="47" t="inlineStr">
        <is>
          <t>", 'sale' =&gt; "</t>
        </is>
      </c>
      <c r="N375" s="47">
        <f>IF(Закуп!L375="",0,Закуп!L375)</f>
        <v/>
      </c>
      <c r="O375" s="47" t="inlineStr">
        <is>
          <t>" ],</t>
        </is>
      </c>
      <c r="P375" s="165">
        <f>Закуп!N375</f>
        <v/>
      </c>
      <c r="Q375" s="210">
        <f>CONCATENATE(A375,B375,",",C375,",",D375,E375,F375,",",G375,",",H375,",",I375,",",J375,K375,L375,M375,N375,O375,)</f>
        <v/>
      </c>
    </row>
    <row r="376" hidden="1" s="55">
      <c r="A376" s="47" t="inlineStr">
        <is>
          <t xml:space="preserve">        [ 'dims' =&gt; [</t>
        </is>
      </c>
      <c r="B376" s="47">
        <f>Закуп!R376</f>
        <v/>
      </c>
      <c r="C376" s="47">
        <f>Закуп!S376</f>
        <v/>
      </c>
      <c r="D376" s="47">
        <f>Закуп!T376</f>
        <v/>
      </c>
      <c r="E376" s="47" t="inlineStr">
        <is>
          <t>], 'prices' =&gt; [</t>
        </is>
      </c>
      <c r="F376" s="101">
        <f>SUBSTITUTE(INDEX(Calc!$K:$K,(ROW(A375)-1)*5+COLUMN(A375)+1),",",".")</f>
        <v/>
      </c>
      <c r="G376" s="101">
        <f>SUBSTITUTE(INDEX(Calc!$K:$K,(ROW(B375)-1)*5+COLUMN(B375)+1),",",".")</f>
        <v/>
      </c>
      <c r="H376" s="101">
        <f>SUBSTITUTE(INDEX(Calc!$K:$K,(ROW(C375)-1)*5+COLUMN(C375)+1),",",".")</f>
        <v/>
      </c>
      <c r="I376" s="101">
        <f>SUBSTITUTE(INDEX(Calc!$K:$K,(ROW(D375)-1)*5+COLUMN(D375)+1),",",".")</f>
        <v/>
      </c>
      <c r="J376" s="101">
        <f>SUBSTITUTE(INDEX(Calc!$K:$K,(ROW(E375)-1)*5+COLUMN(E375)+1),",",".")</f>
        <v/>
      </c>
      <c r="K376" s="47" t="inlineStr">
        <is>
          <t>], 'type' =&gt; "</t>
        </is>
      </c>
      <c r="L376" s="101">
        <f>Закуп!AA376</f>
        <v/>
      </c>
      <c r="M376" s="47" t="inlineStr">
        <is>
          <t>", 'sale' =&gt; "</t>
        </is>
      </c>
      <c r="N376" s="47">
        <f>IF(Закуп!L376="",0,Закуп!L376)</f>
        <v/>
      </c>
      <c r="O376" s="47" t="inlineStr">
        <is>
          <t>" ],</t>
        </is>
      </c>
      <c r="P376" s="165">
        <f>Закуп!N376</f>
        <v/>
      </c>
      <c r="Q376" s="210">
        <f>CONCATENATE(A376,B376,",",C376,",",D376,E376,F376,",",G376,",",H376,",",I376,",",J376,K376,L376,M376,N376,O376,)</f>
        <v/>
      </c>
    </row>
    <row r="377" hidden="1" s="55">
      <c r="A377" s="47" t="inlineStr">
        <is>
          <t xml:space="preserve">        [ 'dims' =&gt; [</t>
        </is>
      </c>
      <c r="B377" s="47">
        <f>Закуп!R377</f>
        <v/>
      </c>
      <c r="C377" s="47">
        <f>Закуп!S377</f>
        <v/>
      </c>
      <c r="D377" s="47">
        <f>Закуп!T377</f>
        <v/>
      </c>
      <c r="E377" s="47" t="inlineStr">
        <is>
          <t>], 'prices' =&gt; [</t>
        </is>
      </c>
      <c r="F377" s="101">
        <f>SUBSTITUTE(INDEX(Calc!$K:$K,(ROW(A376)-1)*5+COLUMN(A376)+1),",",".")</f>
        <v/>
      </c>
      <c r="G377" s="101">
        <f>SUBSTITUTE(INDEX(Calc!$K:$K,(ROW(B376)-1)*5+COLUMN(B376)+1),",",".")</f>
        <v/>
      </c>
      <c r="H377" s="101">
        <f>SUBSTITUTE(INDEX(Calc!$K:$K,(ROW(C376)-1)*5+COLUMN(C376)+1),",",".")</f>
        <v/>
      </c>
      <c r="I377" s="101">
        <f>SUBSTITUTE(INDEX(Calc!$K:$K,(ROW(D376)-1)*5+COLUMN(D376)+1),",",".")</f>
        <v/>
      </c>
      <c r="J377" s="101">
        <f>SUBSTITUTE(INDEX(Calc!$K:$K,(ROW(E376)-1)*5+COLUMN(E376)+1),",",".")</f>
        <v/>
      </c>
      <c r="K377" s="47" t="inlineStr">
        <is>
          <t>], 'type' =&gt; "</t>
        </is>
      </c>
      <c r="L377" s="101">
        <f>Закуп!AA377</f>
        <v/>
      </c>
      <c r="M377" s="47" t="inlineStr">
        <is>
          <t>", 'sale' =&gt; "</t>
        </is>
      </c>
      <c r="N377" s="47">
        <f>IF(Закуп!L377="",0,Закуп!L377)</f>
        <v/>
      </c>
      <c r="O377" s="47" t="inlineStr">
        <is>
          <t>" ],</t>
        </is>
      </c>
      <c r="P377" s="165">
        <f>Закуп!N377</f>
        <v/>
      </c>
      <c r="Q377" s="210">
        <f>CONCATENATE(A377,B377,",",C377,",",D377,E377,F377,",",G377,",",H377,",",I377,",",J377,K377,L377,M377,N377,O377,)</f>
        <v/>
      </c>
    </row>
    <row r="378" hidden="1" s="55">
      <c r="A378" s="47" t="inlineStr">
        <is>
          <t xml:space="preserve">        [ 'dims' =&gt; [</t>
        </is>
      </c>
      <c r="B378" s="47">
        <f>Закуп!R378</f>
        <v/>
      </c>
      <c r="C378" s="47">
        <f>Закуп!S378</f>
        <v/>
      </c>
      <c r="D378" s="47">
        <f>Закуп!T378</f>
        <v/>
      </c>
      <c r="E378" s="47" t="inlineStr">
        <is>
          <t>], 'prices' =&gt; [</t>
        </is>
      </c>
      <c r="F378" s="101">
        <f>SUBSTITUTE(INDEX(Calc!$K:$K,(ROW(A377)-1)*5+COLUMN(A377)+1),",",".")</f>
        <v/>
      </c>
      <c r="G378" s="101">
        <f>SUBSTITUTE(INDEX(Calc!$K:$K,(ROW(B377)-1)*5+COLUMN(B377)+1),",",".")</f>
        <v/>
      </c>
      <c r="H378" s="101">
        <f>SUBSTITUTE(INDEX(Calc!$K:$K,(ROW(C377)-1)*5+COLUMN(C377)+1),",",".")</f>
        <v/>
      </c>
      <c r="I378" s="101">
        <f>SUBSTITUTE(INDEX(Calc!$K:$K,(ROW(D377)-1)*5+COLUMN(D377)+1),",",".")</f>
        <v/>
      </c>
      <c r="J378" s="101">
        <f>SUBSTITUTE(INDEX(Calc!$K:$K,(ROW(E377)-1)*5+COLUMN(E377)+1),",",".")</f>
        <v/>
      </c>
      <c r="K378" s="47" t="inlineStr">
        <is>
          <t>], 'type' =&gt; "</t>
        </is>
      </c>
      <c r="L378" s="101">
        <f>Закуп!AA378</f>
        <v/>
      </c>
      <c r="M378" s="47" t="inlineStr">
        <is>
          <t>", 'sale' =&gt; "</t>
        </is>
      </c>
      <c r="N378" s="47">
        <f>IF(Закуп!L378="",0,Закуп!L378)</f>
        <v/>
      </c>
      <c r="O378" s="47" t="inlineStr">
        <is>
          <t>" ],</t>
        </is>
      </c>
      <c r="P378" s="165">
        <f>Закуп!N378</f>
        <v/>
      </c>
      <c r="Q378" s="210">
        <f>CONCATENATE(A378,B378,",",C378,",",D378,E378,F378,",",G378,",",H378,",",I378,",",J378,K378,L378,M378,N378,O378,)</f>
        <v/>
      </c>
    </row>
    <row r="379" hidden="1" s="55">
      <c r="A379" s="47" t="inlineStr">
        <is>
          <t xml:space="preserve">        [ 'dims' =&gt; [</t>
        </is>
      </c>
      <c r="B379" s="47">
        <f>Закуп!R379</f>
        <v/>
      </c>
      <c r="C379" s="47">
        <f>Закуп!S379</f>
        <v/>
      </c>
      <c r="D379" s="47">
        <f>Закуп!T379</f>
        <v/>
      </c>
      <c r="E379" s="47" t="inlineStr">
        <is>
          <t>], 'prices' =&gt; [</t>
        </is>
      </c>
      <c r="F379" s="101">
        <f>SUBSTITUTE(INDEX(Calc!$K:$K,(ROW(A378)-1)*5+COLUMN(A378)+1),",",".")</f>
        <v/>
      </c>
      <c r="G379" s="101">
        <f>SUBSTITUTE(INDEX(Calc!$K:$K,(ROW(B378)-1)*5+COLUMN(B378)+1),",",".")</f>
        <v/>
      </c>
      <c r="H379" s="101">
        <f>SUBSTITUTE(INDEX(Calc!$K:$K,(ROW(C378)-1)*5+COLUMN(C378)+1),",",".")</f>
        <v/>
      </c>
      <c r="I379" s="101">
        <f>SUBSTITUTE(INDEX(Calc!$K:$K,(ROW(D378)-1)*5+COLUMN(D378)+1),",",".")</f>
        <v/>
      </c>
      <c r="J379" s="101">
        <f>SUBSTITUTE(INDEX(Calc!$K:$K,(ROW(E378)-1)*5+COLUMN(E378)+1),",",".")</f>
        <v/>
      </c>
      <c r="K379" s="47" t="inlineStr">
        <is>
          <t>], 'type' =&gt; "</t>
        </is>
      </c>
      <c r="L379" s="101">
        <f>Закуп!AA379</f>
        <v/>
      </c>
      <c r="M379" s="47" t="inlineStr">
        <is>
          <t>", 'sale' =&gt; "</t>
        </is>
      </c>
      <c r="N379" s="47">
        <f>IF(Закуп!L379="",0,Закуп!L379)</f>
        <v/>
      </c>
      <c r="O379" s="47" t="inlineStr">
        <is>
          <t>" ],</t>
        </is>
      </c>
      <c r="P379" s="165">
        <f>Закуп!N379</f>
        <v/>
      </c>
      <c r="Q379" s="210">
        <f>CONCATENATE(A379,B379,",",C379,",",D379,E379,F379,",",G379,",",H379,",",I379,",",J379,K379,L379,M379,N379,O379,)</f>
        <v/>
      </c>
    </row>
    <row r="380" hidden="1" s="55">
      <c r="A380" s="47" t="inlineStr">
        <is>
          <t xml:space="preserve">        [ 'dims' =&gt; [</t>
        </is>
      </c>
      <c r="B380" s="47">
        <f>Закуп!R380</f>
        <v/>
      </c>
      <c r="C380" s="47">
        <f>Закуп!S380</f>
        <v/>
      </c>
      <c r="D380" s="47">
        <f>Закуп!T380</f>
        <v/>
      </c>
      <c r="E380" s="47" t="inlineStr">
        <is>
          <t>], 'prices' =&gt; [</t>
        </is>
      </c>
      <c r="F380" s="101">
        <f>SUBSTITUTE(INDEX(Calc!$K:$K,(ROW(A379)-1)*5+COLUMN(A379)+1),",",".")</f>
        <v/>
      </c>
      <c r="G380" s="101">
        <f>SUBSTITUTE(INDEX(Calc!$K:$K,(ROW(B379)-1)*5+COLUMN(B379)+1),",",".")</f>
        <v/>
      </c>
      <c r="H380" s="101">
        <f>SUBSTITUTE(INDEX(Calc!$K:$K,(ROW(C379)-1)*5+COLUMN(C379)+1),",",".")</f>
        <v/>
      </c>
      <c r="I380" s="101">
        <f>SUBSTITUTE(INDEX(Calc!$K:$K,(ROW(D379)-1)*5+COLUMN(D379)+1),",",".")</f>
        <v/>
      </c>
      <c r="J380" s="101">
        <f>SUBSTITUTE(INDEX(Calc!$K:$K,(ROW(E379)-1)*5+COLUMN(E379)+1),",",".")</f>
        <v/>
      </c>
      <c r="K380" s="47" t="inlineStr">
        <is>
          <t>], 'type' =&gt; "</t>
        </is>
      </c>
      <c r="L380" s="101">
        <f>Закуп!AA380</f>
        <v/>
      </c>
      <c r="M380" s="47" t="inlineStr">
        <is>
          <t>", 'sale' =&gt; "</t>
        </is>
      </c>
      <c r="N380" s="47">
        <f>IF(Закуп!L380="",0,Закуп!L380)</f>
        <v/>
      </c>
      <c r="O380" s="47" t="inlineStr">
        <is>
          <t>" ],</t>
        </is>
      </c>
      <c r="P380" s="165">
        <f>Закуп!N380</f>
        <v/>
      </c>
      <c r="Q380" s="210">
        <f>CONCATENATE(A380,B380,",",C380,",",D380,E380,F380,",",G380,",",H380,",",I380,",",J380,K380,L380,M380,N380,O380,)</f>
        <v/>
      </c>
    </row>
    <row r="381" hidden="1" s="55">
      <c r="A381" s="47" t="inlineStr">
        <is>
          <t xml:space="preserve">        [ 'dims' =&gt; [</t>
        </is>
      </c>
      <c r="B381" s="47">
        <f>Закуп!R381</f>
        <v/>
      </c>
      <c r="C381" s="47">
        <f>Закуп!S381</f>
        <v/>
      </c>
      <c r="D381" s="47">
        <f>Закуп!T381</f>
        <v/>
      </c>
      <c r="E381" s="47" t="inlineStr">
        <is>
          <t>], 'prices' =&gt; [</t>
        </is>
      </c>
      <c r="F381" s="101">
        <f>SUBSTITUTE(INDEX(Calc!$K:$K,(ROW(A380)-1)*5+COLUMN(A380)+1),",",".")</f>
        <v/>
      </c>
      <c r="G381" s="101">
        <f>SUBSTITUTE(INDEX(Calc!$K:$K,(ROW(B380)-1)*5+COLUMN(B380)+1),",",".")</f>
        <v/>
      </c>
      <c r="H381" s="101">
        <f>SUBSTITUTE(INDEX(Calc!$K:$K,(ROW(C380)-1)*5+COLUMN(C380)+1),",",".")</f>
        <v/>
      </c>
      <c r="I381" s="101">
        <f>SUBSTITUTE(INDEX(Calc!$K:$K,(ROW(D380)-1)*5+COLUMN(D380)+1),",",".")</f>
        <v/>
      </c>
      <c r="J381" s="101">
        <f>SUBSTITUTE(INDEX(Calc!$K:$K,(ROW(E380)-1)*5+COLUMN(E380)+1),",",".")</f>
        <v/>
      </c>
      <c r="K381" s="47" t="inlineStr">
        <is>
          <t>], 'type' =&gt; "</t>
        </is>
      </c>
      <c r="L381" s="101">
        <f>Закуп!AA381</f>
        <v/>
      </c>
      <c r="M381" s="47" t="inlineStr">
        <is>
          <t>", 'sale' =&gt; "</t>
        </is>
      </c>
      <c r="N381" s="47">
        <f>IF(Закуп!L381="",0,Закуп!L381)</f>
        <v/>
      </c>
      <c r="O381" s="47" t="inlineStr">
        <is>
          <t>" ],</t>
        </is>
      </c>
      <c r="P381" s="165">
        <f>Закуп!N381</f>
        <v/>
      </c>
      <c r="Q381" s="210">
        <f>CONCATENATE(A381,B381,",",C381,",",D381,E381,F381,",",G381,",",H381,",",I381,",",J381,K381,L381,M381,N381,O381,)</f>
        <v/>
      </c>
    </row>
    <row r="382" hidden="1" s="55">
      <c r="A382" s="47" t="inlineStr">
        <is>
          <t xml:space="preserve">        [ 'dims' =&gt; [</t>
        </is>
      </c>
      <c r="B382" s="47">
        <f>Закуп!R382</f>
        <v/>
      </c>
      <c r="C382" s="47">
        <f>Закуп!S382</f>
        <v/>
      </c>
      <c r="D382" s="47">
        <f>Закуп!T382</f>
        <v/>
      </c>
      <c r="E382" s="47" t="inlineStr">
        <is>
          <t>], 'prices' =&gt; [</t>
        </is>
      </c>
      <c r="F382" s="101">
        <f>SUBSTITUTE(INDEX(Calc!$K:$K,(ROW(A381)-1)*5+COLUMN(A381)+1),",",".")</f>
        <v/>
      </c>
      <c r="G382" s="101">
        <f>SUBSTITUTE(INDEX(Calc!$K:$K,(ROW(B381)-1)*5+COLUMN(B381)+1),",",".")</f>
        <v/>
      </c>
      <c r="H382" s="101">
        <f>SUBSTITUTE(INDEX(Calc!$K:$K,(ROW(C381)-1)*5+COLUMN(C381)+1),",",".")</f>
        <v/>
      </c>
      <c r="I382" s="101">
        <f>SUBSTITUTE(INDEX(Calc!$K:$K,(ROW(D381)-1)*5+COLUMN(D381)+1),",",".")</f>
        <v/>
      </c>
      <c r="J382" s="101">
        <f>SUBSTITUTE(INDEX(Calc!$K:$K,(ROW(E381)-1)*5+COLUMN(E381)+1),",",".")</f>
        <v/>
      </c>
      <c r="K382" s="47" t="inlineStr">
        <is>
          <t>], 'type' =&gt; "</t>
        </is>
      </c>
      <c r="L382" s="101">
        <f>Закуп!AA382</f>
        <v/>
      </c>
      <c r="M382" s="47" t="inlineStr">
        <is>
          <t>", 'sale' =&gt; "</t>
        </is>
      </c>
      <c r="N382" s="47">
        <f>IF(Закуп!L382="",0,Закуп!L382)</f>
        <v/>
      </c>
      <c r="O382" s="47" t="inlineStr">
        <is>
          <t>" ],</t>
        </is>
      </c>
      <c r="P382" s="165">
        <f>Закуп!N382</f>
        <v/>
      </c>
      <c r="Q382" s="210">
        <f>CONCATENATE(A382,B382,",",C382,",",D382,E382,F382,",",G382,",",H382,",",I382,",",J382,K382,L382,M382,N382,O382,)</f>
        <v/>
      </c>
    </row>
    <row r="383" hidden="1" s="55">
      <c r="A383" s="47" t="inlineStr">
        <is>
          <t xml:space="preserve">        [ 'dims' =&gt; [</t>
        </is>
      </c>
      <c r="B383" s="47">
        <f>Закуп!R383</f>
        <v/>
      </c>
      <c r="C383" s="47">
        <f>Закуп!S383</f>
        <v/>
      </c>
      <c r="D383" s="47">
        <f>Закуп!T383</f>
        <v/>
      </c>
      <c r="E383" s="47" t="inlineStr">
        <is>
          <t>], 'prices' =&gt; [</t>
        </is>
      </c>
      <c r="F383" s="101">
        <f>SUBSTITUTE(INDEX(Calc!$K:$K,(ROW(A382)-1)*5+COLUMN(A382)+1),",",".")</f>
        <v/>
      </c>
      <c r="G383" s="101">
        <f>SUBSTITUTE(INDEX(Calc!$K:$K,(ROW(B382)-1)*5+COLUMN(B382)+1),",",".")</f>
        <v/>
      </c>
      <c r="H383" s="101">
        <f>SUBSTITUTE(INDEX(Calc!$K:$K,(ROW(C382)-1)*5+COLUMN(C382)+1),",",".")</f>
        <v/>
      </c>
      <c r="I383" s="101">
        <f>SUBSTITUTE(INDEX(Calc!$K:$K,(ROW(D382)-1)*5+COLUMN(D382)+1),",",".")</f>
        <v/>
      </c>
      <c r="J383" s="101">
        <f>SUBSTITUTE(INDEX(Calc!$K:$K,(ROW(E382)-1)*5+COLUMN(E382)+1),",",".")</f>
        <v/>
      </c>
      <c r="K383" s="47" t="inlineStr">
        <is>
          <t>], 'type' =&gt; "</t>
        </is>
      </c>
      <c r="L383" s="101">
        <f>Закуп!AA383</f>
        <v/>
      </c>
      <c r="M383" s="47" t="inlineStr">
        <is>
          <t>", 'sale' =&gt; "</t>
        </is>
      </c>
      <c r="N383" s="47">
        <f>IF(Закуп!L383="",0,Закуп!L383)</f>
        <v/>
      </c>
      <c r="O383" s="47" t="inlineStr">
        <is>
          <t>" ],</t>
        </is>
      </c>
      <c r="P383" s="165">
        <f>Закуп!N383</f>
        <v/>
      </c>
      <c r="Q383" s="210">
        <f>CONCATENATE(A383,B383,",",C383,",",D383,E383,F383,",",G383,",",H383,",",I383,",",J383,K383,L383,M383,N383,O383,)</f>
        <v/>
      </c>
    </row>
    <row r="384" hidden="1" s="55">
      <c r="A384" s="47" t="inlineStr">
        <is>
          <t xml:space="preserve">        [ 'dims' =&gt; [</t>
        </is>
      </c>
      <c r="B384" s="47">
        <f>Закуп!R384</f>
        <v/>
      </c>
      <c r="C384" s="47">
        <f>Закуп!S384</f>
        <v/>
      </c>
      <c r="D384" s="47">
        <f>Закуп!T384</f>
        <v/>
      </c>
      <c r="E384" s="47" t="inlineStr">
        <is>
          <t>], 'prices' =&gt; [</t>
        </is>
      </c>
      <c r="F384" s="101">
        <f>SUBSTITUTE(INDEX(Calc!$K:$K,(ROW(A383)-1)*5+COLUMN(A383)+1),",",".")</f>
        <v/>
      </c>
      <c r="G384" s="101">
        <f>SUBSTITUTE(INDEX(Calc!$K:$K,(ROW(B383)-1)*5+COLUMN(B383)+1),",",".")</f>
        <v/>
      </c>
      <c r="H384" s="101">
        <f>SUBSTITUTE(INDEX(Calc!$K:$K,(ROW(C383)-1)*5+COLUMN(C383)+1),",",".")</f>
        <v/>
      </c>
      <c r="I384" s="101">
        <f>SUBSTITUTE(INDEX(Calc!$K:$K,(ROW(D383)-1)*5+COLUMN(D383)+1),",",".")</f>
        <v/>
      </c>
      <c r="J384" s="101">
        <f>SUBSTITUTE(INDEX(Calc!$K:$K,(ROW(E383)-1)*5+COLUMN(E383)+1),",",".")</f>
        <v/>
      </c>
      <c r="K384" s="47" t="inlineStr">
        <is>
          <t>], 'type' =&gt; "</t>
        </is>
      </c>
      <c r="L384" s="101">
        <f>Закуп!AA384</f>
        <v/>
      </c>
      <c r="M384" s="47" t="inlineStr">
        <is>
          <t>", 'sale' =&gt; "</t>
        </is>
      </c>
      <c r="N384" s="47">
        <f>IF(Закуп!L384="",0,Закуп!L384)</f>
        <v/>
      </c>
      <c r="O384" s="47" t="inlineStr">
        <is>
          <t>" ],</t>
        </is>
      </c>
      <c r="P384" s="165">
        <f>Закуп!N384</f>
        <v/>
      </c>
      <c r="Q384" s="210">
        <f>CONCATENATE(A384,B384,",",C384,",",D384,E384,F384,",",G384,",",H384,",",I384,",",J384,K384,L384,M384,N384,O384,)</f>
        <v/>
      </c>
    </row>
    <row r="385" hidden="1" s="55">
      <c r="A385" s="47" t="inlineStr">
        <is>
          <t xml:space="preserve">        [ 'dims' =&gt; [</t>
        </is>
      </c>
      <c r="B385" s="47">
        <f>Закуп!R385</f>
        <v/>
      </c>
      <c r="C385" s="47">
        <f>Закуп!S385</f>
        <v/>
      </c>
      <c r="D385" s="47">
        <f>Закуп!T385</f>
        <v/>
      </c>
      <c r="E385" s="47" t="inlineStr">
        <is>
          <t>], 'prices' =&gt; [</t>
        </is>
      </c>
      <c r="F385" s="101">
        <f>SUBSTITUTE(INDEX(Calc!$K:$K,(ROW(A384)-1)*5+COLUMN(A384)+1),",",".")</f>
        <v/>
      </c>
      <c r="G385" s="101">
        <f>SUBSTITUTE(INDEX(Calc!$K:$K,(ROW(B384)-1)*5+COLUMN(B384)+1),",",".")</f>
        <v/>
      </c>
      <c r="H385" s="101">
        <f>SUBSTITUTE(INDEX(Calc!$K:$K,(ROW(C384)-1)*5+COLUMN(C384)+1),",",".")</f>
        <v/>
      </c>
      <c r="I385" s="101">
        <f>SUBSTITUTE(INDEX(Calc!$K:$K,(ROW(D384)-1)*5+COLUMN(D384)+1),",",".")</f>
        <v/>
      </c>
      <c r="J385" s="101">
        <f>SUBSTITUTE(INDEX(Calc!$K:$K,(ROW(E384)-1)*5+COLUMN(E384)+1),",",".")</f>
        <v/>
      </c>
      <c r="K385" s="47" t="inlineStr">
        <is>
          <t>], 'type' =&gt; "</t>
        </is>
      </c>
      <c r="L385" s="101">
        <f>Закуп!AA385</f>
        <v/>
      </c>
      <c r="M385" s="47" t="inlineStr">
        <is>
          <t>", 'sale' =&gt; "</t>
        </is>
      </c>
      <c r="N385" s="47">
        <f>IF(Закуп!L385="",0,Закуп!L385)</f>
        <v/>
      </c>
      <c r="O385" s="47" t="inlineStr">
        <is>
          <t>" ],</t>
        </is>
      </c>
      <c r="P385" s="165">
        <f>Закуп!N385</f>
        <v/>
      </c>
      <c r="Q385" s="210">
        <f>CONCATENATE(A385,B385,",",C385,",",D385,E385,F385,",",G385,",",H385,",",I385,",",J385,K385,L385,M385,N385,O385,)</f>
        <v/>
      </c>
    </row>
    <row r="386" hidden="1" s="55">
      <c r="A386" s="47" t="inlineStr">
        <is>
          <t xml:space="preserve">        [ 'dims' =&gt; [</t>
        </is>
      </c>
      <c r="B386" s="47">
        <f>Закуп!R386</f>
        <v/>
      </c>
      <c r="C386" s="47">
        <f>Закуп!S386</f>
        <v/>
      </c>
      <c r="D386" s="47">
        <f>Закуп!T386</f>
        <v/>
      </c>
      <c r="E386" s="47" t="inlineStr">
        <is>
          <t>], 'prices' =&gt; [</t>
        </is>
      </c>
      <c r="F386" s="101">
        <f>SUBSTITUTE(INDEX(Calc!$K:$K,(ROW(A385)-1)*5+COLUMN(A385)+1),",",".")</f>
        <v/>
      </c>
      <c r="G386" s="101">
        <f>SUBSTITUTE(INDEX(Calc!$K:$K,(ROW(B385)-1)*5+COLUMN(B385)+1),",",".")</f>
        <v/>
      </c>
      <c r="H386" s="101">
        <f>SUBSTITUTE(INDEX(Calc!$K:$K,(ROW(C385)-1)*5+COLUMN(C385)+1),",",".")</f>
        <v/>
      </c>
      <c r="I386" s="101">
        <f>SUBSTITUTE(INDEX(Calc!$K:$K,(ROW(D385)-1)*5+COLUMN(D385)+1),",",".")</f>
        <v/>
      </c>
      <c r="J386" s="101">
        <f>SUBSTITUTE(INDEX(Calc!$K:$K,(ROW(E385)-1)*5+COLUMN(E385)+1),",",".")</f>
        <v/>
      </c>
      <c r="K386" s="47" t="inlineStr">
        <is>
          <t>], 'type' =&gt; "</t>
        </is>
      </c>
      <c r="L386" s="101">
        <f>Закуп!AA386</f>
        <v/>
      </c>
      <c r="M386" s="47" t="inlineStr">
        <is>
          <t>", 'sale' =&gt; "</t>
        </is>
      </c>
      <c r="N386" s="47">
        <f>IF(Закуп!L386="",0,Закуп!L386)</f>
        <v/>
      </c>
      <c r="O386" s="47" t="inlineStr">
        <is>
          <t>" ],</t>
        </is>
      </c>
      <c r="P386" s="165">
        <f>Закуп!N386</f>
        <v/>
      </c>
      <c r="Q386" s="210">
        <f>CONCATENATE(A386,B386,",",C386,",",D386,E386,F386,",",G386,",",H386,",",I386,",",J386,K386,L386,M386,N386,O386,)</f>
        <v/>
      </c>
    </row>
    <row r="387" hidden="1" s="55">
      <c r="A387" s="47" t="inlineStr">
        <is>
          <t xml:space="preserve">        [ 'dims' =&gt; [</t>
        </is>
      </c>
      <c r="B387" s="47">
        <f>Закуп!R387</f>
        <v/>
      </c>
      <c r="C387" s="47">
        <f>Закуп!S387</f>
        <v/>
      </c>
      <c r="D387" s="47">
        <f>Закуп!T387</f>
        <v/>
      </c>
      <c r="E387" s="47" t="inlineStr">
        <is>
          <t>], 'prices' =&gt; [</t>
        </is>
      </c>
      <c r="F387" s="101">
        <f>SUBSTITUTE(INDEX(Calc!$K:$K,(ROW(A386)-1)*5+COLUMN(A386)+1),",",".")</f>
        <v/>
      </c>
      <c r="G387" s="101">
        <f>SUBSTITUTE(INDEX(Calc!$K:$K,(ROW(B386)-1)*5+COLUMN(B386)+1),",",".")</f>
        <v/>
      </c>
      <c r="H387" s="101">
        <f>SUBSTITUTE(INDEX(Calc!$K:$K,(ROW(C386)-1)*5+COLUMN(C386)+1),",",".")</f>
        <v/>
      </c>
      <c r="I387" s="101">
        <f>SUBSTITUTE(INDEX(Calc!$K:$K,(ROW(D386)-1)*5+COLUMN(D386)+1),",",".")</f>
        <v/>
      </c>
      <c r="J387" s="101">
        <f>SUBSTITUTE(INDEX(Calc!$K:$K,(ROW(E386)-1)*5+COLUMN(E386)+1),",",".")</f>
        <v/>
      </c>
      <c r="K387" s="47" t="inlineStr">
        <is>
          <t>], 'type' =&gt; "</t>
        </is>
      </c>
      <c r="L387" s="101">
        <f>Закуп!AA387</f>
        <v/>
      </c>
      <c r="M387" s="47" t="inlineStr">
        <is>
          <t>", 'sale' =&gt; "</t>
        </is>
      </c>
      <c r="N387" s="47">
        <f>IF(Закуп!L387="",0,Закуп!L387)</f>
        <v/>
      </c>
      <c r="O387" s="47" t="inlineStr">
        <is>
          <t>" ],</t>
        </is>
      </c>
      <c r="P387" s="165">
        <f>Закуп!N387</f>
        <v/>
      </c>
      <c r="Q387" s="210">
        <f>CONCATENATE(A387,B387,",",C387,",",D387,E387,F387,",",G387,",",H387,",",I387,",",J387,K387,L387,M387,N387,O387,)</f>
        <v/>
      </c>
    </row>
    <row r="388" hidden="1" s="55">
      <c r="A388" s="47" t="inlineStr">
        <is>
          <t xml:space="preserve">        [ 'dims' =&gt; [</t>
        </is>
      </c>
      <c r="B388" s="47">
        <f>Закуп!R388</f>
        <v/>
      </c>
      <c r="C388" s="47">
        <f>Закуп!S388</f>
        <v/>
      </c>
      <c r="D388" s="47">
        <f>Закуп!T388</f>
        <v/>
      </c>
      <c r="E388" s="47" t="inlineStr">
        <is>
          <t>], 'prices' =&gt; [</t>
        </is>
      </c>
      <c r="F388" s="101">
        <f>SUBSTITUTE(INDEX(Calc!$K:$K,(ROW(A387)-1)*5+COLUMN(A387)+1),",",".")</f>
        <v/>
      </c>
      <c r="G388" s="101">
        <f>SUBSTITUTE(INDEX(Calc!$K:$K,(ROW(B387)-1)*5+COLUMN(B387)+1),",",".")</f>
        <v/>
      </c>
      <c r="H388" s="101">
        <f>SUBSTITUTE(INDEX(Calc!$K:$K,(ROW(C387)-1)*5+COLUMN(C387)+1),",",".")</f>
        <v/>
      </c>
      <c r="I388" s="101">
        <f>SUBSTITUTE(INDEX(Calc!$K:$K,(ROW(D387)-1)*5+COLUMN(D387)+1),",",".")</f>
        <v/>
      </c>
      <c r="J388" s="101">
        <f>SUBSTITUTE(INDEX(Calc!$K:$K,(ROW(E387)-1)*5+COLUMN(E387)+1),",",".")</f>
        <v/>
      </c>
      <c r="K388" s="47" t="inlineStr">
        <is>
          <t>], 'type' =&gt; "</t>
        </is>
      </c>
      <c r="L388" s="101">
        <f>Закуп!AA388</f>
        <v/>
      </c>
      <c r="M388" s="47" t="inlineStr">
        <is>
          <t>", 'sale' =&gt; "</t>
        </is>
      </c>
      <c r="N388" s="47">
        <f>IF(Закуп!L388="",0,Закуп!L388)</f>
        <v/>
      </c>
      <c r="O388" s="47" t="inlineStr">
        <is>
          <t>" ],</t>
        </is>
      </c>
      <c r="P388" s="165">
        <f>Закуп!N388</f>
        <v/>
      </c>
      <c r="Q388" s="210">
        <f>CONCATENATE(A388,B388,",",C388,",",D388,E388,F388,",",G388,",",H388,",",I388,",",J388,K388,L388,M388,N388,O388,)</f>
        <v/>
      </c>
    </row>
    <row r="389" hidden="1" s="55">
      <c r="A389" s="47" t="inlineStr">
        <is>
          <t xml:space="preserve">        [ 'dims' =&gt; [</t>
        </is>
      </c>
      <c r="B389" s="47">
        <f>Закуп!R389</f>
        <v/>
      </c>
      <c r="C389" s="47">
        <f>Закуп!S389</f>
        <v/>
      </c>
      <c r="D389" s="47">
        <f>Закуп!T389</f>
        <v/>
      </c>
      <c r="E389" s="47" t="inlineStr">
        <is>
          <t>], 'prices' =&gt; [</t>
        </is>
      </c>
      <c r="F389" s="101">
        <f>SUBSTITUTE(INDEX(Calc!$K:$K,(ROW(A388)-1)*5+COLUMN(A388)+1),",",".")</f>
        <v/>
      </c>
      <c r="G389" s="101">
        <f>SUBSTITUTE(INDEX(Calc!$K:$K,(ROW(B388)-1)*5+COLUMN(B388)+1),",",".")</f>
        <v/>
      </c>
      <c r="H389" s="101">
        <f>SUBSTITUTE(INDEX(Calc!$K:$K,(ROW(C388)-1)*5+COLUMN(C388)+1),",",".")</f>
        <v/>
      </c>
      <c r="I389" s="101">
        <f>SUBSTITUTE(INDEX(Calc!$K:$K,(ROW(D388)-1)*5+COLUMN(D388)+1),",",".")</f>
        <v/>
      </c>
      <c r="J389" s="101">
        <f>SUBSTITUTE(INDEX(Calc!$K:$K,(ROW(E388)-1)*5+COLUMN(E388)+1),",",".")</f>
        <v/>
      </c>
      <c r="K389" s="47" t="inlineStr">
        <is>
          <t>], 'type' =&gt; "</t>
        </is>
      </c>
      <c r="L389" s="101">
        <f>Закуп!AA389</f>
        <v/>
      </c>
      <c r="M389" s="47" t="inlineStr">
        <is>
          <t>", 'sale' =&gt; "</t>
        </is>
      </c>
      <c r="N389" s="47">
        <f>IF(Закуп!L389="",0,Закуп!L389)</f>
        <v/>
      </c>
      <c r="O389" s="47" t="inlineStr">
        <is>
          <t>" ],</t>
        </is>
      </c>
      <c r="P389" s="165">
        <f>Закуп!N389</f>
        <v/>
      </c>
      <c r="Q389" s="210">
        <f>CONCATENATE(A389,B389,",",C389,",",D389,E389,F389,",",G389,",",H389,",",I389,",",J389,K389,L389,M389,N389,O389,)</f>
        <v/>
      </c>
    </row>
    <row r="390" hidden="1" s="55">
      <c r="A390" s="47" t="inlineStr">
        <is>
          <t xml:space="preserve">        [ 'dims' =&gt; [</t>
        </is>
      </c>
      <c r="B390" s="47">
        <f>Закуп!R390</f>
        <v/>
      </c>
      <c r="C390" s="47">
        <f>Закуп!S390</f>
        <v/>
      </c>
      <c r="D390" s="47">
        <f>Закуп!T390</f>
        <v/>
      </c>
      <c r="E390" s="47" t="inlineStr">
        <is>
          <t>], 'prices' =&gt; [</t>
        </is>
      </c>
      <c r="F390" s="101">
        <f>SUBSTITUTE(INDEX(Calc!$K:$K,(ROW(A389)-1)*5+COLUMN(A389)+1),",",".")</f>
        <v/>
      </c>
      <c r="G390" s="101">
        <f>SUBSTITUTE(INDEX(Calc!$K:$K,(ROW(B389)-1)*5+COLUMN(B389)+1),",",".")</f>
        <v/>
      </c>
      <c r="H390" s="101">
        <f>SUBSTITUTE(INDEX(Calc!$K:$K,(ROW(C389)-1)*5+COLUMN(C389)+1),",",".")</f>
        <v/>
      </c>
      <c r="I390" s="101">
        <f>SUBSTITUTE(INDEX(Calc!$K:$K,(ROW(D389)-1)*5+COLUMN(D389)+1),",",".")</f>
        <v/>
      </c>
      <c r="J390" s="101">
        <f>SUBSTITUTE(INDEX(Calc!$K:$K,(ROW(E389)-1)*5+COLUMN(E389)+1),",",".")</f>
        <v/>
      </c>
      <c r="K390" s="47" t="inlineStr">
        <is>
          <t>], 'type' =&gt; "</t>
        </is>
      </c>
      <c r="L390" s="101">
        <f>Закуп!AA390</f>
        <v/>
      </c>
      <c r="M390" s="47" t="inlineStr">
        <is>
          <t>", 'sale' =&gt; "</t>
        </is>
      </c>
      <c r="N390" s="47">
        <f>IF(Закуп!L390="",0,Закуп!L390)</f>
        <v/>
      </c>
      <c r="O390" s="47" t="inlineStr">
        <is>
          <t>" ],</t>
        </is>
      </c>
      <c r="P390" s="165">
        <f>Закуп!N390</f>
        <v/>
      </c>
      <c r="Q390" s="210">
        <f>CONCATENATE(A390,B390,",",C390,",",D390,E390,F390,",",G390,",",H390,",",I390,",",J390,K390,L390,M390,N390,O390,)</f>
        <v/>
      </c>
    </row>
    <row r="391" hidden="1" s="55">
      <c r="A391" s="47" t="inlineStr">
        <is>
          <t xml:space="preserve">        [ 'dims' =&gt; [</t>
        </is>
      </c>
      <c r="B391" s="47">
        <f>Закуп!R391</f>
        <v/>
      </c>
      <c r="C391" s="47">
        <f>Закуп!S391</f>
        <v/>
      </c>
      <c r="D391" s="47">
        <f>Закуп!T391</f>
        <v/>
      </c>
      <c r="E391" s="47" t="inlineStr">
        <is>
          <t>], 'prices' =&gt; [</t>
        </is>
      </c>
      <c r="F391" s="101">
        <f>SUBSTITUTE(INDEX(Calc!$K:$K,(ROW(A390)-1)*5+COLUMN(A390)+1),",",".")</f>
        <v/>
      </c>
      <c r="G391" s="101">
        <f>SUBSTITUTE(INDEX(Calc!$K:$K,(ROW(B390)-1)*5+COLUMN(B390)+1),",",".")</f>
        <v/>
      </c>
      <c r="H391" s="101">
        <f>SUBSTITUTE(INDEX(Calc!$K:$K,(ROW(C390)-1)*5+COLUMN(C390)+1),",",".")</f>
        <v/>
      </c>
      <c r="I391" s="101">
        <f>SUBSTITUTE(INDEX(Calc!$K:$K,(ROW(D390)-1)*5+COLUMN(D390)+1),",",".")</f>
        <v/>
      </c>
      <c r="J391" s="101">
        <f>SUBSTITUTE(INDEX(Calc!$K:$K,(ROW(E390)-1)*5+COLUMN(E390)+1),",",".")</f>
        <v/>
      </c>
      <c r="K391" s="47" t="inlineStr">
        <is>
          <t>], 'type' =&gt; "</t>
        </is>
      </c>
      <c r="L391" s="101">
        <f>Закуп!AA391</f>
        <v/>
      </c>
      <c r="M391" s="47" t="inlineStr">
        <is>
          <t>", 'sale' =&gt; "</t>
        </is>
      </c>
      <c r="N391" s="47">
        <f>IF(Закуп!L391="",0,Закуп!L391)</f>
        <v/>
      </c>
      <c r="O391" s="47" t="inlineStr">
        <is>
          <t>" ],</t>
        </is>
      </c>
      <c r="P391" s="165">
        <f>Закуп!N391</f>
        <v/>
      </c>
      <c r="Q391" s="210">
        <f>CONCATENATE(A391,B391,",",C391,",",D391,E391,F391,",",G391,",",H391,",",I391,",",J391,K391,L391,M391,N391,O391,)</f>
        <v/>
      </c>
    </row>
    <row r="392" hidden="1" s="55">
      <c r="A392" s="47" t="inlineStr">
        <is>
          <t xml:space="preserve">        [ 'dims' =&gt; [</t>
        </is>
      </c>
      <c r="B392" s="47">
        <f>Закуп!R392</f>
        <v/>
      </c>
      <c r="C392" s="47">
        <f>Закуп!S392</f>
        <v/>
      </c>
      <c r="D392" s="47">
        <f>Закуп!T392</f>
        <v/>
      </c>
      <c r="E392" s="47" t="inlineStr">
        <is>
          <t>], 'prices' =&gt; [</t>
        </is>
      </c>
      <c r="F392" s="101">
        <f>SUBSTITUTE(INDEX(Calc!$K:$K,(ROW(A391)-1)*5+COLUMN(A391)+1),",",".")</f>
        <v/>
      </c>
      <c r="G392" s="101">
        <f>SUBSTITUTE(INDEX(Calc!$K:$K,(ROW(B391)-1)*5+COLUMN(B391)+1),",",".")</f>
        <v/>
      </c>
      <c r="H392" s="101">
        <f>SUBSTITUTE(INDEX(Calc!$K:$K,(ROW(C391)-1)*5+COLUMN(C391)+1),",",".")</f>
        <v/>
      </c>
      <c r="I392" s="101">
        <f>SUBSTITUTE(INDEX(Calc!$K:$K,(ROW(D391)-1)*5+COLUMN(D391)+1),",",".")</f>
        <v/>
      </c>
      <c r="J392" s="101">
        <f>SUBSTITUTE(INDEX(Calc!$K:$K,(ROW(E391)-1)*5+COLUMN(E391)+1),",",".")</f>
        <v/>
      </c>
      <c r="K392" s="47" t="inlineStr">
        <is>
          <t>], 'type' =&gt; "</t>
        </is>
      </c>
      <c r="L392" s="101">
        <f>Закуп!AA392</f>
        <v/>
      </c>
      <c r="M392" s="47" t="inlineStr">
        <is>
          <t>", 'sale' =&gt; "</t>
        </is>
      </c>
      <c r="N392" s="47">
        <f>IF(Закуп!L392="",0,Закуп!L392)</f>
        <v/>
      </c>
      <c r="O392" s="47" t="inlineStr">
        <is>
          <t>" ],</t>
        </is>
      </c>
      <c r="P392" s="165">
        <f>Закуп!N392</f>
        <v/>
      </c>
      <c r="Q392" s="210">
        <f>CONCATENATE(A392,B392,",",C392,",",D392,E392,F392,",",G392,",",H392,",",I392,",",J392,K392,L392,M392,N392,O392,)</f>
        <v/>
      </c>
    </row>
    <row r="393" hidden="1" s="55">
      <c r="A393" s="47" t="inlineStr">
        <is>
          <t xml:space="preserve">        [ 'dims' =&gt; [</t>
        </is>
      </c>
      <c r="B393" s="47">
        <f>Закуп!R393</f>
        <v/>
      </c>
      <c r="C393" s="47">
        <f>Закуп!S393</f>
        <v/>
      </c>
      <c r="D393" s="47">
        <f>Закуп!T393</f>
        <v/>
      </c>
      <c r="E393" s="47" t="inlineStr">
        <is>
          <t>], 'prices' =&gt; [</t>
        </is>
      </c>
      <c r="F393" s="101">
        <f>SUBSTITUTE(INDEX(Calc!$K:$K,(ROW(A392)-1)*5+COLUMN(A392)+1),",",".")</f>
        <v/>
      </c>
      <c r="G393" s="101">
        <f>SUBSTITUTE(INDEX(Calc!$K:$K,(ROW(B392)-1)*5+COLUMN(B392)+1),",",".")</f>
        <v/>
      </c>
      <c r="H393" s="101">
        <f>SUBSTITUTE(INDEX(Calc!$K:$K,(ROW(C392)-1)*5+COLUMN(C392)+1),",",".")</f>
        <v/>
      </c>
      <c r="I393" s="101">
        <f>SUBSTITUTE(INDEX(Calc!$K:$K,(ROW(D392)-1)*5+COLUMN(D392)+1),",",".")</f>
        <v/>
      </c>
      <c r="J393" s="101">
        <f>SUBSTITUTE(INDEX(Calc!$K:$K,(ROW(E392)-1)*5+COLUMN(E392)+1),",",".")</f>
        <v/>
      </c>
      <c r="K393" s="47" t="inlineStr">
        <is>
          <t>], 'type' =&gt; "</t>
        </is>
      </c>
      <c r="L393" s="101">
        <f>Закуп!AA393</f>
        <v/>
      </c>
      <c r="M393" s="47" t="inlineStr">
        <is>
          <t>", 'sale' =&gt; "</t>
        </is>
      </c>
      <c r="N393" s="47">
        <f>IF(Закуп!L393="",0,Закуп!L393)</f>
        <v/>
      </c>
      <c r="O393" s="47" t="inlineStr">
        <is>
          <t>" ],</t>
        </is>
      </c>
      <c r="P393" s="165">
        <f>Закуп!N393</f>
        <v/>
      </c>
      <c r="Q393" s="210">
        <f>CONCATENATE(A393,B393,",",C393,",",D393,E393,F393,",",G393,",",H393,",",I393,",",J393,K393,L393,M393,N393,O393,)</f>
        <v/>
      </c>
    </row>
    <row r="394" hidden="1" s="55">
      <c r="A394" s="47" t="inlineStr">
        <is>
          <t xml:space="preserve">        [ 'dims' =&gt; [</t>
        </is>
      </c>
      <c r="B394" s="47">
        <f>Закуп!R394</f>
        <v/>
      </c>
      <c r="C394" s="47">
        <f>Закуп!S394</f>
        <v/>
      </c>
      <c r="D394" s="47">
        <f>Закуп!T394</f>
        <v/>
      </c>
      <c r="E394" s="47" t="inlineStr">
        <is>
          <t>], 'prices' =&gt; [</t>
        </is>
      </c>
      <c r="F394" s="101">
        <f>SUBSTITUTE(INDEX(Calc!$K:$K,(ROW(A393)-1)*5+COLUMN(A393)+1),",",".")</f>
        <v/>
      </c>
      <c r="G394" s="101">
        <f>SUBSTITUTE(INDEX(Calc!$K:$K,(ROW(B393)-1)*5+COLUMN(B393)+1),",",".")</f>
        <v/>
      </c>
      <c r="H394" s="101">
        <f>SUBSTITUTE(INDEX(Calc!$K:$K,(ROW(C393)-1)*5+COLUMN(C393)+1),",",".")</f>
        <v/>
      </c>
      <c r="I394" s="101">
        <f>SUBSTITUTE(INDEX(Calc!$K:$K,(ROW(D393)-1)*5+COLUMN(D393)+1),",",".")</f>
        <v/>
      </c>
      <c r="J394" s="101">
        <f>SUBSTITUTE(INDEX(Calc!$K:$K,(ROW(E393)-1)*5+COLUMN(E393)+1),",",".")</f>
        <v/>
      </c>
      <c r="K394" s="47" t="inlineStr">
        <is>
          <t>], 'type' =&gt; "</t>
        </is>
      </c>
      <c r="L394" s="101">
        <f>Закуп!AA394</f>
        <v/>
      </c>
      <c r="M394" s="47" t="inlineStr">
        <is>
          <t>", 'sale' =&gt; "</t>
        </is>
      </c>
      <c r="N394" s="47">
        <f>IF(Закуп!L394="",0,Закуп!L394)</f>
        <v/>
      </c>
      <c r="O394" s="47" t="inlineStr">
        <is>
          <t>" ],</t>
        </is>
      </c>
      <c r="P394" s="165">
        <f>Закуп!N394</f>
        <v/>
      </c>
      <c r="Q394" s="210">
        <f>CONCATENATE(A394,B394,",",C394,",",D394,E394,F394,",",G394,",",H394,",",I394,",",J394,K394,L394,M394,N394,O394,)</f>
        <v/>
      </c>
    </row>
    <row r="395" hidden="1" s="55">
      <c r="A395" s="47" t="inlineStr">
        <is>
          <t xml:space="preserve">        [ 'dims' =&gt; [</t>
        </is>
      </c>
      <c r="B395" s="47">
        <f>Закуп!R395</f>
        <v/>
      </c>
      <c r="C395" s="47">
        <f>Закуп!S395</f>
        <v/>
      </c>
      <c r="D395" s="47">
        <f>Закуп!T395</f>
        <v/>
      </c>
      <c r="E395" s="47" t="inlineStr">
        <is>
          <t>], 'prices' =&gt; [</t>
        </is>
      </c>
      <c r="F395" s="101">
        <f>SUBSTITUTE(INDEX(Calc!$K:$K,(ROW(A394)-1)*5+COLUMN(A394)+1),",",".")</f>
        <v/>
      </c>
      <c r="G395" s="101">
        <f>SUBSTITUTE(INDEX(Calc!$K:$K,(ROW(B394)-1)*5+COLUMN(B394)+1),",",".")</f>
        <v/>
      </c>
      <c r="H395" s="101">
        <f>SUBSTITUTE(INDEX(Calc!$K:$K,(ROW(C394)-1)*5+COLUMN(C394)+1),",",".")</f>
        <v/>
      </c>
      <c r="I395" s="101">
        <f>SUBSTITUTE(INDEX(Calc!$K:$K,(ROW(D394)-1)*5+COLUMN(D394)+1),",",".")</f>
        <v/>
      </c>
      <c r="J395" s="101">
        <f>SUBSTITUTE(INDEX(Calc!$K:$K,(ROW(E394)-1)*5+COLUMN(E394)+1),",",".")</f>
        <v/>
      </c>
      <c r="K395" s="47" t="inlineStr">
        <is>
          <t>], 'type' =&gt; "</t>
        </is>
      </c>
      <c r="L395" s="101">
        <f>Закуп!AA395</f>
        <v/>
      </c>
      <c r="M395" s="47" t="inlineStr">
        <is>
          <t>", 'sale' =&gt; "</t>
        </is>
      </c>
      <c r="N395" s="47">
        <f>IF(Закуп!L395="",0,Закуп!L395)</f>
        <v/>
      </c>
      <c r="O395" s="47" t="inlineStr">
        <is>
          <t>" ],</t>
        </is>
      </c>
      <c r="P395" s="165">
        <f>Закуп!N395</f>
        <v/>
      </c>
      <c r="Q395" s="210">
        <f>CONCATENATE(A395,B395,",",C395,",",D395,E395,F395,",",G395,",",H395,",",I395,",",J395,K395,L395,M395,N395,O395,)</f>
        <v/>
      </c>
    </row>
    <row r="396" hidden="1" s="55">
      <c r="A396" s="47" t="inlineStr">
        <is>
          <t xml:space="preserve">        [ 'dims' =&gt; [</t>
        </is>
      </c>
      <c r="B396" s="47">
        <f>Закуп!R396</f>
        <v/>
      </c>
      <c r="C396" s="47">
        <f>Закуп!S396</f>
        <v/>
      </c>
      <c r="D396" s="47">
        <f>Закуп!T396</f>
        <v/>
      </c>
      <c r="E396" s="47" t="inlineStr">
        <is>
          <t>], 'prices' =&gt; [</t>
        </is>
      </c>
      <c r="F396" s="101">
        <f>SUBSTITUTE(INDEX(Calc!$K:$K,(ROW(A395)-1)*5+COLUMN(A395)+1),",",".")</f>
        <v/>
      </c>
      <c r="G396" s="101">
        <f>SUBSTITUTE(INDEX(Calc!$K:$K,(ROW(B395)-1)*5+COLUMN(B395)+1),",",".")</f>
        <v/>
      </c>
      <c r="H396" s="101">
        <f>SUBSTITUTE(INDEX(Calc!$K:$K,(ROW(C395)-1)*5+COLUMN(C395)+1),",",".")</f>
        <v/>
      </c>
      <c r="I396" s="101">
        <f>SUBSTITUTE(INDEX(Calc!$K:$K,(ROW(D395)-1)*5+COLUMN(D395)+1),",",".")</f>
        <v/>
      </c>
      <c r="J396" s="101">
        <f>SUBSTITUTE(INDEX(Calc!$K:$K,(ROW(E395)-1)*5+COLUMN(E395)+1),",",".")</f>
        <v/>
      </c>
      <c r="K396" s="47" t="inlineStr">
        <is>
          <t>], 'type' =&gt; "</t>
        </is>
      </c>
      <c r="L396" s="101">
        <f>Закуп!AA396</f>
        <v/>
      </c>
      <c r="M396" s="47" t="inlineStr">
        <is>
          <t>", 'sale' =&gt; "</t>
        </is>
      </c>
      <c r="N396" s="47">
        <f>IF(Закуп!L396="",0,Закуп!L396)</f>
        <v/>
      </c>
      <c r="O396" s="47" t="inlineStr">
        <is>
          <t>" ],</t>
        </is>
      </c>
      <c r="P396" s="165">
        <f>Закуп!N396</f>
        <v/>
      </c>
      <c r="Q396" s="210">
        <f>CONCATENATE(A396,B396,",",C396,",",D396,E396,F396,",",G396,",",H396,",",I396,",",J396,K396,L396,M396,N396,O396,)</f>
        <v/>
      </c>
    </row>
    <row r="397" hidden="1" s="55">
      <c r="A397" s="47" t="inlineStr">
        <is>
          <t xml:space="preserve">        [ 'dims' =&gt; [</t>
        </is>
      </c>
      <c r="B397" s="47">
        <f>Закуп!R397</f>
        <v/>
      </c>
      <c r="C397" s="47">
        <f>Закуп!S397</f>
        <v/>
      </c>
      <c r="D397" s="47">
        <f>Закуп!T397</f>
        <v/>
      </c>
      <c r="E397" s="47" t="inlineStr">
        <is>
          <t>], 'prices' =&gt; [</t>
        </is>
      </c>
      <c r="F397" s="101">
        <f>SUBSTITUTE(INDEX(Calc!$K:$K,(ROW(A396)-1)*5+COLUMN(A396)+1),",",".")</f>
        <v/>
      </c>
      <c r="G397" s="101">
        <f>SUBSTITUTE(INDEX(Calc!$K:$K,(ROW(B396)-1)*5+COLUMN(B396)+1),",",".")</f>
        <v/>
      </c>
      <c r="H397" s="101">
        <f>SUBSTITUTE(INDEX(Calc!$K:$K,(ROW(C396)-1)*5+COLUMN(C396)+1),",",".")</f>
        <v/>
      </c>
      <c r="I397" s="101">
        <f>SUBSTITUTE(INDEX(Calc!$K:$K,(ROW(D396)-1)*5+COLUMN(D396)+1),",",".")</f>
        <v/>
      </c>
      <c r="J397" s="101">
        <f>SUBSTITUTE(INDEX(Calc!$K:$K,(ROW(E396)-1)*5+COLUMN(E396)+1),",",".")</f>
        <v/>
      </c>
      <c r="K397" s="47" t="inlineStr">
        <is>
          <t>], 'type' =&gt; "</t>
        </is>
      </c>
      <c r="L397" s="101">
        <f>Закуп!AA397</f>
        <v/>
      </c>
      <c r="M397" s="47" t="inlineStr">
        <is>
          <t>", 'sale' =&gt; "</t>
        </is>
      </c>
      <c r="N397" s="47">
        <f>IF(Закуп!L397="",0,Закуп!L397)</f>
        <v/>
      </c>
      <c r="O397" s="47" t="inlineStr">
        <is>
          <t>" ],</t>
        </is>
      </c>
      <c r="P397" s="165">
        <f>Закуп!N397</f>
        <v/>
      </c>
      <c r="Q397" s="210">
        <f>CONCATENATE(A397,B397,",",C397,",",D397,E397,F397,",",G397,",",H397,",",I397,",",J397,K397,L397,M397,N397,O397,)</f>
        <v/>
      </c>
    </row>
    <row r="398" hidden="1" s="55">
      <c r="A398" s="47" t="inlineStr">
        <is>
          <t xml:space="preserve">        [ 'dims' =&gt; [</t>
        </is>
      </c>
      <c r="B398" s="47">
        <f>Закуп!R398</f>
        <v/>
      </c>
      <c r="C398" s="47">
        <f>Закуп!S398</f>
        <v/>
      </c>
      <c r="D398" s="47">
        <f>Закуп!T398</f>
        <v/>
      </c>
      <c r="E398" s="47" t="inlineStr">
        <is>
          <t>], 'prices' =&gt; [</t>
        </is>
      </c>
      <c r="F398" s="101">
        <f>SUBSTITUTE(INDEX(Calc!$K:$K,(ROW(A397)-1)*5+COLUMN(A397)+1),",",".")</f>
        <v/>
      </c>
      <c r="G398" s="101">
        <f>SUBSTITUTE(INDEX(Calc!$K:$K,(ROW(B397)-1)*5+COLUMN(B397)+1),",",".")</f>
        <v/>
      </c>
      <c r="H398" s="101">
        <f>SUBSTITUTE(INDEX(Calc!$K:$K,(ROW(C397)-1)*5+COLUMN(C397)+1),",",".")</f>
        <v/>
      </c>
      <c r="I398" s="101">
        <f>SUBSTITUTE(INDEX(Calc!$K:$K,(ROW(D397)-1)*5+COLUMN(D397)+1),",",".")</f>
        <v/>
      </c>
      <c r="J398" s="101">
        <f>SUBSTITUTE(INDEX(Calc!$K:$K,(ROW(E397)-1)*5+COLUMN(E397)+1),",",".")</f>
        <v/>
      </c>
      <c r="K398" s="47" t="inlineStr">
        <is>
          <t>], 'type' =&gt; "</t>
        </is>
      </c>
      <c r="L398" s="101">
        <f>Закуп!AA398</f>
        <v/>
      </c>
      <c r="M398" s="47" t="inlineStr">
        <is>
          <t>", 'sale' =&gt; "</t>
        </is>
      </c>
      <c r="N398" s="47">
        <f>IF(Закуп!L398="",0,Закуп!L398)</f>
        <v/>
      </c>
      <c r="O398" s="47" t="inlineStr">
        <is>
          <t>" ],</t>
        </is>
      </c>
      <c r="P398" s="165">
        <f>Закуп!N398</f>
        <v/>
      </c>
      <c r="Q398" s="210">
        <f>CONCATENATE(A398,B398,",",C398,",",D398,E398,F398,",",G398,",",H398,",",I398,",",J398,K398,L398,M398,N398,O398,)</f>
        <v/>
      </c>
    </row>
    <row r="399" hidden="1" s="55">
      <c r="A399" s="47" t="inlineStr">
        <is>
          <t xml:space="preserve">        [ 'dims' =&gt; [</t>
        </is>
      </c>
      <c r="B399" s="47">
        <f>Закуп!R399</f>
        <v/>
      </c>
      <c r="C399" s="47">
        <f>Закуп!S399</f>
        <v/>
      </c>
      <c r="D399" s="47">
        <f>Закуп!T399</f>
        <v/>
      </c>
      <c r="E399" s="47" t="inlineStr">
        <is>
          <t>], 'prices' =&gt; [</t>
        </is>
      </c>
      <c r="F399" s="101">
        <f>SUBSTITUTE(INDEX(Calc!$K:$K,(ROW(A398)-1)*5+COLUMN(A398)+1),",",".")</f>
        <v/>
      </c>
      <c r="G399" s="101">
        <f>SUBSTITUTE(INDEX(Calc!$K:$K,(ROW(B398)-1)*5+COLUMN(B398)+1),",",".")</f>
        <v/>
      </c>
      <c r="H399" s="101">
        <f>SUBSTITUTE(INDEX(Calc!$K:$K,(ROW(C398)-1)*5+COLUMN(C398)+1),",",".")</f>
        <v/>
      </c>
      <c r="I399" s="101">
        <f>SUBSTITUTE(INDEX(Calc!$K:$K,(ROW(D398)-1)*5+COLUMN(D398)+1),",",".")</f>
        <v/>
      </c>
      <c r="J399" s="101">
        <f>SUBSTITUTE(INDEX(Calc!$K:$K,(ROW(E398)-1)*5+COLUMN(E398)+1),",",".")</f>
        <v/>
      </c>
      <c r="K399" s="47" t="inlineStr">
        <is>
          <t>], 'type' =&gt; "</t>
        </is>
      </c>
      <c r="L399" s="101">
        <f>Закуп!AA399</f>
        <v/>
      </c>
      <c r="M399" s="47" t="inlineStr">
        <is>
          <t>", 'sale' =&gt; "</t>
        </is>
      </c>
      <c r="N399" s="47">
        <f>IF(Закуп!L399="",0,Закуп!L399)</f>
        <v/>
      </c>
      <c r="O399" s="47" t="inlineStr">
        <is>
          <t>" ],</t>
        </is>
      </c>
      <c r="P399" s="165">
        <f>Закуп!N399</f>
        <v/>
      </c>
      <c r="Q399" s="210">
        <f>CONCATENATE(A399,B399,",",C399,",",D399,E399,F399,",",G399,",",H399,",",I399,",",J399,K399,L399,M399,N399,O399,)</f>
        <v/>
      </c>
    </row>
    <row r="400" hidden="1" s="55">
      <c r="A400" s="47" t="inlineStr">
        <is>
          <t xml:space="preserve">        [ 'dims' =&gt; [</t>
        </is>
      </c>
      <c r="B400" s="47">
        <f>Закуп!R400</f>
        <v/>
      </c>
      <c r="C400" s="47">
        <f>Закуп!S400</f>
        <v/>
      </c>
      <c r="D400" s="47">
        <f>Закуп!T400</f>
        <v/>
      </c>
      <c r="E400" s="47" t="inlineStr">
        <is>
          <t>], 'prices' =&gt; [</t>
        </is>
      </c>
      <c r="F400" s="101">
        <f>SUBSTITUTE(INDEX(Calc!$K:$K,(ROW(A399)-1)*5+COLUMN(A399)+1),",",".")</f>
        <v/>
      </c>
      <c r="G400" s="101">
        <f>SUBSTITUTE(INDEX(Calc!$K:$K,(ROW(B399)-1)*5+COLUMN(B399)+1),",",".")</f>
        <v/>
      </c>
      <c r="H400" s="101">
        <f>SUBSTITUTE(INDEX(Calc!$K:$K,(ROW(C399)-1)*5+COLUMN(C399)+1),",",".")</f>
        <v/>
      </c>
      <c r="I400" s="101">
        <f>SUBSTITUTE(INDEX(Calc!$K:$K,(ROW(D399)-1)*5+COLUMN(D399)+1),",",".")</f>
        <v/>
      </c>
      <c r="J400" s="101">
        <f>SUBSTITUTE(INDEX(Calc!$K:$K,(ROW(E399)-1)*5+COLUMN(E399)+1),",",".")</f>
        <v/>
      </c>
      <c r="K400" s="47" t="inlineStr">
        <is>
          <t>], 'type' =&gt; "</t>
        </is>
      </c>
      <c r="L400" s="101">
        <f>Закуп!AA400</f>
        <v/>
      </c>
      <c r="M400" s="47" t="inlineStr">
        <is>
          <t>", 'sale' =&gt; "</t>
        </is>
      </c>
      <c r="N400" s="47">
        <f>IF(Закуп!L400="",0,Закуп!L400)</f>
        <v/>
      </c>
      <c r="O400" s="47" t="inlineStr">
        <is>
          <t>" ],</t>
        </is>
      </c>
      <c r="P400" s="165">
        <f>Закуп!N400</f>
        <v/>
      </c>
      <c r="Q400" s="210">
        <f>CONCATENATE(A400,B400,",",C400,",",D400,E400,F400,",",G400,",",H400,",",I400,",",J400,K400,L400,M400,N400,O400,)</f>
        <v/>
      </c>
    </row>
    <row r="401" hidden="1" s="55">
      <c r="A401" s="47" t="inlineStr">
        <is>
          <t xml:space="preserve">        [ 'dims' =&gt; [</t>
        </is>
      </c>
      <c r="B401" s="47">
        <f>Закуп!R401</f>
        <v/>
      </c>
      <c r="C401" s="47">
        <f>Закуп!S401</f>
        <v/>
      </c>
      <c r="D401" s="47">
        <f>Закуп!T401</f>
        <v/>
      </c>
      <c r="E401" s="47" t="inlineStr">
        <is>
          <t>], 'prices' =&gt; [</t>
        </is>
      </c>
      <c r="F401" s="101">
        <f>SUBSTITUTE(INDEX(Calc!$K:$K,(ROW(A400)-1)*5+COLUMN(A400)+1),",",".")</f>
        <v/>
      </c>
      <c r="G401" s="101">
        <f>SUBSTITUTE(INDEX(Calc!$K:$K,(ROW(B400)-1)*5+COLUMN(B400)+1),",",".")</f>
        <v/>
      </c>
      <c r="H401" s="101">
        <f>SUBSTITUTE(INDEX(Calc!$K:$K,(ROW(C400)-1)*5+COLUMN(C400)+1),",",".")</f>
        <v/>
      </c>
      <c r="I401" s="101">
        <f>SUBSTITUTE(INDEX(Calc!$K:$K,(ROW(D400)-1)*5+COLUMN(D400)+1),",",".")</f>
        <v/>
      </c>
      <c r="J401" s="101">
        <f>SUBSTITUTE(INDEX(Calc!$K:$K,(ROW(E400)-1)*5+COLUMN(E400)+1),",",".")</f>
        <v/>
      </c>
      <c r="K401" s="47" t="inlineStr">
        <is>
          <t>], 'type' =&gt; "</t>
        </is>
      </c>
      <c r="L401" s="101">
        <f>Закуп!AA401</f>
        <v/>
      </c>
      <c r="M401" s="47" t="inlineStr">
        <is>
          <t>", 'sale' =&gt; "</t>
        </is>
      </c>
      <c r="N401" s="47">
        <f>IF(Закуп!L401="",0,Закуп!L401)</f>
        <v/>
      </c>
      <c r="O401" s="47" t="inlineStr">
        <is>
          <t>" ],</t>
        </is>
      </c>
      <c r="P401" s="165">
        <f>Закуп!N401</f>
        <v/>
      </c>
      <c r="Q401" s="210">
        <f>CONCATENATE(A401,B401,",",C401,",",D401,E401,F401,",",G401,",",H401,",",I401,",",J401,K401,L401,M401,N401,O401,)</f>
        <v/>
      </c>
    </row>
    <row r="402" hidden="1" s="55">
      <c r="A402" s="47" t="inlineStr">
        <is>
          <t xml:space="preserve">        [ 'dims' =&gt; [</t>
        </is>
      </c>
      <c r="B402" s="47">
        <f>Закуп!R402</f>
        <v/>
      </c>
      <c r="C402" s="47">
        <f>Закуп!S402</f>
        <v/>
      </c>
      <c r="D402" s="47">
        <f>Закуп!T402</f>
        <v/>
      </c>
      <c r="E402" s="47" t="inlineStr">
        <is>
          <t>], 'prices' =&gt; [</t>
        </is>
      </c>
      <c r="F402" s="101">
        <f>SUBSTITUTE(INDEX(Calc!$K:$K,(ROW(A401)-1)*5+COLUMN(A401)+1),",",".")</f>
        <v/>
      </c>
      <c r="G402" s="101">
        <f>SUBSTITUTE(INDEX(Calc!$K:$K,(ROW(B401)-1)*5+COLUMN(B401)+1),",",".")</f>
        <v/>
      </c>
      <c r="H402" s="101">
        <f>SUBSTITUTE(INDEX(Calc!$K:$K,(ROW(C401)-1)*5+COLUMN(C401)+1),",",".")</f>
        <v/>
      </c>
      <c r="I402" s="101">
        <f>SUBSTITUTE(INDEX(Calc!$K:$K,(ROW(D401)-1)*5+COLUMN(D401)+1),",",".")</f>
        <v/>
      </c>
      <c r="J402" s="101">
        <f>SUBSTITUTE(INDEX(Calc!$K:$K,(ROW(E401)-1)*5+COLUMN(E401)+1),",",".")</f>
        <v/>
      </c>
      <c r="K402" s="47" t="inlineStr">
        <is>
          <t>], 'type' =&gt; "</t>
        </is>
      </c>
      <c r="L402" s="101">
        <f>Закуп!AA402</f>
        <v/>
      </c>
      <c r="M402" s="47" t="inlineStr">
        <is>
          <t>", 'sale' =&gt; "</t>
        </is>
      </c>
      <c r="N402" s="47">
        <f>IF(Закуп!L402="",0,Закуп!L402)</f>
        <v/>
      </c>
      <c r="O402" s="47" t="inlineStr">
        <is>
          <t>" ],</t>
        </is>
      </c>
      <c r="P402" s="165">
        <f>Закуп!N402</f>
        <v/>
      </c>
      <c r="Q402" s="210">
        <f>CONCATENATE(A402,B402,",",C402,",",D402,E402,F402,",",G402,",",H402,",",I402,",",J402,K402,L402,M402,N402,O402,)</f>
        <v/>
      </c>
    </row>
    <row r="403" hidden="1" s="55">
      <c r="A403" s="47" t="inlineStr">
        <is>
          <t xml:space="preserve">        [ 'dims' =&gt; [</t>
        </is>
      </c>
      <c r="B403" s="47">
        <f>Закуп!R403</f>
        <v/>
      </c>
      <c r="C403" s="47">
        <f>Закуп!S403</f>
        <v/>
      </c>
      <c r="D403" s="47">
        <f>Закуп!T403</f>
        <v/>
      </c>
      <c r="E403" s="47" t="inlineStr">
        <is>
          <t>], 'prices' =&gt; [</t>
        </is>
      </c>
      <c r="F403" s="101">
        <f>SUBSTITUTE(INDEX(Calc!$K:$K,(ROW(A402)-1)*5+COLUMN(A402)+1),",",".")</f>
        <v/>
      </c>
      <c r="G403" s="101">
        <f>SUBSTITUTE(INDEX(Calc!$K:$K,(ROW(B402)-1)*5+COLUMN(B402)+1),",",".")</f>
        <v/>
      </c>
      <c r="H403" s="101">
        <f>SUBSTITUTE(INDEX(Calc!$K:$K,(ROW(C402)-1)*5+COLUMN(C402)+1),",",".")</f>
        <v/>
      </c>
      <c r="I403" s="101">
        <f>SUBSTITUTE(INDEX(Calc!$K:$K,(ROW(D402)-1)*5+COLUMN(D402)+1),",",".")</f>
        <v/>
      </c>
      <c r="J403" s="101">
        <f>SUBSTITUTE(INDEX(Calc!$K:$K,(ROW(E402)-1)*5+COLUMN(E402)+1),",",".")</f>
        <v/>
      </c>
      <c r="K403" s="47" t="inlineStr">
        <is>
          <t>], 'type' =&gt; "</t>
        </is>
      </c>
      <c r="L403" s="101">
        <f>Закуп!AA403</f>
        <v/>
      </c>
      <c r="M403" s="47" t="inlineStr">
        <is>
          <t>", 'sale' =&gt; "</t>
        </is>
      </c>
      <c r="N403" s="47">
        <f>IF(Закуп!L403="",0,Закуп!L403)</f>
        <v/>
      </c>
      <c r="O403" s="47" t="inlineStr">
        <is>
          <t>" ],</t>
        </is>
      </c>
      <c r="P403" s="165">
        <f>Закуп!N403</f>
        <v/>
      </c>
      <c r="Q403" s="210">
        <f>CONCATENATE(A403,B403,",",C403,",",D403,E403,F403,",",G403,",",H403,",",I403,",",J403,K403,L403,M403,N403,O403,)</f>
        <v/>
      </c>
    </row>
    <row r="404" hidden="1" s="55">
      <c r="A404" s="47" t="inlineStr">
        <is>
          <t xml:space="preserve">        [ 'dims' =&gt; [</t>
        </is>
      </c>
      <c r="B404" s="47">
        <f>Закуп!R404</f>
        <v/>
      </c>
      <c r="C404" s="47">
        <f>Закуп!S404</f>
        <v/>
      </c>
      <c r="D404" s="47">
        <f>Закуп!T404</f>
        <v/>
      </c>
      <c r="E404" s="47" t="inlineStr">
        <is>
          <t>], 'prices' =&gt; [</t>
        </is>
      </c>
      <c r="F404" s="101">
        <f>SUBSTITUTE(INDEX(Calc!$K:$K,(ROW(A403)-1)*5+COLUMN(A403)+1),",",".")</f>
        <v/>
      </c>
      <c r="G404" s="101">
        <f>SUBSTITUTE(INDEX(Calc!$K:$K,(ROW(B403)-1)*5+COLUMN(B403)+1),",",".")</f>
        <v/>
      </c>
      <c r="H404" s="101">
        <f>SUBSTITUTE(INDEX(Calc!$K:$K,(ROW(C403)-1)*5+COLUMN(C403)+1),",",".")</f>
        <v/>
      </c>
      <c r="I404" s="101">
        <f>SUBSTITUTE(INDEX(Calc!$K:$K,(ROW(D403)-1)*5+COLUMN(D403)+1),",",".")</f>
        <v/>
      </c>
      <c r="J404" s="101">
        <f>SUBSTITUTE(INDEX(Calc!$K:$K,(ROW(E403)-1)*5+COLUMN(E403)+1),",",".")</f>
        <v/>
      </c>
      <c r="K404" s="47" t="inlineStr">
        <is>
          <t>], 'type' =&gt; "</t>
        </is>
      </c>
      <c r="L404" s="101">
        <f>Закуп!AA404</f>
        <v/>
      </c>
      <c r="M404" s="47" t="inlineStr">
        <is>
          <t>", 'sale' =&gt; "</t>
        </is>
      </c>
      <c r="N404" s="47">
        <f>IF(Закуп!L404="",0,Закуп!L404)</f>
        <v/>
      </c>
      <c r="O404" s="47" t="inlineStr">
        <is>
          <t>" ],</t>
        </is>
      </c>
      <c r="P404" s="165">
        <f>Закуп!N404</f>
        <v/>
      </c>
      <c r="Q404" s="210">
        <f>CONCATENATE(A404,B404,",",C404,",",D404,E404,F404,",",G404,",",H404,",",I404,",",J404,K404,L404,M404,N404,O404,)</f>
        <v/>
      </c>
    </row>
    <row r="405" hidden="1" s="55">
      <c r="A405" s="47" t="inlineStr">
        <is>
          <t xml:space="preserve">        [ 'dims' =&gt; [</t>
        </is>
      </c>
      <c r="B405" s="47">
        <f>Закуп!R405</f>
        <v/>
      </c>
      <c r="C405" s="47">
        <f>Закуп!S405</f>
        <v/>
      </c>
      <c r="D405" s="47">
        <f>Закуп!T405</f>
        <v/>
      </c>
      <c r="E405" s="47" t="inlineStr">
        <is>
          <t>], 'prices' =&gt; [</t>
        </is>
      </c>
      <c r="F405" s="101">
        <f>SUBSTITUTE(INDEX(Calc!$K:$K,(ROW(A404)-1)*5+COLUMN(A404)+1),",",".")</f>
        <v/>
      </c>
      <c r="G405" s="101">
        <f>SUBSTITUTE(INDEX(Calc!$K:$K,(ROW(B404)-1)*5+COLUMN(B404)+1),",",".")</f>
        <v/>
      </c>
      <c r="H405" s="101">
        <f>SUBSTITUTE(INDEX(Calc!$K:$K,(ROW(C404)-1)*5+COLUMN(C404)+1),",",".")</f>
        <v/>
      </c>
      <c r="I405" s="101">
        <f>SUBSTITUTE(INDEX(Calc!$K:$K,(ROW(D404)-1)*5+COLUMN(D404)+1),",",".")</f>
        <v/>
      </c>
      <c r="J405" s="101">
        <f>SUBSTITUTE(INDEX(Calc!$K:$K,(ROW(E404)-1)*5+COLUMN(E404)+1),",",".")</f>
        <v/>
      </c>
      <c r="K405" s="47" t="inlineStr">
        <is>
          <t>], 'type' =&gt; "</t>
        </is>
      </c>
      <c r="L405" s="101">
        <f>Закуп!AA405</f>
        <v/>
      </c>
      <c r="M405" s="47" t="inlineStr">
        <is>
          <t>", 'sale' =&gt; "</t>
        </is>
      </c>
      <c r="N405" s="47">
        <f>IF(Закуп!L405="",0,Закуп!L405)</f>
        <v/>
      </c>
      <c r="O405" s="47" t="inlineStr">
        <is>
          <t>" ],</t>
        </is>
      </c>
      <c r="P405" s="165">
        <f>Закуп!N405</f>
        <v/>
      </c>
      <c r="Q405" s="210">
        <f>CONCATENATE(A405,B405,",",C405,",",D405,E405,F405,",",G405,",",H405,",",I405,",",J405,K405,L405,M405,N405,O405,)</f>
        <v/>
      </c>
    </row>
    <row r="406" hidden="1" s="55">
      <c r="A406" s="47" t="inlineStr">
        <is>
          <t xml:space="preserve">        [ 'dims' =&gt; [</t>
        </is>
      </c>
      <c r="B406" s="47">
        <f>Закуп!R406</f>
        <v/>
      </c>
      <c r="C406" s="47">
        <f>Закуп!S406</f>
        <v/>
      </c>
      <c r="D406" s="47">
        <f>Закуп!T406</f>
        <v/>
      </c>
      <c r="E406" s="47" t="inlineStr">
        <is>
          <t>], 'prices' =&gt; [</t>
        </is>
      </c>
      <c r="F406" s="101">
        <f>SUBSTITUTE(INDEX(Calc!$K:$K,(ROW(A405)-1)*5+COLUMN(A405)+1),",",".")</f>
        <v/>
      </c>
      <c r="G406" s="101">
        <f>SUBSTITUTE(INDEX(Calc!$K:$K,(ROW(B405)-1)*5+COLUMN(B405)+1),",",".")</f>
        <v/>
      </c>
      <c r="H406" s="101">
        <f>SUBSTITUTE(INDEX(Calc!$K:$K,(ROW(C405)-1)*5+COLUMN(C405)+1),",",".")</f>
        <v/>
      </c>
      <c r="I406" s="101">
        <f>SUBSTITUTE(INDEX(Calc!$K:$K,(ROW(D405)-1)*5+COLUMN(D405)+1),",",".")</f>
        <v/>
      </c>
      <c r="J406" s="101">
        <f>SUBSTITUTE(INDEX(Calc!$K:$K,(ROW(E405)-1)*5+COLUMN(E405)+1),",",".")</f>
        <v/>
      </c>
      <c r="K406" s="47" t="inlineStr">
        <is>
          <t>], 'type' =&gt; "</t>
        </is>
      </c>
      <c r="L406" s="101">
        <f>Закуп!AA406</f>
        <v/>
      </c>
      <c r="M406" s="47" t="inlineStr">
        <is>
          <t>", 'sale' =&gt; "</t>
        </is>
      </c>
      <c r="N406" s="47">
        <f>IF(Закуп!L406="",0,Закуп!L406)</f>
        <v/>
      </c>
      <c r="O406" s="47" t="inlineStr">
        <is>
          <t>" ],</t>
        </is>
      </c>
      <c r="P406" s="165">
        <f>Закуп!N406</f>
        <v/>
      </c>
      <c r="Q406" s="210">
        <f>CONCATENATE(A406,B406,",",C406,",",D406,E406,F406,",",G406,",",H406,",",I406,",",J406,K406,L406,M406,N406,O406,)</f>
        <v/>
      </c>
    </row>
    <row r="407" hidden="1" s="55">
      <c r="A407" s="47" t="inlineStr">
        <is>
          <t xml:space="preserve">        [ 'dims' =&gt; [</t>
        </is>
      </c>
      <c r="B407" s="47">
        <f>Закуп!R407</f>
        <v/>
      </c>
      <c r="C407" s="47">
        <f>Закуп!S407</f>
        <v/>
      </c>
      <c r="D407" s="47">
        <f>Закуп!T407</f>
        <v/>
      </c>
      <c r="E407" s="47" t="inlineStr">
        <is>
          <t>], 'prices' =&gt; [</t>
        </is>
      </c>
      <c r="F407" s="101">
        <f>SUBSTITUTE(INDEX(Calc!$K:$K,(ROW(A406)-1)*5+COLUMN(A406)+1),",",".")</f>
        <v/>
      </c>
      <c r="G407" s="101">
        <f>SUBSTITUTE(INDEX(Calc!$K:$K,(ROW(B406)-1)*5+COLUMN(B406)+1),",",".")</f>
        <v/>
      </c>
      <c r="H407" s="101">
        <f>SUBSTITUTE(INDEX(Calc!$K:$K,(ROW(C406)-1)*5+COLUMN(C406)+1),",",".")</f>
        <v/>
      </c>
      <c r="I407" s="101">
        <f>SUBSTITUTE(INDEX(Calc!$K:$K,(ROW(D406)-1)*5+COLUMN(D406)+1),",",".")</f>
        <v/>
      </c>
      <c r="J407" s="101">
        <f>SUBSTITUTE(INDEX(Calc!$K:$K,(ROW(E406)-1)*5+COLUMN(E406)+1),",",".")</f>
        <v/>
      </c>
      <c r="K407" s="47" t="inlineStr">
        <is>
          <t>], 'type' =&gt; "</t>
        </is>
      </c>
      <c r="L407" s="101">
        <f>Закуп!AA407</f>
        <v/>
      </c>
      <c r="M407" s="47" t="inlineStr">
        <is>
          <t>", 'sale' =&gt; "</t>
        </is>
      </c>
      <c r="N407" s="47">
        <f>IF(Закуп!L407="",0,Закуп!L407)</f>
        <v/>
      </c>
      <c r="O407" s="47" t="inlineStr">
        <is>
          <t>" ],</t>
        </is>
      </c>
      <c r="P407" s="165">
        <f>Закуп!N407</f>
        <v/>
      </c>
      <c r="Q407" s="210">
        <f>CONCATENATE(A407,B407,",",C407,",",D407,E407,F407,",",G407,",",H407,",",I407,",",J407,K407,L407,M407,N407,O407,)</f>
        <v/>
      </c>
    </row>
    <row r="408" hidden="1" s="55">
      <c r="A408" s="47" t="inlineStr">
        <is>
          <t xml:space="preserve">        [ 'dims' =&gt; [</t>
        </is>
      </c>
      <c r="B408" s="47">
        <f>Закуп!R408</f>
        <v/>
      </c>
      <c r="C408" s="47">
        <f>Закуп!S408</f>
        <v/>
      </c>
      <c r="D408" s="47">
        <f>Закуп!T408</f>
        <v/>
      </c>
      <c r="E408" s="47" t="inlineStr">
        <is>
          <t>], 'prices' =&gt; [</t>
        </is>
      </c>
      <c r="F408" s="101">
        <f>SUBSTITUTE(INDEX(Calc!$K:$K,(ROW(A407)-1)*5+COLUMN(A407)+1),",",".")</f>
        <v/>
      </c>
      <c r="G408" s="101">
        <f>SUBSTITUTE(INDEX(Calc!$K:$K,(ROW(B407)-1)*5+COLUMN(B407)+1),",",".")</f>
        <v/>
      </c>
      <c r="H408" s="101">
        <f>SUBSTITUTE(INDEX(Calc!$K:$K,(ROW(C407)-1)*5+COLUMN(C407)+1),",",".")</f>
        <v/>
      </c>
      <c r="I408" s="101">
        <f>SUBSTITUTE(INDEX(Calc!$K:$K,(ROW(D407)-1)*5+COLUMN(D407)+1),",",".")</f>
        <v/>
      </c>
      <c r="J408" s="101">
        <f>SUBSTITUTE(INDEX(Calc!$K:$K,(ROW(E407)-1)*5+COLUMN(E407)+1),",",".")</f>
        <v/>
      </c>
      <c r="K408" s="47" t="inlineStr">
        <is>
          <t>], 'type' =&gt; "</t>
        </is>
      </c>
      <c r="L408" s="101">
        <f>Закуп!AA408</f>
        <v/>
      </c>
      <c r="M408" s="47" t="inlineStr">
        <is>
          <t>", 'sale' =&gt; "</t>
        </is>
      </c>
      <c r="N408" s="47">
        <f>IF(Закуп!L408="",0,Закуп!L408)</f>
        <v/>
      </c>
      <c r="O408" s="47" t="inlineStr">
        <is>
          <t>" ],</t>
        </is>
      </c>
      <c r="P408" s="165">
        <f>Закуп!N408</f>
        <v/>
      </c>
      <c r="Q408" s="210">
        <f>CONCATENATE(A408,B408,",",C408,",",D408,E408,F408,",",G408,",",H408,",",I408,",",J408,K408,L408,M408,N408,O408,)</f>
        <v/>
      </c>
    </row>
    <row r="409" hidden="1" s="55">
      <c r="A409" s="47" t="inlineStr">
        <is>
          <t xml:space="preserve">        [ 'dims' =&gt; [</t>
        </is>
      </c>
      <c r="B409" s="47">
        <f>Закуп!R409</f>
        <v/>
      </c>
      <c r="C409" s="47">
        <f>Закуп!S409</f>
        <v/>
      </c>
      <c r="D409" s="47">
        <f>Закуп!T409</f>
        <v/>
      </c>
      <c r="E409" s="47" t="inlineStr">
        <is>
          <t>], 'prices' =&gt; [</t>
        </is>
      </c>
      <c r="F409" s="101">
        <f>SUBSTITUTE(INDEX(Calc!$K:$K,(ROW(A408)-1)*5+COLUMN(A408)+1),",",".")</f>
        <v/>
      </c>
      <c r="G409" s="101">
        <f>SUBSTITUTE(INDEX(Calc!$K:$K,(ROW(B408)-1)*5+COLUMN(B408)+1),",",".")</f>
        <v/>
      </c>
      <c r="H409" s="101">
        <f>SUBSTITUTE(INDEX(Calc!$K:$K,(ROW(C408)-1)*5+COLUMN(C408)+1),",",".")</f>
        <v/>
      </c>
      <c r="I409" s="101">
        <f>SUBSTITUTE(INDEX(Calc!$K:$K,(ROW(D408)-1)*5+COLUMN(D408)+1),",",".")</f>
        <v/>
      </c>
      <c r="J409" s="101">
        <f>SUBSTITUTE(INDEX(Calc!$K:$K,(ROW(E408)-1)*5+COLUMN(E408)+1),",",".")</f>
        <v/>
      </c>
      <c r="K409" s="47" t="inlineStr">
        <is>
          <t>], 'type' =&gt; "</t>
        </is>
      </c>
      <c r="L409" s="101">
        <f>Закуп!AA409</f>
        <v/>
      </c>
      <c r="M409" s="47" t="inlineStr">
        <is>
          <t>", 'sale' =&gt; "</t>
        </is>
      </c>
      <c r="N409" s="47">
        <f>IF(Закуп!L409="",0,Закуп!L409)</f>
        <v/>
      </c>
      <c r="O409" s="47" t="inlineStr">
        <is>
          <t>" ],</t>
        </is>
      </c>
      <c r="P409" s="165">
        <f>Закуп!N409</f>
        <v/>
      </c>
      <c r="Q409" s="210">
        <f>CONCATENATE(A409,B409,",",C409,",",D409,E409,F409,",",G409,",",H409,",",I409,",",J409,K409,L409,M409,N409,O409,)</f>
        <v/>
      </c>
    </row>
    <row r="410" hidden="1" s="55">
      <c r="A410" s="47" t="inlineStr">
        <is>
          <t xml:space="preserve">        [ 'dims' =&gt; [</t>
        </is>
      </c>
      <c r="B410" s="47">
        <f>Закуп!R410</f>
        <v/>
      </c>
      <c r="C410" s="47">
        <f>Закуп!S410</f>
        <v/>
      </c>
      <c r="D410" s="47">
        <f>Закуп!T410</f>
        <v/>
      </c>
      <c r="E410" s="47" t="inlineStr">
        <is>
          <t>], 'prices' =&gt; [</t>
        </is>
      </c>
      <c r="F410" s="101">
        <f>SUBSTITUTE(INDEX(Calc!$K:$K,(ROW(A409)-1)*5+COLUMN(A409)+1),",",".")</f>
        <v/>
      </c>
      <c r="G410" s="101">
        <f>SUBSTITUTE(INDEX(Calc!$K:$K,(ROW(B409)-1)*5+COLUMN(B409)+1),",",".")</f>
        <v/>
      </c>
      <c r="H410" s="101">
        <f>SUBSTITUTE(INDEX(Calc!$K:$K,(ROW(C409)-1)*5+COLUMN(C409)+1),",",".")</f>
        <v/>
      </c>
      <c r="I410" s="101">
        <f>SUBSTITUTE(INDEX(Calc!$K:$K,(ROW(D409)-1)*5+COLUMN(D409)+1),",",".")</f>
        <v/>
      </c>
      <c r="J410" s="101">
        <f>SUBSTITUTE(INDEX(Calc!$K:$K,(ROW(E409)-1)*5+COLUMN(E409)+1),",",".")</f>
        <v/>
      </c>
      <c r="K410" s="47" t="inlineStr">
        <is>
          <t>], 'type' =&gt; "</t>
        </is>
      </c>
      <c r="L410" s="101">
        <f>Закуп!AA410</f>
        <v/>
      </c>
      <c r="M410" s="47" t="inlineStr">
        <is>
          <t>", 'sale' =&gt; "</t>
        </is>
      </c>
      <c r="N410" s="47">
        <f>IF(Закуп!L410="",0,Закуп!L410)</f>
        <v/>
      </c>
      <c r="O410" s="47" t="inlineStr">
        <is>
          <t>" ],</t>
        </is>
      </c>
      <c r="P410" s="165">
        <f>Закуп!N410</f>
        <v/>
      </c>
      <c r="Q410" s="210">
        <f>CONCATENATE(A410,B410,",",C410,",",D410,E410,F410,",",G410,",",H410,",",I410,",",J410,K410,L410,M410,N410,O410,)</f>
        <v/>
      </c>
    </row>
    <row r="411" hidden="1" s="55">
      <c r="A411" s="47" t="inlineStr">
        <is>
          <t xml:space="preserve">        [ 'dims' =&gt; [</t>
        </is>
      </c>
      <c r="B411" s="47">
        <f>Закуп!R411</f>
        <v/>
      </c>
      <c r="C411" s="47">
        <f>Закуп!S411</f>
        <v/>
      </c>
      <c r="D411" s="47">
        <f>Закуп!T411</f>
        <v/>
      </c>
      <c r="E411" s="47" t="inlineStr">
        <is>
          <t>], 'prices' =&gt; [</t>
        </is>
      </c>
      <c r="F411" s="101">
        <f>SUBSTITUTE(INDEX(Calc!$K:$K,(ROW(A410)-1)*5+COLUMN(A410)+1),",",".")</f>
        <v/>
      </c>
      <c r="G411" s="101">
        <f>SUBSTITUTE(INDEX(Calc!$K:$K,(ROW(B410)-1)*5+COLUMN(B410)+1),",",".")</f>
        <v/>
      </c>
      <c r="H411" s="101">
        <f>SUBSTITUTE(INDEX(Calc!$K:$K,(ROW(C410)-1)*5+COLUMN(C410)+1),",",".")</f>
        <v/>
      </c>
      <c r="I411" s="101">
        <f>SUBSTITUTE(INDEX(Calc!$K:$K,(ROW(D410)-1)*5+COLUMN(D410)+1),",",".")</f>
        <v/>
      </c>
      <c r="J411" s="101">
        <f>SUBSTITUTE(INDEX(Calc!$K:$K,(ROW(E410)-1)*5+COLUMN(E410)+1),",",".")</f>
        <v/>
      </c>
      <c r="K411" s="47" t="inlineStr">
        <is>
          <t>], 'type' =&gt; "</t>
        </is>
      </c>
      <c r="L411" s="101">
        <f>Закуп!AA411</f>
        <v/>
      </c>
      <c r="M411" s="47" t="inlineStr">
        <is>
          <t>", 'sale' =&gt; "</t>
        </is>
      </c>
      <c r="N411" s="47">
        <f>IF(Закуп!L411="",0,Закуп!L411)</f>
        <v/>
      </c>
      <c r="O411" s="47" t="inlineStr">
        <is>
          <t>" ],</t>
        </is>
      </c>
      <c r="P411" s="165">
        <f>Закуп!N411</f>
        <v/>
      </c>
      <c r="Q411" s="210">
        <f>CONCATENATE(A411,B411,",",C411,",",D411,E411,F411,",",G411,",",H411,",",I411,",",J411,K411,L411,M411,N411,O411,)</f>
        <v/>
      </c>
    </row>
    <row r="412" hidden="1" s="55">
      <c r="A412" s="47" t="inlineStr">
        <is>
          <t xml:space="preserve">        [ 'dims' =&gt; [</t>
        </is>
      </c>
      <c r="B412" s="47">
        <f>Закуп!R412</f>
        <v/>
      </c>
      <c r="C412" s="47">
        <f>Закуп!S412</f>
        <v/>
      </c>
      <c r="D412" s="47">
        <f>Закуп!T412</f>
        <v/>
      </c>
      <c r="E412" s="47" t="inlineStr">
        <is>
          <t>], 'prices' =&gt; [</t>
        </is>
      </c>
      <c r="F412" s="101">
        <f>SUBSTITUTE(INDEX(Calc!$K:$K,(ROW(A411)-1)*5+COLUMN(A411)+1),",",".")</f>
        <v/>
      </c>
      <c r="G412" s="101">
        <f>SUBSTITUTE(INDEX(Calc!$K:$K,(ROW(B411)-1)*5+COLUMN(B411)+1),",",".")</f>
        <v/>
      </c>
      <c r="H412" s="101">
        <f>SUBSTITUTE(INDEX(Calc!$K:$K,(ROW(C411)-1)*5+COLUMN(C411)+1),",",".")</f>
        <v/>
      </c>
      <c r="I412" s="101">
        <f>SUBSTITUTE(INDEX(Calc!$K:$K,(ROW(D411)-1)*5+COLUMN(D411)+1),",",".")</f>
        <v/>
      </c>
      <c r="J412" s="101">
        <f>SUBSTITUTE(INDEX(Calc!$K:$K,(ROW(E411)-1)*5+COLUMN(E411)+1),",",".")</f>
        <v/>
      </c>
      <c r="K412" s="47" t="inlineStr">
        <is>
          <t>], 'type' =&gt; "</t>
        </is>
      </c>
      <c r="L412" s="101">
        <f>Закуп!AA412</f>
        <v/>
      </c>
      <c r="M412" s="47" t="inlineStr">
        <is>
          <t>", 'sale' =&gt; "</t>
        </is>
      </c>
      <c r="N412" s="47">
        <f>IF(Закуп!L412="",0,Закуп!L412)</f>
        <v/>
      </c>
      <c r="O412" s="47" t="inlineStr">
        <is>
          <t>" ],</t>
        </is>
      </c>
      <c r="P412" s="165">
        <f>Закуп!N412</f>
        <v/>
      </c>
      <c r="Q412" s="210">
        <f>CONCATENATE(A412,B412,",",C412,",",D412,E412,F412,",",G412,",",H412,",",I412,",",J412,K412,L412,M412,N412,O412,)</f>
        <v/>
      </c>
    </row>
    <row r="413" hidden="1" s="55">
      <c r="A413" s="47" t="inlineStr">
        <is>
          <t xml:space="preserve">        [ 'dims' =&gt; [</t>
        </is>
      </c>
      <c r="B413" s="47">
        <f>Закуп!R413</f>
        <v/>
      </c>
      <c r="C413" s="47">
        <f>Закуп!S413</f>
        <v/>
      </c>
      <c r="D413" s="47">
        <f>Закуп!T413</f>
        <v/>
      </c>
      <c r="E413" s="47" t="inlineStr">
        <is>
          <t>], 'prices' =&gt; [</t>
        </is>
      </c>
      <c r="F413" s="101">
        <f>SUBSTITUTE(INDEX(Calc!$K:$K,(ROW(A412)-1)*5+COLUMN(A412)+1),",",".")</f>
        <v/>
      </c>
      <c r="G413" s="101">
        <f>SUBSTITUTE(INDEX(Calc!$K:$K,(ROW(B412)-1)*5+COLUMN(B412)+1),",",".")</f>
        <v/>
      </c>
      <c r="H413" s="101">
        <f>SUBSTITUTE(INDEX(Calc!$K:$K,(ROW(C412)-1)*5+COLUMN(C412)+1),",",".")</f>
        <v/>
      </c>
      <c r="I413" s="101">
        <f>SUBSTITUTE(INDEX(Calc!$K:$K,(ROW(D412)-1)*5+COLUMN(D412)+1),",",".")</f>
        <v/>
      </c>
      <c r="J413" s="101">
        <f>SUBSTITUTE(INDEX(Calc!$K:$K,(ROW(E412)-1)*5+COLUMN(E412)+1),",",".")</f>
        <v/>
      </c>
      <c r="K413" s="47" t="inlineStr">
        <is>
          <t>], 'type' =&gt; "</t>
        </is>
      </c>
      <c r="L413" s="101">
        <f>Закуп!AA413</f>
        <v/>
      </c>
      <c r="M413" s="47" t="inlineStr">
        <is>
          <t>", 'sale' =&gt; "</t>
        </is>
      </c>
      <c r="N413" s="47">
        <f>IF(Закуп!L413="",0,Закуп!L413)</f>
        <v/>
      </c>
      <c r="O413" s="47" t="inlineStr">
        <is>
          <t>" ],</t>
        </is>
      </c>
      <c r="P413" s="165">
        <f>Закуп!N413</f>
        <v/>
      </c>
      <c r="Q413" s="210">
        <f>CONCATENATE(A413,B413,",",C413,",",D413,E413,F413,",",G413,",",H413,",",I413,",",J413,K413,L413,M413,N413,O413,)</f>
        <v/>
      </c>
    </row>
    <row r="414" hidden="1" s="55">
      <c r="A414" s="47" t="inlineStr">
        <is>
          <t xml:space="preserve">        [ 'dims' =&gt; [</t>
        </is>
      </c>
      <c r="B414" s="47">
        <f>Закуп!R414</f>
        <v/>
      </c>
      <c r="C414" s="47">
        <f>Закуп!S414</f>
        <v/>
      </c>
      <c r="D414" s="47">
        <f>Закуп!T414</f>
        <v/>
      </c>
      <c r="E414" s="47" t="inlineStr">
        <is>
          <t>], 'prices' =&gt; [</t>
        </is>
      </c>
      <c r="F414" s="101">
        <f>SUBSTITUTE(INDEX(Calc!$K:$K,(ROW(A413)-1)*5+COLUMN(A413)+1),",",".")</f>
        <v/>
      </c>
      <c r="G414" s="101">
        <f>SUBSTITUTE(INDEX(Calc!$K:$K,(ROW(B413)-1)*5+COLUMN(B413)+1),",",".")</f>
        <v/>
      </c>
      <c r="H414" s="101">
        <f>SUBSTITUTE(INDEX(Calc!$K:$K,(ROW(C413)-1)*5+COLUMN(C413)+1),",",".")</f>
        <v/>
      </c>
      <c r="I414" s="101">
        <f>SUBSTITUTE(INDEX(Calc!$K:$K,(ROW(D413)-1)*5+COLUMN(D413)+1),",",".")</f>
        <v/>
      </c>
      <c r="J414" s="101">
        <f>SUBSTITUTE(INDEX(Calc!$K:$K,(ROW(E413)-1)*5+COLUMN(E413)+1),",",".")</f>
        <v/>
      </c>
      <c r="K414" s="47" t="inlineStr">
        <is>
          <t>], 'type' =&gt; "</t>
        </is>
      </c>
      <c r="L414" s="101">
        <f>Закуп!AA414</f>
        <v/>
      </c>
      <c r="M414" s="47" t="inlineStr">
        <is>
          <t>", 'sale' =&gt; "</t>
        </is>
      </c>
      <c r="N414" s="47">
        <f>IF(Закуп!L414="",0,Закуп!L414)</f>
        <v/>
      </c>
      <c r="O414" s="47" t="inlineStr">
        <is>
          <t>" ],</t>
        </is>
      </c>
      <c r="P414" s="165">
        <f>Закуп!N414</f>
        <v/>
      </c>
      <c r="Q414" s="210">
        <f>CONCATENATE(A414,B414,",",C414,",",D414,E414,F414,",",G414,",",H414,",",I414,",",J414,K414,L414,M414,N414,O414,)</f>
        <v/>
      </c>
    </row>
    <row r="415" hidden="1" s="55">
      <c r="A415" s="47" t="inlineStr">
        <is>
          <t xml:space="preserve">        [ 'dims' =&gt; [</t>
        </is>
      </c>
      <c r="B415" s="47">
        <f>Закуп!R415</f>
        <v/>
      </c>
      <c r="C415" s="47">
        <f>Закуп!S415</f>
        <v/>
      </c>
      <c r="D415" s="47">
        <f>Закуп!T415</f>
        <v/>
      </c>
      <c r="E415" s="47" t="inlineStr">
        <is>
          <t>], 'prices' =&gt; [</t>
        </is>
      </c>
      <c r="F415" s="101">
        <f>SUBSTITUTE(INDEX(Calc!$K:$K,(ROW(A414)-1)*5+COLUMN(A414)+1),",",".")</f>
        <v/>
      </c>
      <c r="G415" s="101">
        <f>SUBSTITUTE(INDEX(Calc!$K:$K,(ROW(B414)-1)*5+COLUMN(B414)+1),",",".")</f>
        <v/>
      </c>
      <c r="H415" s="101">
        <f>SUBSTITUTE(INDEX(Calc!$K:$K,(ROW(C414)-1)*5+COLUMN(C414)+1),",",".")</f>
        <v/>
      </c>
      <c r="I415" s="101">
        <f>SUBSTITUTE(INDEX(Calc!$K:$K,(ROW(D414)-1)*5+COLUMN(D414)+1),",",".")</f>
        <v/>
      </c>
      <c r="J415" s="101">
        <f>SUBSTITUTE(INDEX(Calc!$K:$K,(ROW(E414)-1)*5+COLUMN(E414)+1),",",".")</f>
        <v/>
      </c>
      <c r="K415" s="47" t="inlineStr">
        <is>
          <t>], 'type' =&gt; "</t>
        </is>
      </c>
      <c r="L415" s="101">
        <f>Закуп!AA415</f>
        <v/>
      </c>
      <c r="M415" s="47" t="inlineStr">
        <is>
          <t>", 'sale' =&gt; "</t>
        </is>
      </c>
      <c r="N415" s="47">
        <f>IF(Закуп!L415="",0,Закуп!L415)</f>
        <v/>
      </c>
      <c r="O415" s="47" t="inlineStr">
        <is>
          <t>" ],</t>
        </is>
      </c>
      <c r="P415" s="165">
        <f>Закуп!N415</f>
        <v/>
      </c>
      <c r="Q415" s="210">
        <f>CONCATENATE(A415,B415,",",C415,",",D415,E415,F415,",",G415,",",H415,",",I415,",",J415,K415,L415,M415,N415,O415,)</f>
        <v/>
      </c>
    </row>
    <row r="416" hidden="1" s="55">
      <c r="A416" s="47" t="inlineStr">
        <is>
          <t xml:space="preserve">        [ 'dims' =&gt; [</t>
        </is>
      </c>
      <c r="B416" s="47">
        <f>Закуп!R416</f>
        <v/>
      </c>
      <c r="C416" s="47">
        <f>Закуп!S416</f>
        <v/>
      </c>
      <c r="D416" s="47">
        <f>Закуп!T416</f>
        <v/>
      </c>
      <c r="E416" s="47" t="inlineStr">
        <is>
          <t>], 'prices' =&gt; [</t>
        </is>
      </c>
      <c r="F416" s="101">
        <f>SUBSTITUTE(INDEX(Calc!$K:$K,(ROW(A415)-1)*5+COLUMN(A415)+1),",",".")</f>
        <v/>
      </c>
      <c r="G416" s="101">
        <f>SUBSTITUTE(INDEX(Calc!$K:$K,(ROW(B415)-1)*5+COLUMN(B415)+1),",",".")</f>
        <v/>
      </c>
      <c r="H416" s="101">
        <f>SUBSTITUTE(INDEX(Calc!$K:$K,(ROW(C415)-1)*5+COLUMN(C415)+1),",",".")</f>
        <v/>
      </c>
      <c r="I416" s="101">
        <f>SUBSTITUTE(INDEX(Calc!$K:$K,(ROW(D415)-1)*5+COLUMN(D415)+1),",",".")</f>
        <v/>
      </c>
      <c r="J416" s="101">
        <f>SUBSTITUTE(INDEX(Calc!$K:$K,(ROW(E415)-1)*5+COLUMN(E415)+1),",",".")</f>
        <v/>
      </c>
      <c r="K416" s="47" t="inlineStr">
        <is>
          <t>], 'type' =&gt; "</t>
        </is>
      </c>
      <c r="L416" s="101">
        <f>Закуп!AA416</f>
        <v/>
      </c>
      <c r="M416" s="47" t="inlineStr">
        <is>
          <t>", 'sale' =&gt; "</t>
        </is>
      </c>
      <c r="N416" s="47">
        <f>IF(Закуп!L416="",0,Закуп!L416)</f>
        <v/>
      </c>
      <c r="O416" s="47" t="inlineStr">
        <is>
          <t>" ],</t>
        </is>
      </c>
      <c r="P416" s="165">
        <f>Закуп!N416</f>
        <v/>
      </c>
      <c r="Q416" s="210">
        <f>CONCATENATE(A416,B416,",",C416,",",D416,E416,F416,",",G416,",",H416,",",I416,",",J416,K416,L416,M416,N416,O416,)</f>
        <v/>
      </c>
    </row>
    <row r="417" hidden="1" s="55">
      <c r="A417" s="47" t="inlineStr">
        <is>
          <t xml:space="preserve">        [ 'dims' =&gt; [</t>
        </is>
      </c>
      <c r="B417" s="47">
        <f>Закуп!R417</f>
        <v/>
      </c>
      <c r="C417" s="47">
        <f>Закуп!S417</f>
        <v/>
      </c>
      <c r="D417" s="47">
        <f>Закуп!T417</f>
        <v/>
      </c>
      <c r="E417" s="47" t="inlineStr">
        <is>
          <t>], 'prices' =&gt; [</t>
        </is>
      </c>
      <c r="F417" s="101">
        <f>SUBSTITUTE(INDEX(Calc!$K:$K,(ROW(A416)-1)*5+COLUMN(A416)+1),",",".")</f>
        <v/>
      </c>
      <c r="G417" s="101">
        <f>SUBSTITUTE(INDEX(Calc!$K:$K,(ROW(B416)-1)*5+COLUMN(B416)+1),",",".")</f>
        <v/>
      </c>
      <c r="H417" s="101">
        <f>SUBSTITUTE(INDEX(Calc!$K:$K,(ROW(C416)-1)*5+COLUMN(C416)+1),",",".")</f>
        <v/>
      </c>
      <c r="I417" s="101">
        <f>SUBSTITUTE(INDEX(Calc!$K:$K,(ROW(D416)-1)*5+COLUMN(D416)+1),",",".")</f>
        <v/>
      </c>
      <c r="J417" s="101">
        <f>SUBSTITUTE(INDEX(Calc!$K:$K,(ROW(E416)-1)*5+COLUMN(E416)+1),",",".")</f>
        <v/>
      </c>
      <c r="K417" s="47" t="inlineStr">
        <is>
          <t>], 'type' =&gt; "</t>
        </is>
      </c>
      <c r="L417" s="101">
        <f>Закуп!AA417</f>
        <v/>
      </c>
      <c r="M417" s="47" t="inlineStr">
        <is>
          <t>", 'sale' =&gt; "</t>
        </is>
      </c>
      <c r="N417" s="47">
        <f>IF(Закуп!L417="",0,Закуп!L417)</f>
        <v/>
      </c>
      <c r="O417" s="47" t="inlineStr">
        <is>
          <t>" ],</t>
        </is>
      </c>
      <c r="P417" s="165">
        <f>Закуп!N417</f>
        <v/>
      </c>
      <c r="Q417" s="210">
        <f>CONCATENATE(A417,B417,",",C417,",",D417,E417,F417,",",G417,",",H417,",",I417,",",J417,K417,L417,M417,N417,O417,)</f>
        <v/>
      </c>
    </row>
    <row r="418" hidden="1" s="55">
      <c r="A418" s="47" t="inlineStr">
        <is>
          <t xml:space="preserve">        [ 'dims' =&gt; [</t>
        </is>
      </c>
      <c r="B418" s="47">
        <f>Закуп!R418</f>
        <v/>
      </c>
      <c r="C418" s="47">
        <f>Закуп!S418</f>
        <v/>
      </c>
      <c r="D418" s="47">
        <f>Закуп!T418</f>
        <v/>
      </c>
      <c r="E418" s="47" t="inlineStr">
        <is>
          <t>], 'prices' =&gt; [</t>
        </is>
      </c>
      <c r="F418" s="101">
        <f>SUBSTITUTE(INDEX(Calc!$K:$K,(ROW(A417)-1)*5+COLUMN(A417)+1),",",".")</f>
        <v/>
      </c>
      <c r="G418" s="101">
        <f>SUBSTITUTE(INDEX(Calc!$K:$K,(ROW(B417)-1)*5+COLUMN(B417)+1),",",".")</f>
        <v/>
      </c>
      <c r="H418" s="101">
        <f>SUBSTITUTE(INDEX(Calc!$K:$K,(ROW(C417)-1)*5+COLUMN(C417)+1),",",".")</f>
        <v/>
      </c>
      <c r="I418" s="101">
        <f>SUBSTITUTE(INDEX(Calc!$K:$K,(ROW(D417)-1)*5+COLUMN(D417)+1),",",".")</f>
        <v/>
      </c>
      <c r="J418" s="101">
        <f>SUBSTITUTE(INDEX(Calc!$K:$K,(ROW(E417)-1)*5+COLUMN(E417)+1),",",".")</f>
        <v/>
      </c>
      <c r="K418" s="47" t="inlineStr">
        <is>
          <t>], 'type' =&gt; "</t>
        </is>
      </c>
      <c r="L418" s="101">
        <f>Закуп!AA418</f>
        <v/>
      </c>
      <c r="M418" s="47" t="inlineStr">
        <is>
          <t>", 'sale' =&gt; "</t>
        </is>
      </c>
      <c r="N418" s="47">
        <f>IF(Закуп!L418="",0,Закуп!L418)</f>
        <v/>
      </c>
      <c r="O418" s="47" t="inlineStr">
        <is>
          <t>" ],</t>
        </is>
      </c>
      <c r="P418" s="165">
        <f>Закуп!N418</f>
        <v/>
      </c>
      <c r="Q418" s="210">
        <f>CONCATENATE(A418,B418,",",C418,",",D418,E418,F418,",",G418,",",H418,",",I418,",",J418,K418,L418,M418,N418,O418,)</f>
        <v/>
      </c>
    </row>
    <row r="419" hidden="1" s="55">
      <c r="A419" s="47" t="inlineStr">
        <is>
          <t xml:space="preserve">        [ 'dims' =&gt; [</t>
        </is>
      </c>
      <c r="B419" s="47">
        <f>Закуп!R419</f>
        <v/>
      </c>
      <c r="C419" s="47">
        <f>Закуп!S419</f>
        <v/>
      </c>
      <c r="D419" s="47">
        <f>Закуп!T419</f>
        <v/>
      </c>
      <c r="E419" s="47" t="inlineStr">
        <is>
          <t>], 'prices' =&gt; [</t>
        </is>
      </c>
      <c r="F419" s="101">
        <f>SUBSTITUTE(INDEX(Calc!$K:$K,(ROW(A418)-1)*5+COLUMN(A418)+1),",",".")</f>
        <v/>
      </c>
      <c r="G419" s="101">
        <f>SUBSTITUTE(INDEX(Calc!$K:$K,(ROW(B418)-1)*5+COLUMN(B418)+1),",",".")</f>
        <v/>
      </c>
      <c r="H419" s="101">
        <f>SUBSTITUTE(INDEX(Calc!$K:$K,(ROW(C418)-1)*5+COLUMN(C418)+1),",",".")</f>
        <v/>
      </c>
      <c r="I419" s="101">
        <f>SUBSTITUTE(INDEX(Calc!$K:$K,(ROW(D418)-1)*5+COLUMN(D418)+1),",",".")</f>
        <v/>
      </c>
      <c r="J419" s="101">
        <f>SUBSTITUTE(INDEX(Calc!$K:$K,(ROW(E418)-1)*5+COLUMN(E418)+1),",",".")</f>
        <v/>
      </c>
      <c r="K419" s="47" t="inlineStr">
        <is>
          <t>], 'type' =&gt; "</t>
        </is>
      </c>
      <c r="L419" s="101">
        <f>Закуп!AA419</f>
        <v/>
      </c>
      <c r="M419" s="47" t="inlineStr">
        <is>
          <t>", 'sale' =&gt; "</t>
        </is>
      </c>
      <c r="N419" s="47">
        <f>IF(Закуп!L419="",0,Закуп!L419)</f>
        <v/>
      </c>
      <c r="O419" s="47" t="inlineStr">
        <is>
          <t>" ],</t>
        </is>
      </c>
      <c r="P419" s="165">
        <f>Закуп!N419</f>
        <v/>
      </c>
      <c r="Q419" s="210">
        <f>CONCATENATE(A419,B419,",",C419,",",D419,E419,F419,",",G419,",",H419,",",I419,",",J419,K419,L419,M419,N419,O419,)</f>
        <v/>
      </c>
    </row>
    <row r="420" hidden="1" s="55">
      <c r="A420" s="47" t="inlineStr">
        <is>
          <t xml:space="preserve">        [ 'dims' =&gt; [</t>
        </is>
      </c>
      <c r="B420" s="47">
        <f>Закуп!R420</f>
        <v/>
      </c>
      <c r="C420" s="47">
        <f>Закуп!S420</f>
        <v/>
      </c>
      <c r="D420" s="47">
        <f>Закуп!T420</f>
        <v/>
      </c>
      <c r="E420" s="47" t="inlineStr">
        <is>
          <t>], 'prices' =&gt; [</t>
        </is>
      </c>
      <c r="F420" s="101">
        <f>SUBSTITUTE(INDEX(Calc!$K:$K,(ROW(A419)-1)*5+COLUMN(A419)+1),",",".")</f>
        <v/>
      </c>
      <c r="G420" s="101">
        <f>SUBSTITUTE(INDEX(Calc!$K:$K,(ROW(B419)-1)*5+COLUMN(B419)+1),",",".")</f>
        <v/>
      </c>
      <c r="H420" s="101">
        <f>SUBSTITUTE(INDEX(Calc!$K:$K,(ROW(C419)-1)*5+COLUMN(C419)+1),",",".")</f>
        <v/>
      </c>
      <c r="I420" s="101">
        <f>SUBSTITUTE(INDEX(Calc!$K:$K,(ROW(D419)-1)*5+COLUMN(D419)+1),",",".")</f>
        <v/>
      </c>
      <c r="J420" s="101">
        <f>SUBSTITUTE(INDEX(Calc!$K:$K,(ROW(E419)-1)*5+COLUMN(E419)+1),",",".")</f>
        <v/>
      </c>
      <c r="K420" s="47" t="inlineStr">
        <is>
          <t>], 'type' =&gt; "</t>
        </is>
      </c>
      <c r="L420" s="101">
        <f>Закуп!AA420</f>
        <v/>
      </c>
      <c r="M420" s="47" t="inlineStr">
        <is>
          <t>", 'sale' =&gt; "</t>
        </is>
      </c>
      <c r="N420" s="47">
        <f>IF(Закуп!L420="",0,Закуп!L420)</f>
        <v/>
      </c>
      <c r="O420" s="47" t="inlineStr">
        <is>
          <t>" ],</t>
        </is>
      </c>
      <c r="P420" s="165">
        <f>Закуп!N420</f>
        <v/>
      </c>
      <c r="Q420" s="210">
        <f>CONCATENATE(A420,B420,",",C420,",",D420,E420,F420,",",G420,",",H420,",",I420,",",J420,K420,L420,M420,N420,O420,)</f>
        <v/>
      </c>
    </row>
    <row r="421" hidden="1" s="55">
      <c r="A421" s="47" t="inlineStr">
        <is>
          <t xml:space="preserve">        [ 'dims' =&gt; [</t>
        </is>
      </c>
      <c r="B421" s="47">
        <f>Закуп!R421</f>
        <v/>
      </c>
      <c r="C421" s="47">
        <f>Закуп!S421</f>
        <v/>
      </c>
      <c r="D421" s="47">
        <f>Закуп!T421</f>
        <v/>
      </c>
      <c r="E421" s="47" t="inlineStr">
        <is>
          <t>], 'prices' =&gt; [</t>
        </is>
      </c>
      <c r="F421" s="101">
        <f>SUBSTITUTE(INDEX(Calc!$K:$K,(ROW(A420)-1)*5+COLUMN(A420)+1),",",".")</f>
        <v/>
      </c>
      <c r="G421" s="101">
        <f>SUBSTITUTE(INDEX(Calc!$K:$K,(ROW(B420)-1)*5+COLUMN(B420)+1),",",".")</f>
        <v/>
      </c>
      <c r="H421" s="101">
        <f>SUBSTITUTE(INDEX(Calc!$K:$K,(ROW(C420)-1)*5+COLUMN(C420)+1),",",".")</f>
        <v/>
      </c>
      <c r="I421" s="101">
        <f>SUBSTITUTE(INDEX(Calc!$K:$K,(ROW(D420)-1)*5+COLUMN(D420)+1),",",".")</f>
        <v/>
      </c>
      <c r="J421" s="101">
        <f>SUBSTITUTE(INDEX(Calc!$K:$K,(ROW(E420)-1)*5+COLUMN(E420)+1),",",".")</f>
        <v/>
      </c>
      <c r="K421" s="47" t="inlineStr">
        <is>
          <t>], 'type' =&gt; "</t>
        </is>
      </c>
      <c r="L421" s="101">
        <f>Закуп!AA421</f>
        <v/>
      </c>
      <c r="M421" s="47" t="inlineStr">
        <is>
          <t>", 'sale' =&gt; "</t>
        </is>
      </c>
      <c r="N421" s="47">
        <f>IF(Закуп!L421="",0,Закуп!L421)</f>
        <v/>
      </c>
      <c r="O421" s="47" t="inlineStr">
        <is>
          <t>" ],</t>
        </is>
      </c>
      <c r="P421" s="165">
        <f>Закуп!N421</f>
        <v/>
      </c>
      <c r="Q421" s="210">
        <f>CONCATENATE(A421,B421,",",C421,",",D421,E421,F421,",",G421,",",H421,",",I421,",",J421,K421,L421,M421,N421,O421,)</f>
        <v/>
      </c>
    </row>
    <row r="422" hidden="1" s="55">
      <c r="A422" s="47" t="inlineStr">
        <is>
          <t xml:space="preserve">        [ 'dims' =&gt; [</t>
        </is>
      </c>
      <c r="B422" s="47">
        <f>Закуп!R422</f>
        <v/>
      </c>
      <c r="C422" s="47">
        <f>Закуп!S422</f>
        <v/>
      </c>
      <c r="D422" s="47">
        <f>Закуп!T422</f>
        <v/>
      </c>
      <c r="E422" s="47" t="inlineStr">
        <is>
          <t>], 'prices' =&gt; [</t>
        </is>
      </c>
      <c r="F422" s="101">
        <f>SUBSTITUTE(INDEX(Calc!$K:$K,(ROW(A421)-1)*5+COLUMN(A421)+1),",",".")</f>
        <v/>
      </c>
      <c r="G422" s="101">
        <f>SUBSTITUTE(INDEX(Calc!$K:$K,(ROW(B421)-1)*5+COLUMN(B421)+1),",",".")</f>
        <v/>
      </c>
      <c r="H422" s="101">
        <f>SUBSTITUTE(INDEX(Calc!$K:$K,(ROW(C421)-1)*5+COLUMN(C421)+1),",",".")</f>
        <v/>
      </c>
      <c r="I422" s="101">
        <f>SUBSTITUTE(INDEX(Calc!$K:$K,(ROW(D421)-1)*5+COLUMN(D421)+1),",",".")</f>
        <v/>
      </c>
      <c r="J422" s="101">
        <f>SUBSTITUTE(INDEX(Calc!$K:$K,(ROW(E421)-1)*5+COLUMN(E421)+1),",",".")</f>
        <v/>
      </c>
      <c r="K422" s="47" t="inlineStr">
        <is>
          <t>], 'type' =&gt; "</t>
        </is>
      </c>
      <c r="L422" s="101">
        <f>Закуп!AA422</f>
        <v/>
      </c>
      <c r="M422" s="47" t="inlineStr">
        <is>
          <t>", 'sale' =&gt; "</t>
        </is>
      </c>
      <c r="N422" s="47">
        <f>IF(Закуп!L422="",0,Закуп!L422)</f>
        <v/>
      </c>
      <c r="O422" s="47" t="inlineStr">
        <is>
          <t>" ],</t>
        </is>
      </c>
      <c r="P422" s="165">
        <f>Закуп!N422</f>
        <v/>
      </c>
      <c r="Q422" s="210">
        <f>CONCATENATE(A422,B422,",",C422,",",D422,E422,F422,",",G422,",",H422,",",I422,",",J422,K422,L422,M422,N422,O422,)</f>
        <v/>
      </c>
    </row>
    <row r="423" hidden="1" s="55">
      <c r="A423" s="47" t="inlineStr">
        <is>
          <t xml:space="preserve">        [ 'dims' =&gt; [</t>
        </is>
      </c>
      <c r="B423" s="47">
        <f>Закуп!R423</f>
        <v/>
      </c>
      <c r="C423" s="47">
        <f>Закуп!S423</f>
        <v/>
      </c>
      <c r="D423" s="47">
        <f>Закуп!T423</f>
        <v/>
      </c>
      <c r="E423" s="47" t="inlineStr">
        <is>
          <t>], 'prices' =&gt; [</t>
        </is>
      </c>
      <c r="F423" s="101">
        <f>SUBSTITUTE(INDEX(Calc!$K:$K,(ROW(A422)-1)*5+COLUMN(A422)+1),",",".")</f>
        <v/>
      </c>
      <c r="G423" s="101">
        <f>SUBSTITUTE(INDEX(Calc!$K:$K,(ROW(B422)-1)*5+COLUMN(B422)+1),",",".")</f>
        <v/>
      </c>
      <c r="H423" s="101">
        <f>SUBSTITUTE(INDEX(Calc!$K:$K,(ROW(C422)-1)*5+COLUMN(C422)+1),",",".")</f>
        <v/>
      </c>
      <c r="I423" s="101">
        <f>SUBSTITUTE(INDEX(Calc!$K:$K,(ROW(D422)-1)*5+COLUMN(D422)+1),",",".")</f>
        <v/>
      </c>
      <c r="J423" s="101">
        <f>SUBSTITUTE(INDEX(Calc!$K:$K,(ROW(E422)-1)*5+COLUMN(E422)+1),",",".")</f>
        <v/>
      </c>
      <c r="K423" s="47" t="inlineStr">
        <is>
          <t>], 'type' =&gt; "</t>
        </is>
      </c>
      <c r="L423" s="101">
        <f>Закуп!AA423</f>
        <v/>
      </c>
      <c r="M423" s="47" t="inlineStr">
        <is>
          <t>", 'sale' =&gt; "</t>
        </is>
      </c>
      <c r="N423" s="47">
        <f>IF(Закуп!L423="",0,Закуп!L423)</f>
        <v/>
      </c>
      <c r="O423" s="47" t="inlineStr">
        <is>
          <t>" ],</t>
        </is>
      </c>
      <c r="P423" s="165">
        <f>Закуп!N423</f>
        <v/>
      </c>
      <c r="Q423" s="210">
        <f>CONCATENATE(A423,B423,",",C423,",",D423,E423,F423,",",G423,",",H423,",",I423,",",J423,K423,L423,M423,N423,O423,)</f>
        <v/>
      </c>
    </row>
    <row r="424" hidden="1" s="55">
      <c r="A424" s="47" t="inlineStr">
        <is>
          <t xml:space="preserve">        [ 'dims' =&gt; [</t>
        </is>
      </c>
      <c r="B424" s="47">
        <f>Закуп!R424</f>
        <v/>
      </c>
      <c r="C424" s="47">
        <f>Закуп!S424</f>
        <v/>
      </c>
      <c r="D424" s="47">
        <f>Закуп!T424</f>
        <v/>
      </c>
      <c r="E424" s="47" t="inlineStr">
        <is>
          <t>], 'prices' =&gt; [</t>
        </is>
      </c>
      <c r="F424" s="101">
        <f>SUBSTITUTE(INDEX(Calc!$K:$K,(ROW(A423)-1)*5+COLUMN(A423)+1),",",".")</f>
        <v/>
      </c>
      <c r="G424" s="101">
        <f>SUBSTITUTE(INDEX(Calc!$K:$K,(ROW(B423)-1)*5+COLUMN(B423)+1),",",".")</f>
        <v/>
      </c>
      <c r="H424" s="101">
        <f>SUBSTITUTE(INDEX(Calc!$K:$K,(ROW(C423)-1)*5+COLUMN(C423)+1),",",".")</f>
        <v/>
      </c>
      <c r="I424" s="101">
        <f>SUBSTITUTE(INDEX(Calc!$K:$K,(ROW(D423)-1)*5+COLUMN(D423)+1),",",".")</f>
        <v/>
      </c>
      <c r="J424" s="101">
        <f>SUBSTITUTE(INDEX(Calc!$K:$K,(ROW(E423)-1)*5+COLUMN(E423)+1),",",".")</f>
        <v/>
      </c>
      <c r="K424" s="47" t="inlineStr">
        <is>
          <t>], 'type' =&gt; "</t>
        </is>
      </c>
      <c r="L424" s="101">
        <f>Закуп!AA424</f>
        <v/>
      </c>
      <c r="M424" s="47" t="inlineStr">
        <is>
          <t>", 'sale' =&gt; "</t>
        </is>
      </c>
      <c r="N424" s="47">
        <f>IF(Закуп!L424="",0,Закуп!L424)</f>
        <v/>
      </c>
      <c r="O424" s="47" t="inlineStr">
        <is>
          <t>" ],</t>
        </is>
      </c>
      <c r="P424" s="165">
        <f>Закуп!N424</f>
        <v/>
      </c>
      <c r="Q424" s="210">
        <f>CONCATENATE(A424,B424,",",C424,",",D424,E424,F424,",",G424,",",H424,",",I424,",",J424,K424,L424,M424,N424,O424,)</f>
        <v/>
      </c>
    </row>
    <row r="425" hidden="1" s="55">
      <c r="A425" s="47" t="inlineStr">
        <is>
          <t xml:space="preserve">        [ 'dims' =&gt; [</t>
        </is>
      </c>
      <c r="B425" s="47">
        <f>Закуп!R425</f>
        <v/>
      </c>
      <c r="C425" s="47">
        <f>Закуп!S425</f>
        <v/>
      </c>
      <c r="D425" s="47">
        <f>Закуп!T425</f>
        <v/>
      </c>
      <c r="E425" s="47" t="inlineStr">
        <is>
          <t>], 'prices' =&gt; [</t>
        </is>
      </c>
      <c r="F425" s="101">
        <f>SUBSTITUTE(INDEX(Calc!$K:$K,(ROW(A424)-1)*5+COLUMN(A424)+1),",",".")</f>
        <v/>
      </c>
      <c r="G425" s="101">
        <f>SUBSTITUTE(INDEX(Calc!$K:$K,(ROW(B424)-1)*5+COLUMN(B424)+1),",",".")</f>
        <v/>
      </c>
      <c r="H425" s="101">
        <f>SUBSTITUTE(INDEX(Calc!$K:$K,(ROW(C424)-1)*5+COLUMN(C424)+1),",",".")</f>
        <v/>
      </c>
      <c r="I425" s="101">
        <f>SUBSTITUTE(INDEX(Calc!$K:$K,(ROW(D424)-1)*5+COLUMN(D424)+1),",",".")</f>
        <v/>
      </c>
      <c r="J425" s="101">
        <f>SUBSTITUTE(INDEX(Calc!$K:$K,(ROW(E424)-1)*5+COLUMN(E424)+1),",",".")</f>
        <v/>
      </c>
      <c r="K425" s="47" t="inlineStr">
        <is>
          <t>], 'type' =&gt; "</t>
        </is>
      </c>
      <c r="L425" s="101">
        <f>Закуп!AA425</f>
        <v/>
      </c>
      <c r="M425" s="47" t="inlineStr">
        <is>
          <t>", 'sale' =&gt; "</t>
        </is>
      </c>
      <c r="N425" s="47">
        <f>IF(Закуп!L425="",0,Закуп!L425)</f>
        <v/>
      </c>
      <c r="O425" s="47" t="inlineStr">
        <is>
          <t>" ],</t>
        </is>
      </c>
      <c r="P425" s="165">
        <f>Закуп!N425</f>
        <v/>
      </c>
      <c r="Q425" s="210">
        <f>CONCATENATE(A425,B425,",",C425,",",D425,E425,F425,",",G425,",",H425,",",I425,",",J425,K425,L425,M425,N425,O425,)</f>
        <v/>
      </c>
    </row>
    <row r="426" hidden="1" s="55">
      <c r="A426" s="47" t="inlineStr">
        <is>
          <t xml:space="preserve">        [ 'dims' =&gt; [</t>
        </is>
      </c>
      <c r="B426" s="47">
        <f>Закуп!R426</f>
        <v/>
      </c>
      <c r="C426" s="47">
        <f>Закуп!S426</f>
        <v/>
      </c>
      <c r="D426" s="47">
        <f>Закуп!T426</f>
        <v/>
      </c>
      <c r="E426" s="47" t="inlineStr">
        <is>
          <t>], 'prices' =&gt; [</t>
        </is>
      </c>
      <c r="F426" s="101">
        <f>SUBSTITUTE(INDEX(Calc!$K:$K,(ROW(A425)-1)*5+COLUMN(A425)+1),",",".")</f>
        <v/>
      </c>
      <c r="G426" s="101">
        <f>SUBSTITUTE(INDEX(Calc!$K:$K,(ROW(B425)-1)*5+COLUMN(B425)+1),",",".")</f>
        <v/>
      </c>
      <c r="H426" s="101">
        <f>SUBSTITUTE(INDEX(Calc!$K:$K,(ROW(C425)-1)*5+COLUMN(C425)+1),",",".")</f>
        <v/>
      </c>
      <c r="I426" s="101">
        <f>SUBSTITUTE(INDEX(Calc!$K:$K,(ROW(D425)-1)*5+COLUMN(D425)+1),",",".")</f>
        <v/>
      </c>
      <c r="J426" s="101">
        <f>SUBSTITUTE(INDEX(Calc!$K:$K,(ROW(E425)-1)*5+COLUMN(E425)+1),",",".")</f>
        <v/>
      </c>
      <c r="K426" s="47" t="inlineStr">
        <is>
          <t>], 'type' =&gt; "</t>
        </is>
      </c>
      <c r="L426" s="101">
        <f>Закуп!AA426</f>
        <v/>
      </c>
      <c r="M426" s="47" t="inlineStr">
        <is>
          <t>", 'sale' =&gt; "</t>
        </is>
      </c>
      <c r="N426" s="47">
        <f>IF(Закуп!L426="",0,Закуп!L426)</f>
        <v/>
      </c>
      <c r="O426" s="47" t="inlineStr">
        <is>
          <t>" ],</t>
        </is>
      </c>
      <c r="P426" s="165">
        <f>Закуп!N426</f>
        <v/>
      </c>
      <c r="Q426" s="210">
        <f>CONCATENATE(A426,B426,",",C426,",",D426,E426,F426,",",G426,",",H426,",",I426,",",J426,K426,L426,M426,N426,O426,)</f>
        <v/>
      </c>
    </row>
    <row r="427" hidden="1" s="55">
      <c r="A427" s="47" t="inlineStr">
        <is>
          <t xml:space="preserve">        [ 'dims' =&gt; [</t>
        </is>
      </c>
      <c r="B427" s="47">
        <f>Закуп!R427</f>
        <v/>
      </c>
      <c r="C427" s="47">
        <f>Закуп!S427</f>
        <v/>
      </c>
      <c r="D427" s="47">
        <f>Закуп!T427</f>
        <v/>
      </c>
      <c r="E427" s="47" t="inlineStr">
        <is>
          <t>], 'prices' =&gt; [</t>
        </is>
      </c>
      <c r="F427" s="101">
        <f>SUBSTITUTE(INDEX(Calc!$K:$K,(ROW(A426)-1)*5+COLUMN(A426)+1),",",".")</f>
        <v/>
      </c>
      <c r="G427" s="101">
        <f>SUBSTITUTE(INDEX(Calc!$K:$K,(ROW(B426)-1)*5+COLUMN(B426)+1),",",".")</f>
        <v/>
      </c>
      <c r="H427" s="101">
        <f>SUBSTITUTE(INDEX(Calc!$K:$K,(ROW(C426)-1)*5+COLUMN(C426)+1),",",".")</f>
        <v/>
      </c>
      <c r="I427" s="101">
        <f>SUBSTITUTE(INDEX(Calc!$K:$K,(ROW(D426)-1)*5+COLUMN(D426)+1),",",".")</f>
        <v/>
      </c>
      <c r="J427" s="101">
        <f>SUBSTITUTE(INDEX(Calc!$K:$K,(ROW(E426)-1)*5+COLUMN(E426)+1),",",".")</f>
        <v/>
      </c>
      <c r="K427" s="47" t="inlineStr">
        <is>
          <t>], 'type' =&gt; "</t>
        </is>
      </c>
      <c r="L427" s="101">
        <f>Закуп!AA427</f>
        <v/>
      </c>
      <c r="M427" s="47" t="inlineStr">
        <is>
          <t>", 'sale' =&gt; "</t>
        </is>
      </c>
      <c r="N427" s="47">
        <f>IF(Закуп!L427="",0,Закуп!L427)</f>
        <v/>
      </c>
      <c r="O427" s="47" t="inlineStr">
        <is>
          <t>" ],</t>
        </is>
      </c>
      <c r="P427" s="165">
        <f>Закуп!N427</f>
        <v/>
      </c>
      <c r="Q427" s="210">
        <f>CONCATENATE(A427,B427,",",C427,",",D427,E427,F427,",",G427,",",H427,",",I427,",",J427,K427,L427,M427,N427,O427,)</f>
        <v/>
      </c>
    </row>
    <row r="428" hidden="1" s="55">
      <c r="A428" s="47" t="inlineStr">
        <is>
          <t xml:space="preserve">        [ 'dims' =&gt; [</t>
        </is>
      </c>
      <c r="B428" s="47">
        <f>Закуп!R428</f>
        <v/>
      </c>
      <c r="C428" s="47">
        <f>Закуп!S428</f>
        <v/>
      </c>
      <c r="D428" s="47">
        <f>Закуп!T428</f>
        <v/>
      </c>
      <c r="E428" s="47" t="inlineStr">
        <is>
          <t>], 'prices' =&gt; [</t>
        </is>
      </c>
      <c r="F428" s="101">
        <f>SUBSTITUTE(INDEX(Calc!$K:$K,(ROW(A427)-1)*5+COLUMN(A427)+1),",",".")</f>
        <v/>
      </c>
      <c r="G428" s="101">
        <f>SUBSTITUTE(INDEX(Calc!$K:$K,(ROW(B427)-1)*5+COLUMN(B427)+1),",",".")</f>
        <v/>
      </c>
      <c r="H428" s="101">
        <f>SUBSTITUTE(INDEX(Calc!$K:$K,(ROW(C427)-1)*5+COLUMN(C427)+1),",",".")</f>
        <v/>
      </c>
      <c r="I428" s="101">
        <f>SUBSTITUTE(INDEX(Calc!$K:$K,(ROW(D427)-1)*5+COLUMN(D427)+1),",",".")</f>
        <v/>
      </c>
      <c r="J428" s="101">
        <f>SUBSTITUTE(INDEX(Calc!$K:$K,(ROW(E427)-1)*5+COLUMN(E427)+1),",",".")</f>
        <v/>
      </c>
      <c r="K428" s="47" t="inlineStr">
        <is>
          <t>], 'type' =&gt; "</t>
        </is>
      </c>
      <c r="L428" s="101">
        <f>Закуп!AA428</f>
        <v/>
      </c>
      <c r="M428" s="47" t="inlineStr">
        <is>
          <t>", 'sale' =&gt; "</t>
        </is>
      </c>
      <c r="N428" s="47">
        <f>IF(Закуп!L428="",0,Закуп!L428)</f>
        <v/>
      </c>
      <c r="O428" s="47" t="inlineStr">
        <is>
          <t>" ],</t>
        </is>
      </c>
      <c r="P428" s="165">
        <f>Закуп!N428</f>
        <v/>
      </c>
      <c r="Q428" s="210">
        <f>CONCATENATE(A428,B428,",",C428,",",D428,E428,F428,",",G428,",",H428,",",I428,",",J428,K428,L428,M428,N428,O428,)</f>
        <v/>
      </c>
    </row>
    <row r="429" hidden="1" s="55">
      <c r="A429" s="47" t="inlineStr">
        <is>
          <t xml:space="preserve">        [ 'dims' =&gt; [</t>
        </is>
      </c>
      <c r="B429" s="47">
        <f>Закуп!R429</f>
        <v/>
      </c>
      <c r="C429" s="47">
        <f>Закуп!S429</f>
        <v/>
      </c>
      <c r="D429" s="47">
        <f>Закуп!T429</f>
        <v/>
      </c>
      <c r="E429" s="47" t="inlineStr">
        <is>
          <t>], 'prices' =&gt; [</t>
        </is>
      </c>
      <c r="F429" s="101">
        <f>SUBSTITUTE(INDEX(Calc!$K:$K,(ROW(A428)-1)*5+COLUMN(A428)+1),",",".")</f>
        <v/>
      </c>
      <c r="G429" s="101">
        <f>SUBSTITUTE(INDEX(Calc!$K:$K,(ROW(B428)-1)*5+COLUMN(B428)+1),",",".")</f>
        <v/>
      </c>
      <c r="H429" s="101">
        <f>SUBSTITUTE(INDEX(Calc!$K:$K,(ROW(C428)-1)*5+COLUMN(C428)+1),",",".")</f>
        <v/>
      </c>
      <c r="I429" s="101">
        <f>SUBSTITUTE(INDEX(Calc!$K:$K,(ROW(D428)-1)*5+COLUMN(D428)+1),",",".")</f>
        <v/>
      </c>
      <c r="J429" s="101">
        <f>SUBSTITUTE(INDEX(Calc!$K:$K,(ROW(E428)-1)*5+COLUMN(E428)+1),",",".")</f>
        <v/>
      </c>
      <c r="K429" s="47" t="inlineStr">
        <is>
          <t>], 'type' =&gt; "</t>
        </is>
      </c>
      <c r="L429" s="101">
        <f>Закуп!AA429</f>
        <v/>
      </c>
      <c r="M429" s="47" t="inlineStr">
        <is>
          <t>", 'sale' =&gt; "</t>
        </is>
      </c>
      <c r="N429" s="47">
        <f>IF(Закуп!L429="",0,Закуп!L429)</f>
        <v/>
      </c>
      <c r="O429" s="47" t="inlineStr">
        <is>
          <t>" ],</t>
        </is>
      </c>
      <c r="P429" s="165">
        <f>Закуп!N429</f>
        <v/>
      </c>
      <c r="Q429" s="210">
        <f>CONCATENATE(A429,B429,",",C429,",",D429,E429,F429,",",G429,",",H429,",",I429,",",J429,K429,L429,M429,N429,O429,)</f>
        <v/>
      </c>
    </row>
    <row r="430" hidden="1" s="55">
      <c r="A430" s="47" t="inlineStr">
        <is>
          <t xml:space="preserve">        [ 'dims' =&gt; [</t>
        </is>
      </c>
      <c r="B430" s="47">
        <f>Закуп!R430</f>
        <v/>
      </c>
      <c r="C430" s="47">
        <f>Закуп!S430</f>
        <v/>
      </c>
      <c r="D430" s="47">
        <f>Закуп!T430</f>
        <v/>
      </c>
      <c r="E430" s="47" t="inlineStr">
        <is>
          <t>], 'prices' =&gt; [</t>
        </is>
      </c>
      <c r="F430" s="101">
        <f>SUBSTITUTE(INDEX(Calc!$K:$K,(ROW(A429)-1)*5+COLUMN(A429)+1),",",".")</f>
        <v/>
      </c>
      <c r="G430" s="101">
        <f>SUBSTITUTE(INDEX(Calc!$K:$K,(ROW(B429)-1)*5+COLUMN(B429)+1),",",".")</f>
        <v/>
      </c>
      <c r="H430" s="101">
        <f>SUBSTITUTE(INDEX(Calc!$K:$K,(ROW(C429)-1)*5+COLUMN(C429)+1),",",".")</f>
        <v/>
      </c>
      <c r="I430" s="101">
        <f>SUBSTITUTE(INDEX(Calc!$K:$K,(ROW(D429)-1)*5+COLUMN(D429)+1),",",".")</f>
        <v/>
      </c>
      <c r="J430" s="101">
        <f>SUBSTITUTE(INDEX(Calc!$K:$K,(ROW(E429)-1)*5+COLUMN(E429)+1),",",".")</f>
        <v/>
      </c>
      <c r="K430" s="47" t="inlineStr">
        <is>
          <t>], 'type' =&gt; "</t>
        </is>
      </c>
      <c r="L430" s="101">
        <f>Закуп!AA430</f>
        <v/>
      </c>
      <c r="M430" s="47" t="inlineStr">
        <is>
          <t>", 'sale' =&gt; "</t>
        </is>
      </c>
      <c r="N430" s="47">
        <f>IF(Закуп!L430="",0,Закуп!L430)</f>
        <v/>
      </c>
      <c r="O430" s="47" t="inlineStr">
        <is>
          <t>" ],</t>
        </is>
      </c>
      <c r="P430" s="165">
        <f>Закуп!N430</f>
        <v/>
      </c>
      <c r="Q430" s="210">
        <f>CONCATENATE(A430,B430,",",C430,",",D430,E430,F430,",",G430,",",H430,",",I430,",",J430,K430,L430,M430,N430,O430,)</f>
        <v/>
      </c>
    </row>
    <row r="431" hidden="1" s="55">
      <c r="A431" s="47" t="inlineStr">
        <is>
          <t xml:space="preserve">        [ 'dims' =&gt; [</t>
        </is>
      </c>
      <c r="B431" s="47">
        <f>Закуп!R431</f>
        <v/>
      </c>
      <c r="C431" s="47">
        <f>Закуп!S431</f>
        <v/>
      </c>
      <c r="D431" s="47">
        <f>Закуп!T431</f>
        <v/>
      </c>
      <c r="E431" s="47" t="inlineStr">
        <is>
          <t>], 'prices' =&gt; [</t>
        </is>
      </c>
      <c r="F431" s="101">
        <f>SUBSTITUTE(INDEX(Calc!$K:$K,(ROW(A430)-1)*5+COLUMN(A430)+1),",",".")</f>
        <v/>
      </c>
      <c r="G431" s="101">
        <f>SUBSTITUTE(INDEX(Calc!$K:$K,(ROW(B430)-1)*5+COLUMN(B430)+1),",",".")</f>
        <v/>
      </c>
      <c r="H431" s="101">
        <f>SUBSTITUTE(INDEX(Calc!$K:$K,(ROW(C430)-1)*5+COLUMN(C430)+1),",",".")</f>
        <v/>
      </c>
      <c r="I431" s="101">
        <f>SUBSTITUTE(INDEX(Calc!$K:$K,(ROW(D430)-1)*5+COLUMN(D430)+1),",",".")</f>
        <v/>
      </c>
      <c r="J431" s="101">
        <f>SUBSTITUTE(INDEX(Calc!$K:$K,(ROW(E430)-1)*5+COLUMN(E430)+1),",",".")</f>
        <v/>
      </c>
      <c r="K431" s="47" t="inlineStr">
        <is>
          <t>], 'type' =&gt; "</t>
        </is>
      </c>
      <c r="L431" s="101">
        <f>Закуп!AA431</f>
        <v/>
      </c>
      <c r="M431" s="47" t="inlineStr">
        <is>
          <t>", 'sale' =&gt; "</t>
        </is>
      </c>
      <c r="N431" s="47">
        <f>IF(Закуп!L431="",0,Закуп!L431)</f>
        <v/>
      </c>
      <c r="O431" s="47" t="inlineStr">
        <is>
          <t>" ],</t>
        </is>
      </c>
      <c r="P431" s="165">
        <f>Закуп!N431</f>
        <v/>
      </c>
      <c r="Q431" s="210">
        <f>CONCATENATE(A431,B431,",",C431,",",D431,E431,F431,",",G431,",",H431,",",I431,",",J431,K431,L431,M431,N431,O431,)</f>
        <v/>
      </c>
    </row>
    <row r="432" hidden="1" s="55">
      <c r="A432" s="47" t="inlineStr">
        <is>
          <t xml:space="preserve">        [ 'dims' =&gt; [</t>
        </is>
      </c>
      <c r="B432" s="47">
        <f>Закуп!R432</f>
        <v/>
      </c>
      <c r="C432" s="47">
        <f>Закуп!S432</f>
        <v/>
      </c>
      <c r="D432" s="47">
        <f>Закуп!T432</f>
        <v/>
      </c>
      <c r="E432" s="47" t="inlineStr">
        <is>
          <t>], 'prices' =&gt; [</t>
        </is>
      </c>
      <c r="F432" s="101">
        <f>SUBSTITUTE(INDEX(Calc!$K:$K,(ROW(A431)-1)*5+COLUMN(A431)+1),",",".")</f>
        <v/>
      </c>
      <c r="G432" s="101">
        <f>SUBSTITUTE(INDEX(Calc!$K:$K,(ROW(B431)-1)*5+COLUMN(B431)+1),",",".")</f>
        <v/>
      </c>
      <c r="H432" s="101">
        <f>SUBSTITUTE(INDEX(Calc!$K:$K,(ROW(C431)-1)*5+COLUMN(C431)+1),",",".")</f>
        <v/>
      </c>
      <c r="I432" s="101">
        <f>SUBSTITUTE(INDEX(Calc!$K:$K,(ROW(D431)-1)*5+COLUMN(D431)+1),",",".")</f>
        <v/>
      </c>
      <c r="J432" s="101">
        <f>SUBSTITUTE(INDEX(Calc!$K:$K,(ROW(E431)-1)*5+COLUMN(E431)+1),",",".")</f>
        <v/>
      </c>
      <c r="K432" s="47" t="inlineStr">
        <is>
          <t>], 'type' =&gt; "</t>
        </is>
      </c>
      <c r="L432" s="101">
        <f>Закуп!AA432</f>
        <v/>
      </c>
      <c r="M432" s="47" t="inlineStr">
        <is>
          <t>", 'sale' =&gt; "</t>
        </is>
      </c>
      <c r="N432" s="47">
        <f>IF(Закуп!L432="",0,Закуп!L432)</f>
        <v/>
      </c>
      <c r="O432" s="47" t="inlineStr">
        <is>
          <t>" ],</t>
        </is>
      </c>
      <c r="P432" s="165">
        <f>Закуп!N432</f>
        <v/>
      </c>
      <c r="Q432" s="210">
        <f>CONCATENATE(A432,B432,",",C432,",",D432,E432,F432,",",G432,",",H432,",",I432,",",J432,K432,L432,M432,N432,O432,)</f>
        <v/>
      </c>
    </row>
    <row r="433" hidden="1" s="55">
      <c r="A433" s="47" t="inlineStr">
        <is>
          <t xml:space="preserve">        [ 'dims' =&gt; [</t>
        </is>
      </c>
      <c r="B433" s="47">
        <f>Закуп!R433</f>
        <v/>
      </c>
      <c r="C433" s="47">
        <f>Закуп!S433</f>
        <v/>
      </c>
      <c r="D433" s="47">
        <f>Закуп!T433</f>
        <v/>
      </c>
      <c r="E433" s="47" t="inlineStr">
        <is>
          <t>], 'prices' =&gt; [</t>
        </is>
      </c>
      <c r="F433" s="101">
        <f>SUBSTITUTE(INDEX(Calc!$K:$K,(ROW(A432)-1)*5+COLUMN(A432)+1),",",".")</f>
        <v/>
      </c>
      <c r="G433" s="101">
        <f>SUBSTITUTE(INDEX(Calc!$K:$K,(ROW(B432)-1)*5+COLUMN(B432)+1),",",".")</f>
        <v/>
      </c>
      <c r="H433" s="101">
        <f>SUBSTITUTE(INDEX(Calc!$K:$K,(ROW(C432)-1)*5+COLUMN(C432)+1),",",".")</f>
        <v/>
      </c>
      <c r="I433" s="101">
        <f>SUBSTITUTE(INDEX(Calc!$K:$K,(ROW(D432)-1)*5+COLUMN(D432)+1),",",".")</f>
        <v/>
      </c>
      <c r="J433" s="101">
        <f>SUBSTITUTE(INDEX(Calc!$K:$K,(ROW(E432)-1)*5+COLUMN(E432)+1),",",".")</f>
        <v/>
      </c>
      <c r="K433" s="47" t="inlineStr">
        <is>
          <t>], 'type' =&gt; "</t>
        </is>
      </c>
      <c r="L433" s="101">
        <f>Закуп!AA433</f>
        <v/>
      </c>
      <c r="M433" s="47" t="inlineStr">
        <is>
          <t>", 'sale' =&gt; "</t>
        </is>
      </c>
      <c r="N433" s="47">
        <f>IF(Закуп!L433="",0,Закуп!L433)</f>
        <v/>
      </c>
      <c r="O433" s="47" t="inlineStr">
        <is>
          <t>" ],</t>
        </is>
      </c>
      <c r="P433" s="165">
        <f>Закуп!N433</f>
        <v/>
      </c>
      <c r="Q433" s="210">
        <f>CONCATENATE(A433,B433,",",C433,",",D433,E433,F433,",",G433,",",H433,",",I433,",",J433,K433,L433,M433,N433,O433,)</f>
        <v/>
      </c>
    </row>
    <row r="434" hidden="1" s="55">
      <c r="A434" s="47" t="inlineStr">
        <is>
          <t xml:space="preserve">        [ 'dims' =&gt; [</t>
        </is>
      </c>
      <c r="B434" s="47">
        <f>Закуп!R434</f>
        <v/>
      </c>
      <c r="C434" s="47">
        <f>Закуп!S434</f>
        <v/>
      </c>
      <c r="D434" s="47">
        <f>Закуп!T434</f>
        <v/>
      </c>
      <c r="E434" s="47" t="inlineStr">
        <is>
          <t>], 'prices' =&gt; [</t>
        </is>
      </c>
      <c r="F434" s="101">
        <f>SUBSTITUTE(INDEX(Calc!$K:$K,(ROW(A433)-1)*5+COLUMN(A433)+1),",",".")</f>
        <v/>
      </c>
      <c r="G434" s="101">
        <f>SUBSTITUTE(INDEX(Calc!$K:$K,(ROW(B433)-1)*5+COLUMN(B433)+1),",",".")</f>
        <v/>
      </c>
      <c r="H434" s="101">
        <f>SUBSTITUTE(INDEX(Calc!$K:$K,(ROW(C433)-1)*5+COLUMN(C433)+1),",",".")</f>
        <v/>
      </c>
      <c r="I434" s="101">
        <f>SUBSTITUTE(INDEX(Calc!$K:$K,(ROW(D433)-1)*5+COLUMN(D433)+1),",",".")</f>
        <v/>
      </c>
      <c r="J434" s="101">
        <f>SUBSTITUTE(INDEX(Calc!$K:$K,(ROW(E433)-1)*5+COLUMN(E433)+1),",",".")</f>
        <v/>
      </c>
      <c r="K434" s="47" t="inlineStr">
        <is>
          <t>], 'type' =&gt; "</t>
        </is>
      </c>
      <c r="L434" s="101">
        <f>Закуп!AA434</f>
        <v/>
      </c>
      <c r="M434" s="47" t="inlineStr">
        <is>
          <t>", 'sale' =&gt; "</t>
        </is>
      </c>
      <c r="N434" s="47">
        <f>IF(Закуп!L434="",0,Закуп!L434)</f>
        <v/>
      </c>
      <c r="O434" s="47" t="inlineStr">
        <is>
          <t>" ],</t>
        </is>
      </c>
      <c r="P434" s="165">
        <f>Закуп!N434</f>
        <v/>
      </c>
      <c r="Q434" s="210">
        <f>CONCATENATE(A434,B434,",",C434,",",D434,E434,F434,",",G434,",",H434,",",I434,",",J434,K434,L434,M434,N434,O434,)</f>
        <v/>
      </c>
    </row>
    <row r="435" hidden="1" s="55">
      <c r="A435" s="47" t="inlineStr">
        <is>
          <t xml:space="preserve">        [ 'dims' =&gt; [</t>
        </is>
      </c>
      <c r="B435" s="47">
        <f>Закуп!R435</f>
        <v/>
      </c>
      <c r="C435" s="47">
        <f>Закуп!S435</f>
        <v/>
      </c>
      <c r="D435" s="47">
        <f>Закуп!T435</f>
        <v/>
      </c>
      <c r="E435" s="47" t="inlineStr">
        <is>
          <t>], 'prices' =&gt; [</t>
        </is>
      </c>
      <c r="F435" s="101">
        <f>SUBSTITUTE(INDEX(Calc!$K:$K,(ROW(A434)-1)*5+COLUMN(A434)+1),",",".")</f>
        <v/>
      </c>
      <c r="G435" s="101">
        <f>SUBSTITUTE(INDEX(Calc!$K:$K,(ROW(B434)-1)*5+COLUMN(B434)+1),",",".")</f>
        <v/>
      </c>
      <c r="H435" s="101">
        <f>SUBSTITUTE(INDEX(Calc!$K:$K,(ROW(C434)-1)*5+COLUMN(C434)+1),",",".")</f>
        <v/>
      </c>
      <c r="I435" s="101">
        <f>SUBSTITUTE(INDEX(Calc!$K:$K,(ROW(D434)-1)*5+COLUMN(D434)+1),",",".")</f>
        <v/>
      </c>
      <c r="J435" s="101">
        <f>SUBSTITUTE(INDEX(Calc!$K:$K,(ROW(E434)-1)*5+COLUMN(E434)+1),",",".")</f>
        <v/>
      </c>
      <c r="K435" s="47" t="inlineStr">
        <is>
          <t>], 'type' =&gt; "</t>
        </is>
      </c>
      <c r="L435" s="101">
        <f>Закуп!AA435</f>
        <v/>
      </c>
      <c r="M435" s="47" t="inlineStr">
        <is>
          <t>", 'sale' =&gt; "</t>
        </is>
      </c>
      <c r="N435" s="47">
        <f>IF(Закуп!L435="",0,Закуп!L435)</f>
        <v/>
      </c>
      <c r="O435" s="47" t="inlineStr">
        <is>
          <t>" ],</t>
        </is>
      </c>
      <c r="P435" s="165">
        <f>Закуп!N435</f>
        <v/>
      </c>
      <c r="Q435" s="210">
        <f>CONCATENATE(A435,B435,",",C435,",",D435,E435,F435,",",G435,",",H435,",",I435,",",J435,K435,L435,M435,N435,O435,)</f>
        <v/>
      </c>
    </row>
    <row r="436" hidden="1" s="55">
      <c r="A436" s="47" t="inlineStr">
        <is>
          <t xml:space="preserve">        [ 'dims' =&gt; [</t>
        </is>
      </c>
      <c r="B436" s="47">
        <f>Закуп!R436</f>
        <v/>
      </c>
      <c r="C436" s="47">
        <f>Закуп!S436</f>
        <v/>
      </c>
      <c r="D436" s="47">
        <f>Закуп!T436</f>
        <v/>
      </c>
      <c r="E436" s="47" t="inlineStr">
        <is>
          <t>], 'prices' =&gt; [</t>
        </is>
      </c>
      <c r="F436" s="101">
        <f>SUBSTITUTE(INDEX(Calc!$K:$K,(ROW(A435)-1)*5+COLUMN(A435)+1),",",".")</f>
        <v/>
      </c>
      <c r="G436" s="101">
        <f>SUBSTITUTE(INDEX(Calc!$K:$K,(ROW(B435)-1)*5+COLUMN(B435)+1),",",".")</f>
        <v/>
      </c>
      <c r="H436" s="101">
        <f>SUBSTITUTE(INDEX(Calc!$K:$K,(ROW(C435)-1)*5+COLUMN(C435)+1),",",".")</f>
        <v/>
      </c>
      <c r="I436" s="101">
        <f>SUBSTITUTE(INDEX(Calc!$K:$K,(ROW(D435)-1)*5+COLUMN(D435)+1),",",".")</f>
        <v/>
      </c>
      <c r="J436" s="101">
        <f>SUBSTITUTE(INDEX(Calc!$K:$K,(ROW(E435)-1)*5+COLUMN(E435)+1),",",".")</f>
        <v/>
      </c>
      <c r="K436" s="47" t="inlineStr">
        <is>
          <t>], 'type' =&gt; "</t>
        </is>
      </c>
      <c r="L436" s="101">
        <f>Закуп!AA436</f>
        <v/>
      </c>
      <c r="M436" s="47" t="inlineStr">
        <is>
          <t>", 'sale' =&gt; "</t>
        </is>
      </c>
      <c r="N436" s="47">
        <f>IF(Закуп!L436="",0,Закуп!L436)</f>
        <v/>
      </c>
      <c r="O436" s="47" t="inlineStr">
        <is>
          <t>" ],</t>
        </is>
      </c>
      <c r="P436" s="165">
        <f>Закуп!N436</f>
        <v/>
      </c>
      <c r="Q436" s="210">
        <f>CONCATENATE(A436,B436,",",C436,",",D436,E436,F436,",",G436,",",H436,",",I436,",",J436,K436,L436,M436,N436,O436,)</f>
        <v/>
      </c>
    </row>
    <row r="437" hidden="1" s="55">
      <c r="A437" s="47" t="inlineStr">
        <is>
          <t xml:space="preserve">        [ 'dims' =&gt; [</t>
        </is>
      </c>
      <c r="B437" s="47">
        <f>Закуп!R437</f>
        <v/>
      </c>
      <c r="C437" s="47">
        <f>Закуп!S437</f>
        <v/>
      </c>
      <c r="D437" s="47">
        <f>Закуп!T437</f>
        <v/>
      </c>
      <c r="E437" s="47" t="inlineStr">
        <is>
          <t>], 'prices' =&gt; [</t>
        </is>
      </c>
      <c r="F437" s="101">
        <f>SUBSTITUTE(INDEX(Calc!$K:$K,(ROW(A436)-1)*5+COLUMN(A436)+1),",",".")</f>
        <v/>
      </c>
      <c r="G437" s="101">
        <f>SUBSTITUTE(INDEX(Calc!$K:$K,(ROW(B436)-1)*5+COLUMN(B436)+1),",",".")</f>
        <v/>
      </c>
      <c r="H437" s="101">
        <f>SUBSTITUTE(INDEX(Calc!$K:$K,(ROW(C436)-1)*5+COLUMN(C436)+1),",",".")</f>
        <v/>
      </c>
      <c r="I437" s="101">
        <f>SUBSTITUTE(INDEX(Calc!$K:$K,(ROW(D436)-1)*5+COLUMN(D436)+1),",",".")</f>
        <v/>
      </c>
      <c r="J437" s="101">
        <f>SUBSTITUTE(INDEX(Calc!$K:$K,(ROW(E436)-1)*5+COLUMN(E436)+1),",",".")</f>
        <v/>
      </c>
      <c r="K437" s="47" t="inlineStr">
        <is>
          <t>], 'type' =&gt; "</t>
        </is>
      </c>
      <c r="L437" s="101">
        <f>Закуп!AA437</f>
        <v/>
      </c>
      <c r="M437" s="47" t="inlineStr">
        <is>
          <t>", 'sale' =&gt; "</t>
        </is>
      </c>
      <c r="N437" s="47">
        <f>IF(Закуп!L437="",0,Закуп!L437)</f>
        <v/>
      </c>
      <c r="O437" s="47" t="inlineStr">
        <is>
          <t>" ],</t>
        </is>
      </c>
      <c r="P437" s="165">
        <f>Закуп!N437</f>
        <v/>
      </c>
      <c r="Q437" s="210">
        <f>CONCATENATE(A437,B437,",",C437,",",D437,E437,F437,",",G437,",",H437,",",I437,",",J437,K437,L437,M437,N437,O437,)</f>
        <v/>
      </c>
    </row>
    <row r="438" hidden="1" s="55">
      <c r="A438" s="47" t="inlineStr">
        <is>
          <t xml:space="preserve">        [ 'dims' =&gt; [</t>
        </is>
      </c>
      <c r="B438" s="47">
        <f>Закуп!R438</f>
        <v/>
      </c>
      <c r="C438" s="47">
        <f>Закуп!S438</f>
        <v/>
      </c>
      <c r="D438" s="47">
        <f>Закуп!T438</f>
        <v/>
      </c>
      <c r="E438" s="47" t="inlineStr">
        <is>
          <t>], 'prices' =&gt; [</t>
        </is>
      </c>
      <c r="F438" s="101">
        <f>SUBSTITUTE(INDEX(Calc!$K:$K,(ROW(A437)-1)*5+COLUMN(A437)+1),",",".")</f>
        <v/>
      </c>
      <c r="G438" s="101">
        <f>SUBSTITUTE(INDEX(Calc!$K:$K,(ROW(B437)-1)*5+COLUMN(B437)+1),",",".")</f>
        <v/>
      </c>
      <c r="H438" s="101">
        <f>SUBSTITUTE(INDEX(Calc!$K:$K,(ROW(C437)-1)*5+COLUMN(C437)+1),",",".")</f>
        <v/>
      </c>
      <c r="I438" s="101">
        <f>SUBSTITUTE(INDEX(Calc!$K:$K,(ROW(D437)-1)*5+COLUMN(D437)+1),",",".")</f>
        <v/>
      </c>
      <c r="J438" s="101">
        <f>SUBSTITUTE(INDEX(Calc!$K:$K,(ROW(E437)-1)*5+COLUMN(E437)+1),",",".")</f>
        <v/>
      </c>
      <c r="K438" s="47" t="inlineStr">
        <is>
          <t>], 'type' =&gt; "</t>
        </is>
      </c>
      <c r="L438" s="101">
        <f>Закуп!AA438</f>
        <v/>
      </c>
      <c r="M438" s="47" t="inlineStr">
        <is>
          <t>", 'sale' =&gt; "</t>
        </is>
      </c>
      <c r="N438" s="47">
        <f>IF(Закуп!L438="",0,Закуп!L438)</f>
        <v/>
      </c>
      <c r="O438" s="47" t="inlineStr">
        <is>
          <t>" ],</t>
        </is>
      </c>
      <c r="P438" s="165">
        <f>Закуп!N438</f>
        <v/>
      </c>
      <c r="Q438" s="210">
        <f>CONCATENATE(A438,B438,",",C438,",",D438,E438,F438,",",G438,",",H438,",",I438,",",J438,K438,L438,M438,N438,O438,)</f>
        <v/>
      </c>
    </row>
    <row r="439" hidden="1" s="55">
      <c r="A439" s="47" t="inlineStr">
        <is>
          <t xml:space="preserve">        [ 'dims' =&gt; [</t>
        </is>
      </c>
      <c r="B439" s="47">
        <f>Закуп!R439</f>
        <v/>
      </c>
      <c r="C439" s="47">
        <f>Закуп!S439</f>
        <v/>
      </c>
      <c r="D439" s="47">
        <f>Закуп!T439</f>
        <v/>
      </c>
      <c r="E439" s="47" t="inlineStr">
        <is>
          <t>], 'prices' =&gt; [</t>
        </is>
      </c>
      <c r="F439" s="101">
        <f>SUBSTITUTE(INDEX(Calc!$K:$K,(ROW(A438)-1)*5+COLUMN(A438)+1),",",".")</f>
        <v/>
      </c>
      <c r="G439" s="101">
        <f>SUBSTITUTE(INDEX(Calc!$K:$K,(ROW(B438)-1)*5+COLUMN(B438)+1),",",".")</f>
        <v/>
      </c>
      <c r="H439" s="101">
        <f>SUBSTITUTE(INDEX(Calc!$K:$K,(ROW(C438)-1)*5+COLUMN(C438)+1),",",".")</f>
        <v/>
      </c>
      <c r="I439" s="101">
        <f>SUBSTITUTE(INDEX(Calc!$K:$K,(ROW(D438)-1)*5+COLUMN(D438)+1),",",".")</f>
        <v/>
      </c>
      <c r="J439" s="101">
        <f>SUBSTITUTE(INDEX(Calc!$K:$K,(ROW(E438)-1)*5+COLUMN(E438)+1),",",".")</f>
        <v/>
      </c>
      <c r="K439" s="47" t="inlineStr">
        <is>
          <t>], 'type' =&gt; "</t>
        </is>
      </c>
      <c r="L439" s="101">
        <f>Закуп!AA439</f>
        <v/>
      </c>
      <c r="M439" s="47" t="inlineStr">
        <is>
          <t>", 'sale' =&gt; "</t>
        </is>
      </c>
      <c r="N439" s="47">
        <f>IF(Закуп!L439="",0,Закуп!L439)</f>
        <v/>
      </c>
      <c r="O439" s="47" t="inlineStr">
        <is>
          <t>" ],</t>
        </is>
      </c>
      <c r="P439" s="165">
        <f>Закуп!N439</f>
        <v/>
      </c>
      <c r="Q439" s="210">
        <f>CONCATENATE(A439,B439,",",C439,",",D439,E439,F439,",",G439,",",H439,",",I439,",",J439,K439,L439,M439,N439,O439,)</f>
        <v/>
      </c>
    </row>
    <row r="440" hidden="1" s="55">
      <c r="A440" s="47" t="inlineStr">
        <is>
          <t xml:space="preserve">        [ 'dims' =&gt; [</t>
        </is>
      </c>
      <c r="B440" s="47">
        <f>Закуп!R440</f>
        <v/>
      </c>
      <c r="C440" s="47">
        <f>Закуп!S440</f>
        <v/>
      </c>
      <c r="D440" s="47">
        <f>Закуп!T440</f>
        <v/>
      </c>
      <c r="E440" s="47" t="inlineStr">
        <is>
          <t>], 'prices' =&gt; [</t>
        </is>
      </c>
      <c r="F440" s="101">
        <f>SUBSTITUTE(INDEX(Calc!$K:$K,(ROW(A439)-1)*5+COLUMN(A439)+1),",",".")</f>
        <v/>
      </c>
      <c r="G440" s="101">
        <f>SUBSTITUTE(INDEX(Calc!$K:$K,(ROW(B439)-1)*5+COLUMN(B439)+1),",",".")</f>
        <v/>
      </c>
      <c r="H440" s="101">
        <f>SUBSTITUTE(INDEX(Calc!$K:$K,(ROW(C439)-1)*5+COLUMN(C439)+1),",",".")</f>
        <v/>
      </c>
      <c r="I440" s="101">
        <f>SUBSTITUTE(INDEX(Calc!$K:$K,(ROW(D439)-1)*5+COLUMN(D439)+1),",",".")</f>
        <v/>
      </c>
      <c r="J440" s="101">
        <f>SUBSTITUTE(INDEX(Calc!$K:$K,(ROW(E439)-1)*5+COLUMN(E439)+1),",",".")</f>
        <v/>
      </c>
      <c r="K440" s="47" t="inlineStr">
        <is>
          <t>], 'type' =&gt; "</t>
        </is>
      </c>
      <c r="L440" s="101">
        <f>Закуп!AA440</f>
        <v/>
      </c>
      <c r="M440" s="47" t="inlineStr">
        <is>
          <t>", 'sale' =&gt; "</t>
        </is>
      </c>
      <c r="N440" s="47">
        <f>IF(Закуп!L440="",0,Закуп!L440)</f>
        <v/>
      </c>
      <c r="O440" s="47" t="inlineStr">
        <is>
          <t>" ],</t>
        </is>
      </c>
      <c r="P440" s="165">
        <f>Закуп!N440</f>
        <v/>
      </c>
      <c r="Q440" s="210">
        <f>CONCATENATE(A440,B440,",",C440,",",D440,E440,F440,",",G440,",",H440,",",I440,",",J440,K440,L440,M440,N440,O440,)</f>
        <v/>
      </c>
    </row>
    <row r="441" hidden="1" s="55">
      <c r="A441" s="47" t="inlineStr">
        <is>
          <t xml:space="preserve">        [ 'dims' =&gt; [</t>
        </is>
      </c>
      <c r="B441" s="47">
        <f>Закуп!R441</f>
        <v/>
      </c>
      <c r="C441" s="47">
        <f>Закуп!S441</f>
        <v/>
      </c>
      <c r="D441" s="47">
        <f>Закуп!T441</f>
        <v/>
      </c>
      <c r="E441" s="47" t="inlineStr">
        <is>
          <t>], 'prices' =&gt; [</t>
        </is>
      </c>
      <c r="F441" s="101">
        <f>SUBSTITUTE(INDEX(Calc!$K:$K,(ROW(A440)-1)*5+COLUMN(A440)+1),",",".")</f>
        <v/>
      </c>
      <c r="G441" s="101">
        <f>SUBSTITUTE(INDEX(Calc!$K:$K,(ROW(B440)-1)*5+COLUMN(B440)+1),",",".")</f>
        <v/>
      </c>
      <c r="H441" s="101">
        <f>SUBSTITUTE(INDEX(Calc!$K:$K,(ROW(C440)-1)*5+COLUMN(C440)+1),",",".")</f>
        <v/>
      </c>
      <c r="I441" s="101">
        <f>SUBSTITUTE(INDEX(Calc!$K:$K,(ROW(D440)-1)*5+COLUMN(D440)+1),",",".")</f>
        <v/>
      </c>
      <c r="J441" s="101">
        <f>SUBSTITUTE(INDEX(Calc!$K:$K,(ROW(E440)-1)*5+COLUMN(E440)+1),",",".")</f>
        <v/>
      </c>
      <c r="K441" s="47" t="inlineStr">
        <is>
          <t>], 'type' =&gt; "</t>
        </is>
      </c>
      <c r="L441" s="101">
        <f>Закуп!AA441</f>
        <v/>
      </c>
      <c r="M441" s="47" t="inlineStr">
        <is>
          <t>", 'sale' =&gt; "</t>
        </is>
      </c>
      <c r="N441" s="47">
        <f>IF(Закуп!L441="",0,Закуп!L441)</f>
        <v/>
      </c>
      <c r="O441" s="47" t="inlineStr">
        <is>
          <t>" ],</t>
        </is>
      </c>
      <c r="P441" s="165">
        <f>Закуп!N441</f>
        <v/>
      </c>
      <c r="Q441" s="210">
        <f>CONCATENATE(A441,B441,",",C441,",",D441,E441,F441,",",G441,",",H441,",",I441,",",J441,K441,L441,M441,N441,O441,)</f>
        <v/>
      </c>
    </row>
    <row r="442" hidden="1" s="55">
      <c r="A442" s="47" t="inlineStr">
        <is>
          <t xml:space="preserve">        [ 'dims' =&gt; [</t>
        </is>
      </c>
      <c r="B442" s="47">
        <f>Закуп!R442</f>
        <v/>
      </c>
      <c r="C442" s="47">
        <f>Закуп!S442</f>
        <v/>
      </c>
      <c r="D442" s="47">
        <f>Закуп!T442</f>
        <v/>
      </c>
      <c r="E442" s="47" t="inlineStr">
        <is>
          <t>], 'prices' =&gt; [</t>
        </is>
      </c>
      <c r="F442" s="101">
        <f>SUBSTITUTE(INDEX(Calc!$K:$K,(ROW(A441)-1)*5+COLUMN(A441)+1),",",".")</f>
        <v/>
      </c>
      <c r="G442" s="101">
        <f>SUBSTITUTE(INDEX(Calc!$K:$K,(ROW(B441)-1)*5+COLUMN(B441)+1),",",".")</f>
        <v/>
      </c>
      <c r="H442" s="101">
        <f>SUBSTITUTE(INDEX(Calc!$K:$K,(ROW(C441)-1)*5+COLUMN(C441)+1),",",".")</f>
        <v/>
      </c>
      <c r="I442" s="101">
        <f>SUBSTITUTE(INDEX(Calc!$K:$K,(ROW(D441)-1)*5+COLUMN(D441)+1),",",".")</f>
        <v/>
      </c>
      <c r="J442" s="101">
        <f>SUBSTITUTE(INDEX(Calc!$K:$K,(ROW(E441)-1)*5+COLUMN(E441)+1),",",".")</f>
        <v/>
      </c>
      <c r="K442" s="47" t="inlineStr">
        <is>
          <t>], 'type' =&gt; "</t>
        </is>
      </c>
      <c r="L442" s="101">
        <f>Закуп!AA442</f>
        <v/>
      </c>
      <c r="M442" s="47" t="inlineStr">
        <is>
          <t>", 'sale' =&gt; "</t>
        </is>
      </c>
      <c r="N442" s="47">
        <f>IF(Закуп!L442="",0,Закуп!L442)</f>
        <v/>
      </c>
      <c r="O442" s="47" t="inlineStr">
        <is>
          <t>" ],</t>
        </is>
      </c>
      <c r="P442" s="165">
        <f>Закуп!N442</f>
        <v/>
      </c>
      <c r="Q442" s="210">
        <f>CONCATENATE(A442,B442,",",C442,",",D442,E442,F442,",",G442,",",H442,",",I442,",",J442,K442,L442,M442,N442,O442,)</f>
        <v/>
      </c>
    </row>
    <row r="443" hidden="1" s="55">
      <c r="A443" s="47" t="inlineStr">
        <is>
          <t xml:space="preserve">        [ 'dims' =&gt; [</t>
        </is>
      </c>
      <c r="B443" s="47">
        <f>Закуп!R443</f>
        <v/>
      </c>
      <c r="C443" s="47">
        <f>Закуп!S443</f>
        <v/>
      </c>
      <c r="D443" s="47">
        <f>Закуп!T443</f>
        <v/>
      </c>
      <c r="E443" s="47" t="inlineStr">
        <is>
          <t>], 'prices' =&gt; [</t>
        </is>
      </c>
      <c r="F443" s="101">
        <f>SUBSTITUTE(INDEX(Calc!$K:$K,(ROW(A442)-1)*5+COLUMN(A442)+1),",",".")</f>
        <v/>
      </c>
      <c r="G443" s="101">
        <f>SUBSTITUTE(INDEX(Calc!$K:$K,(ROW(B442)-1)*5+COLUMN(B442)+1),",",".")</f>
        <v/>
      </c>
      <c r="H443" s="101">
        <f>SUBSTITUTE(INDEX(Calc!$K:$K,(ROW(C442)-1)*5+COLUMN(C442)+1),",",".")</f>
        <v/>
      </c>
      <c r="I443" s="101">
        <f>SUBSTITUTE(INDEX(Calc!$K:$K,(ROW(D442)-1)*5+COLUMN(D442)+1),",",".")</f>
        <v/>
      </c>
      <c r="J443" s="101">
        <f>SUBSTITUTE(INDEX(Calc!$K:$K,(ROW(E442)-1)*5+COLUMN(E442)+1),",",".")</f>
        <v/>
      </c>
      <c r="K443" s="47" t="inlineStr">
        <is>
          <t>], 'type' =&gt; "</t>
        </is>
      </c>
      <c r="L443" s="101">
        <f>Закуп!AA443</f>
        <v/>
      </c>
      <c r="M443" s="47" t="inlineStr">
        <is>
          <t>", 'sale' =&gt; "</t>
        </is>
      </c>
      <c r="N443" s="47">
        <f>IF(Закуп!L443="",0,Закуп!L443)</f>
        <v/>
      </c>
      <c r="O443" s="47" t="inlineStr">
        <is>
          <t>" ],</t>
        </is>
      </c>
      <c r="P443" s="165">
        <f>Закуп!N443</f>
        <v/>
      </c>
      <c r="Q443" s="210">
        <f>CONCATENATE(A443,B443,",",C443,",",D443,E443,F443,",",G443,",",H443,",",I443,",",J443,K443,L443,M443,N443,O443,)</f>
        <v/>
      </c>
    </row>
    <row r="444" hidden="1" s="55">
      <c r="A444" s="47" t="inlineStr">
        <is>
          <t xml:space="preserve">        [ 'dims' =&gt; [</t>
        </is>
      </c>
      <c r="B444" s="47">
        <f>Закуп!R444</f>
        <v/>
      </c>
      <c r="C444" s="47">
        <f>Закуп!S444</f>
        <v/>
      </c>
      <c r="D444" s="47">
        <f>Закуп!T444</f>
        <v/>
      </c>
      <c r="E444" s="47" t="inlineStr">
        <is>
          <t>], 'prices' =&gt; [</t>
        </is>
      </c>
      <c r="F444" s="101">
        <f>SUBSTITUTE(INDEX(Calc!$K:$K,(ROW(A443)-1)*5+COLUMN(A443)+1),",",".")</f>
        <v/>
      </c>
      <c r="G444" s="101">
        <f>SUBSTITUTE(INDEX(Calc!$K:$K,(ROW(B443)-1)*5+COLUMN(B443)+1),",",".")</f>
        <v/>
      </c>
      <c r="H444" s="101">
        <f>SUBSTITUTE(INDEX(Calc!$K:$K,(ROW(C443)-1)*5+COLUMN(C443)+1),",",".")</f>
        <v/>
      </c>
      <c r="I444" s="101">
        <f>SUBSTITUTE(INDEX(Calc!$K:$K,(ROW(D443)-1)*5+COLUMN(D443)+1),",",".")</f>
        <v/>
      </c>
      <c r="J444" s="101">
        <f>SUBSTITUTE(INDEX(Calc!$K:$K,(ROW(E443)-1)*5+COLUMN(E443)+1),",",".")</f>
        <v/>
      </c>
      <c r="K444" s="47" t="inlineStr">
        <is>
          <t>], 'type' =&gt; "</t>
        </is>
      </c>
      <c r="L444" s="101">
        <f>Закуп!AA444</f>
        <v/>
      </c>
      <c r="M444" s="47" t="inlineStr">
        <is>
          <t>", 'sale' =&gt; "</t>
        </is>
      </c>
      <c r="N444" s="47">
        <f>IF(Закуп!L444="",0,Закуп!L444)</f>
        <v/>
      </c>
      <c r="O444" s="47" t="inlineStr">
        <is>
          <t>" ],</t>
        </is>
      </c>
      <c r="P444" s="165">
        <f>Закуп!N444</f>
        <v/>
      </c>
      <c r="Q444" s="210">
        <f>CONCATENATE(A444,B444,",",C444,",",D444,E444,F444,",",G444,",",H444,",",I444,",",J444,K444,L444,M444,N444,O444,)</f>
        <v/>
      </c>
    </row>
    <row r="445" hidden="1" s="55">
      <c r="A445" s="47" t="inlineStr">
        <is>
          <t xml:space="preserve">        [ 'dims' =&gt; [</t>
        </is>
      </c>
      <c r="B445" s="47">
        <f>Закуп!R445</f>
        <v/>
      </c>
      <c r="C445" s="47">
        <f>Закуп!S445</f>
        <v/>
      </c>
      <c r="D445" s="47">
        <f>Закуп!T445</f>
        <v/>
      </c>
      <c r="E445" s="47" t="inlineStr">
        <is>
          <t>], 'prices' =&gt; [</t>
        </is>
      </c>
      <c r="F445" s="101">
        <f>SUBSTITUTE(INDEX(Calc!$K:$K,(ROW(A444)-1)*5+COLUMN(A444)+1),",",".")</f>
        <v/>
      </c>
      <c r="G445" s="101">
        <f>SUBSTITUTE(INDEX(Calc!$K:$K,(ROW(B444)-1)*5+COLUMN(B444)+1),",",".")</f>
        <v/>
      </c>
      <c r="H445" s="101">
        <f>SUBSTITUTE(INDEX(Calc!$K:$K,(ROW(C444)-1)*5+COLUMN(C444)+1),",",".")</f>
        <v/>
      </c>
      <c r="I445" s="101">
        <f>SUBSTITUTE(INDEX(Calc!$K:$K,(ROW(D444)-1)*5+COLUMN(D444)+1),",",".")</f>
        <v/>
      </c>
      <c r="J445" s="101">
        <f>SUBSTITUTE(INDEX(Calc!$K:$K,(ROW(E444)-1)*5+COLUMN(E444)+1),",",".")</f>
        <v/>
      </c>
      <c r="K445" s="47" t="inlineStr">
        <is>
          <t>], 'type' =&gt; "</t>
        </is>
      </c>
      <c r="L445" s="101">
        <f>Закуп!AA445</f>
        <v/>
      </c>
      <c r="M445" s="47" t="inlineStr">
        <is>
          <t>", 'sale' =&gt; "</t>
        </is>
      </c>
      <c r="N445" s="47">
        <f>IF(Закуп!L445="",0,Закуп!L445)</f>
        <v/>
      </c>
      <c r="O445" s="47" t="inlineStr">
        <is>
          <t>" ],</t>
        </is>
      </c>
      <c r="P445" s="165">
        <f>Закуп!N445</f>
        <v/>
      </c>
      <c r="Q445" s="210">
        <f>CONCATENATE(A445,B445,",",C445,",",D445,E445,F445,",",G445,",",H445,",",I445,",",J445,K445,L445,M445,N445,O445,)</f>
        <v/>
      </c>
    </row>
    <row r="446" hidden="1" s="55">
      <c r="A446" s="47" t="inlineStr">
        <is>
          <t xml:space="preserve">        [ 'dims' =&gt; [</t>
        </is>
      </c>
      <c r="B446" s="47">
        <f>Закуп!R446</f>
        <v/>
      </c>
      <c r="C446" s="47">
        <f>Закуп!S446</f>
        <v/>
      </c>
      <c r="D446" s="47">
        <f>Закуп!T446</f>
        <v/>
      </c>
      <c r="E446" s="47" t="inlineStr">
        <is>
          <t>], 'prices' =&gt; [</t>
        </is>
      </c>
      <c r="F446" s="101">
        <f>SUBSTITUTE(INDEX(Calc!$K:$K,(ROW(A445)-1)*5+COLUMN(A445)+1),",",".")</f>
        <v/>
      </c>
      <c r="G446" s="101">
        <f>SUBSTITUTE(INDEX(Calc!$K:$K,(ROW(B445)-1)*5+COLUMN(B445)+1),",",".")</f>
        <v/>
      </c>
      <c r="H446" s="101">
        <f>SUBSTITUTE(INDEX(Calc!$K:$K,(ROW(C445)-1)*5+COLUMN(C445)+1),",",".")</f>
        <v/>
      </c>
      <c r="I446" s="101">
        <f>SUBSTITUTE(INDEX(Calc!$K:$K,(ROW(D445)-1)*5+COLUMN(D445)+1),",",".")</f>
        <v/>
      </c>
      <c r="J446" s="101">
        <f>SUBSTITUTE(INDEX(Calc!$K:$K,(ROW(E445)-1)*5+COLUMN(E445)+1),",",".")</f>
        <v/>
      </c>
      <c r="K446" s="47" t="inlineStr">
        <is>
          <t>], 'type' =&gt; "</t>
        </is>
      </c>
      <c r="L446" s="101">
        <f>Закуп!AA446</f>
        <v/>
      </c>
      <c r="M446" s="47" t="inlineStr">
        <is>
          <t>", 'sale' =&gt; "</t>
        </is>
      </c>
      <c r="N446" s="47">
        <f>IF(Закуп!L446="",0,Закуп!L446)</f>
        <v/>
      </c>
      <c r="O446" s="47" t="inlineStr">
        <is>
          <t>" ],</t>
        </is>
      </c>
      <c r="P446" s="165">
        <f>Закуп!N446</f>
        <v/>
      </c>
      <c r="Q446" s="210">
        <f>CONCATENATE(A446,B446,",",C446,",",D446,E446,F446,",",G446,",",H446,",",I446,",",J446,K446,L446,M446,N446,O446,)</f>
        <v/>
      </c>
    </row>
    <row r="447" hidden="1" s="55">
      <c r="A447" s="47" t="inlineStr">
        <is>
          <t xml:space="preserve">        [ 'dims' =&gt; [</t>
        </is>
      </c>
      <c r="B447" s="47">
        <f>Закуп!R447</f>
        <v/>
      </c>
      <c r="C447" s="47">
        <f>Закуп!S447</f>
        <v/>
      </c>
      <c r="D447" s="47">
        <f>Закуп!T447</f>
        <v/>
      </c>
      <c r="E447" s="47" t="inlineStr">
        <is>
          <t>], 'prices' =&gt; [</t>
        </is>
      </c>
      <c r="F447" s="101">
        <f>SUBSTITUTE(INDEX(Calc!$K:$K,(ROW(A446)-1)*5+COLUMN(A446)+1),",",".")</f>
        <v/>
      </c>
      <c r="G447" s="101">
        <f>SUBSTITUTE(INDEX(Calc!$K:$K,(ROW(B446)-1)*5+COLUMN(B446)+1),",",".")</f>
        <v/>
      </c>
      <c r="H447" s="101">
        <f>SUBSTITUTE(INDEX(Calc!$K:$K,(ROW(C446)-1)*5+COLUMN(C446)+1),",",".")</f>
        <v/>
      </c>
      <c r="I447" s="101">
        <f>SUBSTITUTE(INDEX(Calc!$K:$K,(ROW(D446)-1)*5+COLUMN(D446)+1),",",".")</f>
        <v/>
      </c>
      <c r="J447" s="101">
        <f>SUBSTITUTE(INDEX(Calc!$K:$K,(ROW(E446)-1)*5+COLUMN(E446)+1),",",".")</f>
        <v/>
      </c>
      <c r="K447" s="47" t="inlineStr">
        <is>
          <t>], 'type' =&gt; "</t>
        </is>
      </c>
      <c r="L447" s="101">
        <f>Закуп!AA447</f>
        <v/>
      </c>
      <c r="M447" s="47" t="inlineStr">
        <is>
          <t>", 'sale' =&gt; "</t>
        </is>
      </c>
      <c r="N447" s="47">
        <f>IF(Закуп!L447="",0,Закуп!L447)</f>
        <v/>
      </c>
      <c r="O447" s="47" t="inlineStr">
        <is>
          <t>" ],</t>
        </is>
      </c>
      <c r="P447" s="165">
        <f>Закуп!N447</f>
        <v/>
      </c>
      <c r="Q447" s="210">
        <f>CONCATENATE(A447,B447,",",C447,",",D447,E447,F447,",",G447,",",H447,",",I447,",",J447,K447,L447,M447,N447,O447,)</f>
        <v/>
      </c>
    </row>
    <row r="448" hidden="1" s="55">
      <c r="A448" s="47" t="inlineStr">
        <is>
          <t xml:space="preserve">        [ 'dims' =&gt; [</t>
        </is>
      </c>
      <c r="B448" s="47">
        <f>Закуп!R448</f>
        <v/>
      </c>
      <c r="C448" s="47">
        <f>Закуп!S448</f>
        <v/>
      </c>
      <c r="D448" s="47">
        <f>Закуп!T448</f>
        <v/>
      </c>
      <c r="E448" s="47" t="inlineStr">
        <is>
          <t>], 'prices' =&gt; [</t>
        </is>
      </c>
      <c r="F448" s="101">
        <f>SUBSTITUTE(INDEX(Calc!$K:$K,(ROW(A447)-1)*5+COLUMN(A447)+1),",",".")</f>
        <v/>
      </c>
      <c r="G448" s="101">
        <f>SUBSTITUTE(INDEX(Calc!$K:$K,(ROW(B447)-1)*5+COLUMN(B447)+1),",",".")</f>
        <v/>
      </c>
      <c r="H448" s="101">
        <f>SUBSTITUTE(INDEX(Calc!$K:$K,(ROW(C447)-1)*5+COLUMN(C447)+1),",",".")</f>
        <v/>
      </c>
      <c r="I448" s="101">
        <f>SUBSTITUTE(INDEX(Calc!$K:$K,(ROW(D447)-1)*5+COLUMN(D447)+1),",",".")</f>
        <v/>
      </c>
      <c r="J448" s="101">
        <f>SUBSTITUTE(INDEX(Calc!$K:$K,(ROW(E447)-1)*5+COLUMN(E447)+1),",",".")</f>
        <v/>
      </c>
      <c r="K448" s="47" t="inlineStr">
        <is>
          <t>], 'type' =&gt; "</t>
        </is>
      </c>
      <c r="L448" s="101">
        <f>Закуп!AA448</f>
        <v/>
      </c>
      <c r="M448" s="47" t="inlineStr">
        <is>
          <t>", 'sale' =&gt; "</t>
        </is>
      </c>
      <c r="N448" s="47">
        <f>IF(Закуп!L448="",0,Закуп!L448)</f>
        <v/>
      </c>
      <c r="O448" s="47" t="inlineStr">
        <is>
          <t>" ],</t>
        </is>
      </c>
      <c r="P448" s="165">
        <f>Закуп!N448</f>
        <v/>
      </c>
      <c r="Q448" s="210">
        <f>CONCATENATE(A448,B448,",",C448,",",D448,E448,F448,",",G448,",",H448,",",I448,",",J448,K448,L448,M448,N448,O448,)</f>
        <v/>
      </c>
    </row>
    <row r="449" hidden="1" s="55">
      <c r="A449" s="47" t="inlineStr">
        <is>
          <t xml:space="preserve">        [ 'dims' =&gt; [</t>
        </is>
      </c>
      <c r="B449" s="47">
        <f>Закуп!R449</f>
        <v/>
      </c>
      <c r="C449" s="47">
        <f>Закуп!S449</f>
        <v/>
      </c>
      <c r="D449" s="47">
        <f>Закуп!T449</f>
        <v/>
      </c>
      <c r="E449" s="47" t="inlineStr">
        <is>
          <t>], 'prices' =&gt; [</t>
        </is>
      </c>
      <c r="F449" s="101">
        <f>SUBSTITUTE(INDEX(Calc!$K:$K,(ROW(A448)-1)*5+COLUMN(A448)+1),",",".")</f>
        <v/>
      </c>
      <c r="G449" s="101">
        <f>SUBSTITUTE(INDEX(Calc!$K:$K,(ROW(B448)-1)*5+COLUMN(B448)+1),",",".")</f>
        <v/>
      </c>
      <c r="H449" s="101">
        <f>SUBSTITUTE(INDEX(Calc!$K:$K,(ROW(C448)-1)*5+COLUMN(C448)+1),",",".")</f>
        <v/>
      </c>
      <c r="I449" s="101">
        <f>SUBSTITUTE(INDEX(Calc!$K:$K,(ROW(D448)-1)*5+COLUMN(D448)+1),",",".")</f>
        <v/>
      </c>
      <c r="J449" s="101">
        <f>SUBSTITUTE(INDEX(Calc!$K:$K,(ROW(E448)-1)*5+COLUMN(E448)+1),",",".")</f>
        <v/>
      </c>
      <c r="K449" s="47" t="inlineStr">
        <is>
          <t>], 'type' =&gt; "</t>
        </is>
      </c>
      <c r="L449" s="101">
        <f>Закуп!AA449</f>
        <v/>
      </c>
      <c r="M449" s="47" t="inlineStr">
        <is>
          <t>", 'sale' =&gt; "</t>
        </is>
      </c>
      <c r="N449" s="47">
        <f>IF(Закуп!L449="",0,Закуп!L449)</f>
        <v/>
      </c>
      <c r="O449" s="47" t="inlineStr">
        <is>
          <t>" ],</t>
        </is>
      </c>
      <c r="P449" s="165">
        <f>Закуп!N449</f>
        <v/>
      </c>
      <c r="Q449" s="210">
        <f>CONCATENATE(A449,B449,",",C449,",",D449,E449,F449,",",G449,",",H449,",",I449,",",J449,K449,L449,M449,N449,O449,)</f>
        <v/>
      </c>
    </row>
    <row r="450" hidden="1" s="55">
      <c r="A450" s="47" t="inlineStr">
        <is>
          <t xml:space="preserve">        [ 'dims' =&gt; [</t>
        </is>
      </c>
      <c r="B450" s="47">
        <f>Закуп!R450</f>
        <v/>
      </c>
      <c r="C450" s="47">
        <f>Закуп!S450</f>
        <v/>
      </c>
      <c r="D450" s="47">
        <f>Закуп!T450</f>
        <v/>
      </c>
      <c r="E450" s="47" t="inlineStr">
        <is>
          <t>], 'prices' =&gt; [</t>
        </is>
      </c>
      <c r="F450" s="101">
        <f>SUBSTITUTE(INDEX(Calc!$K:$K,(ROW(A449)-1)*5+COLUMN(A449)+1),",",".")</f>
        <v/>
      </c>
      <c r="G450" s="101">
        <f>SUBSTITUTE(INDEX(Calc!$K:$K,(ROW(B449)-1)*5+COLUMN(B449)+1),",",".")</f>
        <v/>
      </c>
      <c r="H450" s="101">
        <f>SUBSTITUTE(INDEX(Calc!$K:$K,(ROW(C449)-1)*5+COLUMN(C449)+1),",",".")</f>
        <v/>
      </c>
      <c r="I450" s="101">
        <f>SUBSTITUTE(INDEX(Calc!$K:$K,(ROW(D449)-1)*5+COLUMN(D449)+1),",",".")</f>
        <v/>
      </c>
      <c r="J450" s="101">
        <f>SUBSTITUTE(INDEX(Calc!$K:$K,(ROW(E449)-1)*5+COLUMN(E449)+1),",",".")</f>
        <v/>
      </c>
      <c r="K450" s="47" t="inlineStr">
        <is>
          <t>], 'type' =&gt; "</t>
        </is>
      </c>
      <c r="L450" s="101">
        <f>Закуп!AA450</f>
        <v/>
      </c>
      <c r="M450" s="47" t="inlineStr">
        <is>
          <t>", 'sale' =&gt; "</t>
        </is>
      </c>
      <c r="N450" s="47">
        <f>IF(Закуп!L450="",0,Закуп!L450)</f>
        <v/>
      </c>
      <c r="O450" s="47" t="inlineStr">
        <is>
          <t>" ],</t>
        </is>
      </c>
      <c r="P450" s="165">
        <f>Закуп!N450</f>
        <v/>
      </c>
      <c r="Q450" s="210">
        <f>CONCATENATE(A450,B450,",",C450,",",D450,E450,F450,",",G450,",",H450,",",I450,",",J450,K450,L450,M450,N450,O450,)</f>
        <v/>
      </c>
    </row>
    <row r="451" hidden="1" s="55">
      <c r="A451" s="47" t="inlineStr">
        <is>
          <t xml:space="preserve">        [ 'dims' =&gt; [</t>
        </is>
      </c>
      <c r="B451" s="47">
        <f>Закуп!R451</f>
        <v/>
      </c>
      <c r="C451" s="47">
        <f>Закуп!S451</f>
        <v/>
      </c>
      <c r="D451" s="47">
        <f>Закуп!T451</f>
        <v/>
      </c>
      <c r="E451" s="47" t="inlineStr">
        <is>
          <t>], 'prices' =&gt; [</t>
        </is>
      </c>
      <c r="F451" s="101">
        <f>SUBSTITUTE(INDEX(Calc!$K:$K,(ROW(A450)-1)*5+COLUMN(A450)+1),",",".")</f>
        <v/>
      </c>
      <c r="G451" s="101">
        <f>SUBSTITUTE(INDEX(Calc!$K:$K,(ROW(B450)-1)*5+COLUMN(B450)+1),",",".")</f>
        <v/>
      </c>
      <c r="H451" s="101">
        <f>SUBSTITUTE(INDEX(Calc!$K:$K,(ROW(C450)-1)*5+COLUMN(C450)+1),",",".")</f>
        <v/>
      </c>
      <c r="I451" s="101">
        <f>SUBSTITUTE(INDEX(Calc!$K:$K,(ROW(D450)-1)*5+COLUMN(D450)+1),",",".")</f>
        <v/>
      </c>
      <c r="J451" s="101">
        <f>SUBSTITUTE(INDEX(Calc!$K:$K,(ROW(E450)-1)*5+COLUMN(E450)+1),",",".")</f>
        <v/>
      </c>
      <c r="K451" s="47" t="inlineStr">
        <is>
          <t>], 'type' =&gt; "</t>
        </is>
      </c>
      <c r="L451" s="101">
        <f>Закуп!AA451</f>
        <v/>
      </c>
      <c r="M451" s="47" t="inlineStr">
        <is>
          <t>", 'sale' =&gt; "</t>
        </is>
      </c>
      <c r="N451" s="47">
        <f>IF(Закуп!L451="",0,Закуп!L451)</f>
        <v/>
      </c>
      <c r="O451" s="47" t="inlineStr">
        <is>
          <t>" ],</t>
        </is>
      </c>
      <c r="P451" s="165">
        <f>Закуп!N451</f>
        <v/>
      </c>
      <c r="Q451" s="210">
        <f>CONCATENATE(A451,B451,",",C451,",",D451,E451,F451,",",G451,",",H451,",",I451,",",J451,K451,L451,M451,N451,O451,)</f>
        <v/>
      </c>
    </row>
    <row r="452" hidden="1" s="55">
      <c r="A452" s="47" t="inlineStr">
        <is>
          <t xml:space="preserve">        [ 'dims' =&gt; [</t>
        </is>
      </c>
      <c r="B452" s="47">
        <f>Закуп!R452</f>
        <v/>
      </c>
      <c r="C452" s="47">
        <f>Закуп!S452</f>
        <v/>
      </c>
      <c r="D452" s="47">
        <f>Закуп!T452</f>
        <v/>
      </c>
      <c r="E452" s="47" t="inlineStr">
        <is>
          <t>], 'prices' =&gt; [</t>
        </is>
      </c>
      <c r="F452" s="101">
        <f>SUBSTITUTE(INDEX(Calc!$K:$K,(ROW(A451)-1)*5+COLUMN(A451)+1),",",".")</f>
        <v/>
      </c>
      <c r="G452" s="101">
        <f>SUBSTITUTE(INDEX(Calc!$K:$K,(ROW(B451)-1)*5+COLUMN(B451)+1),",",".")</f>
        <v/>
      </c>
      <c r="H452" s="101">
        <f>SUBSTITUTE(INDEX(Calc!$K:$K,(ROW(C451)-1)*5+COLUMN(C451)+1),",",".")</f>
        <v/>
      </c>
      <c r="I452" s="101">
        <f>SUBSTITUTE(INDEX(Calc!$K:$K,(ROW(D451)-1)*5+COLUMN(D451)+1),",",".")</f>
        <v/>
      </c>
      <c r="J452" s="101">
        <f>SUBSTITUTE(INDEX(Calc!$K:$K,(ROW(E451)-1)*5+COLUMN(E451)+1),",",".")</f>
        <v/>
      </c>
      <c r="K452" s="47" t="inlineStr">
        <is>
          <t>], 'type' =&gt; "</t>
        </is>
      </c>
      <c r="L452" s="101">
        <f>Закуп!AA452</f>
        <v/>
      </c>
      <c r="M452" s="47" t="inlineStr">
        <is>
          <t>", 'sale' =&gt; "</t>
        </is>
      </c>
      <c r="N452" s="47">
        <f>IF(Закуп!L452="",0,Закуп!L452)</f>
        <v/>
      </c>
      <c r="O452" s="47" t="inlineStr">
        <is>
          <t>" ],</t>
        </is>
      </c>
      <c r="P452" s="165">
        <f>Закуп!N452</f>
        <v/>
      </c>
      <c r="Q452" s="210">
        <f>CONCATENATE(A452,B452,",",C452,",",D452,E452,F452,",",G452,",",H452,",",I452,",",J452,K452,L452,M452,N452,O452,)</f>
        <v/>
      </c>
    </row>
    <row r="453" hidden="1" s="55">
      <c r="A453" s="47" t="inlineStr">
        <is>
          <t xml:space="preserve">        [ 'dims' =&gt; [</t>
        </is>
      </c>
      <c r="B453" s="47">
        <f>Закуп!R453</f>
        <v/>
      </c>
      <c r="C453" s="47">
        <f>Закуп!S453</f>
        <v/>
      </c>
      <c r="D453" s="47">
        <f>Закуп!T453</f>
        <v/>
      </c>
      <c r="E453" s="47" t="inlineStr">
        <is>
          <t>], 'prices' =&gt; [</t>
        </is>
      </c>
      <c r="F453" s="101">
        <f>SUBSTITUTE(INDEX(Calc!$K:$K,(ROW(A452)-1)*5+COLUMN(A452)+1),",",".")</f>
        <v/>
      </c>
      <c r="G453" s="101">
        <f>SUBSTITUTE(INDEX(Calc!$K:$K,(ROW(B452)-1)*5+COLUMN(B452)+1),",",".")</f>
        <v/>
      </c>
      <c r="H453" s="101">
        <f>SUBSTITUTE(INDEX(Calc!$K:$K,(ROW(C452)-1)*5+COLUMN(C452)+1),",",".")</f>
        <v/>
      </c>
      <c r="I453" s="101">
        <f>SUBSTITUTE(INDEX(Calc!$K:$K,(ROW(D452)-1)*5+COLUMN(D452)+1),",",".")</f>
        <v/>
      </c>
      <c r="J453" s="101">
        <f>SUBSTITUTE(INDEX(Calc!$K:$K,(ROW(E452)-1)*5+COLUMN(E452)+1),",",".")</f>
        <v/>
      </c>
      <c r="K453" s="47" t="inlineStr">
        <is>
          <t>], 'type' =&gt; "</t>
        </is>
      </c>
      <c r="L453" s="101">
        <f>Закуп!AA453</f>
        <v/>
      </c>
      <c r="M453" s="47" t="inlineStr">
        <is>
          <t>", 'sale' =&gt; "</t>
        </is>
      </c>
      <c r="N453" s="47">
        <f>IF(Закуп!L453="",0,Закуп!L453)</f>
        <v/>
      </c>
      <c r="O453" s="47" t="inlineStr">
        <is>
          <t>" ],</t>
        </is>
      </c>
      <c r="P453" s="165">
        <f>Закуп!N453</f>
        <v/>
      </c>
      <c r="Q453" s="210">
        <f>CONCATENATE(A453,B453,",",C453,",",D453,E453,F453,",",G453,",",H453,",",I453,",",J453,K453,L453,M453,N453,O453,)</f>
        <v/>
      </c>
    </row>
    <row r="454" hidden="1" s="55">
      <c r="A454" s="47" t="inlineStr">
        <is>
          <t xml:space="preserve">        [ 'dims' =&gt; [</t>
        </is>
      </c>
      <c r="B454" s="47">
        <f>Закуп!R454</f>
        <v/>
      </c>
      <c r="C454" s="47">
        <f>Закуп!S454</f>
        <v/>
      </c>
      <c r="D454" s="47">
        <f>Закуп!T454</f>
        <v/>
      </c>
      <c r="E454" s="47" t="inlineStr">
        <is>
          <t>], 'prices' =&gt; [</t>
        </is>
      </c>
      <c r="F454" s="101">
        <f>SUBSTITUTE(INDEX(Calc!$K:$K,(ROW(A453)-1)*5+COLUMN(A453)+1),",",".")</f>
        <v/>
      </c>
      <c r="G454" s="101">
        <f>SUBSTITUTE(INDEX(Calc!$K:$K,(ROW(B453)-1)*5+COLUMN(B453)+1),",",".")</f>
        <v/>
      </c>
      <c r="H454" s="101">
        <f>SUBSTITUTE(INDEX(Calc!$K:$K,(ROW(C453)-1)*5+COLUMN(C453)+1),",",".")</f>
        <v/>
      </c>
      <c r="I454" s="101">
        <f>SUBSTITUTE(INDEX(Calc!$K:$K,(ROW(D453)-1)*5+COLUMN(D453)+1),",",".")</f>
        <v/>
      </c>
      <c r="J454" s="101">
        <f>SUBSTITUTE(INDEX(Calc!$K:$K,(ROW(E453)-1)*5+COLUMN(E453)+1),",",".")</f>
        <v/>
      </c>
      <c r="K454" s="47" t="inlineStr">
        <is>
          <t>], 'type' =&gt; "</t>
        </is>
      </c>
      <c r="L454" s="101">
        <f>Закуп!AA454</f>
        <v/>
      </c>
      <c r="M454" s="47" t="inlineStr">
        <is>
          <t>", 'sale' =&gt; "</t>
        </is>
      </c>
      <c r="N454" s="47">
        <f>IF(Закуп!L454="",0,Закуп!L454)</f>
        <v/>
      </c>
      <c r="O454" s="47" t="inlineStr">
        <is>
          <t>" ],</t>
        </is>
      </c>
      <c r="P454" s="165">
        <f>Закуп!N454</f>
        <v/>
      </c>
      <c r="Q454" s="210">
        <f>CONCATENATE(A454,B454,",",C454,",",D454,E454,F454,",",G454,",",H454,",",I454,",",J454,K454,L454,M454,N454,O454,)</f>
        <v/>
      </c>
    </row>
    <row r="455" hidden="1" s="55">
      <c r="A455" s="47" t="inlineStr">
        <is>
          <t xml:space="preserve">        [ 'dims' =&gt; [</t>
        </is>
      </c>
      <c r="B455" s="47">
        <f>Закуп!R455</f>
        <v/>
      </c>
      <c r="C455" s="47">
        <f>Закуп!S455</f>
        <v/>
      </c>
      <c r="D455" s="47">
        <f>Закуп!T455</f>
        <v/>
      </c>
      <c r="E455" s="47" t="inlineStr">
        <is>
          <t>], 'prices' =&gt; [</t>
        </is>
      </c>
      <c r="F455" s="101">
        <f>SUBSTITUTE(INDEX(Calc!$K:$K,(ROW(A454)-1)*5+COLUMN(A454)+1),",",".")</f>
        <v/>
      </c>
      <c r="G455" s="101">
        <f>SUBSTITUTE(INDEX(Calc!$K:$K,(ROW(B454)-1)*5+COLUMN(B454)+1),",",".")</f>
        <v/>
      </c>
      <c r="H455" s="101">
        <f>SUBSTITUTE(INDEX(Calc!$K:$K,(ROW(C454)-1)*5+COLUMN(C454)+1),",",".")</f>
        <v/>
      </c>
      <c r="I455" s="101">
        <f>SUBSTITUTE(INDEX(Calc!$K:$K,(ROW(D454)-1)*5+COLUMN(D454)+1),",",".")</f>
        <v/>
      </c>
      <c r="J455" s="101">
        <f>SUBSTITUTE(INDEX(Calc!$K:$K,(ROW(E454)-1)*5+COLUMN(E454)+1),",",".")</f>
        <v/>
      </c>
      <c r="K455" s="47" t="inlineStr">
        <is>
          <t>], 'type' =&gt; "</t>
        </is>
      </c>
      <c r="L455" s="101">
        <f>Закуп!AA455</f>
        <v/>
      </c>
      <c r="M455" s="47" t="inlineStr">
        <is>
          <t>", 'sale' =&gt; "</t>
        </is>
      </c>
      <c r="N455" s="47">
        <f>IF(Закуп!L455="",0,Закуп!L455)</f>
        <v/>
      </c>
      <c r="O455" s="47" t="inlineStr">
        <is>
          <t>" ],</t>
        </is>
      </c>
      <c r="P455" s="165">
        <f>Закуп!N455</f>
        <v/>
      </c>
      <c r="Q455" s="210">
        <f>CONCATENATE(A455,B455,",",C455,",",D455,E455,F455,",",G455,",",H455,",",I455,",",J455,K455,L455,M455,N455,O455,)</f>
        <v/>
      </c>
    </row>
    <row r="456" hidden="1" s="55">
      <c r="A456" s="47" t="inlineStr">
        <is>
          <t xml:space="preserve">        [ 'dims' =&gt; [</t>
        </is>
      </c>
      <c r="B456" s="47">
        <f>Закуп!R456</f>
        <v/>
      </c>
      <c r="C456" s="47">
        <f>Закуп!S456</f>
        <v/>
      </c>
      <c r="D456" s="47">
        <f>Закуп!T456</f>
        <v/>
      </c>
      <c r="E456" s="47" t="inlineStr">
        <is>
          <t>], 'prices' =&gt; [</t>
        </is>
      </c>
      <c r="F456" s="101">
        <f>SUBSTITUTE(INDEX(Calc!$K:$K,(ROW(A455)-1)*5+COLUMN(A455)+1),",",".")</f>
        <v/>
      </c>
      <c r="G456" s="101">
        <f>SUBSTITUTE(INDEX(Calc!$K:$K,(ROW(B455)-1)*5+COLUMN(B455)+1),",",".")</f>
        <v/>
      </c>
      <c r="H456" s="101">
        <f>SUBSTITUTE(INDEX(Calc!$K:$K,(ROW(C455)-1)*5+COLUMN(C455)+1),",",".")</f>
        <v/>
      </c>
      <c r="I456" s="101">
        <f>SUBSTITUTE(INDEX(Calc!$K:$K,(ROW(D455)-1)*5+COLUMN(D455)+1),",",".")</f>
        <v/>
      </c>
      <c r="J456" s="101">
        <f>SUBSTITUTE(INDEX(Calc!$K:$K,(ROW(E455)-1)*5+COLUMN(E455)+1),",",".")</f>
        <v/>
      </c>
      <c r="K456" s="47" t="inlineStr">
        <is>
          <t>], 'type' =&gt; "</t>
        </is>
      </c>
      <c r="L456" s="101">
        <f>Закуп!AA456</f>
        <v/>
      </c>
      <c r="M456" s="47" t="inlineStr">
        <is>
          <t>", 'sale' =&gt; "</t>
        </is>
      </c>
      <c r="N456" s="47">
        <f>IF(Закуп!L456="",0,Закуп!L456)</f>
        <v/>
      </c>
      <c r="O456" s="47" t="inlineStr">
        <is>
          <t>" ],</t>
        </is>
      </c>
      <c r="P456" s="165">
        <f>Закуп!N456</f>
        <v/>
      </c>
      <c r="Q456" s="210">
        <f>CONCATENATE(A456,B456,",",C456,",",D456,E456,F456,",",G456,",",H456,",",I456,",",J456,K456,L456,M456,N456,O456,)</f>
        <v/>
      </c>
    </row>
    <row r="457" hidden="1" s="55">
      <c r="A457" s="47" t="inlineStr">
        <is>
          <t xml:space="preserve">        [ 'dims' =&gt; [</t>
        </is>
      </c>
      <c r="B457" s="47">
        <f>Закуп!R457</f>
        <v/>
      </c>
      <c r="C457" s="47">
        <f>Закуп!S457</f>
        <v/>
      </c>
      <c r="D457" s="47">
        <f>Закуп!T457</f>
        <v/>
      </c>
      <c r="E457" s="47" t="inlineStr">
        <is>
          <t>], 'prices' =&gt; [</t>
        </is>
      </c>
      <c r="F457" s="101">
        <f>SUBSTITUTE(INDEX(Calc!$K:$K,(ROW(A456)-1)*5+COLUMN(A456)+1),",",".")</f>
        <v/>
      </c>
      <c r="G457" s="101">
        <f>SUBSTITUTE(INDEX(Calc!$K:$K,(ROW(B456)-1)*5+COLUMN(B456)+1),",",".")</f>
        <v/>
      </c>
      <c r="H457" s="101">
        <f>SUBSTITUTE(INDEX(Calc!$K:$K,(ROW(C456)-1)*5+COLUMN(C456)+1),",",".")</f>
        <v/>
      </c>
      <c r="I457" s="101">
        <f>SUBSTITUTE(INDEX(Calc!$K:$K,(ROW(D456)-1)*5+COLUMN(D456)+1),",",".")</f>
        <v/>
      </c>
      <c r="J457" s="101">
        <f>SUBSTITUTE(INDEX(Calc!$K:$K,(ROW(E456)-1)*5+COLUMN(E456)+1),",",".")</f>
        <v/>
      </c>
      <c r="K457" s="47" t="inlineStr">
        <is>
          <t>], 'type' =&gt; "</t>
        </is>
      </c>
      <c r="L457" s="101">
        <f>Закуп!AA457</f>
        <v/>
      </c>
      <c r="M457" s="47" t="inlineStr">
        <is>
          <t>", 'sale' =&gt; "</t>
        </is>
      </c>
      <c r="N457" s="47">
        <f>IF(Закуп!L457="",0,Закуп!L457)</f>
        <v/>
      </c>
      <c r="O457" s="47" t="inlineStr">
        <is>
          <t>" ],</t>
        </is>
      </c>
      <c r="P457" s="165">
        <f>Закуп!N457</f>
        <v/>
      </c>
      <c r="Q457" s="210">
        <f>CONCATENATE(A457,B457,",",C457,",",D457,E457,F457,",",G457,",",H457,",",I457,",",J457,K457,L457,M457,N457,O457,)</f>
        <v/>
      </c>
    </row>
    <row r="458" hidden="1" s="55">
      <c r="A458" s="47" t="inlineStr">
        <is>
          <t xml:space="preserve">        [ 'dims' =&gt; [</t>
        </is>
      </c>
      <c r="B458" s="47">
        <f>Закуп!R458</f>
        <v/>
      </c>
      <c r="C458" s="47">
        <f>Закуп!S458</f>
        <v/>
      </c>
      <c r="D458" s="47">
        <f>Закуп!T458</f>
        <v/>
      </c>
      <c r="E458" s="47" t="inlineStr">
        <is>
          <t>], 'prices' =&gt; [</t>
        </is>
      </c>
      <c r="F458" s="101">
        <f>SUBSTITUTE(INDEX(Calc!$K:$K,(ROW(A457)-1)*5+COLUMN(A457)+1),",",".")</f>
        <v/>
      </c>
      <c r="G458" s="101">
        <f>SUBSTITUTE(INDEX(Calc!$K:$K,(ROW(B457)-1)*5+COLUMN(B457)+1),",",".")</f>
        <v/>
      </c>
      <c r="H458" s="101">
        <f>SUBSTITUTE(INDEX(Calc!$K:$K,(ROW(C457)-1)*5+COLUMN(C457)+1),",",".")</f>
        <v/>
      </c>
      <c r="I458" s="101">
        <f>SUBSTITUTE(INDEX(Calc!$K:$K,(ROW(D457)-1)*5+COLUMN(D457)+1),",",".")</f>
        <v/>
      </c>
      <c r="J458" s="101">
        <f>SUBSTITUTE(INDEX(Calc!$K:$K,(ROW(E457)-1)*5+COLUMN(E457)+1),",",".")</f>
        <v/>
      </c>
      <c r="K458" s="47" t="inlineStr">
        <is>
          <t>], 'type' =&gt; "</t>
        </is>
      </c>
      <c r="L458" s="101">
        <f>Закуп!AA458</f>
        <v/>
      </c>
      <c r="M458" s="47" t="inlineStr">
        <is>
          <t>", 'sale' =&gt; "</t>
        </is>
      </c>
      <c r="N458" s="47">
        <f>IF(Закуп!L458="",0,Закуп!L458)</f>
        <v/>
      </c>
      <c r="O458" s="47" t="inlineStr">
        <is>
          <t>" ],</t>
        </is>
      </c>
      <c r="P458" s="165">
        <f>Закуп!N458</f>
        <v/>
      </c>
      <c r="Q458" s="210">
        <f>CONCATENATE(A458,B458,",",C458,",",D458,E458,F458,",",G458,",",H458,",",I458,",",J458,K458,L458,M458,N458,O458,)</f>
        <v/>
      </c>
    </row>
    <row r="459" hidden="1" s="55">
      <c r="A459" s="47" t="inlineStr">
        <is>
          <t xml:space="preserve">        [ 'dims' =&gt; [</t>
        </is>
      </c>
      <c r="B459" s="47">
        <f>Закуп!R459</f>
        <v/>
      </c>
      <c r="C459" s="47">
        <f>Закуп!S459</f>
        <v/>
      </c>
      <c r="D459" s="47">
        <f>Закуп!T459</f>
        <v/>
      </c>
      <c r="E459" s="47" t="inlineStr">
        <is>
          <t>], 'prices' =&gt; [</t>
        </is>
      </c>
      <c r="F459" s="101">
        <f>SUBSTITUTE(INDEX(Calc!$K:$K,(ROW(A458)-1)*5+COLUMN(A458)+1),",",".")</f>
        <v/>
      </c>
      <c r="G459" s="101">
        <f>SUBSTITUTE(INDEX(Calc!$K:$K,(ROW(B458)-1)*5+COLUMN(B458)+1),",",".")</f>
        <v/>
      </c>
      <c r="H459" s="101">
        <f>SUBSTITUTE(INDEX(Calc!$K:$K,(ROW(C458)-1)*5+COLUMN(C458)+1),",",".")</f>
        <v/>
      </c>
      <c r="I459" s="101">
        <f>SUBSTITUTE(INDEX(Calc!$K:$K,(ROW(D458)-1)*5+COLUMN(D458)+1),",",".")</f>
        <v/>
      </c>
      <c r="J459" s="101">
        <f>SUBSTITUTE(INDEX(Calc!$K:$K,(ROW(E458)-1)*5+COLUMN(E458)+1),",",".")</f>
        <v/>
      </c>
      <c r="K459" s="47" t="inlineStr">
        <is>
          <t>], 'type' =&gt; "</t>
        </is>
      </c>
      <c r="L459" s="101">
        <f>Закуп!AA459</f>
        <v/>
      </c>
      <c r="M459" s="47" t="inlineStr">
        <is>
          <t>", 'sale' =&gt; "</t>
        </is>
      </c>
      <c r="N459" s="47">
        <f>IF(Закуп!L459="",0,Закуп!L459)</f>
        <v/>
      </c>
      <c r="O459" s="47" t="inlineStr">
        <is>
          <t>" ],</t>
        </is>
      </c>
      <c r="P459" s="165">
        <f>Закуп!N459</f>
        <v/>
      </c>
      <c r="Q459" s="210">
        <f>CONCATENATE(A459,B459,",",C459,",",D459,E459,F459,",",G459,",",H459,",",I459,",",J459,K459,L459,M459,N459,O459,)</f>
        <v/>
      </c>
    </row>
    <row r="460" hidden="1" s="55">
      <c r="A460" s="47" t="inlineStr">
        <is>
          <t xml:space="preserve">        [ 'dims' =&gt; [</t>
        </is>
      </c>
      <c r="B460" s="47">
        <f>Закуп!R460</f>
        <v/>
      </c>
      <c r="C460" s="47">
        <f>Закуп!S460</f>
        <v/>
      </c>
      <c r="D460" s="47">
        <f>Закуп!T460</f>
        <v/>
      </c>
      <c r="E460" s="47" t="inlineStr">
        <is>
          <t>], 'prices' =&gt; [</t>
        </is>
      </c>
      <c r="F460" s="101">
        <f>SUBSTITUTE(INDEX(Calc!$K:$K,(ROW(A459)-1)*5+COLUMN(A459)+1),",",".")</f>
        <v/>
      </c>
      <c r="G460" s="101">
        <f>SUBSTITUTE(INDEX(Calc!$K:$K,(ROW(B459)-1)*5+COLUMN(B459)+1),",",".")</f>
        <v/>
      </c>
      <c r="H460" s="101">
        <f>SUBSTITUTE(INDEX(Calc!$K:$K,(ROW(C459)-1)*5+COLUMN(C459)+1),",",".")</f>
        <v/>
      </c>
      <c r="I460" s="101">
        <f>SUBSTITUTE(INDEX(Calc!$K:$K,(ROW(D459)-1)*5+COLUMN(D459)+1),",",".")</f>
        <v/>
      </c>
      <c r="J460" s="101">
        <f>SUBSTITUTE(INDEX(Calc!$K:$K,(ROW(E459)-1)*5+COLUMN(E459)+1),",",".")</f>
        <v/>
      </c>
      <c r="K460" s="47" t="inlineStr">
        <is>
          <t>], 'type' =&gt; "</t>
        </is>
      </c>
      <c r="L460" s="101">
        <f>Закуп!AA460</f>
        <v/>
      </c>
      <c r="M460" s="47" t="inlineStr">
        <is>
          <t>", 'sale' =&gt; "</t>
        </is>
      </c>
      <c r="N460" s="47">
        <f>IF(Закуп!L460="",0,Закуп!L460)</f>
        <v/>
      </c>
      <c r="O460" s="47" t="inlineStr">
        <is>
          <t>" ],</t>
        </is>
      </c>
      <c r="P460" s="165">
        <f>Закуп!N460</f>
        <v/>
      </c>
      <c r="Q460" s="210">
        <f>CONCATENATE(A460,B460,",",C460,",",D460,E460,F460,",",G460,",",H460,",",I460,",",J460,K460,L460,M460,N460,O460,)</f>
        <v/>
      </c>
    </row>
    <row r="461" hidden="1" s="55">
      <c r="A461" s="47" t="inlineStr">
        <is>
          <t xml:space="preserve">        [ 'dims' =&gt; [</t>
        </is>
      </c>
      <c r="B461" s="47">
        <f>Закуп!R461</f>
        <v/>
      </c>
      <c r="C461" s="47">
        <f>Закуп!S461</f>
        <v/>
      </c>
      <c r="D461" s="47">
        <f>Закуп!T461</f>
        <v/>
      </c>
      <c r="E461" s="47" t="inlineStr">
        <is>
          <t>], 'prices' =&gt; [</t>
        </is>
      </c>
      <c r="F461" s="101">
        <f>SUBSTITUTE(INDEX(Calc!$K:$K,(ROW(A460)-1)*5+COLUMN(A460)+1),",",".")</f>
        <v/>
      </c>
      <c r="G461" s="101">
        <f>SUBSTITUTE(INDEX(Calc!$K:$K,(ROW(B460)-1)*5+COLUMN(B460)+1),",",".")</f>
        <v/>
      </c>
      <c r="H461" s="101">
        <f>SUBSTITUTE(INDEX(Calc!$K:$K,(ROW(C460)-1)*5+COLUMN(C460)+1),",",".")</f>
        <v/>
      </c>
      <c r="I461" s="101">
        <f>SUBSTITUTE(INDEX(Calc!$K:$K,(ROW(D460)-1)*5+COLUMN(D460)+1),",",".")</f>
        <v/>
      </c>
      <c r="J461" s="101">
        <f>SUBSTITUTE(INDEX(Calc!$K:$K,(ROW(E460)-1)*5+COLUMN(E460)+1),",",".")</f>
        <v/>
      </c>
      <c r="K461" s="47" t="inlineStr">
        <is>
          <t>], 'type' =&gt; "</t>
        </is>
      </c>
      <c r="L461" s="101">
        <f>Закуп!AA461</f>
        <v/>
      </c>
      <c r="M461" s="47" t="inlineStr">
        <is>
          <t>", 'sale' =&gt; "</t>
        </is>
      </c>
      <c r="N461" s="47">
        <f>IF(Закуп!L461="",0,Закуп!L461)</f>
        <v/>
      </c>
      <c r="O461" s="47" t="inlineStr">
        <is>
          <t>" ],</t>
        </is>
      </c>
      <c r="P461" s="165">
        <f>Закуп!N461</f>
        <v/>
      </c>
      <c r="Q461" s="210">
        <f>CONCATENATE(A461,B461,",",C461,",",D461,E461,F461,",",G461,",",H461,",",I461,",",J461,K461,L461,M461,N461,O461,)</f>
        <v/>
      </c>
    </row>
    <row r="462" hidden="1" s="55">
      <c r="A462" s="47" t="inlineStr">
        <is>
          <t xml:space="preserve">        [ 'dims' =&gt; [</t>
        </is>
      </c>
      <c r="B462" s="47">
        <f>Закуп!R462</f>
        <v/>
      </c>
      <c r="C462" s="47">
        <f>Закуп!S462</f>
        <v/>
      </c>
      <c r="D462" s="47">
        <f>Закуп!T462</f>
        <v/>
      </c>
      <c r="E462" s="47" t="inlineStr">
        <is>
          <t>], 'prices' =&gt; [</t>
        </is>
      </c>
      <c r="F462" s="101">
        <f>SUBSTITUTE(INDEX(Calc!$K:$K,(ROW(A461)-1)*5+COLUMN(A461)+1),",",".")</f>
        <v/>
      </c>
      <c r="G462" s="101">
        <f>SUBSTITUTE(INDEX(Calc!$K:$K,(ROW(B461)-1)*5+COLUMN(B461)+1),",",".")</f>
        <v/>
      </c>
      <c r="H462" s="101">
        <f>SUBSTITUTE(INDEX(Calc!$K:$K,(ROW(C461)-1)*5+COLUMN(C461)+1),",",".")</f>
        <v/>
      </c>
      <c r="I462" s="101">
        <f>SUBSTITUTE(INDEX(Calc!$K:$K,(ROW(D461)-1)*5+COLUMN(D461)+1),",",".")</f>
        <v/>
      </c>
      <c r="J462" s="101">
        <f>SUBSTITUTE(INDEX(Calc!$K:$K,(ROW(E461)-1)*5+COLUMN(E461)+1),",",".")</f>
        <v/>
      </c>
      <c r="K462" s="47" t="inlineStr">
        <is>
          <t>], 'type' =&gt; "</t>
        </is>
      </c>
      <c r="L462" s="101">
        <f>Закуп!AA462</f>
        <v/>
      </c>
      <c r="M462" s="47" t="inlineStr">
        <is>
          <t>", 'sale' =&gt; "</t>
        </is>
      </c>
      <c r="N462" s="47">
        <f>IF(Закуп!L462="",0,Закуп!L462)</f>
        <v/>
      </c>
      <c r="O462" s="47" t="inlineStr">
        <is>
          <t>" ],</t>
        </is>
      </c>
      <c r="P462" s="165">
        <f>Закуп!N462</f>
        <v/>
      </c>
      <c r="Q462" s="210">
        <f>CONCATENATE(A462,B462,",",C462,",",D462,E462,F462,",",G462,",",H462,",",I462,",",J462,K462,L462,M462,N462,O462,)</f>
        <v/>
      </c>
    </row>
    <row r="463" hidden="1" s="55">
      <c r="A463" s="47" t="inlineStr">
        <is>
          <t xml:space="preserve">        [ 'dims' =&gt; [</t>
        </is>
      </c>
      <c r="B463" s="47">
        <f>Закуп!R463</f>
        <v/>
      </c>
      <c r="C463" s="47">
        <f>Закуп!S463</f>
        <v/>
      </c>
      <c r="D463" s="47">
        <f>Закуп!T463</f>
        <v/>
      </c>
      <c r="E463" s="47" t="inlineStr">
        <is>
          <t>], 'prices' =&gt; [</t>
        </is>
      </c>
      <c r="F463" s="101">
        <f>SUBSTITUTE(INDEX(Calc!$K:$K,(ROW(A462)-1)*5+COLUMN(A462)+1),",",".")</f>
        <v/>
      </c>
      <c r="G463" s="101">
        <f>SUBSTITUTE(INDEX(Calc!$K:$K,(ROW(B462)-1)*5+COLUMN(B462)+1),",",".")</f>
        <v/>
      </c>
      <c r="H463" s="101">
        <f>SUBSTITUTE(INDEX(Calc!$K:$K,(ROW(C462)-1)*5+COLUMN(C462)+1),",",".")</f>
        <v/>
      </c>
      <c r="I463" s="101">
        <f>SUBSTITUTE(INDEX(Calc!$K:$K,(ROW(D462)-1)*5+COLUMN(D462)+1),",",".")</f>
        <v/>
      </c>
      <c r="J463" s="101">
        <f>SUBSTITUTE(INDEX(Calc!$K:$K,(ROW(E462)-1)*5+COLUMN(E462)+1),",",".")</f>
        <v/>
      </c>
      <c r="K463" s="47" t="inlineStr">
        <is>
          <t>], 'type' =&gt; "</t>
        </is>
      </c>
      <c r="L463" s="101">
        <f>Закуп!AA463</f>
        <v/>
      </c>
      <c r="M463" s="47" t="inlineStr">
        <is>
          <t>", 'sale' =&gt; "</t>
        </is>
      </c>
      <c r="N463" s="47">
        <f>IF(Закуп!L463="",0,Закуп!L463)</f>
        <v/>
      </c>
      <c r="O463" s="47" t="inlineStr">
        <is>
          <t>" ],</t>
        </is>
      </c>
      <c r="P463" s="165">
        <f>Закуп!N463</f>
        <v/>
      </c>
      <c r="Q463" s="210">
        <f>CONCATENATE(A463,B463,",",C463,",",D463,E463,F463,",",G463,",",H463,",",I463,",",J463,K463,L463,M463,N463,O463,)</f>
        <v/>
      </c>
    </row>
    <row r="464" hidden="1" s="55">
      <c r="A464" s="47" t="inlineStr">
        <is>
          <t xml:space="preserve">        [ 'dims' =&gt; [</t>
        </is>
      </c>
      <c r="B464" s="47">
        <f>Закуп!R464</f>
        <v/>
      </c>
      <c r="C464" s="47">
        <f>Закуп!S464</f>
        <v/>
      </c>
      <c r="D464" s="47">
        <f>Закуп!T464</f>
        <v/>
      </c>
      <c r="E464" s="47" t="inlineStr">
        <is>
          <t>], 'prices' =&gt; [</t>
        </is>
      </c>
      <c r="F464" s="101">
        <f>SUBSTITUTE(INDEX(Calc!$K:$K,(ROW(A463)-1)*5+COLUMN(A463)+1),",",".")</f>
        <v/>
      </c>
      <c r="G464" s="101">
        <f>SUBSTITUTE(INDEX(Calc!$K:$K,(ROW(B463)-1)*5+COLUMN(B463)+1),",",".")</f>
        <v/>
      </c>
      <c r="H464" s="101">
        <f>SUBSTITUTE(INDEX(Calc!$K:$K,(ROW(C463)-1)*5+COLUMN(C463)+1),",",".")</f>
        <v/>
      </c>
      <c r="I464" s="101">
        <f>SUBSTITUTE(INDEX(Calc!$K:$K,(ROW(D463)-1)*5+COLUMN(D463)+1),",",".")</f>
        <v/>
      </c>
      <c r="J464" s="101">
        <f>SUBSTITUTE(INDEX(Calc!$K:$K,(ROW(E463)-1)*5+COLUMN(E463)+1),",",".")</f>
        <v/>
      </c>
      <c r="K464" s="47" t="inlineStr">
        <is>
          <t>], 'type' =&gt; "</t>
        </is>
      </c>
      <c r="L464" s="101">
        <f>Закуп!AA464</f>
        <v/>
      </c>
      <c r="M464" s="47" t="inlineStr">
        <is>
          <t>", 'sale' =&gt; "</t>
        </is>
      </c>
      <c r="N464" s="47">
        <f>IF(Закуп!L464="",0,Закуп!L464)</f>
        <v/>
      </c>
      <c r="O464" s="47" t="inlineStr">
        <is>
          <t>" ],</t>
        </is>
      </c>
      <c r="P464" s="165">
        <f>Закуп!N464</f>
        <v/>
      </c>
      <c r="Q464" s="210">
        <f>CONCATENATE(A464,B464,",",C464,",",D464,E464,F464,",",G464,",",H464,",",I464,",",J464,K464,L464,M464,N464,O464,)</f>
        <v/>
      </c>
    </row>
    <row r="465" hidden="1" s="55">
      <c r="A465" s="47" t="inlineStr">
        <is>
          <t xml:space="preserve">        [ 'dims' =&gt; [</t>
        </is>
      </c>
      <c r="B465" s="47">
        <f>Закуп!R465</f>
        <v/>
      </c>
      <c r="C465" s="47">
        <f>Закуп!S465</f>
        <v/>
      </c>
      <c r="D465" s="47">
        <f>Закуп!T465</f>
        <v/>
      </c>
      <c r="E465" s="47" t="inlineStr">
        <is>
          <t>], 'prices' =&gt; [</t>
        </is>
      </c>
      <c r="F465" s="101">
        <f>SUBSTITUTE(INDEX(Calc!$K:$K,(ROW(A464)-1)*5+COLUMN(A464)+1),",",".")</f>
        <v/>
      </c>
      <c r="G465" s="101">
        <f>SUBSTITUTE(INDEX(Calc!$K:$K,(ROW(B464)-1)*5+COLUMN(B464)+1),",",".")</f>
        <v/>
      </c>
      <c r="H465" s="101">
        <f>SUBSTITUTE(INDEX(Calc!$K:$K,(ROW(C464)-1)*5+COLUMN(C464)+1),",",".")</f>
        <v/>
      </c>
      <c r="I465" s="101">
        <f>SUBSTITUTE(INDEX(Calc!$K:$K,(ROW(D464)-1)*5+COLUMN(D464)+1),",",".")</f>
        <v/>
      </c>
      <c r="J465" s="101">
        <f>SUBSTITUTE(INDEX(Calc!$K:$K,(ROW(E464)-1)*5+COLUMN(E464)+1),",",".")</f>
        <v/>
      </c>
      <c r="K465" s="47" t="inlineStr">
        <is>
          <t>], 'type' =&gt; "</t>
        </is>
      </c>
      <c r="L465" s="101">
        <f>Закуп!AA465</f>
        <v/>
      </c>
      <c r="M465" s="47" t="inlineStr">
        <is>
          <t>", 'sale' =&gt; "</t>
        </is>
      </c>
      <c r="N465" s="47">
        <f>IF(Закуп!L465="",0,Закуп!L465)</f>
        <v/>
      </c>
      <c r="O465" s="47" t="inlineStr">
        <is>
          <t>" ],</t>
        </is>
      </c>
      <c r="P465" s="165">
        <f>Закуп!N465</f>
        <v/>
      </c>
      <c r="Q465" s="210">
        <f>CONCATENATE(A465,B465,",",C465,",",D465,E465,F465,",",G465,",",H465,",",I465,",",J465,K465,L465,M465,N465,O465,)</f>
        <v/>
      </c>
    </row>
    <row r="466" hidden="1" s="55">
      <c r="A466" s="47" t="inlineStr">
        <is>
          <t xml:space="preserve">        [ 'dims' =&gt; [</t>
        </is>
      </c>
      <c r="B466" s="47">
        <f>Закуп!R466</f>
        <v/>
      </c>
      <c r="C466" s="47">
        <f>Закуп!S466</f>
        <v/>
      </c>
      <c r="D466" s="47">
        <f>Закуп!T466</f>
        <v/>
      </c>
      <c r="E466" s="47" t="inlineStr">
        <is>
          <t>], 'prices' =&gt; [</t>
        </is>
      </c>
      <c r="F466" s="101">
        <f>SUBSTITUTE(INDEX(Calc!$K:$K,(ROW(A465)-1)*5+COLUMN(A465)+1),",",".")</f>
        <v/>
      </c>
      <c r="G466" s="101">
        <f>SUBSTITUTE(INDEX(Calc!$K:$K,(ROW(B465)-1)*5+COLUMN(B465)+1),",",".")</f>
        <v/>
      </c>
      <c r="H466" s="101">
        <f>SUBSTITUTE(INDEX(Calc!$K:$K,(ROW(C465)-1)*5+COLUMN(C465)+1),",",".")</f>
        <v/>
      </c>
      <c r="I466" s="101">
        <f>SUBSTITUTE(INDEX(Calc!$K:$K,(ROW(D465)-1)*5+COLUMN(D465)+1),",",".")</f>
        <v/>
      </c>
      <c r="J466" s="101">
        <f>SUBSTITUTE(INDEX(Calc!$K:$K,(ROW(E465)-1)*5+COLUMN(E465)+1),",",".")</f>
        <v/>
      </c>
      <c r="K466" s="47" t="inlineStr">
        <is>
          <t>], 'type' =&gt; "</t>
        </is>
      </c>
      <c r="L466" s="101">
        <f>Закуп!AA466</f>
        <v/>
      </c>
      <c r="M466" s="47" t="inlineStr">
        <is>
          <t>", 'sale' =&gt; "</t>
        </is>
      </c>
      <c r="N466" s="47">
        <f>IF(Закуп!L466="",0,Закуп!L466)</f>
        <v/>
      </c>
      <c r="O466" s="47" t="inlineStr">
        <is>
          <t>" ],</t>
        </is>
      </c>
      <c r="P466" s="165">
        <f>Закуп!N466</f>
        <v/>
      </c>
      <c r="Q466" s="210">
        <f>CONCATENATE(A466,B466,",",C466,",",D466,E466,F466,",",G466,",",H466,",",I466,",",J466,K466,L466,M466,N466,O466,)</f>
        <v/>
      </c>
    </row>
    <row r="467" hidden="1" s="55">
      <c r="A467" s="47" t="inlineStr">
        <is>
          <t xml:space="preserve">        [ 'dims' =&gt; [</t>
        </is>
      </c>
      <c r="B467" s="47">
        <f>Закуп!R467</f>
        <v/>
      </c>
      <c r="C467" s="47">
        <f>Закуп!S467</f>
        <v/>
      </c>
      <c r="D467" s="47">
        <f>Закуп!T467</f>
        <v/>
      </c>
      <c r="E467" s="47" t="inlineStr">
        <is>
          <t>], 'prices' =&gt; [</t>
        </is>
      </c>
      <c r="F467" s="101">
        <f>SUBSTITUTE(INDEX(Calc!$K:$K,(ROW(A466)-1)*5+COLUMN(A466)+1),",",".")</f>
        <v/>
      </c>
      <c r="G467" s="101">
        <f>SUBSTITUTE(INDEX(Calc!$K:$K,(ROW(B466)-1)*5+COLUMN(B466)+1),",",".")</f>
        <v/>
      </c>
      <c r="H467" s="101">
        <f>SUBSTITUTE(INDEX(Calc!$K:$K,(ROW(C466)-1)*5+COLUMN(C466)+1),",",".")</f>
        <v/>
      </c>
      <c r="I467" s="101">
        <f>SUBSTITUTE(INDEX(Calc!$K:$K,(ROW(D466)-1)*5+COLUMN(D466)+1),",",".")</f>
        <v/>
      </c>
      <c r="J467" s="101">
        <f>SUBSTITUTE(INDEX(Calc!$K:$K,(ROW(E466)-1)*5+COLUMN(E466)+1),",",".")</f>
        <v/>
      </c>
      <c r="K467" s="47" t="inlineStr">
        <is>
          <t>], 'type' =&gt; "</t>
        </is>
      </c>
      <c r="L467" s="101">
        <f>Закуп!AA467</f>
        <v/>
      </c>
      <c r="M467" s="47" t="inlineStr">
        <is>
          <t>", 'sale' =&gt; "</t>
        </is>
      </c>
      <c r="N467" s="47">
        <f>IF(Закуп!L467="",0,Закуп!L467)</f>
        <v/>
      </c>
      <c r="O467" s="47" t="inlineStr">
        <is>
          <t>" ],</t>
        </is>
      </c>
      <c r="P467" s="165">
        <f>Закуп!N467</f>
        <v/>
      </c>
      <c r="Q467" s="210">
        <f>CONCATENATE(A467,B467,",",C467,",",D467,E467,F467,",",G467,",",H467,",",I467,",",J467,K467,L467,M467,N467,O467,)</f>
        <v/>
      </c>
    </row>
    <row r="468" hidden="1" s="55">
      <c r="A468" s="47" t="inlineStr">
        <is>
          <t xml:space="preserve">        [ 'dims' =&gt; [</t>
        </is>
      </c>
      <c r="B468" s="47">
        <f>Закуп!R468</f>
        <v/>
      </c>
      <c r="C468" s="47">
        <f>Закуп!S468</f>
        <v/>
      </c>
      <c r="D468" s="47">
        <f>Закуп!T468</f>
        <v/>
      </c>
      <c r="E468" s="47" t="inlineStr">
        <is>
          <t>], 'prices' =&gt; [</t>
        </is>
      </c>
      <c r="F468" s="101">
        <f>SUBSTITUTE(INDEX(Calc!$K:$K,(ROW(A467)-1)*5+COLUMN(A467)+1),",",".")</f>
        <v/>
      </c>
      <c r="G468" s="101">
        <f>SUBSTITUTE(INDEX(Calc!$K:$K,(ROW(B467)-1)*5+COLUMN(B467)+1),",",".")</f>
        <v/>
      </c>
      <c r="H468" s="101">
        <f>SUBSTITUTE(INDEX(Calc!$K:$K,(ROW(C467)-1)*5+COLUMN(C467)+1),",",".")</f>
        <v/>
      </c>
      <c r="I468" s="101">
        <f>SUBSTITUTE(INDEX(Calc!$K:$K,(ROW(D467)-1)*5+COLUMN(D467)+1),",",".")</f>
        <v/>
      </c>
      <c r="J468" s="101">
        <f>SUBSTITUTE(INDEX(Calc!$K:$K,(ROW(E467)-1)*5+COLUMN(E467)+1),",",".")</f>
        <v/>
      </c>
      <c r="K468" s="47" t="inlineStr">
        <is>
          <t>], 'type' =&gt; "</t>
        </is>
      </c>
      <c r="L468" s="101">
        <f>Закуп!AA468</f>
        <v/>
      </c>
      <c r="M468" s="47" t="inlineStr">
        <is>
          <t>", 'sale' =&gt; "</t>
        </is>
      </c>
      <c r="N468" s="47">
        <f>IF(Закуп!L468="",0,Закуп!L468)</f>
        <v/>
      </c>
      <c r="O468" s="47" t="inlineStr">
        <is>
          <t>" ],</t>
        </is>
      </c>
      <c r="P468" s="165">
        <f>Закуп!N468</f>
        <v/>
      </c>
      <c r="Q468" s="210">
        <f>CONCATENATE(A468,B468,",",C468,",",D468,E468,F468,",",G468,",",H468,",",I468,",",J468,K468,L468,M468,N468,O468,)</f>
        <v/>
      </c>
    </row>
    <row r="469" hidden="1" s="55">
      <c r="A469" s="47" t="inlineStr">
        <is>
          <t xml:space="preserve">        [ 'dims' =&gt; [</t>
        </is>
      </c>
      <c r="B469" s="47">
        <f>Закуп!R469</f>
        <v/>
      </c>
      <c r="C469" s="47">
        <f>Закуп!S469</f>
        <v/>
      </c>
      <c r="D469" s="47">
        <f>Закуп!T469</f>
        <v/>
      </c>
      <c r="E469" s="47" t="inlineStr">
        <is>
          <t>], 'prices' =&gt; [</t>
        </is>
      </c>
      <c r="F469" s="101">
        <f>SUBSTITUTE(INDEX(Calc!$K:$K,(ROW(A468)-1)*5+COLUMN(A468)+1),",",".")</f>
        <v/>
      </c>
      <c r="G469" s="101">
        <f>SUBSTITUTE(INDEX(Calc!$K:$K,(ROW(B468)-1)*5+COLUMN(B468)+1),",",".")</f>
        <v/>
      </c>
      <c r="H469" s="101">
        <f>SUBSTITUTE(INDEX(Calc!$K:$K,(ROW(C468)-1)*5+COLUMN(C468)+1),",",".")</f>
        <v/>
      </c>
      <c r="I469" s="101">
        <f>SUBSTITUTE(INDEX(Calc!$K:$K,(ROW(D468)-1)*5+COLUMN(D468)+1),",",".")</f>
        <v/>
      </c>
      <c r="J469" s="101">
        <f>SUBSTITUTE(INDEX(Calc!$K:$K,(ROW(E468)-1)*5+COLUMN(E468)+1),",",".")</f>
        <v/>
      </c>
      <c r="K469" s="47" t="inlineStr">
        <is>
          <t>], 'type' =&gt; "</t>
        </is>
      </c>
      <c r="L469" s="101">
        <f>Закуп!AA469</f>
        <v/>
      </c>
      <c r="M469" s="47" t="inlineStr">
        <is>
          <t>", 'sale' =&gt; "</t>
        </is>
      </c>
      <c r="N469" s="47">
        <f>IF(Закуп!L469="",0,Закуп!L469)</f>
        <v/>
      </c>
      <c r="O469" s="47" t="inlineStr">
        <is>
          <t>" ],</t>
        </is>
      </c>
      <c r="P469" s="165">
        <f>Закуп!N469</f>
        <v/>
      </c>
      <c r="Q469" s="210">
        <f>CONCATENATE(A469,B469,",",C469,",",D469,E469,F469,",",G469,",",H469,",",I469,",",J469,K469,L469,M469,N469,O469,)</f>
        <v/>
      </c>
    </row>
    <row r="470" hidden="1" s="55">
      <c r="A470" s="47" t="inlineStr">
        <is>
          <t xml:space="preserve">        [ 'dims' =&gt; [</t>
        </is>
      </c>
      <c r="B470" s="47">
        <f>Закуп!R470</f>
        <v/>
      </c>
      <c r="C470" s="47">
        <f>Закуп!S470</f>
        <v/>
      </c>
      <c r="D470" s="47">
        <f>Закуп!T470</f>
        <v/>
      </c>
      <c r="E470" s="47" t="inlineStr">
        <is>
          <t>], 'prices' =&gt; [</t>
        </is>
      </c>
      <c r="F470" s="101">
        <f>SUBSTITUTE(INDEX(Calc!$K:$K,(ROW(A469)-1)*5+COLUMN(A469)+1),",",".")</f>
        <v/>
      </c>
      <c r="G470" s="101">
        <f>SUBSTITUTE(INDEX(Calc!$K:$K,(ROW(B469)-1)*5+COLUMN(B469)+1),",",".")</f>
        <v/>
      </c>
      <c r="H470" s="101">
        <f>SUBSTITUTE(INDEX(Calc!$K:$K,(ROW(C469)-1)*5+COLUMN(C469)+1),",",".")</f>
        <v/>
      </c>
      <c r="I470" s="101">
        <f>SUBSTITUTE(INDEX(Calc!$K:$K,(ROW(D469)-1)*5+COLUMN(D469)+1),",",".")</f>
        <v/>
      </c>
      <c r="J470" s="101">
        <f>SUBSTITUTE(INDEX(Calc!$K:$K,(ROW(E469)-1)*5+COLUMN(E469)+1),",",".")</f>
        <v/>
      </c>
      <c r="K470" s="47" t="inlineStr">
        <is>
          <t>], 'type' =&gt; "</t>
        </is>
      </c>
      <c r="L470" s="101">
        <f>Закуп!AA470</f>
        <v/>
      </c>
      <c r="M470" s="47" t="inlineStr">
        <is>
          <t>", 'sale' =&gt; "</t>
        </is>
      </c>
      <c r="N470" s="47">
        <f>IF(Закуп!L470="",0,Закуп!L470)</f>
        <v/>
      </c>
      <c r="O470" s="47" t="inlineStr">
        <is>
          <t>" ],</t>
        </is>
      </c>
      <c r="P470" s="165">
        <f>Закуп!N470</f>
        <v/>
      </c>
      <c r="Q470" s="210">
        <f>CONCATENATE(A470,B470,",",C470,",",D470,E470,F470,",",G470,",",H470,",",I470,",",J470,K470,L470,M470,N470,O470,)</f>
        <v/>
      </c>
    </row>
    <row r="471" hidden="1" s="55">
      <c r="A471" s="47" t="inlineStr">
        <is>
          <t xml:space="preserve">        [ 'dims' =&gt; [</t>
        </is>
      </c>
      <c r="B471" s="47">
        <f>Закуп!R471</f>
        <v/>
      </c>
      <c r="C471" s="47">
        <f>Закуп!S471</f>
        <v/>
      </c>
      <c r="D471" s="47">
        <f>Закуп!T471</f>
        <v/>
      </c>
      <c r="E471" s="47" t="inlineStr">
        <is>
          <t>], 'prices' =&gt; [</t>
        </is>
      </c>
      <c r="F471" s="101">
        <f>SUBSTITUTE(INDEX(Calc!$K:$K,(ROW(A470)-1)*5+COLUMN(A470)+1),",",".")</f>
        <v/>
      </c>
      <c r="G471" s="101">
        <f>SUBSTITUTE(INDEX(Calc!$K:$K,(ROW(B470)-1)*5+COLUMN(B470)+1),",",".")</f>
        <v/>
      </c>
      <c r="H471" s="101">
        <f>SUBSTITUTE(INDEX(Calc!$K:$K,(ROW(C470)-1)*5+COLUMN(C470)+1),",",".")</f>
        <v/>
      </c>
      <c r="I471" s="101">
        <f>SUBSTITUTE(INDEX(Calc!$K:$K,(ROW(D470)-1)*5+COLUMN(D470)+1),",",".")</f>
        <v/>
      </c>
      <c r="J471" s="101">
        <f>SUBSTITUTE(INDEX(Calc!$K:$K,(ROW(E470)-1)*5+COLUMN(E470)+1),",",".")</f>
        <v/>
      </c>
      <c r="K471" s="47" t="inlineStr">
        <is>
          <t>], 'type' =&gt; "</t>
        </is>
      </c>
      <c r="L471" s="101">
        <f>Закуп!AA471</f>
        <v/>
      </c>
      <c r="M471" s="47" t="inlineStr">
        <is>
          <t>", 'sale' =&gt; "</t>
        </is>
      </c>
      <c r="N471" s="47">
        <f>IF(Закуп!L471="",0,Закуп!L471)</f>
        <v/>
      </c>
      <c r="O471" s="47" t="inlineStr">
        <is>
          <t>" ],</t>
        </is>
      </c>
      <c r="P471" s="165">
        <f>Закуп!N471</f>
        <v/>
      </c>
      <c r="Q471" s="210">
        <f>CONCATENATE(A471,B471,",",C471,",",D471,E471,F471,",",G471,",",H471,",",I471,",",J471,K471,L471,M471,N471,O471,)</f>
        <v/>
      </c>
    </row>
    <row r="472" hidden="1" s="55">
      <c r="A472" s="47" t="inlineStr">
        <is>
          <t xml:space="preserve">        [ 'dims' =&gt; [</t>
        </is>
      </c>
      <c r="B472" s="47">
        <f>Закуп!R472</f>
        <v/>
      </c>
      <c r="C472" s="47">
        <f>Закуп!S472</f>
        <v/>
      </c>
      <c r="D472" s="47">
        <f>Закуп!T472</f>
        <v/>
      </c>
      <c r="E472" s="47" t="inlineStr">
        <is>
          <t>], 'prices' =&gt; [</t>
        </is>
      </c>
      <c r="F472" s="101">
        <f>SUBSTITUTE(INDEX(Calc!$K:$K,(ROW(A471)-1)*5+COLUMN(A471)+1),",",".")</f>
        <v/>
      </c>
      <c r="G472" s="101">
        <f>SUBSTITUTE(INDEX(Calc!$K:$K,(ROW(B471)-1)*5+COLUMN(B471)+1),",",".")</f>
        <v/>
      </c>
      <c r="H472" s="101">
        <f>SUBSTITUTE(INDEX(Calc!$K:$K,(ROW(C471)-1)*5+COLUMN(C471)+1),",",".")</f>
        <v/>
      </c>
      <c r="I472" s="101">
        <f>SUBSTITUTE(INDEX(Calc!$K:$K,(ROW(D471)-1)*5+COLUMN(D471)+1),",",".")</f>
        <v/>
      </c>
      <c r="J472" s="101">
        <f>SUBSTITUTE(INDEX(Calc!$K:$K,(ROW(E471)-1)*5+COLUMN(E471)+1),",",".")</f>
        <v/>
      </c>
      <c r="K472" s="47" t="inlineStr">
        <is>
          <t>], 'type' =&gt; "</t>
        </is>
      </c>
      <c r="L472" s="101">
        <f>Закуп!AA472</f>
        <v/>
      </c>
      <c r="M472" s="47" t="inlineStr">
        <is>
          <t>", 'sale' =&gt; "</t>
        </is>
      </c>
      <c r="N472" s="47">
        <f>IF(Закуп!L472="",0,Закуп!L472)</f>
        <v/>
      </c>
      <c r="O472" s="47" t="inlineStr">
        <is>
          <t>" ],</t>
        </is>
      </c>
      <c r="P472" s="165">
        <f>Закуп!N472</f>
        <v/>
      </c>
      <c r="Q472" s="210">
        <f>CONCATENATE(A472,B472,",",C472,",",D472,E472,F472,",",G472,",",H472,",",I472,",",J472,K472,L472,M472,N472,O472,)</f>
        <v/>
      </c>
    </row>
    <row r="473" hidden="1" s="55">
      <c r="A473" s="47" t="inlineStr">
        <is>
          <t xml:space="preserve">        [ 'dims' =&gt; [</t>
        </is>
      </c>
      <c r="B473" s="47">
        <f>Закуп!R473</f>
        <v/>
      </c>
      <c r="C473" s="47">
        <f>Закуп!S473</f>
        <v/>
      </c>
      <c r="D473" s="47">
        <f>Закуп!T473</f>
        <v/>
      </c>
      <c r="E473" s="47" t="inlineStr">
        <is>
          <t>], 'prices' =&gt; [</t>
        </is>
      </c>
      <c r="F473" s="101">
        <f>SUBSTITUTE(INDEX(Calc!$K:$K,(ROW(A472)-1)*5+COLUMN(A472)+1),",",".")</f>
        <v/>
      </c>
      <c r="G473" s="101">
        <f>SUBSTITUTE(INDEX(Calc!$K:$K,(ROW(B472)-1)*5+COLUMN(B472)+1),",",".")</f>
        <v/>
      </c>
      <c r="H473" s="101">
        <f>SUBSTITUTE(INDEX(Calc!$K:$K,(ROW(C472)-1)*5+COLUMN(C472)+1),",",".")</f>
        <v/>
      </c>
      <c r="I473" s="101">
        <f>SUBSTITUTE(INDEX(Calc!$K:$K,(ROW(D472)-1)*5+COLUMN(D472)+1),",",".")</f>
        <v/>
      </c>
      <c r="J473" s="101">
        <f>SUBSTITUTE(INDEX(Calc!$K:$K,(ROW(E472)-1)*5+COLUMN(E472)+1),",",".")</f>
        <v/>
      </c>
      <c r="K473" s="47" t="inlineStr">
        <is>
          <t>], 'type' =&gt; "</t>
        </is>
      </c>
      <c r="L473" s="101">
        <f>Закуп!AA473</f>
        <v/>
      </c>
      <c r="M473" s="47" t="inlineStr">
        <is>
          <t>", 'sale' =&gt; "</t>
        </is>
      </c>
      <c r="N473" s="47">
        <f>IF(Закуп!L473="",0,Закуп!L473)</f>
        <v/>
      </c>
      <c r="O473" s="47" t="inlineStr">
        <is>
          <t>" ],</t>
        </is>
      </c>
      <c r="P473" s="165">
        <f>Закуп!N473</f>
        <v/>
      </c>
      <c r="Q473" s="210">
        <f>CONCATENATE(A473,B473,",",C473,",",D473,E473,F473,",",G473,",",H473,",",I473,",",J473,K473,L473,M473,N473,O473,)</f>
        <v/>
      </c>
    </row>
    <row r="474" hidden="1" s="55">
      <c r="A474" s="47" t="inlineStr">
        <is>
          <t xml:space="preserve">        [ 'dims' =&gt; [</t>
        </is>
      </c>
      <c r="B474" s="47">
        <f>Закуп!R474</f>
        <v/>
      </c>
      <c r="C474" s="47">
        <f>Закуп!S474</f>
        <v/>
      </c>
      <c r="D474" s="47">
        <f>Закуп!T474</f>
        <v/>
      </c>
      <c r="E474" s="47" t="inlineStr">
        <is>
          <t>], 'prices' =&gt; [</t>
        </is>
      </c>
      <c r="F474" s="101">
        <f>SUBSTITUTE(INDEX(Calc!$K:$K,(ROW(A473)-1)*5+COLUMN(A473)+1),",",".")</f>
        <v/>
      </c>
      <c r="G474" s="101">
        <f>SUBSTITUTE(INDEX(Calc!$K:$K,(ROW(B473)-1)*5+COLUMN(B473)+1),",",".")</f>
        <v/>
      </c>
      <c r="H474" s="101">
        <f>SUBSTITUTE(INDEX(Calc!$K:$K,(ROW(C473)-1)*5+COLUMN(C473)+1),",",".")</f>
        <v/>
      </c>
      <c r="I474" s="101">
        <f>SUBSTITUTE(INDEX(Calc!$K:$K,(ROW(D473)-1)*5+COLUMN(D473)+1),",",".")</f>
        <v/>
      </c>
      <c r="J474" s="101">
        <f>SUBSTITUTE(INDEX(Calc!$K:$K,(ROW(E473)-1)*5+COLUMN(E473)+1),",",".")</f>
        <v/>
      </c>
      <c r="K474" s="47" t="inlineStr">
        <is>
          <t>], 'type' =&gt; "</t>
        </is>
      </c>
      <c r="L474" s="101">
        <f>Закуп!AA474</f>
        <v/>
      </c>
      <c r="M474" s="47" t="inlineStr">
        <is>
          <t>", 'sale' =&gt; "</t>
        </is>
      </c>
      <c r="N474" s="47">
        <f>IF(Закуп!L474="",0,Закуп!L474)</f>
        <v/>
      </c>
      <c r="O474" s="47" t="inlineStr">
        <is>
          <t>" ],</t>
        </is>
      </c>
      <c r="P474" s="165">
        <f>Закуп!N474</f>
        <v/>
      </c>
      <c r="Q474" s="210">
        <f>CONCATENATE(A474,B474,",",C474,",",D474,E474,F474,",",G474,",",H474,",",I474,",",J474,K474,L474,M474,N474,O474,)</f>
        <v/>
      </c>
    </row>
    <row r="475" hidden="1" s="55">
      <c r="A475" s="47" t="inlineStr">
        <is>
          <t xml:space="preserve">        [ 'dims' =&gt; [</t>
        </is>
      </c>
      <c r="B475" s="47">
        <f>Закуп!R475</f>
        <v/>
      </c>
      <c r="C475" s="47">
        <f>Закуп!S475</f>
        <v/>
      </c>
      <c r="D475" s="47">
        <f>Закуп!T475</f>
        <v/>
      </c>
      <c r="E475" s="47" t="inlineStr">
        <is>
          <t>], 'prices' =&gt; [</t>
        </is>
      </c>
      <c r="F475" s="101">
        <f>SUBSTITUTE(INDEX(Calc!$K:$K,(ROW(A474)-1)*5+COLUMN(A474)+1),",",".")</f>
        <v/>
      </c>
      <c r="G475" s="101">
        <f>SUBSTITUTE(INDEX(Calc!$K:$K,(ROW(B474)-1)*5+COLUMN(B474)+1),",",".")</f>
        <v/>
      </c>
      <c r="H475" s="101">
        <f>SUBSTITUTE(INDEX(Calc!$K:$K,(ROW(C474)-1)*5+COLUMN(C474)+1),",",".")</f>
        <v/>
      </c>
      <c r="I475" s="101">
        <f>SUBSTITUTE(INDEX(Calc!$K:$K,(ROW(D474)-1)*5+COLUMN(D474)+1),",",".")</f>
        <v/>
      </c>
      <c r="J475" s="101">
        <f>SUBSTITUTE(INDEX(Calc!$K:$K,(ROW(E474)-1)*5+COLUMN(E474)+1),",",".")</f>
        <v/>
      </c>
      <c r="K475" s="47" t="inlineStr">
        <is>
          <t>], 'type' =&gt; "</t>
        </is>
      </c>
      <c r="L475" s="101">
        <f>Закуп!AA475</f>
        <v/>
      </c>
      <c r="M475" s="47" t="inlineStr">
        <is>
          <t>", 'sale' =&gt; "</t>
        </is>
      </c>
      <c r="N475" s="47">
        <f>IF(Закуп!L475="",0,Закуп!L475)</f>
        <v/>
      </c>
      <c r="O475" s="47" t="inlineStr">
        <is>
          <t>" ],</t>
        </is>
      </c>
      <c r="P475" s="165">
        <f>Закуп!N475</f>
        <v/>
      </c>
      <c r="Q475" s="210">
        <f>CONCATENATE(A475,B475,",",C475,",",D475,E475,F475,",",G475,",",H475,",",I475,",",J475,K475,L475,M475,N475,O475,)</f>
        <v/>
      </c>
    </row>
    <row r="476" hidden="1" s="55">
      <c r="A476" s="47" t="inlineStr">
        <is>
          <t xml:space="preserve">        [ 'dims' =&gt; [</t>
        </is>
      </c>
      <c r="B476" s="47">
        <f>Закуп!R476</f>
        <v/>
      </c>
      <c r="C476" s="47">
        <f>Закуп!S476</f>
        <v/>
      </c>
      <c r="D476" s="47">
        <f>Закуп!T476</f>
        <v/>
      </c>
      <c r="E476" s="47" t="inlineStr">
        <is>
          <t>], 'prices' =&gt; [</t>
        </is>
      </c>
      <c r="F476" s="101">
        <f>SUBSTITUTE(INDEX(Calc!$K:$K,(ROW(A475)-1)*5+COLUMN(A475)+1),",",".")</f>
        <v/>
      </c>
      <c r="G476" s="101">
        <f>SUBSTITUTE(INDEX(Calc!$K:$K,(ROW(B475)-1)*5+COLUMN(B475)+1),",",".")</f>
        <v/>
      </c>
      <c r="H476" s="101">
        <f>SUBSTITUTE(INDEX(Calc!$K:$K,(ROW(C475)-1)*5+COLUMN(C475)+1),",",".")</f>
        <v/>
      </c>
      <c r="I476" s="101">
        <f>SUBSTITUTE(INDEX(Calc!$K:$K,(ROW(D475)-1)*5+COLUMN(D475)+1),",",".")</f>
        <v/>
      </c>
      <c r="J476" s="101">
        <f>SUBSTITUTE(INDEX(Calc!$K:$K,(ROW(E475)-1)*5+COLUMN(E475)+1),",",".")</f>
        <v/>
      </c>
      <c r="K476" s="47" t="inlineStr">
        <is>
          <t>], 'type' =&gt; "</t>
        </is>
      </c>
      <c r="L476" s="101">
        <f>Закуп!AA476</f>
        <v/>
      </c>
      <c r="M476" s="47" t="inlineStr">
        <is>
          <t>", 'sale' =&gt; "</t>
        </is>
      </c>
      <c r="N476" s="47">
        <f>IF(Закуп!L476="",0,Закуп!L476)</f>
        <v/>
      </c>
      <c r="O476" s="47" t="inlineStr">
        <is>
          <t>" ],</t>
        </is>
      </c>
      <c r="P476" s="165">
        <f>Закуп!N476</f>
        <v/>
      </c>
      <c r="Q476" s="210">
        <f>CONCATENATE(A476,B476,",",C476,",",D476,E476,F476,",",G476,",",H476,",",I476,",",J476,K476,L476,M476,N476,O476,)</f>
        <v/>
      </c>
    </row>
    <row r="477" hidden="1" s="55">
      <c r="A477" s="47" t="inlineStr">
        <is>
          <t xml:space="preserve">        [ 'dims' =&gt; [</t>
        </is>
      </c>
      <c r="B477" s="47">
        <f>Закуп!R477</f>
        <v/>
      </c>
      <c r="C477" s="47">
        <f>Закуп!S477</f>
        <v/>
      </c>
      <c r="D477" s="47">
        <f>Закуп!T477</f>
        <v/>
      </c>
      <c r="E477" s="47" t="inlineStr">
        <is>
          <t>], 'prices' =&gt; [</t>
        </is>
      </c>
      <c r="F477" s="101">
        <f>SUBSTITUTE(INDEX(Calc!$K:$K,(ROW(A476)-1)*5+COLUMN(A476)+1),",",".")</f>
        <v/>
      </c>
      <c r="G477" s="101">
        <f>SUBSTITUTE(INDEX(Calc!$K:$K,(ROW(B476)-1)*5+COLUMN(B476)+1),",",".")</f>
        <v/>
      </c>
      <c r="H477" s="101">
        <f>SUBSTITUTE(INDEX(Calc!$K:$K,(ROW(C476)-1)*5+COLUMN(C476)+1),",",".")</f>
        <v/>
      </c>
      <c r="I477" s="101">
        <f>SUBSTITUTE(INDEX(Calc!$K:$K,(ROW(D476)-1)*5+COLUMN(D476)+1),",",".")</f>
        <v/>
      </c>
      <c r="J477" s="101">
        <f>SUBSTITUTE(INDEX(Calc!$K:$K,(ROW(E476)-1)*5+COLUMN(E476)+1),",",".")</f>
        <v/>
      </c>
      <c r="K477" s="47" t="inlineStr">
        <is>
          <t>], 'type' =&gt; "</t>
        </is>
      </c>
      <c r="L477" s="101">
        <f>Закуп!AA477</f>
        <v/>
      </c>
      <c r="M477" s="47" t="inlineStr">
        <is>
          <t>", 'sale' =&gt; "</t>
        </is>
      </c>
      <c r="N477" s="47">
        <f>IF(Закуп!L477="",0,Закуп!L477)</f>
        <v/>
      </c>
      <c r="O477" s="47" t="inlineStr">
        <is>
          <t>" ],</t>
        </is>
      </c>
      <c r="P477" s="165">
        <f>Закуп!N477</f>
        <v/>
      </c>
      <c r="Q477" s="210">
        <f>CONCATENATE(A477,B477,",",C477,",",D477,E477,F477,",",G477,",",H477,",",I477,",",J477,K477,L477,M477,N477,O477,)</f>
        <v/>
      </c>
    </row>
    <row r="478" hidden="1" s="55">
      <c r="A478" s="47" t="inlineStr">
        <is>
          <t xml:space="preserve">        [ 'dims' =&gt; [</t>
        </is>
      </c>
      <c r="B478" s="47">
        <f>Закуп!R478</f>
        <v/>
      </c>
      <c r="C478" s="47">
        <f>Закуп!S478</f>
        <v/>
      </c>
      <c r="D478" s="47">
        <f>Закуп!T478</f>
        <v/>
      </c>
      <c r="E478" s="47" t="inlineStr">
        <is>
          <t>], 'prices' =&gt; [</t>
        </is>
      </c>
      <c r="F478" s="101">
        <f>SUBSTITUTE(INDEX(Calc!$K:$K,(ROW(A477)-1)*5+COLUMN(A477)+1),",",".")</f>
        <v/>
      </c>
      <c r="G478" s="101">
        <f>SUBSTITUTE(INDEX(Calc!$K:$K,(ROW(B477)-1)*5+COLUMN(B477)+1),",",".")</f>
        <v/>
      </c>
      <c r="H478" s="101">
        <f>SUBSTITUTE(INDEX(Calc!$K:$K,(ROW(C477)-1)*5+COLUMN(C477)+1),",",".")</f>
        <v/>
      </c>
      <c r="I478" s="101">
        <f>SUBSTITUTE(INDEX(Calc!$K:$K,(ROW(D477)-1)*5+COLUMN(D477)+1),",",".")</f>
        <v/>
      </c>
      <c r="J478" s="101">
        <f>SUBSTITUTE(INDEX(Calc!$K:$K,(ROW(E477)-1)*5+COLUMN(E477)+1),",",".")</f>
        <v/>
      </c>
      <c r="K478" s="47" t="inlineStr">
        <is>
          <t>], 'type' =&gt; "</t>
        </is>
      </c>
      <c r="L478" s="101">
        <f>Закуп!AA478</f>
        <v/>
      </c>
      <c r="M478" s="47" t="inlineStr">
        <is>
          <t>", 'sale' =&gt; "</t>
        </is>
      </c>
      <c r="N478" s="47">
        <f>IF(Закуп!L478="",0,Закуп!L478)</f>
        <v/>
      </c>
      <c r="O478" s="47" t="inlineStr">
        <is>
          <t>" ],</t>
        </is>
      </c>
      <c r="P478" s="165">
        <f>Закуп!N478</f>
        <v/>
      </c>
      <c r="Q478" s="210">
        <f>CONCATENATE(A478,B478,",",C478,",",D478,E478,F478,",",G478,",",H478,",",I478,",",J478,K478,L478,M478,N478,O478,)</f>
        <v/>
      </c>
    </row>
    <row r="479" hidden="1" s="55">
      <c r="A479" s="47" t="inlineStr">
        <is>
          <t xml:space="preserve">        [ 'dims' =&gt; [</t>
        </is>
      </c>
      <c r="B479" s="47">
        <f>Закуп!R479</f>
        <v/>
      </c>
      <c r="C479" s="47">
        <f>Закуп!S479</f>
        <v/>
      </c>
      <c r="D479" s="47">
        <f>Закуп!T479</f>
        <v/>
      </c>
      <c r="E479" s="47" t="inlineStr">
        <is>
          <t>], 'prices' =&gt; [</t>
        </is>
      </c>
      <c r="F479" s="101">
        <f>SUBSTITUTE(INDEX(Calc!$K:$K,(ROW(A478)-1)*5+COLUMN(A478)+1),",",".")</f>
        <v/>
      </c>
      <c r="G479" s="101">
        <f>SUBSTITUTE(INDEX(Calc!$K:$K,(ROW(B478)-1)*5+COLUMN(B478)+1),",",".")</f>
        <v/>
      </c>
      <c r="H479" s="101">
        <f>SUBSTITUTE(INDEX(Calc!$K:$K,(ROW(C478)-1)*5+COLUMN(C478)+1),",",".")</f>
        <v/>
      </c>
      <c r="I479" s="101">
        <f>SUBSTITUTE(INDEX(Calc!$K:$K,(ROW(D478)-1)*5+COLUMN(D478)+1),",",".")</f>
        <v/>
      </c>
      <c r="J479" s="101">
        <f>SUBSTITUTE(INDEX(Calc!$K:$K,(ROW(E478)-1)*5+COLUMN(E478)+1),",",".")</f>
        <v/>
      </c>
      <c r="K479" s="47" t="inlineStr">
        <is>
          <t>], 'type' =&gt; "</t>
        </is>
      </c>
      <c r="L479" s="101">
        <f>Закуп!AA479</f>
        <v/>
      </c>
      <c r="M479" s="47" t="inlineStr">
        <is>
          <t>", 'sale' =&gt; "</t>
        </is>
      </c>
      <c r="N479" s="47">
        <f>IF(Закуп!L479="",0,Закуп!L479)</f>
        <v/>
      </c>
      <c r="O479" s="47" t="inlineStr">
        <is>
          <t>" ],</t>
        </is>
      </c>
      <c r="P479" s="165">
        <f>Закуп!N479</f>
        <v/>
      </c>
      <c r="Q479" s="210">
        <f>CONCATENATE(A479,B479,",",C479,",",D479,E479,F479,",",G479,",",H479,",",I479,",",J479,K479,L479,M479,N479,O479,)</f>
        <v/>
      </c>
    </row>
    <row r="480" hidden="1" s="55">
      <c r="A480" s="47" t="inlineStr">
        <is>
          <t xml:space="preserve">        [ 'dims' =&gt; [</t>
        </is>
      </c>
      <c r="B480" s="47">
        <f>Закуп!R480</f>
        <v/>
      </c>
      <c r="C480" s="47">
        <f>Закуп!S480</f>
        <v/>
      </c>
      <c r="D480" s="47">
        <f>Закуп!T480</f>
        <v/>
      </c>
      <c r="E480" s="47" t="inlineStr">
        <is>
          <t>], 'prices' =&gt; [</t>
        </is>
      </c>
      <c r="F480" s="101">
        <f>SUBSTITUTE(INDEX(Calc!$K:$K,(ROW(A479)-1)*5+COLUMN(A479)+1),",",".")</f>
        <v/>
      </c>
      <c r="G480" s="101">
        <f>SUBSTITUTE(INDEX(Calc!$K:$K,(ROW(B479)-1)*5+COLUMN(B479)+1),",",".")</f>
        <v/>
      </c>
      <c r="H480" s="101">
        <f>SUBSTITUTE(INDEX(Calc!$K:$K,(ROW(C479)-1)*5+COLUMN(C479)+1),",",".")</f>
        <v/>
      </c>
      <c r="I480" s="101">
        <f>SUBSTITUTE(INDEX(Calc!$K:$K,(ROW(D479)-1)*5+COLUMN(D479)+1),",",".")</f>
        <v/>
      </c>
      <c r="J480" s="101">
        <f>SUBSTITUTE(INDEX(Calc!$K:$K,(ROW(E479)-1)*5+COLUMN(E479)+1),",",".")</f>
        <v/>
      </c>
      <c r="K480" s="47" t="inlineStr">
        <is>
          <t>], 'type' =&gt; "</t>
        </is>
      </c>
      <c r="L480" s="101">
        <f>Закуп!AA480</f>
        <v/>
      </c>
      <c r="M480" s="47" t="inlineStr">
        <is>
          <t>", 'sale' =&gt; "</t>
        </is>
      </c>
      <c r="N480" s="47">
        <f>IF(Закуп!L480="",0,Закуп!L480)</f>
        <v/>
      </c>
      <c r="O480" s="47" t="inlineStr">
        <is>
          <t>" ],</t>
        </is>
      </c>
      <c r="P480" s="165">
        <f>Закуп!N480</f>
        <v/>
      </c>
      <c r="Q480" s="210">
        <f>CONCATENATE(A480,B480,",",C480,",",D480,E480,F480,",",G480,",",H480,",",I480,",",J480,K480,L480,M480,N480,O480,)</f>
        <v/>
      </c>
    </row>
    <row r="481" hidden="1" s="55">
      <c r="A481" s="47" t="inlineStr">
        <is>
          <t xml:space="preserve">        [ 'dims' =&gt; [</t>
        </is>
      </c>
      <c r="B481" s="47">
        <f>Закуп!R481</f>
        <v/>
      </c>
      <c r="C481" s="47">
        <f>Закуп!S481</f>
        <v/>
      </c>
      <c r="D481" s="47">
        <f>Закуп!T481</f>
        <v/>
      </c>
      <c r="E481" s="47" t="inlineStr">
        <is>
          <t>], 'prices' =&gt; [</t>
        </is>
      </c>
      <c r="F481" s="101">
        <f>SUBSTITUTE(INDEX(Calc!$K:$K,(ROW(A480)-1)*5+COLUMN(A480)+1),",",".")</f>
        <v/>
      </c>
      <c r="G481" s="101">
        <f>SUBSTITUTE(INDEX(Calc!$K:$K,(ROW(B480)-1)*5+COLUMN(B480)+1),",",".")</f>
        <v/>
      </c>
      <c r="H481" s="101">
        <f>SUBSTITUTE(INDEX(Calc!$K:$K,(ROW(C480)-1)*5+COLUMN(C480)+1),",",".")</f>
        <v/>
      </c>
      <c r="I481" s="101">
        <f>SUBSTITUTE(INDEX(Calc!$K:$K,(ROW(D480)-1)*5+COLUMN(D480)+1),",",".")</f>
        <v/>
      </c>
      <c r="J481" s="101">
        <f>SUBSTITUTE(INDEX(Calc!$K:$K,(ROW(E480)-1)*5+COLUMN(E480)+1),",",".")</f>
        <v/>
      </c>
      <c r="K481" s="47" t="inlineStr">
        <is>
          <t>], 'type' =&gt; "</t>
        </is>
      </c>
      <c r="L481" s="101">
        <f>Закуп!AA481</f>
        <v/>
      </c>
      <c r="M481" s="47" t="inlineStr">
        <is>
          <t>", 'sale' =&gt; "</t>
        </is>
      </c>
      <c r="N481" s="47">
        <f>IF(Закуп!L481="",0,Закуп!L481)</f>
        <v/>
      </c>
      <c r="O481" s="47" t="inlineStr">
        <is>
          <t>" ],</t>
        </is>
      </c>
      <c r="P481" s="165">
        <f>Закуп!N481</f>
        <v/>
      </c>
      <c r="Q481" s="210">
        <f>CONCATENATE(A481,B481,",",C481,",",D481,E481,F481,",",G481,",",H481,",",I481,",",J481,K481,L481,M481,N481,O481,)</f>
        <v/>
      </c>
    </row>
    <row r="482" hidden="1" s="55">
      <c r="A482" s="47" t="inlineStr">
        <is>
          <t xml:space="preserve">        [ 'dims' =&gt; [</t>
        </is>
      </c>
      <c r="B482" s="47">
        <f>Закуп!R482</f>
        <v/>
      </c>
      <c r="C482" s="47">
        <f>Закуп!S482</f>
        <v/>
      </c>
      <c r="D482" s="47">
        <f>Закуп!T482</f>
        <v/>
      </c>
      <c r="E482" s="47" t="inlineStr">
        <is>
          <t>], 'prices' =&gt; [</t>
        </is>
      </c>
      <c r="F482" s="101">
        <f>SUBSTITUTE(INDEX(Calc!$K:$K,(ROW(A481)-1)*5+COLUMN(A481)+1),",",".")</f>
        <v/>
      </c>
      <c r="G482" s="101">
        <f>SUBSTITUTE(INDEX(Calc!$K:$K,(ROW(B481)-1)*5+COLUMN(B481)+1),",",".")</f>
        <v/>
      </c>
      <c r="H482" s="101">
        <f>SUBSTITUTE(INDEX(Calc!$K:$K,(ROW(C481)-1)*5+COLUMN(C481)+1),",",".")</f>
        <v/>
      </c>
      <c r="I482" s="101">
        <f>SUBSTITUTE(INDEX(Calc!$K:$K,(ROW(D481)-1)*5+COLUMN(D481)+1),",",".")</f>
        <v/>
      </c>
      <c r="J482" s="101">
        <f>SUBSTITUTE(INDEX(Calc!$K:$K,(ROW(E481)-1)*5+COLUMN(E481)+1),",",".")</f>
        <v/>
      </c>
      <c r="K482" s="47" t="inlineStr">
        <is>
          <t>], 'type' =&gt; "</t>
        </is>
      </c>
      <c r="L482" s="101">
        <f>Закуп!AA482</f>
        <v/>
      </c>
      <c r="M482" s="47" t="inlineStr">
        <is>
          <t>", 'sale' =&gt; "</t>
        </is>
      </c>
      <c r="N482" s="47">
        <f>IF(Закуп!L482="",0,Закуп!L482)</f>
        <v/>
      </c>
      <c r="O482" s="47" t="inlineStr">
        <is>
          <t>" ],</t>
        </is>
      </c>
      <c r="P482" s="165">
        <f>Закуп!N482</f>
        <v/>
      </c>
      <c r="Q482" s="210">
        <f>CONCATENATE(A482,B482,",",C482,",",D482,E482,F482,",",G482,",",H482,",",I482,",",J482,K482,L482,M482,N482,O482,)</f>
        <v/>
      </c>
    </row>
    <row r="483" hidden="1" s="55">
      <c r="A483" s="47" t="inlineStr">
        <is>
          <t xml:space="preserve">        [ 'dims' =&gt; [</t>
        </is>
      </c>
      <c r="B483" s="47">
        <f>Закуп!R483</f>
        <v/>
      </c>
      <c r="C483" s="47">
        <f>Закуп!S483</f>
        <v/>
      </c>
      <c r="D483" s="47">
        <f>Закуп!T483</f>
        <v/>
      </c>
      <c r="E483" s="47" t="inlineStr">
        <is>
          <t>], 'prices' =&gt; [</t>
        </is>
      </c>
      <c r="F483" s="101">
        <f>SUBSTITUTE(INDEX(Calc!$K:$K,(ROW(A482)-1)*5+COLUMN(A482)+1),",",".")</f>
        <v/>
      </c>
      <c r="G483" s="101">
        <f>SUBSTITUTE(INDEX(Calc!$K:$K,(ROW(B482)-1)*5+COLUMN(B482)+1),",",".")</f>
        <v/>
      </c>
      <c r="H483" s="101">
        <f>SUBSTITUTE(INDEX(Calc!$K:$K,(ROW(C482)-1)*5+COLUMN(C482)+1),",",".")</f>
        <v/>
      </c>
      <c r="I483" s="101">
        <f>SUBSTITUTE(INDEX(Calc!$K:$K,(ROW(D482)-1)*5+COLUMN(D482)+1),",",".")</f>
        <v/>
      </c>
      <c r="J483" s="101">
        <f>SUBSTITUTE(INDEX(Calc!$K:$K,(ROW(E482)-1)*5+COLUMN(E482)+1),",",".")</f>
        <v/>
      </c>
      <c r="K483" s="47" t="inlineStr">
        <is>
          <t>], 'type' =&gt; "</t>
        </is>
      </c>
      <c r="L483" s="101">
        <f>Закуп!AA483</f>
        <v/>
      </c>
      <c r="M483" s="47" t="inlineStr">
        <is>
          <t>", 'sale' =&gt; "</t>
        </is>
      </c>
      <c r="N483" s="47">
        <f>IF(Закуп!L483="",0,Закуп!L483)</f>
        <v/>
      </c>
      <c r="O483" s="47" t="inlineStr">
        <is>
          <t>" ],</t>
        </is>
      </c>
      <c r="P483" s="165">
        <f>Закуп!N483</f>
        <v/>
      </c>
      <c r="Q483" s="210">
        <f>CONCATENATE(A483,B483,",",C483,",",D483,E483,F483,",",G483,",",H483,",",I483,",",J483,K483,L483,M483,N483,O483,)</f>
        <v/>
      </c>
    </row>
    <row r="484" hidden="1" s="55">
      <c r="A484" s="47" t="inlineStr">
        <is>
          <t xml:space="preserve">        [ 'dims' =&gt; [</t>
        </is>
      </c>
      <c r="B484" s="47">
        <f>Закуп!R484</f>
        <v/>
      </c>
      <c r="C484" s="47">
        <f>Закуп!S484</f>
        <v/>
      </c>
      <c r="D484" s="47">
        <f>Закуп!T484</f>
        <v/>
      </c>
      <c r="E484" s="47" t="inlineStr">
        <is>
          <t>], 'prices' =&gt; [</t>
        </is>
      </c>
      <c r="F484" s="101">
        <f>SUBSTITUTE(INDEX(Calc!$K:$K,(ROW(A483)-1)*5+COLUMN(A483)+1),",",".")</f>
        <v/>
      </c>
      <c r="G484" s="101">
        <f>SUBSTITUTE(INDEX(Calc!$K:$K,(ROW(B483)-1)*5+COLUMN(B483)+1),",",".")</f>
        <v/>
      </c>
      <c r="H484" s="101">
        <f>SUBSTITUTE(INDEX(Calc!$K:$K,(ROW(C483)-1)*5+COLUMN(C483)+1),",",".")</f>
        <v/>
      </c>
      <c r="I484" s="101">
        <f>SUBSTITUTE(INDEX(Calc!$K:$K,(ROW(D483)-1)*5+COLUMN(D483)+1),",",".")</f>
        <v/>
      </c>
      <c r="J484" s="101">
        <f>SUBSTITUTE(INDEX(Calc!$K:$K,(ROW(E483)-1)*5+COLUMN(E483)+1),",",".")</f>
        <v/>
      </c>
      <c r="K484" s="47" t="inlineStr">
        <is>
          <t>], 'type' =&gt; "</t>
        </is>
      </c>
      <c r="L484" s="101">
        <f>Закуп!AA484</f>
        <v/>
      </c>
      <c r="M484" s="47" t="inlineStr">
        <is>
          <t>", 'sale' =&gt; "</t>
        </is>
      </c>
      <c r="N484" s="47">
        <f>IF(Закуп!L484="",0,Закуп!L484)</f>
        <v/>
      </c>
      <c r="O484" s="47" t="inlineStr">
        <is>
          <t>" ],</t>
        </is>
      </c>
      <c r="P484" s="165">
        <f>Закуп!N484</f>
        <v/>
      </c>
      <c r="Q484" s="210">
        <f>CONCATENATE(A484,B484,",",C484,",",D484,E484,F484,",",G484,",",H484,",",I484,",",J484,K484,L484,M484,N484,O484,)</f>
        <v/>
      </c>
    </row>
    <row r="485" hidden="1" s="55">
      <c r="A485" s="47" t="inlineStr">
        <is>
          <t xml:space="preserve">        [ 'dims' =&gt; [</t>
        </is>
      </c>
      <c r="B485" s="47">
        <f>Закуп!R485</f>
        <v/>
      </c>
      <c r="C485" s="47">
        <f>Закуп!S485</f>
        <v/>
      </c>
      <c r="D485" s="47">
        <f>Закуп!T485</f>
        <v/>
      </c>
      <c r="E485" s="47" t="inlineStr">
        <is>
          <t>], 'prices' =&gt; [</t>
        </is>
      </c>
      <c r="F485" s="101">
        <f>SUBSTITUTE(INDEX(Calc!$K:$K,(ROW(A484)-1)*5+COLUMN(A484)+1),",",".")</f>
        <v/>
      </c>
      <c r="G485" s="101">
        <f>SUBSTITUTE(INDEX(Calc!$K:$K,(ROW(B484)-1)*5+COLUMN(B484)+1),",",".")</f>
        <v/>
      </c>
      <c r="H485" s="101">
        <f>SUBSTITUTE(INDEX(Calc!$K:$K,(ROW(C484)-1)*5+COLUMN(C484)+1),",",".")</f>
        <v/>
      </c>
      <c r="I485" s="101">
        <f>SUBSTITUTE(INDEX(Calc!$K:$K,(ROW(D484)-1)*5+COLUMN(D484)+1),",",".")</f>
        <v/>
      </c>
      <c r="J485" s="101">
        <f>SUBSTITUTE(INDEX(Calc!$K:$K,(ROW(E484)-1)*5+COLUMN(E484)+1),",",".")</f>
        <v/>
      </c>
      <c r="K485" s="47" t="inlineStr">
        <is>
          <t>], 'type' =&gt; "</t>
        </is>
      </c>
      <c r="L485" s="101">
        <f>Закуп!AA485</f>
        <v/>
      </c>
      <c r="M485" s="47" t="inlineStr">
        <is>
          <t>", 'sale' =&gt; "</t>
        </is>
      </c>
      <c r="N485" s="47">
        <f>IF(Закуп!L485="",0,Закуп!L485)</f>
        <v/>
      </c>
      <c r="O485" s="47" t="inlineStr">
        <is>
          <t>" ],</t>
        </is>
      </c>
      <c r="P485" s="165">
        <f>Закуп!N485</f>
        <v/>
      </c>
      <c r="Q485" s="210">
        <f>CONCATENATE(A485,B485,",",C485,",",D485,E485,F485,",",G485,",",H485,",",I485,",",J485,K485,L485,M485,N485,O485,)</f>
        <v/>
      </c>
    </row>
    <row r="486" hidden="1" s="55">
      <c r="A486" s="47" t="inlineStr">
        <is>
          <t xml:space="preserve">        [ 'dims' =&gt; [</t>
        </is>
      </c>
      <c r="B486" s="47">
        <f>Закуп!R486</f>
        <v/>
      </c>
      <c r="C486" s="47">
        <f>Закуп!S486</f>
        <v/>
      </c>
      <c r="D486" s="47">
        <f>Закуп!T486</f>
        <v/>
      </c>
      <c r="E486" s="47" t="inlineStr">
        <is>
          <t>], 'prices' =&gt; [</t>
        </is>
      </c>
      <c r="F486" s="101">
        <f>SUBSTITUTE(INDEX(Calc!$K:$K,(ROW(A485)-1)*5+COLUMN(A485)+1),",",".")</f>
        <v/>
      </c>
      <c r="G486" s="101">
        <f>SUBSTITUTE(INDEX(Calc!$K:$K,(ROW(B485)-1)*5+COLUMN(B485)+1),",",".")</f>
        <v/>
      </c>
      <c r="H486" s="101">
        <f>SUBSTITUTE(INDEX(Calc!$K:$K,(ROW(C485)-1)*5+COLUMN(C485)+1),",",".")</f>
        <v/>
      </c>
      <c r="I486" s="101">
        <f>SUBSTITUTE(INDEX(Calc!$K:$K,(ROW(D485)-1)*5+COLUMN(D485)+1),",",".")</f>
        <v/>
      </c>
      <c r="J486" s="101">
        <f>SUBSTITUTE(INDEX(Calc!$K:$K,(ROW(E485)-1)*5+COLUMN(E485)+1),",",".")</f>
        <v/>
      </c>
      <c r="K486" s="47" t="inlineStr">
        <is>
          <t>], 'type' =&gt; "</t>
        </is>
      </c>
      <c r="L486" s="101">
        <f>Закуп!AA486</f>
        <v/>
      </c>
      <c r="M486" s="47" t="inlineStr">
        <is>
          <t>", 'sale' =&gt; "</t>
        </is>
      </c>
      <c r="N486" s="47">
        <f>IF(Закуп!L486="",0,Закуп!L486)</f>
        <v/>
      </c>
      <c r="O486" s="47" t="inlineStr">
        <is>
          <t>" ],</t>
        </is>
      </c>
      <c r="P486" s="165">
        <f>Закуп!N486</f>
        <v/>
      </c>
      <c r="Q486" s="210">
        <f>CONCATENATE(A486,B486,",",C486,",",D486,E486,F486,",",G486,",",H486,",",I486,",",J486,K486,L486,M486,N486,O486,)</f>
        <v/>
      </c>
    </row>
    <row r="487" hidden="1" s="55">
      <c r="A487" s="47" t="inlineStr">
        <is>
          <t xml:space="preserve">        [ 'dims' =&gt; [</t>
        </is>
      </c>
      <c r="B487" s="47">
        <f>Закуп!R487</f>
        <v/>
      </c>
      <c r="C487" s="47">
        <f>Закуп!S487</f>
        <v/>
      </c>
      <c r="D487" s="47">
        <f>Закуп!T487</f>
        <v/>
      </c>
      <c r="E487" s="47" t="inlineStr">
        <is>
          <t>], 'prices' =&gt; [</t>
        </is>
      </c>
      <c r="F487" s="101">
        <f>SUBSTITUTE(INDEX(Calc!$K:$K,(ROW(A486)-1)*5+COLUMN(A486)+1),",",".")</f>
        <v/>
      </c>
      <c r="G487" s="101">
        <f>SUBSTITUTE(INDEX(Calc!$K:$K,(ROW(B486)-1)*5+COLUMN(B486)+1),",",".")</f>
        <v/>
      </c>
      <c r="H487" s="101">
        <f>SUBSTITUTE(INDEX(Calc!$K:$K,(ROW(C486)-1)*5+COLUMN(C486)+1),",",".")</f>
        <v/>
      </c>
      <c r="I487" s="101">
        <f>SUBSTITUTE(INDEX(Calc!$K:$K,(ROW(D486)-1)*5+COLUMN(D486)+1),",",".")</f>
        <v/>
      </c>
      <c r="J487" s="101">
        <f>SUBSTITUTE(INDEX(Calc!$K:$K,(ROW(E486)-1)*5+COLUMN(E486)+1),",",".")</f>
        <v/>
      </c>
      <c r="K487" s="47" t="inlineStr">
        <is>
          <t>], 'type' =&gt; "</t>
        </is>
      </c>
      <c r="L487" s="101">
        <f>Закуп!AA487</f>
        <v/>
      </c>
      <c r="M487" s="47" t="inlineStr">
        <is>
          <t>", 'sale' =&gt; "</t>
        </is>
      </c>
      <c r="N487" s="47">
        <f>IF(Закуп!L487="",0,Закуп!L487)</f>
        <v/>
      </c>
      <c r="O487" s="47" t="inlineStr">
        <is>
          <t>" ],</t>
        </is>
      </c>
      <c r="P487" s="165">
        <f>Закуп!N487</f>
        <v/>
      </c>
      <c r="Q487" s="210">
        <f>CONCATENATE(A487,B487,",",C487,",",D487,E487,F487,",",G487,",",H487,",",I487,",",J487,K487,L487,M487,N487,O487,)</f>
        <v/>
      </c>
    </row>
    <row r="488" hidden="1" s="55">
      <c r="A488" s="47" t="inlineStr">
        <is>
          <t xml:space="preserve">        [ 'dims' =&gt; [</t>
        </is>
      </c>
      <c r="B488" s="47">
        <f>Закуп!R488</f>
        <v/>
      </c>
      <c r="C488" s="47">
        <f>Закуп!S488</f>
        <v/>
      </c>
      <c r="D488" s="47">
        <f>Закуп!T488</f>
        <v/>
      </c>
      <c r="E488" s="47" t="inlineStr">
        <is>
          <t>], 'prices' =&gt; [</t>
        </is>
      </c>
      <c r="F488" s="101">
        <f>SUBSTITUTE(INDEX(Calc!$K:$K,(ROW(A487)-1)*5+COLUMN(A487)+1),",",".")</f>
        <v/>
      </c>
      <c r="G488" s="101">
        <f>SUBSTITUTE(INDEX(Calc!$K:$K,(ROW(B487)-1)*5+COLUMN(B487)+1),",",".")</f>
        <v/>
      </c>
      <c r="H488" s="101">
        <f>SUBSTITUTE(INDEX(Calc!$K:$K,(ROW(C487)-1)*5+COLUMN(C487)+1),",",".")</f>
        <v/>
      </c>
      <c r="I488" s="101">
        <f>SUBSTITUTE(INDEX(Calc!$K:$K,(ROW(D487)-1)*5+COLUMN(D487)+1),",",".")</f>
        <v/>
      </c>
      <c r="J488" s="101">
        <f>SUBSTITUTE(INDEX(Calc!$K:$K,(ROW(E487)-1)*5+COLUMN(E487)+1),",",".")</f>
        <v/>
      </c>
      <c r="K488" s="47" t="inlineStr">
        <is>
          <t>], 'type' =&gt; "</t>
        </is>
      </c>
      <c r="L488" s="101">
        <f>Закуп!AA488</f>
        <v/>
      </c>
      <c r="M488" s="47" t="inlineStr">
        <is>
          <t>", 'sale' =&gt; "</t>
        </is>
      </c>
      <c r="N488" s="47">
        <f>IF(Закуп!L488="",0,Закуп!L488)</f>
        <v/>
      </c>
      <c r="O488" s="47" t="inlineStr">
        <is>
          <t>" ],</t>
        </is>
      </c>
      <c r="P488" s="165">
        <f>Закуп!N488</f>
        <v/>
      </c>
      <c r="Q488" s="210">
        <f>CONCATENATE(A488,B488,",",C488,",",D488,E488,F488,",",G488,",",H488,",",I488,",",J488,K488,L488,M488,N488,O488,)</f>
        <v/>
      </c>
    </row>
    <row r="489" hidden="1" s="55">
      <c r="A489" s="47" t="inlineStr">
        <is>
          <t xml:space="preserve">        [ 'dims' =&gt; [</t>
        </is>
      </c>
      <c r="B489" s="47">
        <f>Закуп!R489</f>
        <v/>
      </c>
      <c r="C489" s="47">
        <f>Закуп!S489</f>
        <v/>
      </c>
      <c r="D489" s="47">
        <f>Закуп!T489</f>
        <v/>
      </c>
      <c r="E489" s="47" t="inlineStr">
        <is>
          <t>], 'prices' =&gt; [</t>
        </is>
      </c>
      <c r="F489" s="101">
        <f>SUBSTITUTE(INDEX(Calc!$K:$K,(ROW(A488)-1)*5+COLUMN(A488)+1),",",".")</f>
        <v/>
      </c>
      <c r="G489" s="101">
        <f>SUBSTITUTE(INDEX(Calc!$K:$K,(ROW(B488)-1)*5+COLUMN(B488)+1),",",".")</f>
        <v/>
      </c>
      <c r="H489" s="101">
        <f>SUBSTITUTE(INDEX(Calc!$K:$K,(ROW(C488)-1)*5+COLUMN(C488)+1),",",".")</f>
        <v/>
      </c>
      <c r="I489" s="101">
        <f>SUBSTITUTE(INDEX(Calc!$K:$K,(ROW(D488)-1)*5+COLUMN(D488)+1),",",".")</f>
        <v/>
      </c>
      <c r="J489" s="101">
        <f>SUBSTITUTE(INDEX(Calc!$K:$K,(ROW(E488)-1)*5+COLUMN(E488)+1),",",".")</f>
        <v/>
      </c>
      <c r="K489" s="47" t="inlineStr">
        <is>
          <t>], 'type' =&gt; "</t>
        </is>
      </c>
      <c r="L489" s="101">
        <f>Закуп!AA489</f>
        <v/>
      </c>
      <c r="M489" s="47" t="inlineStr">
        <is>
          <t>", 'sale' =&gt; "</t>
        </is>
      </c>
      <c r="N489" s="47">
        <f>IF(Закуп!L489="",0,Закуп!L489)</f>
        <v/>
      </c>
      <c r="O489" s="47" t="inlineStr">
        <is>
          <t>" ],</t>
        </is>
      </c>
      <c r="P489" s="165">
        <f>Закуп!N489</f>
        <v/>
      </c>
      <c r="Q489" s="210">
        <f>CONCATENATE(A489,B489,",",C489,",",D489,E489,F489,",",G489,",",H489,",",I489,",",J489,K489,L489,M489,N489,O489,)</f>
        <v/>
      </c>
    </row>
    <row r="490" hidden="1" s="55">
      <c r="A490" s="47" t="inlineStr">
        <is>
          <t xml:space="preserve">        [ 'dims' =&gt; [</t>
        </is>
      </c>
      <c r="B490" s="47">
        <f>Закуп!R490</f>
        <v/>
      </c>
      <c r="C490" s="47">
        <f>Закуп!S490</f>
        <v/>
      </c>
      <c r="D490" s="47">
        <f>Закуп!T490</f>
        <v/>
      </c>
      <c r="E490" s="47" t="inlineStr">
        <is>
          <t>], 'prices' =&gt; [</t>
        </is>
      </c>
      <c r="F490" s="101">
        <f>SUBSTITUTE(INDEX(Calc!$K:$K,(ROW(A489)-1)*5+COLUMN(A489)+1),",",".")</f>
        <v/>
      </c>
      <c r="G490" s="101">
        <f>SUBSTITUTE(INDEX(Calc!$K:$K,(ROW(B489)-1)*5+COLUMN(B489)+1),",",".")</f>
        <v/>
      </c>
      <c r="H490" s="101">
        <f>SUBSTITUTE(INDEX(Calc!$K:$K,(ROW(C489)-1)*5+COLUMN(C489)+1),",",".")</f>
        <v/>
      </c>
      <c r="I490" s="101">
        <f>SUBSTITUTE(INDEX(Calc!$K:$K,(ROW(D489)-1)*5+COLUMN(D489)+1),",",".")</f>
        <v/>
      </c>
      <c r="J490" s="101">
        <f>SUBSTITUTE(INDEX(Calc!$K:$K,(ROW(E489)-1)*5+COLUMN(E489)+1),",",".")</f>
        <v/>
      </c>
      <c r="K490" s="47" t="inlineStr">
        <is>
          <t>], 'type' =&gt; "</t>
        </is>
      </c>
      <c r="L490" s="101">
        <f>Закуп!AA490</f>
        <v/>
      </c>
      <c r="M490" s="47" t="inlineStr">
        <is>
          <t>", 'sale' =&gt; "</t>
        </is>
      </c>
      <c r="N490" s="47">
        <f>IF(Закуп!L490="",0,Закуп!L490)</f>
        <v/>
      </c>
      <c r="O490" s="47" t="inlineStr">
        <is>
          <t>" ],</t>
        </is>
      </c>
      <c r="P490" s="165">
        <f>Закуп!N490</f>
        <v/>
      </c>
      <c r="Q490" s="210">
        <f>CONCATENATE(A490,B490,",",C490,",",D490,E490,F490,",",G490,",",H490,",",I490,",",J490,K490,L490,M490,N490,O490,)</f>
        <v/>
      </c>
    </row>
    <row r="491" hidden="1" s="55">
      <c r="A491" s="47" t="inlineStr">
        <is>
          <t xml:space="preserve">        [ 'dims' =&gt; [</t>
        </is>
      </c>
      <c r="B491" s="47">
        <f>Закуп!R491</f>
        <v/>
      </c>
      <c r="C491" s="47">
        <f>Закуп!S491</f>
        <v/>
      </c>
      <c r="D491" s="47">
        <f>Закуп!T491</f>
        <v/>
      </c>
      <c r="E491" s="47" t="inlineStr">
        <is>
          <t>], 'prices' =&gt; [</t>
        </is>
      </c>
      <c r="F491" s="101">
        <f>SUBSTITUTE(INDEX(Calc!$K:$K,(ROW(A490)-1)*5+COLUMN(A490)+1),",",".")</f>
        <v/>
      </c>
      <c r="G491" s="101">
        <f>SUBSTITUTE(INDEX(Calc!$K:$K,(ROW(B490)-1)*5+COLUMN(B490)+1),",",".")</f>
        <v/>
      </c>
      <c r="H491" s="101">
        <f>SUBSTITUTE(INDEX(Calc!$K:$K,(ROW(C490)-1)*5+COLUMN(C490)+1),",",".")</f>
        <v/>
      </c>
      <c r="I491" s="101">
        <f>SUBSTITUTE(INDEX(Calc!$K:$K,(ROW(D490)-1)*5+COLUMN(D490)+1),",",".")</f>
        <v/>
      </c>
      <c r="J491" s="101">
        <f>SUBSTITUTE(INDEX(Calc!$K:$K,(ROW(E490)-1)*5+COLUMN(E490)+1),",",".")</f>
        <v/>
      </c>
      <c r="K491" s="47" t="inlineStr">
        <is>
          <t>], 'type' =&gt; "</t>
        </is>
      </c>
      <c r="L491" s="101">
        <f>Закуп!AA491</f>
        <v/>
      </c>
      <c r="M491" s="47" t="inlineStr">
        <is>
          <t>", 'sale' =&gt; "</t>
        </is>
      </c>
      <c r="N491" s="47">
        <f>IF(Закуп!L491="",0,Закуп!L491)</f>
        <v/>
      </c>
      <c r="O491" s="47" t="inlineStr">
        <is>
          <t>" ],</t>
        </is>
      </c>
      <c r="P491" s="165">
        <f>Закуп!N491</f>
        <v/>
      </c>
      <c r="Q491" s="210">
        <f>CONCATENATE(A491,B491,",",C491,",",D491,E491,F491,",",G491,",",H491,",",I491,",",J491,K491,L491,M491,N491,O491,)</f>
        <v/>
      </c>
    </row>
    <row r="492" hidden="1" s="55">
      <c r="A492" s="47" t="inlineStr">
        <is>
          <t xml:space="preserve">        [ 'dims' =&gt; [</t>
        </is>
      </c>
      <c r="B492" s="47">
        <f>Закуп!R492</f>
        <v/>
      </c>
      <c r="C492" s="47">
        <f>Закуп!S492</f>
        <v/>
      </c>
      <c r="D492" s="47">
        <f>Закуп!T492</f>
        <v/>
      </c>
      <c r="E492" s="47" t="inlineStr">
        <is>
          <t>], 'prices' =&gt; [</t>
        </is>
      </c>
      <c r="F492" s="101">
        <f>SUBSTITUTE(INDEX(Calc!$K:$K,(ROW(A491)-1)*5+COLUMN(A491)+1),",",".")</f>
        <v/>
      </c>
      <c r="G492" s="101">
        <f>SUBSTITUTE(INDEX(Calc!$K:$K,(ROW(B491)-1)*5+COLUMN(B491)+1),",",".")</f>
        <v/>
      </c>
      <c r="H492" s="101">
        <f>SUBSTITUTE(INDEX(Calc!$K:$K,(ROW(C491)-1)*5+COLUMN(C491)+1),",",".")</f>
        <v/>
      </c>
      <c r="I492" s="101">
        <f>SUBSTITUTE(INDEX(Calc!$K:$K,(ROW(D491)-1)*5+COLUMN(D491)+1),",",".")</f>
        <v/>
      </c>
      <c r="J492" s="101">
        <f>SUBSTITUTE(INDEX(Calc!$K:$K,(ROW(E491)-1)*5+COLUMN(E491)+1),",",".")</f>
        <v/>
      </c>
      <c r="K492" s="47" t="inlineStr">
        <is>
          <t>], 'type' =&gt; "</t>
        </is>
      </c>
      <c r="L492" s="101">
        <f>Закуп!AA492</f>
        <v/>
      </c>
      <c r="M492" s="47" t="inlineStr">
        <is>
          <t>", 'sale' =&gt; "</t>
        </is>
      </c>
      <c r="N492" s="47">
        <f>IF(Закуп!L492="",0,Закуп!L492)</f>
        <v/>
      </c>
      <c r="O492" s="47" t="inlineStr">
        <is>
          <t>" ],</t>
        </is>
      </c>
      <c r="P492" s="165">
        <f>Закуп!N492</f>
        <v/>
      </c>
      <c r="Q492" s="210">
        <f>CONCATENATE(A492,B492,",",C492,",",D492,E492,F492,",",G492,",",H492,",",I492,",",J492,K492,L492,M492,N492,O492,)</f>
        <v/>
      </c>
    </row>
    <row r="493" hidden="1" s="55">
      <c r="A493" s="47" t="inlineStr">
        <is>
          <t xml:space="preserve">        [ 'dims' =&gt; [</t>
        </is>
      </c>
      <c r="B493" s="47">
        <f>Закуп!R493</f>
        <v/>
      </c>
      <c r="C493" s="47">
        <f>Закуп!S493</f>
        <v/>
      </c>
      <c r="D493" s="47">
        <f>Закуп!T493</f>
        <v/>
      </c>
      <c r="E493" s="47" t="inlineStr">
        <is>
          <t>], 'prices' =&gt; [</t>
        </is>
      </c>
      <c r="F493" s="101">
        <f>SUBSTITUTE(INDEX(Calc!$K:$K,(ROW(A492)-1)*5+COLUMN(A492)+1),",",".")</f>
        <v/>
      </c>
      <c r="G493" s="101">
        <f>SUBSTITUTE(INDEX(Calc!$K:$K,(ROW(B492)-1)*5+COLUMN(B492)+1),",",".")</f>
        <v/>
      </c>
      <c r="H493" s="101">
        <f>SUBSTITUTE(INDEX(Calc!$K:$K,(ROW(C492)-1)*5+COLUMN(C492)+1),",",".")</f>
        <v/>
      </c>
      <c r="I493" s="101">
        <f>SUBSTITUTE(INDEX(Calc!$K:$K,(ROW(D492)-1)*5+COLUMN(D492)+1),",",".")</f>
        <v/>
      </c>
      <c r="J493" s="101">
        <f>SUBSTITUTE(INDEX(Calc!$K:$K,(ROW(E492)-1)*5+COLUMN(E492)+1),",",".")</f>
        <v/>
      </c>
      <c r="K493" s="47" t="inlineStr">
        <is>
          <t>], 'type' =&gt; "</t>
        </is>
      </c>
      <c r="L493" s="101">
        <f>Закуп!AA493</f>
        <v/>
      </c>
      <c r="M493" s="47" t="inlineStr">
        <is>
          <t>", 'sale' =&gt; "</t>
        </is>
      </c>
      <c r="N493" s="47">
        <f>IF(Закуп!L493="",0,Закуп!L493)</f>
        <v/>
      </c>
      <c r="O493" s="47" t="inlineStr">
        <is>
          <t>" ],</t>
        </is>
      </c>
      <c r="P493" s="165">
        <f>Закуп!N493</f>
        <v/>
      </c>
      <c r="Q493" s="210">
        <f>CONCATENATE(A493,B493,",",C493,",",D493,E493,F493,",",G493,",",H493,",",I493,",",J493,K493,L493,M493,N493,O493,)</f>
        <v/>
      </c>
    </row>
    <row r="494" hidden="1" s="55">
      <c r="A494" s="47" t="inlineStr">
        <is>
          <t xml:space="preserve">        [ 'dims' =&gt; [</t>
        </is>
      </c>
      <c r="B494" s="47">
        <f>Закуп!R494</f>
        <v/>
      </c>
      <c r="C494" s="47">
        <f>Закуп!S494</f>
        <v/>
      </c>
      <c r="D494" s="47">
        <f>Закуп!T494</f>
        <v/>
      </c>
      <c r="E494" s="47" t="inlineStr">
        <is>
          <t>], 'prices' =&gt; [</t>
        </is>
      </c>
      <c r="F494" s="101">
        <f>SUBSTITUTE(INDEX(Calc!$K:$K,(ROW(A493)-1)*5+COLUMN(A493)+1),",",".")</f>
        <v/>
      </c>
      <c r="G494" s="101">
        <f>SUBSTITUTE(INDEX(Calc!$K:$K,(ROW(B493)-1)*5+COLUMN(B493)+1),",",".")</f>
        <v/>
      </c>
      <c r="H494" s="101">
        <f>SUBSTITUTE(INDEX(Calc!$K:$K,(ROW(C493)-1)*5+COLUMN(C493)+1),",",".")</f>
        <v/>
      </c>
      <c r="I494" s="101">
        <f>SUBSTITUTE(INDEX(Calc!$K:$K,(ROW(D493)-1)*5+COLUMN(D493)+1),",",".")</f>
        <v/>
      </c>
      <c r="J494" s="101">
        <f>SUBSTITUTE(INDEX(Calc!$K:$K,(ROW(E493)-1)*5+COLUMN(E493)+1),",",".")</f>
        <v/>
      </c>
      <c r="K494" s="47" t="inlineStr">
        <is>
          <t>], 'type' =&gt; "</t>
        </is>
      </c>
      <c r="L494" s="101">
        <f>Закуп!AA494</f>
        <v/>
      </c>
      <c r="M494" s="47" t="inlineStr">
        <is>
          <t>", 'sale' =&gt; "</t>
        </is>
      </c>
      <c r="N494" s="47">
        <f>IF(Закуп!L494="",0,Закуп!L494)</f>
        <v/>
      </c>
      <c r="O494" s="47" t="inlineStr">
        <is>
          <t>" ],</t>
        </is>
      </c>
      <c r="P494" s="165">
        <f>Закуп!N494</f>
        <v/>
      </c>
      <c r="Q494" s="210">
        <f>CONCATENATE(A494,B494,",",C494,",",D494,E494,F494,",",G494,",",H494,",",I494,",",J494,K494,L494,M494,N494,O494,)</f>
        <v/>
      </c>
    </row>
    <row r="495" hidden="1" s="55">
      <c r="A495" s="47" t="inlineStr">
        <is>
          <t xml:space="preserve">        [ 'dims' =&gt; [</t>
        </is>
      </c>
      <c r="B495" s="47">
        <f>Закуп!R495</f>
        <v/>
      </c>
      <c r="C495" s="47">
        <f>Закуп!S495</f>
        <v/>
      </c>
      <c r="D495" s="47">
        <f>Закуп!T495</f>
        <v/>
      </c>
      <c r="E495" s="47" t="inlineStr">
        <is>
          <t>], 'prices' =&gt; [</t>
        </is>
      </c>
      <c r="F495" s="101">
        <f>SUBSTITUTE(INDEX(Calc!$K:$K,(ROW(A494)-1)*5+COLUMN(A494)+1),",",".")</f>
        <v/>
      </c>
      <c r="G495" s="101">
        <f>SUBSTITUTE(INDEX(Calc!$K:$K,(ROW(B494)-1)*5+COLUMN(B494)+1),",",".")</f>
        <v/>
      </c>
      <c r="H495" s="101">
        <f>SUBSTITUTE(INDEX(Calc!$K:$K,(ROW(C494)-1)*5+COLUMN(C494)+1),",",".")</f>
        <v/>
      </c>
      <c r="I495" s="101">
        <f>SUBSTITUTE(INDEX(Calc!$K:$K,(ROW(D494)-1)*5+COLUMN(D494)+1),",",".")</f>
        <v/>
      </c>
      <c r="J495" s="101">
        <f>SUBSTITUTE(INDEX(Calc!$K:$K,(ROW(E494)-1)*5+COLUMN(E494)+1),",",".")</f>
        <v/>
      </c>
      <c r="K495" s="47" t="inlineStr">
        <is>
          <t>], 'type' =&gt; "</t>
        </is>
      </c>
      <c r="L495" s="101">
        <f>Закуп!AA495</f>
        <v/>
      </c>
      <c r="M495" s="47" t="inlineStr">
        <is>
          <t>", 'sale' =&gt; "</t>
        </is>
      </c>
      <c r="N495" s="47">
        <f>IF(Закуп!L495="",0,Закуп!L495)</f>
        <v/>
      </c>
      <c r="O495" s="47" t="inlineStr">
        <is>
          <t>" ],</t>
        </is>
      </c>
      <c r="P495" s="165">
        <f>Закуп!N495</f>
        <v/>
      </c>
      <c r="Q495" s="210">
        <f>CONCATENATE(A495,B495,",",C495,",",D495,E495,F495,",",G495,",",H495,",",I495,",",J495,K495,L495,M495,N495,O495,)</f>
        <v/>
      </c>
    </row>
    <row r="496" hidden="1" s="55">
      <c r="A496" s="47" t="inlineStr">
        <is>
          <t xml:space="preserve">        [ 'dims' =&gt; [</t>
        </is>
      </c>
      <c r="B496" s="47">
        <f>Закуп!R496</f>
        <v/>
      </c>
      <c r="C496" s="47">
        <f>Закуп!S496</f>
        <v/>
      </c>
      <c r="D496" s="47">
        <f>Закуп!T496</f>
        <v/>
      </c>
      <c r="E496" s="47" t="inlineStr">
        <is>
          <t>], 'prices' =&gt; [</t>
        </is>
      </c>
      <c r="F496" s="101">
        <f>SUBSTITUTE(INDEX(Calc!$K:$K,(ROW(A495)-1)*5+COLUMN(A495)+1),",",".")</f>
        <v/>
      </c>
      <c r="G496" s="101">
        <f>SUBSTITUTE(INDEX(Calc!$K:$K,(ROW(B495)-1)*5+COLUMN(B495)+1),",",".")</f>
        <v/>
      </c>
      <c r="H496" s="101">
        <f>SUBSTITUTE(INDEX(Calc!$K:$K,(ROW(C495)-1)*5+COLUMN(C495)+1),",",".")</f>
        <v/>
      </c>
      <c r="I496" s="101">
        <f>SUBSTITUTE(INDEX(Calc!$K:$K,(ROW(D495)-1)*5+COLUMN(D495)+1),",",".")</f>
        <v/>
      </c>
      <c r="J496" s="101">
        <f>SUBSTITUTE(INDEX(Calc!$K:$K,(ROW(E495)-1)*5+COLUMN(E495)+1),",",".")</f>
        <v/>
      </c>
      <c r="K496" s="47" t="inlineStr">
        <is>
          <t>], 'type' =&gt; "</t>
        </is>
      </c>
      <c r="L496" s="101">
        <f>Закуп!AA496</f>
        <v/>
      </c>
      <c r="M496" s="47" t="inlineStr">
        <is>
          <t>", 'sale' =&gt; "</t>
        </is>
      </c>
      <c r="N496" s="47">
        <f>IF(Закуп!L496="",0,Закуп!L496)</f>
        <v/>
      </c>
      <c r="O496" s="47" t="inlineStr">
        <is>
          <t>" ],</t>
        </is>
      </c>
      <c r="P496" s="165">
        <f>Закуп!N496</f>
        <v/>
      </c>
      <c r="Q496" s="210">
        <f>CONCATENATE(A496,B496,",",C496,",",D496,E496,F496,",",G496,",",H496,",",I496,",",J496,K496,L496,M496,N496,O496,)</f>
        <v/>
      </c>
    </row>
    <row r="497" hidden="1" s="55">
      <c r="A497" s="47" t="inlineStr">
        <is>
          <t xml:space="preserve">        [ 'dims' =&gt; [</t>
        </is>
      </c>
      <c r="B497" s="47">
        <f>Закуп!R497</f>
        <v/>
      </c>
      <c r="C497" s="47">
        <f>Закуп!S497</f>
        <v/>
      </c>
      <c r="D497" s="47">
        <f>Закуп!T497</f>
        <v/>
      </c>
      <c r="E497" s="47" t="inlineStr">
        <is>
          <t>], 'prices' =&gt; [</t>
        </is>
      </c>
      <c r="F497" s="101">
        <f>SUBSTITUTE(INDEX(Calc!$K:$K,(ROW(A496)-1)*5+COLUMN(A496)+1),",",".")</f>
        <v/>
      </c>
      <c r="G497" s="101">
        <f>SUBSTITUTE(INDEX(Calc!$K:$K,(ROW(B496)-1)*5+COLUMN(B496)+1),",",".")</f>
        <v/>
      </c>
      <c r="H497" s="101">
        <f>SUBSTITUTE(INDEX(Calc!$K:$K,(ROW(C496)-1)*5+COLUMN(C496)+1),",",".")</f>
        <v/>
      </c>
      <c r="I497" s="101">
        <f>SUBSTITUTE(INDEX(Calc!$K:$K,(ROW(D496)-1)*5+COLUMN(D496)+1),",",".")</f>
        <v/>
      </c>
      <c r="J497" s="101">
        <f>SUBSTITUTE(INDEX(Calc!$K:$K,(ROW(E496)-1)*5+COLUMN(E496)+1),",",".")</f>
        <v/>
      </c>
      <c r="K497" s="47" t="inlineStr">
        <is>
          <t>], 'type' =&gt; "</t>
        </is>
      </c>
      <c r="L497" s="101">
        <f>Закуп!AA497</f>
        <v/>
      </c>
      <c r="M497" s="47" t="inlineStr">
        <is>
          <t>", 'sale' =&gt; "</t>
        </is>
      </c>
      <c r="N497" s="47">
        <f>IF(Закуп!L497="",0,Закуп!L497)</f>
        <v/>
      </c>
      <c r="O497" s="47" t="inlineStr">
        <is>
          <t>" ],</t>
        </is>
      </c>
      <c r="P497" s="165">
        <f>Закуп!N497</f>
        <v/>
      </c>
      <c r="Q497" s="210">
        <f>CONCATENATE(A497,B497,",",C497,",",D497,E497,F497,",",G497,",",H497,",",I497,",",J497,K497,L497,M497,N497,O497,)</f>
        <v/>
      </c>
    </row>
    <row r="498" hidden="1" s="55">
      <c r="A498" s="47" t="inlineStr">
        <is>
          <t xml:space="preserve">        [ 'dims' =&gt; [</t>
        </is>
      </c>
      <c r="B498" s="47">
        <f>Закуп!R498</f>
        <v/>
      </c>
      <c r="C498" s="47">
        <f>Закуп!S498</f>
        <v/>
      </c>
      <c r="D498" s="47">
        <f>Закуп!T498</f>
        <v/>
      </c>
      <c r="E498" s="47" t="inlineStr">
        <is>
          <t>], 'prices' =&gt; [</t>
        </is>
      </c>
      <c r="F498" s="101">
        <f>SUBSTITUTE(INDEX(Calc!$K:$K,(ROW(A497)-1)*5+COLUMN(A497)+1),",",".")</f>
        <v/>
      </c>
      <c r="G498" s="101">
        <f>SUBSTITUTE(INDEX(Calc!$K:$K,(ROW(B497)-1)*5+COLUMN(B497)+1),",",".")</f>
        <v/>
      </c>
      <c r="H498" s="101">
        <f>SUBSTITUTE(INDEX(Calc!$K:$K,(ROW(C497)-1)*5+COLUMN(C497)+1),",",".")</f>
        <v/>
      </c>
      <c r="I498" s="101">
        <f>SUBSTITUTE(INDEX(Calc!$K:$K,(ROW(D497)-1)*5+COLUMN(D497)+1),",",".")</f>
        <v/>
      </c>
      <c r="J498" s="101">
        <f>SUBSTITUTE(INDEX(Calc!$K:$K,(ROW(E497)-1)*5+COLUMN(E497)+1),",",".")</f>
        <v/>
      </c>
      <c r="K498" s="47" t="inlineStr">
        <is>
          <t>], 'type' =&gt; "</t>
        </is>
      </c>
      <c r="L498" s="101">
        <f>Закуп!AA498</f>
        <v/>
      </c>
      <c r="M498" s="47" t="inlineStr">
        <is>
          <t>", 'sale' =&gt; "</t>
        </is>
      </c>
      <c r="N498" s="47">
        <f>IF(Закуп!L498="",0,Закуп!L498)</f>
        <v/>
      </c>
      <c r="O498" s="47" t="inlineStr">
        <is>
          <t>" ],</t>
        </is>
      </c>
      <c r="P498" s="165">
        <f>Закуп!N498</f>
        <v/>
      </c>
      <c r="Q498" s="210">
        <f>CONCATENATE(A498,B498,",",C498,",",D498,E498,F498,",",G498,",",H498,",",I498,",",J498,K498,L498,M498,N498,O498,)</f>
        <v/>
      </c>
    </row>
    <row r="499" hidden="1" s="55">
      <c r="A499" s="47" t="inlineStr">
        <is>
          <t xml:space="preserve">        [ 'dims' =&gt; [</t>
        </is>
      </c>
      <c r="B499" s="47">
        <f>Закуп!R499</f>
        <v/>
      </c>
      <c r="C499" s="47">
        <f>Закуп!S499</f>
        <v/>
      </c>
      <c r="D499" s="47">
        <f>Закуп!T499</f>
        <v/>
      </c>
      <c r="E499" s="47" t="inlineStr">
        <is>
          <t>], 'prices' =&gt; [</t>
        </is>
      </c>
      <c r="F499" s="101">
        <f>SUBSTITUTE(INDEX(Calc!$K:$K,(ROW(A498)-1)*5+COLUMN(A498)+1),",",".")</f>
        <v/>
      </c>
      <c r="G499" s="101">
        <f>SUBSTITUTE(INDEX(Calc!$K:$K,(ROW(B498)-1)*5+COLUMN(B498)+1),",",".")</f>
        <v/>
      </c>
      <c r="H499" s="101">
        <f>SUBSTITUTE(INDEX(Calc!$K:$K,(ROW(C498)-1)*5+COLUMN(C498)+1),",",".")</f>
        <v/>
      </c>
      <c r="I499" s="101">
        <f>SUBSTITUTE(INDEX(Calc!$K:$K,(ROW(D498)-1)*5+COLUMN(D498)+1),",",".")</f>
        <v/>
      </c>
      <c r="J499" s="101">
        <f>SUBSTITUTE(INDEX(Calc!$K:$K,(ROW(E498)-1)*5+COLUMN(E498)+1),",",".")</f>
        <v/>
      </c>
      <c r="K499" s="47" t="inlineStr">
        <is>
          <t>], 'type' =&gt; "</t>
        </is>
      </c>
      <c r="L499" s="101">
        <f>Закуп!AA499</f>
        <v/>
      </c>
      <c r="M499" s="47" t="inlineStr">
        <is>
          <t>", 'sale' =&gt; "</t>
        </is>
      </c>
      <c r="N499" s="47">
        <f>IF(Закуп!L499="",0,Закуп!L499)</f>
        <v/>
      </c>
      <c r="O499" s="47" t="inlineStr">
        <is>
          <t>" ],</t>
        </is>
      </c>
      <c r="P499" s="165">
        <f>Закуп!N499</f>
        <v/>
      </c>
      <c r="Q499" s="210">
        <f>CONCATENATE(A499,B499,",",C499,",",D499,E499,F499,",",G499,",",H499,",",I499,",",J499,K499,L499,M499,N499,O499,)</f>
        <v/>
      </c>
    </row>
    <row r="500" hidden="1" s="55">
      <c r="A500" s="47" t="inlineStr">
        <is>
          <t xml:space="preserve">        [ 'dims' =&gt; [</t>
        </is>
      </c>
      <c r="B500" s="47">
        <f>Закуп!R500</f>
        <v/>
      </c>
      <c r="C500" s="47">
        <f>Закуп!S500</f>
        <v/>
      </c>
      <c r="D500" s="47">
        <f>Закуп!T500</f>
        <v/>
      </c>
      <c r="E500" s="47" t="inlineStr">
        <is>
          <t>], 'prices' =&gt; [</t>
        </is>
      </c>
      <c r="F500" s="101">
        <f>SUBSTITUTE(INDEX(Calc!$K:$K,(ROW(A499)-1)*5+COLUMN(A499)+1),",",".")</f>
        <v/>
      </c>
      <c r="G500" s="101">
        <f>SUBSTITUTE(INDEX(Calc!$K:$K,(ROW(B499)-1)*5+COLUMN(B499)+1),",",".")</f>
        <v/>
      </c>
      <c r="H500" s="101">
        <f>SUBSTITUTE(INDEX(Calc!$K:$K,(ROW(C499)-1)*5+COLUMN(C499)+1),",",".")</f>
        <v/>
      </c>
      <c r="I500" s="101">
        <f>SUBSTITUTE(INDEX(Calc!$K:$K,(ROW(D499)-1)*5+COLUMN(D499)+1),",",".")</f>
        <v/>
      </c>
      <c r="J500" s="101">
        <f>SUBSTITUTE(INDEX(Calc!$K:$K,(ROW(E499)-1)*5+COLUMN(E499)+1),",",".")</f>
        <v/>
      </c>
      <c r="K500" s="47" t="inlineStr">
        <is>
          <t>], 'type' =&gt; "</t>
        </is>
      </c>
      <c r="L500" s="101">
        <f>Закуп!AA500</f>
        <v/>
      </c>
      <c r="M500" s="47" t="inlineStr">
        <is>
          <t>", 'sale' =&gt; "</t>
        </is>
      </c>
      <c r="N500" s="47">
        <f>IF(Закуп!L500="",0,Закуп!L500)</f>
        <v/>
      </c>
      <c r="O500" s="47" t="inlineStr">
        <is>
          <t>" ],</t>
        </is>
      </c>
      <c r="P500" s="165">
        <f>Закуп!N500</f>
        <v/>
      </c>
      <c r="Q500" s="210">
        <f>CONCATENATE(A500,B500,",",C500,",",D500,E500,F500,",",G500,",",H500,",",I500,",",J500,K500,L500,M500,N500,O500,)</f>
        <v/>
      </c>
    </row>
    <row r="501" hidden="1" s="55">
      <c r="A501" s="47" t="inlineStr">
        <is>
          <t xml:space="preserve">        [ 'dims' =&gt; [</t>
        </is>
      </c>
      <c r="B501" s="47">
        <f>Закуп!R501</f>
        <v/>
      </c>
      <c r="C501" s="47">
        <f>Закуп!S501</f>
        <v/>
      </c>
      <c r="D501" s="47">
        <f>Закуп!T501</f>
        <v/>
      </c>
      <c r="E501" s="47" t="inlineStr">
        <is>
          <t>], 'prices' =&gt; [</t>
        </is>
      </c>
      <c r="F501" s="101">
        <f>SUBSTITUTE(INDEX(Calc!$K:$K,(ROW(A500)-1)*5+COLUMN(A500)+1),",",".")</f>
        <v/>
      </c>
      <c r="G501" s="101">
        <f>SUBSTITUTE(INDEX(Calc!$K:$K,(ROW(B500)-1)*5+COLUMN(B500)+1),",",".")</f>
        <v/>
      </c>
      <c r="H501" s="101">
        <f>SUBSTITUTE(INDEX(Calc!$K:$K,(ROW(C500)-1)*5+COLUMN(C500)+1),",",".")</f>
        <v/>
      </c>
      <c r="I501" s="101">
        <f>SUBSTITUTE(INDEX(Calc!$K:$K,(ROW(D500)-1)*5+COLUMN(D500)+1),",",".")</f>
        <v/>
      </c>
      <c r="J501" s="101">
        <f>SUBSTITUTE(INDEX(Calc!$K:$K,(ROW(E500)-1)*5+COLUMN(E500)+1),",",".")</f>
        <v/>
      </c>
      <c r="K501" s="47" t="inlineStr">
        <is>
          <t>], 'type' =&gt; "</t>
        </is>
      </c>
      <c r="L501" s="101">
        <f>Закуп!AA501</f>
        <v/>
      </c>
      <c r="M501" s="47" t="inlineStr">
        <is>
          <t>", 'sale' =&gt; "</t>
        </is>
      </c>
      <c r="N501" s="47">
        <f>IF(Закуп!L501="",0,Закуп!L501)</f>
        <v/>
      </c>
      <c r="O501" s="47" t="inlineStr">
        <is>
          <t>" ],</t>
        </is>
      </c>
      <c r="P501" s="165">
        <f>Закуп!N501</f>
        <v/>
      </c>
      <c r="Q501" s="210">
        <f>CONCATENATE(A501,B501,",",C501,",",D501,E501,F501,",",G501,",",H501,",",I501,",",J501,K501,L501,M501,N501,O501,)</f>
        <v/>
      </c>
    </row>
    <row r="502" hidden="1" s="55">
      <c r="A502" s="47" t="inlineStr">
        <is>
          <t xml:space="preserve">        [ 'dims' =&gt; [</t>
        </is>
      </c>
      <c r="B502" s="47">
        <f>Закуп!R502</f>
        <v/>
      </c>
      <c r="C502" s="47">
        <f>Закуп!S502</f>
        <v/>
      </c>
      <c r="D502" s="47">
        <f>Закуп!T502</f>
        <v/>
      </c>
      <c r="E502" s="47" t="inlineStr">
        <is>
          <t>], 'prices' =&gt; [</t>
        </is>
      </c>
      <c r="F502" s="101">
        <f>SUBSTITUTE(INDEX(Calc!$K:$K,(ROW(A501)-1)*5+COLUMN(A501)+1),",",".")</f>
        <v/>
      </c>
      <c r="G502" s="101">
        <f>SUBSTITUTE(INDEX(Calc!$K:$K,(ROW(B501)-1)*5+COLUMN(B501)+1),",",".")</f>
        <v/>
      </c>
      <c r="H502" s="101">
        <f>SUBSTITUTE(INDEX(Calc!$K:$K,(ROW(C501)-1)*5+COLUMN(C501)+1),",",".")</f>
        <v/>
      </c>
      <c r="I502" s="101">
        <f>SUBSTITUTE(INDEX(Calc!$K:$K,(ROW(D501)-1)*5+COLUMN(D501)+1),",",".")</f>
        <v/>
      </c>
      <c r="J502" s="101">
        <f>SUBSTITUTE(INDEX(Calc!$K:$K,(ROW(E501)-1)*5+COLUMN(E501)+1),",",".")</f>
        <v/>
      </c>
      <c r="K502" s="47" t="inlineStr">
        <is>
          <t>], 'type' =&gt; "</t>
        </is>
      </c>
      <c r="L502" s="101">
        <f>Закуп!AA502</f>
        <v/>
      </c>
      <c r="M502" s="47" t="inlineStr">
        <is>
          <t>", 'sale' =&gt; "</t>
        </is>
      </c>
      <c r="N502" s="47">
        <f>IF(Закуп!L502="",0,Закуп!L502)</f>
        <v/>
      </c>
      <c r="O502" s="47" t="inlineStr">
        <is>
          <t>" ],</t>
        </is>
      </c>
      <c r="P502" s="165">
        <f>Закуп!N502</f>
        <v/>
      </c>
      <c r="Q502" s="210">
        <f>CONCATENATE(A502,B502,",",C502,",",D502,E502,F502,",",G502,",",H502,",",I502,",",J502,K502,L502,M502,N502,O502,)</f>
        <v/>
      </c>
    </row>
  </sheetData>
  <autoFilter ref="A1:Q502">
    <filterColumn colId="15" hiddenButton="0" showButton="1">
      <filters>
        <filter val="1"/>
      </filters>
    </filterColumn>
  </autoFilter>
  <conditionalFormatting sqref="P1:P1048576">
    <cfRule type="expression" priority="5" dxfId="3">
      <formula>P1=1</formula>
    </cfRule>
    <cfRule type="expression" priority="6" dxfId="2">
      <formula>P1=0</formula>
    </cfRule>
  </conditionalFormatting>
  <conditionalFormatting sqref="Q1:Q1048576">
    <cfRule type="expression" priority="1" dxfId="1">
      <formula>ISNUMBER(SEARCH("'sale' =&gt; ""Sale""",Q1))</formula>
    </cfRule>
  </conditionalFormatting>
  <pageMargins left="0.7" right="0.7" top="0.75" bottom="0.75" header="0.3" footer="0.3"/>
</worksheet>
</file>

<file path=xl/worksheets/sheet4.xml><?xml version="1.0" encoding="utf-8"?>
<worksheet xmlns="http://schemas.openxmlformats.org/spreadsheetml/2006/main">
  <sheetPr>
    <tabColor rgb="FF33CCCC"/>
    <outlinePr summaryBelow="1" summaryRight="1"/>
    <pageSetUpPr/>
  </sheetPr>
  <dimension ref="A1:R400"/>
  <sheetViews>
    <sheetView showZeros="0" zoomScaleNormal="100" workbookViewId="0">
      <pane ySplit="1" topLeftCell="A2" activePane="bottomLeft" state="frozen"/>
      <selection pane="bottomLeft" activeCell="Y14" sqref="Y14"/>
    </sheetView>
  </sheetViews>
  <sheetFormatPr baseColWidth="8" defaultColWidth="8.84375" defaultRowHeight="14.6"/>
  <cols>
    <col width="22.53515625" bestFit="1" customWidth="1" style="135" min="1" max="1"/>
    <col width="6.53515625" bestFit="1" customWidth="1" style="126" min="2" max="2"/>
    <col width="8" bestFit="1" customWidth="1" style="126" min="3" max="3"/>
    <col width="8" bestFit="1" customWidth="1" style="128" min="4" max="4"/>
    <col width="8" bestFit="1" customWidth="1" style="129" min="5" max="5"/>
    <col width="8.07421875" bestFit="1" customWidth="1" style="130" min="6" max="6"/>
    <col width="6.84375" bestFit="1" customWidth="1" style="135" min="7" max="7"/>
    <col width="9" bestFit="1" customWidth="1" style="135" min="8" max="10"/>
    <col width="15.4609375" bestFit="1" customWidth="1" style="135" min="11" max="11"/>
    <col width="13.84375" bestFit="1" customWidth="1" style="135" min="12" max="12"/>
    <col width="9" bestFit="1" customWidth="1" style="135" min="13" max="14"/>
    <col width="8.84375" customWidth="1" style="140" min="15" max="15"/>
    <col width="8.84375" customWidth="1" style="135" min="16" max="16"/>
    <col width="26.4609375" customWidth="1" style="219" min="17" max="17"/>
    <col width="3.3046875" bestFit="1" customWidth="1" style="143" min="18" max="18"/>
    <col width="8.84375" customWidth="1" style="135" min="19" max="16384"/>
  </cols>
  <sheetData>
    <row r="1" ht="53.6" customHeight="1" s="55">
      <c r="A1" s="177" t="inlineStr">
        <is>
          <t>&lt;img alt="" src="https://korobkikartonnyekupit.by/wp-content/uploads/2025/08/logo101.png" /&gt;</t>
        </is>
      </c>
      <c r="B1" s="126" t="inlineStr">
        <is>
          <t>50-90 шт</t>
        </is>
      </c>
      <c r="C1" s="126" t="inlineStr">
        <is>
          <t>100-290 шт</t>
        </is>
      </c>
      <c r="D1" s="128" t="inlineStr">
        <is>
          <t>300-490 шт</t>
        </is>
      </c>
      <c r="E1" s="129" t="inlineStr">
        <is>
          <t>500-990 шт</t>
        </is>
      </c>
      <c r="F1" s="130" t="inlineStr">
        <is>
          <t>1000 + шт</t>
        </is>
      </c>
      <c r="G1" s="132" t="inlineStr">
        <is>
          <t>Объем, л</t>
        </is>
      </c>
      <c r="H1" s="182" t="inlineStr">
        <is>
          <t>Объем	&amp;emsp;</t>
        </is>
      </c>
      <c r="I1" s="177" t="inlineStr">
        <is>
          <t>Наибольшая сторона, мм	&amp;emsp;</t>
        </is>
      </c>
      <c r="J1" s="177" t="inlineStr">
        <is>
          <t>Средняя сторона, мм	&amp;emsp;</t>
        </is>
      </c>
      <c r="K1" s="177" t="inlineStr">
        <is>
          <t>Наименьшая сторона, мм	&amp;emsp;</t>
        </is>
      </c>
      <c r="L1" s="177" t="inlineStr">
        <is>
          <t>Тип коробки	&amp;emsp;</t>
        </is>
      </c>
      <c r="M1" s="177" t="inlineStr">
        <is>
          <t>Длинные	&amp;emsp;</t>
        </is>
      </c>
      <c r="N1" s="177" t="inlineStr">
        <is>
          <t>Плоские	&amp;emsp;</t>
        </is>
      </c>
      <c r="O1" s="134" t="inlineStr">
        <is>
          <t>Распродажа 💥	&amp;emsp;</t>
        </is>
      </c>
      <c r="P1" s="177" t="inlineStr">
        <is>
          <t>SKU</t>
        </is>
      </c>
      <c r="Q1" s="220" t="inlineStr">
        <is>
          <t>Поставщ
0 - УДАЛИТЬ
колонку не копировать</t>
        </is>
      </c>
      <c r="R1" s="143" t="inlineStr">
        <is>
          <t>№</t>
        </is>
      </c>
    </row>
    <row r="2">
      <c r="A2" s="177">
        <f>Закуп!E2</f>
        <v/>
      </c>
      <c r="B2" s="178">
        <f>INDEX(Calc!$K:$K, (ROW(A1)-1)*5 + COLUMN(A1) + 1 )</f>
        <v/>
      </c>
      <c r="C2" s="178">
        <f>INDEX(Calc!$K:$K, (ROW(B1)-1)*5 + COLUMN(B1) + 1 )</f>
        <v/>
      </c>
      <c r="D2" s="179">
        <f>INDEX(Calc!$K:$K, (ROW(C1)-1)*5 + COLUMN(C1) + 1 )</f>
        <v/>
      </c>
      <c r="E2" s="180">
        <f>INDEX(Calc!$K:$K, (ROW(D1)-1)*5 + COLUMN(D1) + 1 )</f>
        <v/>
      </c>
      <c r="F2" s="181">
        <f>INDEX(Calc!$K:$K, (ROW(E1)-1)*5 + COLUMN(E1) + 1 )</f>
        <v/>
      </c>
      <c r="G2" s="182">
        <f>Закуп!O2</f>
        <v/>
      </c>
      <c r="H2" s="182">
        <f>Закуп!Q2</f>
        <v/>
      </c>
      <c r="I2" s="182">
        <f>Закуп!X2</f>
        <v/>
      </c>
      <c r="J2" s="182">
        <f>Закуп!Y2</f>
        <v/>
      </c>
      <c r="K2" s="182">
        <f>Закуп!Z2</f>
        <v/>
      </c>
      <c r="L2" s="182">
        <f>Закуп!AA2</f>
        <v/>
      </c>
      <c r="M2" s="182">
        <f>Закуп!V2</f>
        <v/>
      </c>
      <c r="N2" s="182">
        <f>Закуп!W2</f>
        <v/>
      </c>
      <c r="O2" s="183">
        <f>IF(OR(Закуп!L2="",Закуп!L2=0),"",Закуп!L2)</f>
        <v/>
      </c>
      <c r="P2" s="182">
        <f>Закуп!K2</f>
        <v/>
      </c>
      <c r="Q2" s="217">
        <f>IF(Закуп!D2="","",IF(LEFT(Закуп!D2,1)="0","0",Закуп!D2))</f>
        <v/>
      </c>
      <c r="R2" s="184">
        <f>Закуп!C2</f>
        <v/>
      </c>
    </row>
    <row r="3">
      <c r="A3" s="177">
        <f>Закуп!E3</f>
        <v/>
      </c>
      <c r="B3" s="178">
        <f>INDEX(Calc!$K:$K, (ROW(A2)-1)*5 + COLUMN(A2) + 1 )</f>
        <v/>
      </c>
      <c r="C3" s="178">
        <f>INDEX(Calc!$K:$K, (ROW(B2)-1)*5 + COLUMN(B2) + 1 )</f>
        <v/>
      </c>
      <c r="D3" s="179">
        <f>INDEX(Calc!$K:$K, (ROW(C2)-1)*5 + COLUMN(C2) + 1 )</f>
        <v/>
      </c>
      <c r="E3" s="180">
        <f>INDEX(Calc!$K:$K, (ROW(D2)-1)*5 + COLUMN(D2) + 1 )</f>
        <v/>
      </c>
      <c r="F3" s="181">
        <f>INDEX(Calc!$K:$K, (ROW(E2)-1)*5 + COLUMN(E2) + 1 )</f>
        <v/>
      </c>
      <c r="G3" s="182">
        <f>Закуп!O3</f>
        <v/>
      </c>
      <c r="H3" s="182">
        <f>Закуп!Q3</f>
        <v/>
      </c>
      <c r="I3" s="182">
        <f>Закуп!X3</f>
        <v/>
      </c>
      <c r="J3" s="182">
        <f>Закуп!Y3</f>
        <v/>
      </c>
      <c r="K3" s="182">
        <f>Закуп!Z3</f>
        <v/>
      </c>
      <c r="L3" s="182">
        <f>Закуп!AA3</f>
        <v/>
      </c>
      <c r="M3" s="182">
        <f>Закуп!V3</f>
        <v/>
      </c>
      <c r="N3" s="182">
        <f>Закуп!W3</f>
        <v/>
      </c>
      <c r="O3" s="183">
        <f>IF(OR(Закуп!L3="",Закуп!L3=0),"",Закуп!L3)</f>
        <v/>
      </c>
      <c r="P3" s="182">
        <f>Закуп!K3</f>
        <v/>
      </c>
      <c r="Q3" s="217">
        <f>IF(Закуп!D3="","",IF(LEFT(Закуп!D3,1)="0","0",Закуп!D3))</f>
        <v/>
      </c>
      <c r="R3" s="184">
        <f>Закуп!C3</f>
        <v/>
      </c>
    </row>
    <row r="4">
      <c r="A4" s="177">
        <f>Закуп!E4</f>
        <v/>
      </c>
      <c r="B4" s="178">
        <f>INDEX(Calc!$K:$K, (ROW(A3)-1)*5 + COLUMN(A3) + 1 )</f>
        <v/>
      </c>
      <c r="C4" s="178">
        <f>INDEX(Calc!$K:$K, (ROW(B3)-1)*5 + COLUMN(B3) + 1 )</f>
        <v/>
      </c>
      <c r="D4" s="179">
        <f>INDEX(Calc!$K:$K, (ROW(C3)-1)*5 + COLUMN(C3) + 1 )</f>
        <v/>
      </c>
      <c r="E4" s="180">
        <f>INDEX(Calc!$K:$K, (ROW(D3)-1)*5 + COLUMN(D3) + 1 )</f>
        <v/>
      </c>
      <c r="F4" s="181">
        <f>INDEX(Calc!$K:$K, (ROW(E3)-1)*5 + COLUMN(E3) + 1 )</f>
        <v/>
      </c>
      <c r="G4" s="182">
        <f>Закуп!O4</f>
        <v/>
      </c>
      <c r="H4" s="182">
        <f>Закуп!Q4</f>
        <v/>
      </c>
      <c r="I4" s="182">
        <f>Закуп!X4</f>
        <v/>
      </c>
      <c r="J4" s="182">
        <f>Закуп!Y4</f>
        <v/>
      </c>
      <c r="K4" s="182">
        <f>Закуп!Z4</f>
        <v/>
      </c>
      <c r="L4" s="182">
        <f>Закуп!AA4</f>
        <v/>
      </c>
      <c r="M4" s="182">
        <f>Закуп!V4</f>
        <v/>
      </c>
      <c r="N4" s="182">
        <f>Закуп!W4</f>
        <v/>
      </c>
      <c r="O4" s="183">
        <f>IF(OR(Закуп!L4="",Закуп!L4=0),"",Закуп!L4)</f>
        <v/>
      </c>
      <c r="P4" s="182">
        <f>Закуп!K4</f>
        <v/>
      </c>
      <c r="Q4" s="217">
        <f>IF(Закуп!D4="","",IF(LEFT(Закуп!D4,1)="0","0",Закуп!D4))</f>
        <v/>
      </c>
      <c r="R4" s="184">
        <f>Закуп!C4</f>
        <v/>
      </c>
    </row>
    <row r="5">
      <c r="A5" s="177">
        <f>Закуп!E5</f>
        <v/>
      </c>
      <c r="B5" s="178">
        <f>INDEX(Calc!$K:$K, (ROW(A4)-1)*5 + COLUMN(A4) + 1 )</f>
        <v/>
      </c>
      <c r="C5" s="178">
        <f>INDEX(Calc!$K:$K, (ROW(B4)-1)*5 + COLUMN(B4) + 1 )</f>
        <v/>
      </c>
      <c r="D5" s="179">
        <f>INDEX(Calc!$K:$K, (ROW(C4)-1)*5 + COLUMN(C4) + 1 )</f>
        <v/>
      </c>
      <c r="E5" s="180">
        <f>INDEX(Calc!$K:$K, (ROW(D4)-1)*5 + COLUMN(D4) + 1 )</f>
        <v/>
      </c>
      <c r="F5" s="181">
        <f>INDEX(Calc!$K:$K, (ROW(E4)-1)*5 + COLUMN(E4) + 1 )</f>
        <v/>
      </c>
      <c r="G5" s="182">
        <f>Закуп!O5</f>
        <v/>
      </c>
      <c r="H5" s="182">
        <f>Закуп!Q5</f>
        <v/>
      </c>
      <c r="I5" s="182">
        <f>Закуп!X5</f>
        <v/>
      </c>
      <c r="J5" s="182">
        <f>Закуп!Y5</f>
        <v/>
      </c>
      <c r="K5" s="182">
        <f>Закуп!Z5</f>
        <v/>
      </c>
      <c r="L5" s="182">
        <f>Закуп!AA5</f>
        <v/>
      </c>
      <c r="M5" s="182">
        <f>Закуп!V5</f>
        <v/>
      </c>
      <c r="N5" s="182">
        <f>Закуп!W5</f>
        <v/>
      </c>
      <c r="O5" s="183">
        <f>IF(OR(Закуп!L5="",Закуп!L5=0),"",Закуп!L5)</f>
        <v/>
      </c>
      <c r="P5" s="182">
        <f>Закуп!K5</f>
        <v/>
      </c>
      <c r="Q5" s="217">
        <f>IF(Закуп!D5="","",IF(LEFT(Закуп!D5,1)="0","0",Закуп!D5))</f>
        <v/>
      </c>
      <c r="R5" s="184">
        <f>Закуп!C5</f>
        <v/>
      </c>
    </row>
    <row r="6">
      <c r="A6" s="177">
        <f>Закуп!E6</f>
        <v/>
      </c>
      <c r="B6" s="178">
        <f>INDEX(Calc!$K:$K, (ROW(A5)-1)*5 + COLUMN(A5) + 1 )</f>
        <v/>
      </c>
      <c r="C6" s="178">
        <f>INDEX(Calc!$K:$K, (ROW(B5)-1)*5 + COLUMN(B5) + 1 )</f>
        <v/>
      </c>
      <c r="D6" s="179">
        <f>INDEX(Calc!$K:$K, (ROW(C5)-1)*5 + COLUMN(C5) + 1 )</f>
        <v/>
      </c>
      <c r="E6" s="180">
        <f>INDEX(Calc!$K:$K, (ROW(D5)-1)*5 + COLUMN(D5) + 1 )</f>
        <v/>
      </c>
      <c r="F6" s="181">
        <f>INDEX(Calc!$K:$K, (ROW(E5)-1)*5 + COLUMN(E5) + 1 )</f>
        <v/>
      </c>
      <c r="G6" s="182">
        <f>Закуп!O6</f>
        <v/>
      </c>
      <c r="H6" s="182">
        <f>Закуп!Q6</f>
        <v/>
      </c>
      <c r="I6" s="182">
        <f>Закуп!X6</f>
        <v/>
      </c>
      <c r="J6" s="182">
        <f>Закуп!Y6</f>
        <v/>
      </c>
      <c r="K6" s="182">
        <f>Закуп!Z6</f>
        <v/>
      </c>
      <c r="L6" s="182">
        <f>Закуп!AA6</f>
        <v/>
      </c>
      <c r="M6" s="182">
        <f>Закуп!V6</f>
        <v/>
      </c>
      <c r="N6" s="182">
        <f>Закуп!W6</f>
        <v/>
      </c>
      <c r="O6" s="183">
        <f>IF(OR(Закуп!L6="",Закуп!L6=0),"",Закуп!L6)</f>
        <v/>
      </c>
      <c r="P6" s="182">
        <f>Закуп!K6</f>
        <v/>
      </c>
      <c r="Q6" s="217">
        <f>IF(Закуп!D6="","",IF(LEFT(Закуп!D6,1)="0","0",Закуп!D6))</f>
        <v/>
      </c>
      <c r="R6" s="184">
        <f>Закуп!C6</f>
        <v/>
      </c>
    </row>
    <row r="7">
      <c r="A7" s="177">
        <f>Закуп!E7</f>
        <v/>
      </c>
      <c r="B7" s="178">
        <f>INDEX(Calc!$K:$K, (ROW(A6)-1)*5 + COLUMN(A6) + 1 )</f>
        <v/>
      </c>
      <c r="C7" s="178">
        <f>INDEX(Calc!$K:$K, (ROW(B6)-1)*5 + COLUMN(B6) + 1 )</f>
        <v/>
      </c>
      <c r="D7" s="179">
        <f>INDEX(Calc!$K:$K, (ROW(C6)-1)*5 + COLUMN(C6) + 1 )</f>
        <v/>
      </c>
      <c r="E7" s="180">
        <f>INDEX(Calc!$K:$K, (ROW(D6)-1)*5 + COLUMN(D6) + 1 )</f>
        <v/>
      </c>
      <c r="F7" s="181">
        <f>INDEX(Calc!$K:$K, (ROW(E6)-1)*5 + COLUMN(E6) + 1 )</f>
        <v/>
      </c>
      <c r="G7" s="182">
        <f>Закуп!O7</f>
        <v/>
      </c>
      <c r="H7" s="182">
        <f>Закуп!Q7</f>
        <v/>
      </c>
      <c r="I7" s="182">
        <f>Закуп!X7</f>
        <v/>
      </c>
      <c r="J7" s="182">
        <f>Закуп!Y7</f>
        <v/>
      </c>
      <c r="K7" s="182">
        <f>Закуп!Z7</f>
        <v/>
      </c>
      <c r="L7" s="182">
        <f>Закуп!AA7</f>
        <v/>
      </c>
      <c r="M7" s="182">
        <f>Закуп!V7</f>
        <v/>
      </c>
      <c r="N7" s="182">
        <f>Закуп!W7</f>
        <v/>
      </c>
      <c r="O7" s="183">
        <f>IF(OR(Закуп!L7="",Закуп!L7=0),"",Закуп!L7)</f>
        <v/>
      </c>
      <c r="P7" s="182">
        <f>Закуп!K7</f>
        <v/>
      </c>
      <c r="Q7" s="217">
        <f>IF(Закуп!D7="","",IF(LEFT(Закуп!D7,1)="0","0",Закуп!D7))</f>
        <v/>
      </c>
      <c r="R7" s="184">
        <f>Закуп!C7</f>
        <v/>
      </c>
    </row>
    <row r="8">
      <c r="A8" s="177">
        <f>Закуп!E8</f>
        <v/>
      </c>
      <c r="B8" s="178">
        <f>INDEX(Calc!$K:$K, (ROW(A7)-1)*5 + COLUMN(A7) + 1 )</f>
        <v/>
      </c>
      <c r="C8" s="178">
        <f>INDEX(Calc!$K:$K, (ROW(B7)-1)*5 + COLUMN(B7) + 1 )</f>
        <v/>
      </c>
      <c r="D8" s="179">
        <f>INDEX(Calc!$K:$K, (ROW(C7)-1)*5 + COLUMN(C7) + 1 )</f>
        <v/>
      </c>
      <c r="E8" s="180">
        <f>INDEX(Calc!$K:$K, (ROW(D7)-1)*5 + COLUMN(D7) + 1 )</f>
        <v/>
      </c>
      <c r="F8" s="181">
        <f>INDEX(Calc!$K:$K, (ROW(E7)-1)*5 + COLUMN(E7) + 1 )</f>
        <v/>
      </c>
      <c r="G8" s="182">
        <f>Закуп!O8</f>
        <v/>
      </c>
      <c r="H8" s="182">
        <f>Закуп!Q8</f>
        <v/>
      </c>
      <c r="I8" s="182">
        <f>Закуп!X8</f>
        <v/>
      </c>
      <c r="J8" s="182">
        <f>Закуп!Y8</f>
        <v/>
      </c>
      <c r="K8" s="182">
        <f>Закуп!Z8</f>
        <v/>
      </c>
      <c r="L8" s="182">
        <f>Закуп!AA8</f>
        <v/>
      </c>
      <c r="M8" s="182">
        <f>Закуп!V8</f>
        <v/>
      </c>
      <c r="N8" s="182">
        <f>Закуп!W8</f>
        <v/>
      </c>
      <c r="O8" s="183">
        <f>IF(OR(Закуп!L8="",Закуп!L8=0),"",Закуп!L8)</f>
        <v/>
      </c>
      <c r="P8" s="182">
        <f>Закуп!K8</f>
        <v/>
      </c>
      <c r="Q8" s="217">
        <f>IF(Закуп!D8="","",IF(LEFT(Закуп!D8,1)="0","0",Закуп!D8))</f>
        <v/>
      </c>
      <c r="R8" s="184">
        <f>Закуп!C8</f>
        <v/>
      </c>
    </row>
    <row r="9">
      <c r="A9" s="177">
        <f>Закуп!E9</f>
        <v/>
      </c>
      <c r="B9" s="178">
        <f>INDEX(Calc!$K:$K, (ROW(A8)-1)*5 + COLUMN(A8) + 1 )</f>
        <v/>
      </c>
      <c r="C9" s="178">
        <f>INDEX(Calc!$K:$K, (ROW(B8)-1)*5 + COLUMN(B8) + 1 )</f>
        <v/>
      </c>
      <c r="D9" s="179">
        <f>INDEX(Calc!$K:$K, (ROW(C8)-1)*5 + COLUMN(C8) + 1 )</f>
        <v/>
      </c>
      <c r="E9" s="180">
        <f>INDEX(Calc!$K:$K, (ROW(D8)-1)*5 + COLUMN(D8) + 1 )</f>
        <v/>
      </c>
      <c r="F9" s="181">
        <f>INDEX(Calc!$K:$K, (ROW(E8)-1)*5 + COLUMN(E8) + 1 )</f>
        <v/>
      </c>
      <c r="G9" s="182">
        <f>Закуп!O9</f>
        <v/>
      </c>
      <c r="H9" s="182">
        <f>Закуп!Q9</f>
        <v/>
      </c>
      <c r="I9" s="182">
        <f>Закуп!X9</f>
        <v/>
      </c>
      <c r="J9" s="182">
        <f>Закуп!Y9</f>
        <v/>
      </c>
      <c r="K9" s="182">
        <f>Закуп!Z9</f>
        <v/>
      </c>
      <c r="L9" s="182">
        <f>Закуп!AA9</f>
        <v/>
      </c>
      <c r="M9" s="182">
        <f>Закуп!V9</f>
        <v/>
      </c>
      <c r="N9" s="182">
        <f>Закуп!W9</f>
        <v/>
      </c>
      <c r="O9" s="183">
        <f>IF(OR(Закуп!L9="",Закуп!L9=0),"",Закуп!L9)</f>
        <v/>
      </c>
      <c r="P9" s="182">
        <f>Закуп!K9</f>
        <v/>
      </c>
      <c r="Q9" s="217">
        <f>IF(Закуп!D9="","",IF(LEFT(Закуп!D9,1)="0","0",Закуп!D9))</f>
        <v/>
      </c>
      <c r="R9" s="184">
        <f>Закуп!C9</f>
        <v/>
      </c>
    </row>
    <row r="10">
      <c r="A10" s="177">
        <f>Закуп!E10</f>
        <v/>
      </c>
      <c r="B10" s="178">
        <f>INDEX(Calc!$K:$K, (ROW(A9)-1)*5 + COLUMN(A9) + 1 )</f>
        <v/>
      </c>
      <c r="C10" s="178">
        <f>INDEX(Calc!$K:$K, (ROW(B9)-1)*5 + COLUMN(B9) + 1 )</f>
        <v/>
      </c>
      <c r="D10" s="179">
        <f>INDEX(Calc!$K:$K, (ROW(C9)-1)*5 + COLUMN(C9) + 1 )</f>
        <v/>
      </c>
      <c r="E10" s="180">
        <f>INDEX(Calc!$K:$K, (ROW(D9)-1)*5 + COLUMN(D9) + 1 )</f>
        <v/>
      </c>
      <c r="F10" s="181">
        <f>INDEX(Calc!$K:$K, (ROW(E9)-1)*5 + COLUMN(E9) + 1 )</f>
        <v/>
      </c>
      <c r="G10" s="182">
        <f>Закуп!O10</f>
        <v/>
      </c>
      <c r="H10" s="182">
        <f>Закуп!Q10</f>
        <v/>
      </c>
      <c r="I10" s="182">
        <f>Закуп!X10</f>
        <v/>
      </c>
      <c r="J10" s="182">
        <f>Закуп!Y10</f>
        <v/>
      </c>
      <c r="K10" s="182">
        <f>Закуп!Z10</f>
        <v/>
      </c>
      <c r="L10" s="182">
        <f>Закуп!AA10</f>
        <v/>
      </c>
      <c r="M10" s="182">
        <f>Закуп!V10</f>
        <v/>
      </c>
      <c r="N10" s="182">
        <f>Закуп!W10</f>
        <v/>
      </c>
      <c r="O10" s="183">
        <f>IF(OR(Закуп!L10="",Закуп!L10=0),"",Закуп!L10)</f>
        <v/>
      </c>
      <c r="P10" s="182">
        <f>Закуп!K10</f>
        <v/>
      </c>
      <c r="Q10" s="217">
        <f>IF(Закуп!D10="","",IF(LEFT(Закуп!D10,1)="0","0",Закуп!D10))</f>
        <v/>
      </c>
      <c r="R10" s="184">
        <f>Закуп!C10</f>
        <v/>
      </c>
    </row>
    <row r="11">
      <c r="A11" s="177">
        <f>Закуп!E11</f>
        <v/>
      </c>
      <c r="B11" s="178">
        <f>INDEX(Calc!$K:$K, (ROW(A10)-1)*5 + COLUMN(A10) + 1 )</f>
        <v/>
      </c>
      <c r="C11" s="178">
        <f>INDEX(Calc!$K:$K, (ROW(B10)-1)*5 + COLUMN(B10) + 1 )</f>
        <v/>
      </c>
      <c r="D11" s="179">
        <f>INDEX(Calc!$K:$K, (ROW(C10)-1)*5 + COLUMN(C10) + 1 )</f>
        <v/>
      </c>
      <c r="E11" s="180">
        <f>INDEX(Calc!$K:$K, (ROW(D10)-1)*5 + COLUMN(D10) + 1 )</f>
        <v/>
      </c>
      <c r="F11" s="181">
        <f>INDEX(Calc!$K:$K, (ROW(E10)-1)*5 + COLUMN(E10) + 1 )</f>
        <v/>
      </c>
      <c r="G11" s="182">
        <f>Закуп!O11</f>
        <v/>
      </c>
      <c r="H11" s="182">
        <f>Закуп!Q11</f>
        <v/>
      </c>
      <c r="I11" s="182">
        <f>Закуп!X11</f>
        <v/>
      </c>
      <c r="J11" s="182">
        <f>Закуп!Y11</f>
        <v/>
      </c>
      <c r="K11" s="182">
        <f>Закуп!Z11</f>
        <v/>
      </c>
      <c r="L11" s="182">
        <f>Закуп!AA11</f>
        <v/>
      </c>
      <c r="M11" s="182">
        <f>Закуп!V11</f>
        <v/>
      </c>
      <c r="N11" s="182">
        <f>Закуп!W11</f>
        <v/>
      </c>
      <c r="O11" s="183">
        <f>IF(OR(Закуп!L11="",Закуп!L11=0),"",Закуп!L11)</f>
        <v/>
      </c>
      <c r="P11" s="182">
        <f>Закуп!K11</f>
        <v/>
      </c>
      <c r="Q11" s="217">
        <f>IF(Закуп!D11="","",IF(LEFT(Закуп!D11,1)="0","0",Закуп!D11))</f>
        <v/>
      </c>
      <c r="R11" s="184">
        <f>Закуп!C11</f>
        <v/>
      </c>
    </row>
    <row r="12">
      <c r="A12" s="177">
        <f>Закуп!E12</f>
        <v/>
      </c>
      <c r="B12" s="178">
        <f>INDEX(Calc!$K:$K, (ROW(A11)-1)*5 + COLUMN(A11) + 1 )</f>
        <v/>
      </c>
      <c r="C12" s="178">
        <f>INDEX(Calc!$K:$K, (ROW(B11)-1)*5 + COLUMN(B11) + 1 )</f>
        <v/>
      </c>
      <c r="D12" s="179">
        <f>INDEX(Calc!$K:$K, (ROW(C11)-1)*5 + COLUMN(C11) + 1 )</f>
        <v/>
      </c>
      <c r="E12" s="180">
        <f>INDEX(Calc!$K:$K, (ROW(D11)-1)*5 + COLUMN(D11) + 1 )</f>
        <v/>
      </c>
      <c r="F12" s="181">
        <f>INDEX(Calc!$K:$K, (ROW(E11)-1)*5 + COLUMN(E11) + 1 )</f>
        <v/>
      </c>
      <c r="G12" s="182">
        <f>Закуп!O12</f>
        <v/>
      </c>
      <c r="H12" s="182">
        <f>Закуп!Q12</f>
        <v/>
      </c>
      <c r="I12" s="182">
        <f>Закуп!X12</f>
        <v/>
      </c>
      <c r="J12" s="182">
        <f>Закуп!Y12</f>
        <v/>
      </c>
      <c r="K12" s="182">
        <f>Закуп!Z12</f>
        <v/>
      </c>
      <c r="L12" s="182">
        <f>Закуп!AA12</f>
        <v/>
      </c>
      <c r="M12" s="182">
        <f>Закуп!V12</f>
        <v/>
      </c>
      <c r="N12" s="182">
        <f>Закуп!W12</f>
        <v/>
      </c>
      <c r="O12" s="183">
        <f>IF(OR(Закуп!L12="",Закуп!L12=0),"",Закуп!L12)</f>
        <v/>
      </c>
      <c r="P12" s="182">
        <f>Закуп!K12</f>
        <v/>
      </c>
      <c r="Q12" s="217">
        <f>IF(Закуп!D12="","",IF(LEFT(Закуп!D12,1)="0","0",Закуп!D12))</f>
        <v/>
      </c>
      <c r="R12" s="184">
        <f>Закуп!C12</f>
        <v/>
      </c>
    </row>
    <row r="13">
      <c r="A13" s="177">
        <f>Закуп!E13</f>
        <v/>
      </c>
      <c r="B13" s="178">
        <f>INDEX(Calc!$K:$K, (ROW(A12)-1)*5 + COLUMN(A12) + 1 )</f>
        <v/>
      </c>
      <c r="C13" s="178">
        <f>INDEX(Calc!$K:$K, (ROW(B12)-1)*5 + COLUMN(B12) + 1 )</f>
        <v/>
      </c>
      <c r="D13" s="179">
        <f>INDEX(Calc!$K:$K, (ROW(C12)-1)*5 + COLUMN(C12) + 1 )</f>
        <v/>
      </c>
      <c r="E13" s="180">
        <f>INDEX(Calc!$K:$K, (ROW(D12)-1)*5 + COLUMN(D12) + 1 )</f>
        <v/>
      </c>
      <c r="F13" s="181">
        <f>INDEX(Calc!$K:$K, (ROW(E12)-1)*5 + COLUMN(E12) + 1 )</f>
        <v/>
      </c>
      <c r="G13" s="182">
        <f>Закуп!O13</f>
        <v/>
      </c>
      <c r="H13" s="182">
        <f>Закуп!Q13</f>
        <v/>
      </c>
      <c r="I13" s="182">
        <f>Закуп!X13</f>
        <v/>
      </c>
      <c r="J13" s="182">
        <f>Закуп!Y13</f>
        <v/>
      </c>
      <c r="K13" s="182">
        <f>Закуп!Z13</f>
        <v/>
      </c>
      <c r="L13" s="182">
        <f>Закуп!AA13</f>
        <v/>
      </c>
      <c r="M13" s="182">
        <f>Закуп!V13</f>
        <v/>
      </c>
      <c r="N13" s="182">
        <f>Закуп!W13</f>
        <v/>
      </c>
      <c r="O13" s="183">
        <f>IF(OR(Закуп!L13="",Закуп!L13=0),"",Закуп!L13)</f>
        <v/>
      </c>
      <c r="P13" s="182">
        <f>Закуп!K13</f>
        <v/>
      </c>
      <c r="Q13" s="217">
        <f>IF(Закуп!D13="","",IF(LEFT(Закуп!D13,1)="0","0",Закуп!D13))</f>
        <v/>
      </c>
      <c r="R13" s="184">
        <f>Закуп!C13</f>
        <v/>
      </c>
    </row>
    <row r="14">
      <c r="A14" s="177">
        <f>Закуп!E14</f>
        <v/>
      </c>
      <c r="B14" s="178">
        <f>INDEX(Calc!$K:$K, (ROW(A13)-1)*5 + COLUMN(A13) + 1 )</f>
        <v/>
      </c>
      <c r="C14" s="178">
        <f>INDEX(Calc!$K:$K, (ROW(B13)-1)*5 + COLUMN(B13) + 1 )</f>
        <v/>
      </c>
      <c r="D14" s="179">
        <f>INDEX(Calc!$K:$K, (ROW(C13)-1)*5 + COLUMN(C13) + 1 )</f>
        <v/>
      </c>
      <c r="E14" s="180">
        <f>INDEX(Calc!$K:$K, (ROW(D13)-1)*5 + COLUMN(D13) + 1 )</f>
        <v/>
      </c>
      <c r="F14" s="181">
        <f>INDEX(Calc!$K:$K, (ROW(E13)-1)*5 + COLUMN(E13) + 1 )</f>
        <v/>
      </c>
      <c r="G14" s="182">
        <f>Закуп!O14</f>
        <v/>
      </c>
      <c r="H14" s="182">
        <f>Закуп!Q14</f>
        <v/>
      </c>
      <c r="I14" s="182">
        <f>Закуп!X14</f>
        <v/>
      </c>
      <c r="J14" s="182">
        <f>Закуп!Y14</f>
        <v/>
      </c>
      <c r="K14" s="182">
        <f>Закуп!Z14</f>
        <v/>
      </c>
      <c r="L14" s="182">
        <f>Закуп!AA14</f>
        <v/>
      </c>
      <c r="M14" s="182">
        <f>Закуп!V14</f>
        <v/>
      </c>
      <c r="N14" s="182">
        <f>Закуп!W14</f>
        <v/>
      </c>
      <c r="O14" s="183">
        <f>IF(OR(Закуп!L14="",Закуп!L14=0),"",Закуп!L14)</f>
        <v/>
      </c>
      <c r="P14" s="182">
        <f>Закуп!K14</f>
        <v/>
      </c>
      <c r="Q14" s="217">
        <f>IF(Закуп!D14="","",IF(LEFT(Закуп!D14,1)="0","0",Закуп!D14))</f>
        <v/>
      </c>
      <c r="R14" s="184">
        <f>Закуп!C14</f>
        <v/>
      </c>
    </row>
    <row r="15">
      <c r="A15" s="177">
        <f>Закуп!E15</f>
        <v/>
      </c>
      <c r="B15" s="178">
        <f>INDEX(Calc!$K:$K, (ROW(A14)-1)*5 + COLUMN(A14) + 1 )</f>
        <v/>
      </c>
      <c r="C15" s="178">
        <f>INDEX(Calc!$K:$K, (ROW(B14)-1)*5 + COLUMN(B14) + 1 )</f>
        <v/>
      </c>
      <c r="D15" s="179">
        <f>INDEX(Calc!$K:$K, (ROW(C14)-1)*5 + COLUMN(C14) + 1 )</f>
        <v/>
      </c>
      <c r="E15" s="180">
        <f>INDEX(Calc!$K:$K, (ROW(D14)-1)*5 + COLUMN(D14) + 1 )</f>
        <v/>
      </c>
      <c r="F15" s="181">
        <f>INDEX(Calc!$K:$K, (ROW(E14)-1)*5 + COLUMN(E14) + 1 )</f>
        <v/>
      </c>
      <c r="G15" s="182">
        <f>Закуп!O15</f>
        <v/>
      </c>
      <c r="H15" s="182">
        <f>Закуп!Q15</f>
        <v/>
      </c>
      <c r="I15" s="182">
        <f>Закуп!X15</f>
        <v/>
      </c>
      <c r="J15" s="182">
        <f>Закуп!Y15</f>
        <v/>
      </c>
      <c r="K15" s="182">
        <f>Закуп!Z15</f>
        <v/>
      </c>
      <c r="L15" s="182">
        <f>Закуп!AA15</f>
        <v/>
      </c>
      <c r="M15" s="182">
        <f>Закуп!V15</f>
        <v/>
      </c>
      <c r="N15" s="182">
        <f>Закуп!W15</f>
        <v/>
      </c>
      <c r="O15" s="183">
        <f>IF(OR(Закуп!L15="",Закуп!L15=0),"",Закуп!L15)</f>
        <v/>
      </c>
      <c r="P15" s="182">
        <f>Закуп!K15</f>
        <v/>
      </c>
      <c r="Q15" s="217">
        <f>IF(Закуп!D15="","",IF(LEFT(Закуп!D15,1)="0","0",Закуп!D15))</f>
        <v/>
      </c>
      <c r="R15" s="184">
        <f>Закуп!C15</f>
        <v/>
      </c>
    </row>
    <row r="16">
      <c r="A16" s="177">
        <f>Закуп!E16</f>
        <v/>
      </c>
      <c r="B16" s="178">
        <f>INDEX(Calc!$K:$K, (ROW(A15)-1)*5 + COLUMN(A15) + 1 )</f>
        <v/>
      </c>
      <c r="C16" s="178">
        <f>INDEX(Calc!$K:$K, (ROW(B15)-1)*5 + COLUMN(B15) + 1 )</f>
        <v/>
      </c>
      <c r="D16" s="179">
        <f>INDEX(Calc!$K:$K, (ROW(C15)-1)*5 + COLUMN(C15) + 1 )</f>
        <v/>
      </c>
      <c r="E16" s="180">
        <f>INDEX(Calc!$K:$K, (ROW(D15)-1)*5 + COLUMN(D15) + 1 )</f>
        <v/>
      </c>
      <c r="F16" s="181">
        <f>INDEX(Calc!$K:$K, (ROW(E15)-1)*5 + COLUMN(E15) + 1 )</f>
        <v/>
      </c>
      <c r="G16" s="182">
        <f>Закуп!O16</f>
        <v/>
      </c>
      <c r="H16" s="182">
        <f>Закуп!Q16</f>
        <v/>
      </c>
      <c r="I16" s="182">
        <f>Закуп!X16</f>
        <v/>
      </c>
      <c r="J16" s="182">
        <f>Закуп!Y16</f>
        <v/>
      </c>
      <c r="K16" s="182">
        <f>Закуп!Z16</f>
        <v/>
      </c>
      <c r="L16" s="182">
        <f>Закуп!AA16</f>
        <v/>
      </c>
      <c r="M16" s="182">
        <f>Закуп!V16</f>
        <v/>
      </c>
      <c r="N16" s="182">
        <f>Закуп!W16</f>
        <v/>
      </c>
      <c r="O16" s="183">
        <f>IF(OR(Закуп!L16="",Закуп!L16=0),"",Закуп!L16)</f>
        <v/>
      </c>
      <c r="P16" s="182">
        <f>Закуп!K16</f>
        <v/>
      </c>
      <c r="Q16" s="217">
        <f>IF(Закуп!D16="","",IF(LEFT(Закуп!D16,1)="0","0",Закуп!D16))</f>
        <v/>
      </c>
      <c r="R16" s="184">
        <f>Закуп!C16</f>
        <v/>
      </c>
    </row>
    <row r="17">
      <c r="A17" s="177">
        <f>Закуп!E17</f>
        <v/>
      </c>
      <c r="B17" s="178">
        <f>INDEX(Calc!$K:$K, (ROW(A16)-1)*5 + COLUMN(A16) + 1 )</f>
        <v/>
      </c>
      <c r="C17" s="178">
        <f>INDEX(Calc!$K:$K, (ROW(B16)-1)*5 + COLUMN(B16) + 1 )</f>
        <v/>
      </c>
      <c r="D17" s="179">
        <f>INDEX(Calc!$K:$K, (ROW(C16)-1)*5 + COLUMN(C16) + 1 )</f>
        <v/>
      </c>
      <c r="E17" s="180">
        <f>INDEX(Calc!$K:$K, (ROW(D16)-1)*5 + COLUMN(D16) + 1 )</f>
        <v/>
      </c>
      <c r="F17" s="181">
        <f>INDEX(Calc!$K:$K, (ROW(E16)-1)*5 + COLUMN(E16) + 1 )</f>
        <v/>
      </c>
      <c r="G17" s="182">
        <f>Закуп!O17</f>
        <v/>
      </c>
      <c r="H17" s="182">
        <f>Закуп!Q17</f>
        <v/>
      </c>
      <c r="I17" s="182">
        <f>Закуп!X17</f>
        <v/>
      </c>
      <c r="J17" s="182">
        <f>Закуп!Y17</f>
        <v/>
      </c>
      <c r="K17" s="182">
        <f>Закуп!Z17</f>
        <v/>
      </c>
      <c r="L17" s="182">
        <f>Закуп!AA17</f>
        <v/>
      </c>
      <c r="M17" s="182">
        <f>Закуп!V17</f>
        <v/>
      </c>
      <c r="N17" s="182">
        <f>Закуп!W17</f>
        <v/>
      </c>
      <c r="O17" s="183">
        <f>IF(OR(Закуп!L17="",Закуп!L17=0),"",Закуп!L17)</f>
        <v/>
      </c>
      <c r="P17" s="182">
        <f>Закуп!K17</f>
        <v/>
      </c>
      <c r="Q17" s="217">
        <f>IF(Закуп!D17="","",IF(LEFT(Закуп!D17,1)="0","0",Закуп!D17))</f>
        <v/>
      </c>
      <c r="R17" s="184">
        <f>Закуп!C17</f>
        <v/>
      </c>
    </row>
    <row r="18">
      <c r="A18" s="177">
        <f>Закуп!E18</f>
        <v/>
      </c>
      <c r="B18" s="178">
        <f>INDEX(Calc!$K:$K, (ROW(A17)-1)*5 + COLUMN(A17) + 1 )</f>
        <v/>
      </c>
      <c r="C18" s="178">
        <f>INDEX(Calc!$K:$K, (ROW(B17)-1)*5 + COLUMN(B17) + 1 )</f>
        <v/>
      </c>
      <c r="D18" s="179">
        <f>INDEX(Calc!$K:$K, (ROW(C17)-1)*5 + COLUMN(C17) + 1 )</f>
        <v/>
      </c>
      <c r="E18" s="180">
        <f>INDEX(Calc!$K:$K, (ROW(D17)-1)*5 + COLUMN(D17) + 1 )</f>
        <v/>
      </c>
      <c r="F18" s="181">
        <f>INDEX(Calc!$K:$K, (ROW(E17)-1)*5 + COLUMN(E17) + 1 )</f>
        <v/>
      </c>
      <c r="G18" s="182">
        <f>Закуп!O18</f>
        <v/>
      </c>
      <c r="H18" s="182">
        <f>Закуп!Q18</f>
        <v/>
      </c>
      <c r="I18" s="182">
        <f>Закуп!X18</f>
        <v/>
      </c>
      <c r="J18" s="182">
        <f>Закуп!Y18</f>
        <v/>
      </c>
      <c r="K18" s="182">
        <f>Закуп!Z18</f>
        <v/>
      </c>
      <c r="L18" s="182">
        <f>Закуп!AA18</f>
        <v/>
      </c>
      <c r="M18" s="182">
        <f>Закуп!V18</f>
        <v/>
      </c>
      <c r="N18" s="182">
        <f>Закуп!W18</f>
        <v/>
      </c>
      <c r="O18" s="183">
        <f>IF(OR(Закуп!L18="",Закуп!L18=0),"",Закуп!L18)</f>
        <v/>
      </c>
      <c r="P18" s="182">
        <f>Закуп!K18</f>
        <v/>
      </c>
      <c r="Q18" s="217">
        <f>IF(Закуп!D18="","",IF(LEFT(Закуп!D18,1)="0","0",Закуп!D18))</f>
        <v/>
      </c>
      <c r="R18" s="184">
        <f>Закуп!C18</f>
        <v/>
      </c>
    </row>
    <row r="19">
      <c r="A19" s="177">
        <f>Закуп!E19</f>
        <v/>
      </c>
      <c r="B19" s="178">
        <f>INDEX(Calc!$K:$K, (ROW(A18)-1)*5 + COLUMN(A18) + 1 )</f>
        <v/>
      </c>
      <c r="C19" s="178">
        <f>INDEX(Calc!$K:$K, (ROW(B18)-1)*5 + COLUMN(B18) + 1 )</f>
        <v/>
      </c>
      <c r="D19" s="179">
        <f>INDEX(Calc!$K:$K, (ROW(C18)-1)*5 + COLUMN(C18) + 1 )</f>
        <v/>
      </c>
      <c r="E19" s="180">
        <f>INDEX(Calc!$K:$K, (ROW(D18)-1)*5 + COLUMN(D18) + 1 )</f>
        <v/>
      </c>
      <c r="F19" s="181">
        <f>INDEX(Calc!$K:$K, (ROW(E18)-1)*5 + COLUMN(E18) + 1 )</f>
        <v/>
      </c>
      <c r="G19" s="182">
        <f>Закуп!O19</f>
        <v/>
      </c>
      <c r="H19" s="182">
        <f>Закуп!Q19</f>
        <v/>
      </c>
      <c r="I19" s="182">
        <f>Закуп!X19</f>
        <v/>
      </c>
      <c r="J19" s="182">
        <f>Закуп!Y19</f>
        <v/>
      </c>
      <c r="K19" s="182">
        <f>Закуп!Z19</f>
        <v/>
      </c>
      <c r="L19" s="182">
        <f>Закуп!AA19</f>
        <v/>
      </c>
      <c r="M19" s="182">
        <f>Закуп!V19</f>
        <v/>
      </c>
      <c r="N19" s="182">
        <f>Закуп!W19</f>
        <v/>
      </c>
      <c r="O19" s="183">
        <f>IF(OR(Закуп!L19="",Закуп!L19=0),"",Закуп!L19)</f>
        <v/>
      </c>
      <c r="P19" s="182">
        <f>Закуп!K19</f>
        <v/>
      </c>
      <c r="Q19" s="217">
        <f>IF(Закуп!D19="","",IF(LEFT(Закуп!D19,1)="0","0",Закуп!D19))</f>
        <v/>
      </c>
      <c r="R19" s="184">
        <f>Закуп!C19</f>
        <v/>
      </c>
    </row>
    <row r="20">
      <c r="A20" s="177">
        <f>Закуп!E20</f>
        <v/>
      </c>
      <c r="B20" s="178">
        <f>INDEX(Calc!$K:$K, (ROW(A19)-1)*5 + COLUMN(A19) + 1 )</f>
        <v/>
      </c>
      <c r="C20" s="178">
        <f>INDEX(Calc!$K:$K, (ROW(B19)-1)*5 + COLUMN(B19) + 1 )</f>
        <v/>
      </c>
      <c r="D20" s="179">
        <f>INDEX(Calc!$K:$K, (ROW(C19)-1)*5 + COLUMN(C19) + 1 )</f>
        <v/>
      </c>
      <c r="E20" s="180">
        <f>INDEX(Calc!$K:$K, (ROW(D19)-1)*5 + COLUMN(D19) + 1 )</f>
        <v/>
      </c>
      <c r="F20" s="181">
        <f>INDEX(Calc!$K:$K, (ROW(E19)-1)*5 + COLUMN(E19) + 1 )</f>
        <v/>
      </c>
      <c r="G20" s="182">
        <f>Закуп!O20</f>
        <v/>
      </c>
      <c r="H20" s="182">
        <f>Закуп!Q20</f>
        <v/>
      </c>
      <c r="I20" s="182">
        <f>Закуп!X20</f>
        <v/>
      </c>
      <c r="J20" s="182">
        <f>Закуп!Y20</f>
        <v/>
      </c>
      <c r="K20" s="182">
        <f>Закуп!Z20</f>
        <v/>
      </c>
      <c r="L20" s="182">
        <f>Закуп!AA20</f>
        <v/>
      </c>
      <c r="M20" s="182">
        <f>Закуп!V20</f>
        <v/>
      </c>
      <c r="N20" s="182">
        <f>Закуп!W20</f>
        <v/>
      </c>
      <c r="O20" s="183">
        <f>IF(OR(Закуп!L20="",Закуп!L20=0),"",Закуп!L20)</f>
        <v/>
      </c>
      <c r="P20" s="182">
        <f>Закуп!K20</f>
        <v/>
      </c>
      <c r="Q20" s="217">
        <f>IF(Закуп!D20="","",IF(LEFT(Закуп!D20,1)="0","0",Закуп!D20))</f>
        <v/>
      </c>
      <c r="R20" s="184">
        <f>Закуп!C20</f>
        <v/>
      </c>
    </row>
    <row r="21">
      <c r="A21" s="177">
        <f>Закуп!E21</f>
        <v/>
      </c>
      <c r="B21" s="178">
        <f>INDEX(Calc!$K:$K, (ROW(A20)-1)*5 + COLUMN(A20) + 1 )</f>
        <v/>
      </c>
      <c r="C21" s="178">
        <f>INDEX(Calc!$K:$K, (ROW(B20)-1)*5 + COLUMN(B20) + 1 )</f>
        <v/>
      </c>
      <c r="D21" s="179">
        <f>INDEX(Calc!$K:$K, (ROW(C20)-1)*5 + COLUMN(C20) + 1 )</f>
        <v/>
      </c>
      <c r="E21" s="180">
        <f>INDEX(Calc!$K:$K, (ROW(D20)-1)*5 + COLUMN(D20) + 1 )</f>
        <v/>
      </c>
      <c r="F21" s="181">
        <f>INDEX(Calc!$K:$K, (ROW(E20)-1)*5 + COLUMN(E20) + 1 )</f>
        <v/>
      </c>
      <c r="G21" s="182">
        <f>Закуп!O21</f>
        <v/>
      </c>
      <c r="H21" s="182">
        <f>Закуп!Q21</f>
        <v/>
      </c>
      <c r="I21" s="182">
        <f>Закуп!X21</f>
        <v/>
      </c>
      <c r="J21" s="182">
        <f>Закуп!Y21</f>
        <v/>
      </c>
      <c r="K21" s="182">
        <f>Закуп!Z21</f>
        <v/>
      </c>
      <c r="L21" s="182">
        <f>Закуп!AA21</f>
        <v/>
      </c>
      <c r="M21" s="182">
        <f>Закуп!V21</f>
        <v/>
      </c>
      <c r="N21" s="182">
        <f>Закуп!W21</f>
        <v/>
      </c>
      <c r="O21" s="183">
        <f>IF(OR(Закуп!L21="",Закуп!L21=0),"",Закуп!L21)</f>
        <v/>
      </c>
      <c r="P21" s="182">
        <f>Закуп!K21</f>
        <v/>
      </c>
      <c r="Q21" s="217">
        <f>IF(Закуп!D21="","",IF(LEFT(Закуп!D21,1)="0","0",Закуп!D21))</f>
        <v/>
      </c>
      <c r="R21" s="184">
        <f>Закуп!C21</f>
        <v/>
      </c>
    </row>
    <row r="22">
      <c r="A22" s="177">
        <f>Закуп!E22</f>
        <v/>
      </c>
      <c r="B22" s="178">
        <f>INDEX(Calc!$K:$K, (ROW(A21)-1)*5 + COLUMN(A21) + 1 )</f>
        <v/>
      </c>
      <c r="C22" s="178">
        <f>INDEX(Calc!$K:$K, (ROW(B21)-1)*5 + COLUMN(B21) + 1 )</f>
        <v/>
      </c>
      <c r="D22" s="179">
        <f>INDEX(Calc!$K:$K, (ROW(C21)-1)*5 + COLUMN(C21) + 1 )</f>
        <v/>
      </c>
      <c r="E22" s="180">
        <f>INDEX(Calc!$K:$K, (ROW(D21)-1)*5 + COLUMN(D21) + 1 )</f>
        <v/>
      </c>
      <c r="F22" s="181">
        <f>INDEX(Calc!$K:$K, (ROW(E21)-1)*5 + COLUMN(E21) + 1 )</f>
        <v/>
      </c>
      <c r="G22" s="182">
        <f>Закуп!O22</f>
        <v/>
      </c>
      <c r="H22" s="182">
        <f>Закуп!Q22</f>
        <v/>
      </c>
      <c r="I22" s="182">
        <f>Закуп!X22</f>
        <v/>
      </c>
      <c r="J22" s="182">
        <f>Закуп!Y22</f>
        <v/>
      </c>
      <c r="K22" s="182">
        <f>Закуп!Z22</f>
        <v/>
      </c>
      <c r="L22" s="182">
        <f>Закуп!AA22</f>
        <v/>
      </c>
      <c r="M22" s="182">
        <f>Закуп!V22</f>
        <v/>
      </c>
      <c r="N22" s="182">
        <f>Закуп!W22</f>
        <v/>
      </c>
      <c r="O22" s="183">
        <f>IF(OR(Закуп!L22="",Закуп!L22=0),"",Закуп!L22)</f>
        <v/>
      </c>
      <c r="P22" s="182">
        <f>Закуп!K22</f>
        <v/>
      </c>
      <c r="Q22" s="217">
        <f>IF(Закуп!D22="","",IF(LEFT(Закуп!D22,1)="0","0",Закуп!D22))</f>
        <v/>
      </c>
      <c r="R22" s="184">
        <f>Закуп!C22</f>
        <v/>
      </c>
    </row>
    <row r="23">
      <c r="A23" s="177">
        <f>Закуп!E23</f>
        <v/>
      </c>
      <c r="B23" s="178">
        <f>INDEX(Calc!$K:$K, (ROW(A22)-1)*5 + COLUMN(A22) + 1 )</f>
        <v/>
      </c>
      <c r="C23" s="178">
        <f>INDEX(Calc!$K:$K, (ROW(B22)-1)*5 + COLUMN(B22) + 1 )</f>
        <v/>
      </c>
      <c r="D23" s="179">
        <f>INDEX(Calc!$K:$K, (ROW(C22)-1)*5 + COLUMN(C22) + 1 )</f>
        <v/>
      </c>
      <c r="E23" s="180">
        <f>INDEX(Calc!$K:$K, (ROW(D22)-1)*5 + COLUMN(D22) + 1 )</f>
        <v/>
      </c>
      <c r="F23" s="181">
        <f>INDEX(Calc!$K:$K, (ROW(E22)-1)*5 + COLUMN(E22) + 1 )</f>
        <v/>
      </c>
      <c r="G23" s="182">
        <f>Закуп!O23</f>
        <v/>
      </c>
      <c r="H23" s="182">
        <f>Закуп!Q23</f>
        <v/>
      </c>
      <c r="I23" s="182">
        <f>Закуп!X23</f>
        <v/>
      </c>
      <c r="J23" s="182">
        <f>Закуп!Y23</f>
        <v/>
      </c>
      <c r="K23" s="182">
        <f>Закуп!Z23</f>
        <v/>
      </c>
      <c r="L23" s="182">
        <f>Закуп!AA23</f>
        <v/>
      </c>
      <c r="M23" s="182">
        <f>Закуп!V23</f>
        <v/>
      </c>
      <c r="N23" s="182">
        <f>Закуп!W23</f>
        <v/>
      </c>
      <c r="O23" s="183">
        <f>IF(OR(Закуп!L23="",Закуп!L23=0),"",Закуп!L23)</f>
        <v/>
      </c>
      <c r="P23" s="182">
        <f>Закуп!K23</f>
        <v/>
      </c>
      <c r="Q23" s="217">
        <f>IF(Закуп!D23="","",IF(LEFT(Закуп!D23,1)="0","0",Закуп!D23))</f>
        <v/>
      </c>
      <c r="R23" s="184">
        <f>Закуп!C23</f>
        <v/>
      </c>
    </row>
    <row r="24">
      <c r="A24" s="177">
        <f>Закуп!E24</f>
        <v/>
      </c>
      <c r="B24" s="178">
        <f>INDEX(Calc!$K:$K, (ROW(A23)-1)*5 + COLUMN(A23) + 1 )</f>
        <v/>
      </c>
      <c r="C24" s="178">
        <f>INDEX(Calc!$K:$K, (ROW(B23)-1)*5 + COLUMN(B23) + 1 )</f>
        <v/>
      </c>
      <c r="D24" s="179">
        <f>INDEX(Calc!$K:$K, (ROW(C23)-1)*5 + COLUMN(C23) + 1 )</f>
        <v/>
      </c>
      <c r="E24" s="180">
        <f>INDEX(Calc!$K:$K, (ROW(D23)-1)*5 + COLUMN(D23) + 1 )</f>
        <v/>
      </c>
      <c r="F24" s="181">
        <f>INDEX(Calc!$K:$K, (ROW(E23)-1)*5 + COLUMN(E23) + 1 )</f>
        <v/>
      </c>
      <c r="G24" s="182">
        <f>Закуп!O24</f>
        <v/>
      </c>
      <c r="H24" s="182">
        <f>Закуп!Q24</f>
        <v/>
      </c>
      <c r="I24" s="182">
        <f>Закуп!X24</f>
        <v/>
      </c>
      <c r="J24" s="182">
        <f>Закуп!Y24</f>
        <v/>
      </c>
      <c r="K24" s="182">
        <f>Закуп!Z24</f>
        <v/>
      </c>
      <c r="L24" s="182">
        <f>Закуп!AA24</f>
        <v/>
      </c>
      <c r="M24" s="182">
        <f>Закуп!V24</f>
        <v/>
      </c>
      <c r="N24" s="182">
        <f>Закуп!W24</f>
        <v/>
      </c>
      <c r="O24" s="183">
        <f>IF(OR(Закуп!L24="",Закуп!L24=0),"",Закуп!L24)</f>
        <v/>
      </c>
      <c r="P24" s="182">
        <f>Закуп!K24</f>
        <v/>
      </c>
      <c r="Q24" s="217">
        <f>IF(Закуп!D24="","",IF(LEFT(Закуп!D24,1)="0","0",Закуп!D24))</f>
        <v/>
      </c>
      <c r="R24" s="184">
        <f>Закуп!C24</f>
        <v/>
      </c>
    </row>
    <row r="25">
      <c r="A25" s="177">
        <f>Закуп!E25</f>
        <v/>
      </c>
      <c r="B25" s="178">
        <f>INDEX(Calc!$K:$K, (ROW(A24)-1)*5 + COLUMN(A24) + 1 )</f>
        <v/>
      </c>
      <c r="C25" s="178">
        <f>INDEX(Calc!$K:$K, (ROW(B24)-1)*5 + COLUMN(B24) + 1 )</f>
        <v/>
      </c>
      <c r="D25" s="179">
        <f>INDEX(Calc!$K:$K, (ROW(C24)-1)*5 + COLUMN(C24) + 1 )</f>
        <v/>
      </c>
      <c r="E25" s="180">
        <f>INDEX(Calc!$K:$K, (ROW(D24)-1)*5 + COLUMN(D24) + 1 )</f>
        <v/>
      </c>
      <c r="F25" s="181">
        <f>INDEX(Calc!$K:$K, (ROW(E24)-1)*5 + COLUMN(E24) + 1 )</f>
        <v/>
      </c>
      <c r="G25" s="182">
        <f>Закуп!O25</f>
        <v/>
      </c>
      <c r="H25" s="182">
        <f>Закуп!Q25</f>
        <v/>
      </c>
      <c r="I25" s="182">
        <f>Закуп!X25</f>
        <v/>
      </c>
      <c r="J25" s="182">
        <f>Закуп!Y25</f>
        <v/>
      </c>
      <c r="K25" s="182">
        <f>Закуп!Z25</f>
        <v/>
      </c>
      <c r="L25" s="182">
        <f>Закуп!AA25</f>
        <v/>
      </c>
      <c r="M25" s="182">
        <f>Закуп!V25</f>
        <v/>
      </c>
      <c r="N25" s="182">
        <f>Закуп!W25</f>
        <v/>
      </c>
      <c r="O25" s="183">
        <f>IF(OR(Закуп!L25="",Закуп!L25=0),"",Закуп!L25)</f>
        <v/>
      </c>
      <c r="P25" s="182">
        <f>Закуп!K25</f>
        <v/>
      </c>
      <c r="Q25" s="217">
        <f>IF(Закуп!D25="","",IF(LEFT(Закуп!D25,1)="0","0",Закуп!D25))</f>
        <v/>
      </c>
      <c r="R25" s="184">
        <f>Закуп!C25</f>
        <v/>
      </c>
    </row>
    <row r="26">
      <c r="A26" s="177">
        <f>Закуп!E26</f>
        <v/>
      </c>
      <c r="B26" s="178">
        <f>INDEX(Calc!$K:$K, (ROW(A25)-1)*5 + COLUMN(A25) + 1 )</f>
        <v/>
      </c>
      <c r="C26" s="178">
        <f>INDEX(Calc!$K:$K, (ROW(B25)-1)*5 + COLUMN(B25) + 1 )</f>
        <v/>
      </c>
      <c r="D26" s="179">
        <f>INDEX(Calc!$K:$K, (ROW(C25)-1)*5 + COLUMN(C25) + 1 )</f>
        <v/>
      </c>
      <c r="E26" s="180">
        <f>INDEX(Calc!$K:$K, (ROW(D25)-1)*5 + COLUMN(D25) + 1 )</f>
        <v/>
      </c>
      <c r="F26" s="181">
        <f>INDEX(Calc!$K:$K, (ROW(E25)-1)*5 + COLUMN(E25) + 1 )</f>
        <v/>
      </c>
      <c r="G26" s="182">
        <f>Закуп!O26</f>
        <v/>
      </c>
      <c r="H26" s="182">
        <f>Закуп!Q26</f>
        <v/>
      </c>
      <c r="I26" s="182">
        <f>Закуп!X26</f>
        <v/>
      </c>
      <c r="J26" s="182">
        <f>Закуп!Y26</f>
        <v/>
      </c>
      <c r="K26" s="182">
        <f>Закуп!Z26</f>
        <v/>
      </c>
      <c r="L26" s="182">
        <f>Закуп!AA26</f>
        <v/>
      </c>
      <c r="M26" s="182">
        <f>Закуп!V26</f>
        <v/>
      </c>
      <c r="N26" s="182">
        <f>Закуп!W26</f>
        <v/>
      </c>
      <c r="O26" s="183">
        <f>IF(OR(Закуп!L26="",Закуп!L26=0),"",Закуп!L26)</f>
        <v/>
      </c>
      <c r="P26" s="182">
        <f>Закуп!K26</f>
        <v/>
      </c>
      <c r="Q26" s="217">
        <f>IF(Закуп!D26="","",IF(LEFT(Закуп!D26,1)="0","0",Закуп!D26))</f>
        <v/>
      </c>
      <c r="R26" s="184">
        <f>Закуп!C26</f>
        <v/>
      </c>
    </row>
    <row r="27">
      <c r="A27" s="177">
        <f>Закуп!E27</f>
        <v/>
      </c>
      <c r="B27" s="178">
        <f>INDEX(Calc!$K:$K, (ROW(A26)-1)*5 + COLUMN(A26) + 1 )</f>
        <v/>
      </c>
      <c r="C27" s="178">
        <f>INDEX(Calc!$K:$K, (ROW(B26)-1)*5 + COLUMN(B26) + 1 )</f>
        <v/>
      </c>
      <c r="D27" s="179">
        <f>INDEX(Calc!$K:$K, (ROW(C26)-1)*5 + COLUMN(C26) + 1 )</f>
        <v/>
      </c>
      <c r="E27" s="180">
        <f>INDEX(Calc!$K:$K, (ROW(D26)-1)*5 + COLUMN(D26) + 1 )</f>
        <v/>
      </c>
      <c r="F27" s="181">
        <f>INDEX(Calc!$K:$K, (ROW(E26)-1)*5 + COLUMN(E26) + 1 )</f>
        <v/>
      </c>
      <c r="G27" s="182">
        <f>Закуп!O27</f>
        <v/>
      </c>
      <c r="H27" s="182">
        <f>Закуп!Q27</f>
        <v/>
      </c>
      <c r="I27" s="182">
        <f>Закуп!X27</f>
        <v/>
      </c>
      <c r="J27" s="182">
        <f>Закуп!Y27</f>
        <v/>
      </c>
      <c r="K27" s="182">
        <f>Закуп!Z27</f>
        <v/>
      </c>
      <c r="L27" s="182">
        <f>Закуп!AA27</f>
        <v/>
      </c>
      <c r="M27" s="182">
        <f>Закуп!V27</f>
        <v/>
      </c>
      <c r="N27" s="182">
        <f>Закуп!W27</f>
        <v/>
      </c>
      <c r="O27" s="183">
        <f>IF(OR(Закуп!L27="",Закуп!L27=0),"",Закуп!L27)</f>
        <v/>
      </c>
      <c r="P27" s="182">
        <f>Закуп!K27</f>
        <v/>
      </c>
      <c r="Q27" s="217">
        <f>IF(Закуп!D27="","",IF(LEFT(Закуп!D27,1)="0","0",Закуп!D27))</f>
        <v/>
      </c>
      <c r="R27" s="184">
        <f>Закуп!C27</f>
        <v/>
      </c>
    </row>
    <row r="28">
      <c r="A28" s="177">
        <f>Закуп!E28</f>
        <v/>
      </c>
      <c r="B28" s="178">
        <f>INDEX(Calc!$K:$K, (ROW(A27)-1)*5 + COLUMN(A27) + 1 )</f>
        <v/>
      </c>
      <c r="C28" s="178">
        <f>INDEX(Calc!$K:$K, (ROW(B27)-1)*5 + COLUMN(B27) + 1 )</f>
        <v/>
      </c>
      <c r="D28" s="179">
        <f>INDEX(Calc!$K:$K, (ROW(C27)-1)*5 + COLUMN(C27) + 1 )</f>
        <v/>
      </c>
      <c r="E28" s="180">
        <f>INDEX(Calc!$K:$K, (ROW(D27)-1)*5 + COLUMN(D27) + 1 )</f>
        <v/>
      </c>
      <c r="F28" s="181">
        <f>INDEX(Calc!$K:$K, (ROW(E27)-1)*5 + COLUMN(E27) + 1 )</f>
        <v/>
      </c>
      <c r="G28" s="182">
        <f>Закуп!O28</f>
        <v/>
      </c>
      <c r="H28" s="182">
        <f>Закуп!Q28</f>
        <v/>
      </c>
      <c r="I28" s="182">
        <f>Закуп!X28</f>
        <v/>
      </c>
      <c r="J28" s="182">
        <f>Закуп!Y28</f>
        <v/>
      </c>
      <c r="K28" s="182">
        <f>Закуп!Z28</f>
        <v/>
      </c>
      <c r="L28" s="182">
        <f>Закуп!AA28</f>
        <v/>
      </c>
      <c r="M28" s="182">
        <f>Закуп!V28</f>
        <v/>
      </c>
      <c r="N28" s="182">
        <f>Закуп!W28</f>
        <v/>
      </c>
      <c r="O28" s="183">
        <f>IF(OR(Закуп!L28="",Закуп!L28=0),"",Закуп!L28)</f>
        <v/>
      </c>
      <c r="P28" s="182">
        <f>Закуп!K28</f>
        <v/>
      </c>
      <c r="Q28" s="217">
        <f>IF(Закуп!D28="","",IF(LEFT(Закуп!D28,1)="0","0",Закуп!D28))</f>
        <v/>
      </c>
      <c r="R28" s="184">
        <f>Закуп!C28</f>
        <v/>
      </c>
    </row>
    <row r="29">
      <c r="A29" s="177">
        <f>Закуп!E29</f>
        <v/>
      </c>
      <c r="B29" s="178">
        <f>INDEX(Calc!$K:$K, (ROW(A28)-1)*5 + COLUMN(A28) + 1 )</f>
        <v/>
      </c>
      <c r="C29" s="178">
        <f>INDEX(Calc!$K:$K, (ROW(B28)-1)*5 + COLUMN(B28) + 1 )</f>
        <v/>
      </c>
      <c r="D29" s="179">
        <f>INDEX(Calc!$K:$K, (ROW(C28)-1)*5 + COLUMN(C28) + 1 )</f>
        <v/>
      </c>
      <c r="E29" s="180">
        <f>INDEX(Calc!$K:$K, (ROW(D28)-1)*5 + COLUMN(D28) + 1 )</f>
        <v/>
      </c>
      <c r="F29" s="181">
        <f>INDEX(Calc!$K:$K, (ROW(E28)-1)*5 + COLUMN(E28) + 1 )</f>
        <v/>
      </c>
      <c r="G29" s="182">
        <f>Закуп!O29</f>
        <v/>
      </c>
      <c r="H29" s="182">
        <f>Закуп!Q29</f>
        <v/>
      </c>
      <c r="I29" s="182">
        <f>Закуп!X29</f>
        <v/>
      </c>
      <c r="J29" s="182">
        <f>Закуп!Y29</f>
        <v/>
      </c>
      <c r="K29" s="182">
        <f>Закуп!Z29</f>
        <v/>
      </c>
      <c r="L29" s="182">
        <f>Закуп!AA29</f>
        <v/>
      </c>
      <c r="M29" s="182">
        <f>Закуп!V29</f>
        <v/>
      </c>
      <c r="N29" s="182">
        <f>Закуп!W29</f>
        <v/>
      </c>
      <c r="O29" s="183">
        <f>IF(OR(Закуп!L29="",Закуп!L29=0),"",Закуп!L29)</f>
        <v/>
      </c>
      <c r="P29" s="182">
        <f>Закуп!K29</f>
        <v/>
      </c>
      <c r="Q29" s="217">
        <f>IF(Закуп!D29="","",IF(LEFT(Закуп!D29,1)="0","0",Закуп!D29))</f>
        <v/>
      </c>
      <c r="R29" s="184">
        <f>Закуп!C29</f>
        <v/>
      </c>
    </row>
    <row r="30">
      <c r="A30" s="177">
        <f>Закуп!E30</f>
        <v/>
      </c>
      <c r="B30" s="178">
        <f>INDEX(Calc!$K:$K, (ROW(A29)-1)*5 + COLUMN(A29) + 1 )</f>
        <v/>
      </c>
      <c r="C30" s="178">
        <f>INDEX(Calc!$K:$K, (ROW(B29)-1)*5 + COLUMN(B29) + 1 )</f>
        <v/>
      </c>
      <c r="D30" s="179">
        <f>INDEX(Calc!$K:$K, (ROW(C29)-1)*5 + COLUMN(C29) + 1 )</f>
        <v/>
      </c>
      <c r="E30" s="180">
        <f>INDEX(Calc!$K:$K, (ROW(D29)-1)*5 + COLUMN(D29) + 1 )</f>
        <v/>
      </c>
      <c r="F30" s="181">
        <f>INDEX(Calc!$K:$K, (ROW(E29)-1)*5 + COLUMN(E29) + 1 )</f>
        <v/>
      </c>
      <c r="G30" s="182">
        <f>Закуп!O30</f>
        <v/>
      </c>
      <c r="H30" s="182">
        <f>Закуп!Q30</f>
        <v/>
      </c>
      <c r="I30" s="182">
        <f>Закуп!X30</f>
        <v/>
      </c>
      <c r="J30" s="182">
        <f>Закуп!Y30</f>
        <v/>
      </c>
      <c r="K30" s="182">
        <f>Закуп!Z30</f>
        <v/>
      </c>
      <c r="L30" s="182">
        <f>Закуп!AA30</f>
        <v/>
      </c>
      <c r="M30" s="182">
        <f>Закуп!V30</f>
        <v/>
      </c>
      <c r="N30" s="182">
        <f>Закуп!W30</f>
        <v/>
      </c>
      <c r="O30" s="183">
        <f>IF(OR(Закуп!L30="",Закуп!L30=0),"",Закуп!L30)</f>
        <v/>
      </c>
      <c r="P30" s="182">
        <f>Закуп!K30</f>
        <v/>
      </c>
      <c r="Q30" s="217">
        <f>IF(Закуп!D30="","",IF(LEFT(Закуп!D30,1)="0","0",Закуп!D30))</f>
        <v/>
      </c>
      <c r="R30" s="184">
        <f>Закуп!C30</f>
        <v/>
      </c>
    </row>
    <row r="31">
      <c r="A31" s="177">
        <f>Закуп!E31</f>
        <v/>
      </c>
      <c r="B31" s="178">
        <f>INDEX(Calc!$K:$K, (ROW(A30)-1)*5 + COLUMN(A30) + 1 )</f>
        <v/>
      </c>
      <c r="C31" s="178">
        <f>INDEX(Calc!$K:$K, (ROW(B30)-1)*5 + COLUMN(B30) + 1 )</f>
        <v/>
      </c>
      <c r="D31" s="179">
        <f>INDEX(Calc!$K:$K, (ROW(C30)-1)*5 + COLUMN(C30) + 1 )</f>
        <v/>
      </c>
      <c r="E31" s="180">
        <f>INDEX(Calc!$K:$K, (ROW(D30)-1)*5 + COLUMN(D30) + 1 )</f>
        <v/>
      </c>
      <c r="F31" s="181">
        <f>INDEX(Calc!$K:$K, (ROW(E30)-1)*5 + COLUMN(E30) + 1 )</f>
        <v/>
      </c>
      <c r="G31" s="182">
        <f>Закуп!O31</f>
        <v/>
      </c>
      <c r="H31" s="182">
        <f>Закуп!Q31</f>
        <v/>
      </c>
      <c r="I31" s="182">
        <f>Закуп!X31</f>
        <v/>
      </c>
      <c r="J31" s="182">
        <f>Закуп!Y31</f>
        <v/>
      </c>
      <c r="K31" s="182">
        <f>Закуп!Z31</f>
        <v/>
      </c>
      <c r="L31" s="182">
        <f>Закуп!AA31</f>
        <v/>
      </c>
      <c r="M31" s="182">
        <f>Закуп!V31</f>
        <v/>
      </c>
      <c r="N31" s="182">
        <f>Закуп!W31</f>
        <v/>
      </c>
      <c r="O31" s="183">
        <f>IF(OR(Закуп!L31="",Закуп!L31=0),"",Закуп!L31)</f>
        <v/>
      </c>
      <c r="P31" s="182">
        <f>Закуп!K31</f>
        <v/>
      </c>
      <c r="Q31" s="217">
        <f>IF(Закуп!D31="","",IF(LEFT(Закуп!D31,1)="0","0",Закуп!D31))</f>
        <v/>
      </c>
      <c r="R31" s="184">
        <f>Закуп!C31</f>
        <v/>
      </c>
    </row>
    <row r="32">
      <c r="A32" s="177">
        <f>Закуп!E32</f>
        <v/>
      </c>
      <c r="B32" s="178">
        <f>INDEX(Calc!$K:$K, (ROW(A31)-1)*5 + COLUMN(A31) + 1 )</f>
        <v/>
      </c>
      <c r="C32" s="178">
        <f>INDEX(Calc!$K:$K, (ROW(B31)-1)*5 + COLUMN(B31) + 1 )</f>
        <v/>
      </c>
      <c r="D32" s="179">
        <f>INDEX(Calc!$K:$K, (ROW(C31)-1)*5 + COLUMN(C31) + 1 )</f>
        <v/>
      </c>
      <c r="E32" s="180">
        <f>INDEX(Calc!$K:$K, (ROW(D31)-1)*5 + COLUMN(D31) + 1 )</f>
        <v/>
      </c>
      <c r="F32" s="181">
        <f>INDEX(Calc!$K:$K, (ROW(E31)-1)*5 + COLUMN(E31) + 1 )</f>
        <v/>
      </c>
      <c r="G32" s="182">
        <f>Закуп!O32</f>
        <v/>
      </c>
      <c r="H32" s="182">
        <f>Закуп!Q32</f>
        <v/>
      </c>
      <c r="I32" s="182">
        <f>Закуп!X32</f>
        <v/>
      </c>
      <c r="J32" s="182">
        <f>Закуп!Y32</f>
        <v/>
      </c>
      <c r="K32" s="182">
        <f>Закуп!Z32</f>
        <v/>
      </c>
      <c r="L32" s="182">
        <f>Закуп!AA32</f>
        <v/>
      </c>
      <c r="M32" s="182">
        <f>Закуп!V32</f>
        <v/>
      </c>
      <c r="N32" s="182">
        <f>Закуп!W32</f>
        <v/>
      </c>
      <c r="O32" s="183">
        <f>IF(OR(Закуп!L32="",Закуп!L32=0),"",Закуп!L32)</f>
        <v/>
      </c>
      <c r="P32" s="182">
        <f>Закуп!K32</f>
        <v/>
      </c>
      <c r="Q32" s="217">
        <f>IF(Закуп!D32="","",IF(LEFT(Закуп!D32,1)="0","0",Закуп!D32))</f>
        <v/>
      </c>
      <c r="R32" s="184">
        <f>Закуп!C32</f>
        <v/>
      </c>
    </row>
    <row r="33">
      <c r="A33" s="177">
        <f>Закуп!E33</f>
        <v/>
      </c>
      <c r="B33" s="178">
        <f>INDEX(Calc!$K:$K, (ROW(A32)-1)*5 + COLUMN(A32) + 1 )</f>
        <v/>
      </c>
      <c r="C33" s="178">
        <f>INDEX(Calc!$K:$K, (ROW(B32)-1)*5 + COLUMN(B32) + 1 )</f>
        <v/>
      </c>
      <c r="D33" s="179">
        <f>INDEX(Calc!$K:$K, (ROW(C32)-1)*5 + COLUMN(C32) + 1 )</f>
        <v/>
      </c>
      <c r="E33" s="180">
        <f>INDEX(Calc!$K:$K, (ROW(D32)-1)*5 + COLUMN(D32) + 1 )</f>
        <v/>
      </c>
      <c r="F33" s="181">
        <f>INDEX(Calc!$K:$K, (ROW(E32)-1)*5 + COLUMN(E32) + 1 )</f>
        <v/>
      </c>
      <c r="G33" s="182">
        <f>Закуп!O33</f>
        <v/>
      </c>
      <c r="H33" s="182">
        <f>Закуп!Q33</f>
        <v/>
      </c>
      <c r="I33" s="182">
        <f>Закуп!X33</f>
        <v/>
      </c>
      <c r="J33" s="182">
        <f>Закуп!Y33</f>
        <v/>
      </c>
      <c r="K33" s="182">
        <f>Закуп!Z33</f>
        <v/>
      </c>
      <c r="L33" s="182">
        <f>Закуп!AA33</f>
        <v/>
      </c>
      <c r="M33" s="182">
        <f>Закуп!V33</f>
        <v/>
      </c>
      <c r="N33" s="182">
        <f>Закуп!W33</f>
        <v/>
      </c>
      <c r="O33" s="183">
        <f>IF(OR(Закуп!L33="",Закуп!L33=0),"",Закуп!L33)</f>
        <v/>
      </c>
      <c r="P33" s="182">
        <f>Закуп!K33</f>
        <v/>
      </c>
      <c r="Q33" s="217">
        <f>IF(Закуп!D33="","",IF(LEFT(Закуп!D33,1)="0","0",Закуп!D33))</f>
        <v/>
      </c>
      <c r="R33" s="184">
        <f>Закуп!C33</f>
        <v/>
      </c>
    </row>
    <row r="34">
      <c r="A34" s="177">
        <f>Закуп!E34</f>
        <v/>
      </c>
      <c r="B34" s="178">
        <f>INDEX(Calc!$K:$K, (ROW(A33)-1)*5 + COLUMN(A33) + 1 )</f>
        <v/>
      </c>
      <c r="C34" s="178">
        <f>INDEX(Calc!$K:$K, (ROW(B33)-1)*5 + COLUMN(B33) + 1 )</f>
        <v/>
      </c>
      <c r="D34" s="179">
        <f>INDEX(Calc!$K:$K, (ROW(C33)-1)*5 + COLUMN(C33) + 1 )</f>
        <v/>
      </c>
      <c r="E34" s="180">
        <f>INDEX(Calc!$K:$K, (ROW(D33)-1)*5 + COLUMN(D33) + 1 )</f>
        <v/>
      </c>
      <c r="F34" s="181">
        <f>INDEX(Calc!$K:$K, (ROW(E33)-1)*5 + COLUMN(E33) + 1 )</f>
        <v/>
      </c>
      <c r="G34" s="182">
        <f>Закуп!O34</f>
        <v/>
      </c>
      <c r="H34" s="182">
        <f>Закуп!Q34</f>
        <v/>
      </c>
      <c r="I34" s="182">
        <f>Закуп!X34</f>
        <v/>
      </c>
      <c r="J34" s="182">
        <f>Закуп!Y34</f>
        <v/>
      </c>
      <c r="K34" s="182">
        <f>Закуп!Z34</f>
        <v/>
      </c>
      <c r="L34" s="182">
        <f>Закуп!AA34</f>
        <v/>
      </c>
      <c r="M34" s="182">
        <f>Закуп!V34</f>
        <v/>
      </c>
      <c r="N34" s="182">
        <f>Закуп!W34</f>
        <v/>
      </c>
      <c r="O34" s="183">
        <f>IF(OR(Закуп!L34="",Закуп!L34=0),"",Закуп!L34)</f>
        <v/>
      </c>
      <c r="P34" s="182">
        <f>Закуп!K34</f>
        <v/>
      </c>
      <c r="Q34" s="217">
        <f>IF(Закуп!D34="","",IF(LEFT(Закуп!D34,1)="0","0",Закуп!D34))</f>
        <v/>
      </c>
      <c r="R34" s="184">
        <f>Закуп!C34</f>
        <v/>
      </c>
    </row>
    <row r="35">
      <c r="A35" s="177">
        <f>Закуп!E35</f>
        <v/>
      </c>
      <c r="B35" s="178">
        <f>INDEX(Calc!$K:$K, (ROW(A34)-1)*5 + COLUMN(A34) + 1 )</f>
        <v/>
      </c>
      <c r="C35" s="178">
        <f>INDEX(Calc!$K:$K, (ROW(B34)-1)*5 + COLUMN(B34) + 1 )</f>
        <v/>
      </c>
      <c r="D35" s="179">
        <f>INDEX(Calc!$K:$K, (ROW(C34)-1)*5 + COLUMN(C34) + 1 )</f>
        <v/>
      </c>
      <c r="E35" s="180">
        <f>INDEX(Calc!$K:$K, (ROW(D34)-1)*5 + COLUMN(D34) + 1 )</f>
        <v/>
      </c>
      <c r="F35" s="181">
        <f>INDEX(Calc!$K:$K, (ROW(E34)-1)*5 + COLUMN(E34) + 1 )</f>
        <v/>
      </c>
      <c r="G35" s="182">
        <f>Закуп!O35</f>
        <v/>
      </c>
      <c r="H35" s="182">
        <f>Закуп!Q35</f>
        <v/>
      </c>
      <c r="I35" s="182">
        <f>Закуп!X35</f>
        <v/>
      </c>
      <c r="J35" s="182">
        <f>Закуп!Y35</f>
        <v/>
      </c>
      <c r="K35" s="182">
        <f>Закуп!Z35</f>
        <v/>
      </c>
      <c r="L35" s="182">
        <f>Закуп!AA35</f>
        <v/>
      </c>
      <c r="M35" s="182">
        <f>Закуп!V35</f>
        <v/>
      </c>
      <c r="N35" s="182">
        <f>Закуп!W35</f>
        <v/>
      </c>
      <c r="O35" s="183">
        <f>IF(OR(Закуп!L35="",Закуп!L35=0),"",Закуп!L35)</f>
        <v/>
      </c>
      <c r="P35" s="182">
        <f>Закуп!K35</f>
        <v/>
      </c>
      <c r="Q35" s="217">
        <f>IF(Закуп!D35="","",IF(LEFT(Закуп!D35,1)="0","0",Закуп!D35))</f>
        <v/>
      </c>
      <c r="R35" s="184">
        <f>Закуп!C35</f>
        <v/>
      </c>
    </row>
    <row r="36">
      <c r="A36" s="177">
        <f>Закуп!E36</f>
        <v/>
      </c>
      <c r="B36" s="178">
        <f>INDEX(Calc!$K:$K, (ROW(A35)-1)*5 + COLUMN(A35) + 1 )</f>
        <v/>
      </c>
      <c r="C36" s="178">
        <f>INDEX(Calc!$K:$K, (ROW(B35)-1)*5 + COLUMN(B35) + 1 )</f>
        <v/>
      </c>
      <c r="D36" s="179">
        <f>INDEX(Calc!$K:$K, (ROW(C35)-1)*5 + COLUMN(C35) + 1 )</f>
        <v/>
      </c>
      <c r="E36" s="180">
        <f>INDEX(Calc!$K:$K, (ROW(D35)-1)*5 + COLUMN(D35) + 1 )</f>
        <v/>
      </c>
      <c r="F36" s="181">
        <f>INDEX(Calc!$K:$K, (ROW(E35)-1)*5 + COLUMN(E35) + 1 )</f>
        <v/>
      </c>
      <c r="G36" s="182">
        <f>Закуп!O36</f>
        <v/>
      </c>
      <c r="H36" s="182">
        <f>Закуп!Q36</f>
        <v/>
      </c>
      <c r="I36" s="182">
        <f>Закуп!X36</f>
        <v/>
      </c>
      <c r="J36" s="182">
        <f>Закуп!Y36</f>
        <v/>
      </c>
      <c r="K36" s="182">
        <f>Закуп!Z36</f>
        <v/>
      </c>
      <c r="L36" s="182">
        <f>Закуп!AA36</f>
        <v/>
      </c>
      <c r="M36" s="182">
        <f>Закуп!V36</f>
        <v/>
      </c>
      <c r="N36" s="182">
        <f>Закуп!W36</f>
        <v/>
      </c>
      <c r="O36" s="183">
        <f>IF(OR(Закуп!L36="",Закуп!L36=0),"",Закуп!L36)</f>
        <v/>
      </c>
      <c r="P36" s="182">
        <f>Закуп!K36</f>
        <v/>
      </c>
      <c r="Q36" s="217">
        <f>IF(Закуп!D36="","",IF(LEFT(Закуп!D36,1)="0","0",Закуп!D36))</f>
        <v/>
      </c>
      <c r="R36" s="184">
        <f>Закуп!C36</f>
        <v/>
      </c>
    </row>
    <row r="37">
      <c r="A37" s="177">
        <f>Закуп!E37</f>
        <v/>
      </c>
      <c r="B37" s="178">
        <f>INDEX(Calc!$K:$K, (ROW(A36)-1)*5 + COLUMN(A36) + 1 )</f>
        <v/>
      </c>
      <c r="C37" s="178">
        <f>INDEX(Calc!$K:$K, (ROW(B36)-1)*5 + COLUMN(B36) + 1 )</f>
        <v/>
      </c>
      <c r="D37" s="179">
        <f>INDEX(Calc!$K:$K, (ROW(C36)-1)*5 + COLUMN(C36) + 1 )</f>
        <v/>
      </c>
      <c r="E37" s="180">
        <f>INDEX(Calc!$K:$K, (ROW(D36)-1)*5 + COLUMN(D36) + 1 )</f>
        <v/>
      </c>
      <c r="F37" s="181">
        <f>INDEX(Calc!$K:$K, (ROW(E36)-1)*5 + COLUMN(E36) + 1 )</f>
        <v/>
      </c>
      <c r="G37" s="182">
        <f>Закуп!O37</f>
        <v/>
      </c>
      <c r="H37" s="182">
        <f>Закуп!Q37</f>
        <v/>
      </c>
      <c r="I37" s="182">
        <f>Закуп!X37</f>
        <v/>
      </c>
      <c r="J37" s="182">
        <f>Закуп!Y37</f>
        <v/>
      </c>
      <c r="K37" s="182">
        <f>Закуп!Z37</f>
        <v/>
      </c>
      <c r="L37" s="182">
        <f>Закуп!AA37</f>
        <v/>
      </c>
      <c r="M37" s="182">
        <f>Закуп!V37</f>
        <v/>
      </c>
      <c r="N37" s="182">
        <f>Закуп!W37</f>
        <v/>
      </c>
      <c r="O37" s="183">
        <f>IF(OR(Закуп!L37="",Закуп!L37=0),"",Закуп!L37)</f>
        <v/>
      </c>
      <c r="P37" s="182">
        <f>Закуп!K37</f>
        <v/>
      </c>
      <c r="Q37" s="217">
        <f>IF(Закуп!D37="","",IF(LEFT(Закуп!D37,1)="0","0",Закуп!D37))</f>
        <v/>
      </c>
      <c r="R37" s="184">
        <f>Закуп!C37</f>
        <v/>
      </c>
    </row>
    <row r="38">
      <c r="A38" s="177">
        <f>Закуп!E38</f>
        <v/>
      </c>
      <c r="B38" s="178">
        <f>INDEX(Calc!$K:$K, (ROW(A37)-1)*5 + COLUMN(A37) + 1 )</f>
        <v/>
      </c>
      <c r="C38" s="178">
        <f>INDEX(Calc!$K:$K, (ROW(B37)-1)*5 + COLUMN(B37) + 1 )</f>
        <v/>
      </c>
      <c r="D38" s="179">
        <f>INDEX(Calc!$K:$K, (ROW(C37)-1)*5 + COLUMN(C37) + 1 )</f>
        <v/>
      </c>
      <c r="E38" s="180">
        <f>INDEX(Calc!$K:$K, (ROW(D37)-1)*5 + COLUMN(D37) + 1 )</f>
        <v/>
      </c>
      <c r="F38" s="181">
        <f>INDEX(Calc!$K:$K, (ROW(E37)-1)*5 + COLUMN(E37) + 1 )</f>
        <v/>
      </c>
      <c r="G38" s="182">
        <f>Закуп!O38</f>
        <v/>
      </c>
      <c r="H38" s="182">
        <f>Закуп!Q38</f>
        <v/>
      </c>
      <c r="I38" s="182">
        <f>Закуп!X38</f>
        <v/>
      </c>
      <c r="J38" s="182">
        <f>Закуп!Y38</f>
        <v/>
      </c>
      <c r="K38" s="182">
        <f>Закуп!Z38</f>
        <v/>
      </c>
      <c r="L38" s="182">
        <f>Закуп!AA38</f>
        <v/>
      </c>
      <c r="M38" s="182">
        <f>Закуп!V38</f>
        <v/>
      </c>
      <c r="N38" s="182">
        <f>Закуп!W38</f>
        <v/>
      </c>
      <c r="O38" s="183">
        <f>IF(OR(Закуп!L38="",Закуп!L38=0),"",Закуп!L38)</f>
        <v/>
      </c>
      <c r="P38" s="182">
        <f>Закуп!K38</f>
        <v/>
      </c>
      <c r="Q38" s="217">
        <f>IF(Закуп!D38="","",IF(LEFT(Закуп!D38,1)="0","0",Закуп!D38))</f>
        <v/>
      </c>
      <c r="R38" s="184">
        <f>Закуп!C38</f>
        <v/>
      </c>
    </row>
    <row r="39">
      <c r="A39" s="177">
        <f>Закуп!E39</f>
        <v/>
      </c>
      <c r="B39" s="178">
        <f>INDEX(Calc!$K:$K, (ROW(A38)-1)*5 + COLUMN(A38) + 1 )</f>
        <v/>
      </c>
      <c r="C39" s="178">
        <f>INDEX(Calc!$K:$K, (ROW(B38)-1)*5 + COLUMN(B38) + 1 )</f>
        <v/>
      </c>
      <c r="D39" s="179">
        <f>INDEX(Calc!$K:$K, (ROW(C38)-1)*5 + COLUMN(C38) + 1 )</f>
        <v/>
      </c>
      <c r="E39" s="180">
        <f>INDEX(Calc!$K:$K, (ROW(D38)-1)*5 + COLUMN(D38) + 1 )</f>
        <v/>
      </c>
      <c r="F39" s="181">
        <f>INDEX(Calc!$K:$K, (ROW(E38)-1)*5 + COLUMN(E38) + 1 )</f>
        <v/>
      </c>
      <c r="G39" s="182">
        <f>Закуп!O39</f>
        <v/>
      </c>
      <c r="H39" s="182">
        <f>Закуп!Q39</f>
        <v/>
      </c>
      <c r="I39" s="182">
        <f>Закуп!X39</f>
        <v/>
      </c>
      <c r="J39" s="182">
        <f>Закуп!Y39</f>
        <v/>
      </c>
      <c r="K39" s="182">
        <f>Закуп!Z39</f>
        <v/>
      </c>
      <c r="L39" s="182">
        <f>Закуп!AA39</f>
        <v/>
      </c>
      <c r="M39" s="182">
        <f>Закуп!V39</f>
        <v/>
      </c>
      <c r="N39" s="182">
        <f>Закуп!W39</f>
        <v/>
      </c>
      <c r="O39" s="183">
        <f>IF(OR(Закуп!L39="",Закуп!L39=0),"",Закуп!L39)</f>
        <v/>
      </c>
      <c r="P39" s="182">
        <f>Закуп!K39</f>
        <v/>
      </c>
      <c r="Q39" s="217">
        <f>IF(Закуп!D39="","",IF(LEFT(Закуп!D39,1)="0","0",Закуп!D39))</f>
        <v/>
      </c>
      <c r="R39" s="184">
        <f>Закуп!C39</f>
        <v/>
      </c>
    </row>
    <row r="40">
      <c r="A40" s="177">
        <f>Закуп!E40</f>
        <v/>
      </c>
      <c r="B40" s="178">
        <f>INDEX(Calc!$K:$K, (ROW(A39)-1)*5 + COLUMN(A39) + 1 )</f>
        <v/>
      </c>
      <c r="C40" s="178">
        <f>INDEX(Calc!$K:$K, (ROW(B39)-1)*5 + COLUMN(B39) + 1 )</f>
        <v/>
      </c>
      <c r="D40" s="179">
        <f>INDEX(Calc!$K:$K, (ROW(C39)-1)*5 + COLUMN(C39) + 1 )</f>
        <v/>
      </c>
      <c r="E40" s="180">
        <f>INDEX(Calc!$K:$K, (ROW(D39)-1)*5 + COLUMN(D39) + 1 )</f>
        <v/>
      </c>
      <c r="F40" s="181">
        <f>INDEX(Calc!$K:$K, (ROW(E39)-1)*5 + COLUMN(E39) + 1 )</f>
        <v/>
      </c>
      <c r="G40" s="182">
        <f>Закуп!O40</f>
        <v/>
      </c>
      <c r="H40" s="182">
        <f>Закуп!Q40</f>
        <v/>
      </c>
      <c r="I40" s="182">
        <f>Закуп!X40</f>
        <v/>
      </c>
      <c r="J40" s="182">
        <f>Закуп!Y40</f>
        <v/>
      </c>
      <c r="K40" s="182">
        <f>Закуп!Z40</f>
        <v/>
      </c>
      <c r="L40" s="182">
        <f>Закуп!AA40</f>
        <v/>
      </c>
      <c r="M40" s="182">
        <f>Закуп!V40</f>
        <v/>
      </c>
      <c r="N40" s="182">
        <f>Закуп!W40</f>
        <v/>
      </c>
      <c r="O40" s="183">
        <f>IF(OR(Закуп!L40="",Закуп!L40=0),"",Закуп!L40)</f>
        <v/>
      </c>
      <c r="P40" s="182">
        <f>Закуп!K40</f>
        <v/>
      </c>
      <c r="Q40" s="217">
        <f>IF(Закуп!D40="","",IF(LEFT(Закуп!D40,1)="0","0",Закуп!D40))</f>
        <v/>
      </c>
      <c r="R40" s="184">
        <f>Закуп!C40</f>
        <v/>
      </c>
    </row>
    <row r="41">
      <c r="A41" s="177">
        <f>Закуп!E41</f>
        <v/>
      </c>
      <c r="B41" s="178">
        <f>INDEX(Calc!$K:$K, (ROW(A40)-1)*5 + COLUMN(A40) + 1 )</f>
        <v/>
      </c>
      <c r="C41" s="178">
        <f>INDEX(Calc!$K:$K, (ROW(B40)-1)*5 + COLUMN(B40) + 1 )</f>
        <v/>
      </c>
      <c r="D41" s="179">
        <f>INDEX(Calc!$K:$K, (ROW(C40)-1)*5 + COLUMN(C40) + 1 )</f>
        <v/>
      </c>
      <c r="E41" s="180">
        <f>INDEX(Calc!$K:$K, (ROW(D40)-1)*5 + COLUMN(D40) + 1 )</f>
        <v/>
      </c>
      <c r="F41" s="181">
        <f>INDEX(Calc!$K:$K, (ROW(E40)-1)*5 + COLUMN(E40) + 1 )</f>
        <v/>
      </c>
      <c r="G41" s="182">
        <f>Закуп!O41</f>
        <v/>
      </c>
      <c r="H41" s="182">
        <f>Закуп!Q41</f>
        <v/>
      </c>
      <c r="I41" s="182">
        <f>Закуп!X41</f>
        <v/>
      </c>
      <c r="J41" s="182">
        <f>Закуп!Y41</f>
        <v/>
      </c>
      <c r="K41" s="182">
        <f>Закуп!Z41</f>
        <v/>
      </c>
      <c r="L41" s="182">
        <f>Закуп!AA41</f>
        <v/>
      </c>
      <c r="M41" s="182">
        <f>Закуп!V41</f>
        <v/>
      </c>
      <c r="N41" s="182">
        <f>Закуп!W41</f>
        <v/>
      </c>
      <c r="O41" s="183">
        <f>IF(OR(Закуп!L41="",Закуп!L41=0),"",Закуп!L41)</f>
        <v/>
      </c>
      <c r="P41" s="182">
        <f>Закуп!K41</f>
        <v/>
      </c>
      <c r="Q41" s="217">
        <f>IF(Закуп!D41="","",IF(LEFT(Закуп!D41,1)="0","0",Закуп!D41))</f>
        <v/>
      </c>
      <c r="R41" s="184">
        <f>Закуп!C41</f>
        <v/>
      </c>
    </row>
    <row r="42">
      <c r="A42" s="177">
        <f>Закуп!E42</f>
        <v/>
      </c>
      <c r="B42" s="178">
        <f>INDEX(Calc!$K:$K, (ROW(A41)-1)*5 + COLUMN(A41) + 1 )</f>
        <v/>
      </c>
      <c r="C42" s="178">
        <f>INDEX(Calc!$K:$K, (ROW(B41)-1)*5 + COLUMN(B41) + 1 )</f>
        <v/>
      </c>
      <c r="D42" s="179">
        <f>INDEX(Calc!$K:$K, (ROW(C41)-1)*5 + COLUMN(C41) + 1 )</f>
        <v/>
      </c>
      <c r="E42" s="180">
        <f>INDEX(Calc!$K:$K, (ROW(D41)-1)*5 + COLUMN(D41) + 1 )</f>
        <v/>
      </c>
      <c r="F42" s="181">
        <f>INDEX(Calc!$K:$K, (ROW(E41)-1)*5 + COLUMN(E41) + 1 )</f>
        <v/>
      </c>
      <c r="G42" s="182">
        <f>Закуп!O42</f>
        <v/>
      </c>
      <c r="H42" s="182">
        <f>Закуп!Q42</f>
        <v/>
      </c>
      <c r="I42" s="182">
        <f>Закуп!X42</f>
        <v/>
      </c>
      <c r="J42" s="182">
        <f>Закуп!Y42</f>
        <v/>
      </c>
      <c r="K42" s="182">
        <f>Закуп!Z42</f>
        <v/>
      </c>
      <c r="L42" s="182">
        <f>Закуп!AA42</f>
        <v/>
      </c>
      <c r="M42" s="182">
        <f>Закуп!V42</f>
        <v/>
      </c>
      <c r="N42" s="182">
        <f>Закуп!W42</f>
        <v/>
      </c>
      <c r="O42" s="183">
        <f>IF(OR(Закуп!L42="",Закуп!L42=0),"",Закуп!L42)</f>
        <v/>
      </c>
      <c r="P42" s="182">
        <f>Закуп!K42</f>
        <v/>
      </c>
      <c r="Q42" s="217">
        <f>IF(Закуп!D42="","",IF(LEFT(Закуп!D42,1)="0","0",Закуп!D42))</f>
        <v/>
      </c>
      <c r="R42" s="184">
        <f>Закуп!C42</f>
        <v/>
      </c>
    </row>
    <row r="43">
      <c r="A43" s="177">
        <f>Закуп!E43</f>
        <v/>
      </c>
      <c r="B43" s="178">
        <f>INDEX(Calc!$K:$K, (ROW(A42)-1)*5 + COLUMN(A42) + 1 )</f>
        <v/>
      </c>
      <c r="C43" s="178">
        <f>INDEX(Calc!$K:$K, (ROW(B42)-1)*5 + COLUMN(B42) + 1 )</f>
        <v/>
      </c>
      <c r="D43" s="179">
        <f>INDEX(Calc!$K:$K, (ROW(C42)-1)*5 + COLUMN(C42) + 1 )</f>
        <v/>
      </c>
      <c r="E43" s="180">
        <f>INDEX(Calc!$K:$K, (ROW(D42)-1)*5 + COLUMN(D42) + 1 )</f>
        <v/>
      </c>
      <c r="F43" s="181">
        <f>INDEX(Calc!$K:$K, (ROW(E42)-1)*5 + COLUMN(E42) + 1 )</f>
        <v/>
      </c>
      <c r="G43" s="182">
        <f>Закуп!O43</f>
        <v/>
      </c>
      <c r="H43" s="182">
        <f>Закуп!Q43</f>
        <v/>
      </c>
      <c r="I43" s="182">
        <f>Закуп!X43</f>
        <v/>
      </c>
      <c r="J43" s="182">
        <f>Закуп!Y43</f>
        <v/>
      </c>
      <c r="K43" s="182">
        <f>Закуп!Z43</f>
        <v/>
      </c>
      <c r="L43" s="182">
        <f>Закуп!AA43</f>
        <v/>
      </c>
      <c r="M43" s="182">
        <f>Закуп!V43</f>
        <v/>
      </c>
      <c r="N43" s="182">
        <f>Закуп!W43</f>
        <v/>
      </c>
      <c r="O43" s="183">
        <f>IF(OR(Закуп!L43="",Закуп!L43=0),"",Закуп!L43)</f>
        <v/>
      </c>
      <c r="P43" s="182">
        <f>Закуп!K43</f>
        <v/>
      </c>
      <c r="Q43" s="217">
        <f>IF(Закуп!D43="","",IF(LEFT(Закуп!D43,1)="0","0",Закуп!D43))</f>
        <v/>
      </c>
      <c r="R43" s="184">
        <f>Закуп!C43</f>
        <v/>
      </c>
    </row>
    <row r="44">
      <c r="A44" s="177">
        <f>Закуп!E44</f>
        <v/>
      </c>
      <c r="B44" s="178">
        <f>INDEX(Calc!$K:$K, (ROW(A43)-1)*5 + COLUMN(A43) + 1 )</f>
        <v/>
      </c>
      <c r="C44" s="178">
        <f>INDEX(Calc!$K:$K, (ROW(B43)-1)*5 + COLUMN(B43) + 1 )</f>
        <v/>
      </c>
      <c r="D44" s="179">
        <f>INDEX(Calc!$K:$K, (ROW(C43)-1)*5 + COLUMN(C43) + 1 )</f>
        <v/>
      </c>
      <c r="E44" s="180">
        <f>INDEX(Calc!$K:$K, (ROW(D43)-1)*5 + COLUMN(D43) + 1 )</f>
        <v/>
      </c>
      <c r="F44" s="181">
        <f>INDEX(Calc!$K:$K, (ROW(E43)-1)*5 + COLUMN(E43) + 1 )</f>
        <v/>
      </c>
      <c r="G44" s="182">
        <f>Закуп!O44</f>
        <v/>
      </c>
      <c r="H44" s="182">
        <f>Закуп!Q44</f>
        <v/>
      </c>
      <c r="I44" s="182">
        <f>Закуп!X44</f>
        <v/>
      </c>
      <c r="J44" s="182">
        <f>Закуп!Y44</f>
        <v/>
      </c>
      <c r="K44" s="182">
        <f>Закуп!Z44</f>
        <v/>
      </c>
      <c r="L44" s="182">
        <f>Закуп!AA44</f>
        <v/>
      </c>
      <c r="M44" s="182">
        <f>Закуп!V44</f>
        <v/>
      </c>
      <c r="N44" s="182">
        <f>Закуп!W44</f>
        <v/>
      </c>
      <c r="O44" s="183">
        <f>IF(OR(Закуп!L44="",Закуп!L44=0),"",Закуп!L44)</f>
        <v/>
      </c>
      <c r="P44" s="182">
        <f>Закуп!K44</f>
        <v/>
      </c>
      <c r="Q44" s="217">
        <f>IF(Закуп!D44="","",IF(LEFT(Закуп!D44,1)="0","0",Закуп!D44))</f>
        <v/>
      </c>
      <c r="R44" s="184">
        <f>Закуп!C44</f>
        <v/>
      </c>
    </row>
    <row r="45">
      <c r="A45" s="177">
        <f>Закуп!E45</f>
        <v/>
      </c>
      <c r="B45" s="178">
        <f>INDEX(Calc!$K:$K, (ROW(A44)-1)*5 + COLUMN(A44) + 1 )</f>
        <v/>
      </c>
      <c r="C45" s="178">
        <f>INDEX(Calc!$K:$K, (ROW(B44)-1)*5 + COLUMN(B44) + 1 )</f>
        <v/>
      </c>
      <c r="D45" s="179">
        <f>INDEX(Calc!$K:$K, (ROW(C44)-1)*5 + COLUMN(C44) + 1 )</f>
        <v/>
      </c>
      <c r="E45" s="180">
        <f>INDEX(Calc!$K:$K, (ROW(D44)-1)*5 + COLUMN(D44) + 1 )</f>
        <v/>
      </c>
      <c r="F45" s="181">
        <f>INDEX(Calc!$K:$K, (ROW(E44)-1)*5 + COLUMN(E44) + 1 )</f>
        <v/>
      </c>
      <c r="G45" s="182">
        <f>Закуп!O45</f>
        <v/>
      </c>
      <c r="H45" s="182">
        <f>Закуп!Q45</f>
        <v/>
      </c>
      <c r="I45" s="182">
        <f>Закуп!X45</f>
        <v/>
      </c>
      <c r="J45" s="182">
        <f>Закуп!Y45</f>
        <v/>
      </c>
      <c r="K45" s="182">
        <f>Закуп!Z45</f>
        <v/>
      </c>
      <c r="L45" s="182">
        <f>Закуп!AA45</f>
        <v/>
      </c>
      <c r="M45" s="182">
        <f>Закуп!V45</f>
        <v/>
      </c>
      <c r="N45" s="182">
        <f>Закуп!W45</f>
        <v/>
      </c>
      <c r="O45" s="183">
        <f>IF(OR(Закуп!L45="",Закуп!L45=0),"",Закуп!L45)</f>
        <v/>
      </c>
      <c r="P45" s="182">
        <f>Закуп!K45</f>
        <v/>
      </c>
      <c r="Q45" s="217">
        <f>IF(Закуп!D45="","",IF(LEFT(Закуп!D45,1)="0","0",Закуп!D45))</f>
        <v/>
      </c>
      <c r="R45" s="184">
        <f>Закуп!C45</f>
        <v/>
      </c>
    </row>
    <row r="46">
      <c r="A46" s="177">
        <f>Закуп!E46</f>
        <v/>
      </c>
      <c r="B46" s="178">
        <f>INDEX(Calc!$K:$K, (ROW(A45)-1)*5 + COLUMN(A45) + 1 )</f>
        <v/>
      </c>
      <c r="C46" s="178">
        <f>INDEX(Calc!$K:$K, (ROW(B45)-1)*5 + COLUMN(B45) + 1 )</f>
        <v/>
      </c>
      <c r="D46" s="179">
        <f>INDEX(Calc!$K:$K, (ROW(C45)-1)*5 + COLUMN(C45) + 1 )</f>
        <v/>
      </c>
      <c r="E46" s="180">
        <f>INDEX(Calc!$K:$K, (ROW(D45)-1)*5 + COLUMN(D45) + 1 )</f>
        <v/>
      </c>
      <c r="F46" s="181">
        <f>INDEX(Calc!$K:$K, (ROW(E45)-1)*5 + COLUMN(E45) + 1 )</f>
        <v/>
      </c>
      <c r="G46" s="182">
        <f>Закуп!O46</f>
        <v/>
      </c>
      <c r="H46" s="182">
        <f>Закуп!Q46</f>
        <v/>
      </c>
      <c r="I46" s="182">
        <f>Закуп!X46</f>
        <v/>
      </c>
      <c r="J46" s="182">
        <f>Закуп!Y46</f>
        <v/>
      </c>
      <c r="K46" s="182">
        <f>Закуп!Z46</f>
        <v/>
      </c>
      <c r="L46" s="182">
        <f>Закуп!AA46</f>
        <v/>
      </c>
      <c r="M46" s="182">
        <f>Закуп!V46</f>
        <v/>
      </c>
      <c r="N46" s="182">
        <f>Закуп!W46</f>
        <v/>
      </c>
      <c r="O46" s="183">
        <f>IF(OR(Закуп!L46="",Закуп!L46=0),"",Закуп!L46)</f>
        <v/>
      </c>
      <c r="P46" s="182">
        <f>Закуп!K46</f>
        <v/>
      </c>
      <c r="Q46" s="217">
        <f>IF(Закуп!D46="","",IF(LEFT(Закуп!D46,1)="0","0",Закуп!D46))</f>
        <v/>
      </c>
      <c r="R46" s="184">
        <f>Закуп!C46</f>
        <v/>
      </c>
    </row>
    <row r="47">
      <c r="A47" s="177">
        <f>Закуп!E47</f>
        <v/>
      </c>
      <c r="B47" s="178">
        <f>INDEX(Calc!$K:$K, (ROW(A46)-1)*5 + COLUMN(A46) + 1 )</f>
        <v/>
      </c>
      <c r="C47" s="178">
        <f>INDEX(Calc!$K:$K, (ROW(B46)-1)*5 + COLUMN(B46) + 1 )</f>
        <v/>
      </c>
      <c r="D47" s="179">
        <f>INDEX(Calc!$K:$K, (ROW(C46)-1)*5 + COLUMN(C46) + 1 )</f>
        <v/>
      </c>
      <c r="E47" s="180">
        <f>INDEX(Calc!$K:$K, (ROW(D46)-1)*5 + COLUMN(D46) + 1 )</f>
        <v/>
      </c>
      <c r="F47" s="181">
        <f>INDEX(Calc!$K:$K, (ROW(E46)-1)*5 + COLUMN(E46) + 1 )</f>
        <v/>
      </c>
      <c r="G47" s="182">
        <f>Закуп!O47</f>
        <v/>
      </c>
      <c r="H47" s="182">
        <f>Закуп!Q47</f>
        <v/>
      </c>
      <c r="I47" s="182">
        <f>Закуп!X47</f>
        <v/>
      </c>
      <c r="J47" s="182">
        <f>Закуп!Y47</f>
        <v/>
      </c>
      <c r="K47" s="182">
        <f>Закуп!Z47</f>
        <v/>
      </c>
      <c r="L47" s="182">
        <f>Закуп!AA47</f>
        <v/>
      </c>
      <c r="M47" s="182">
        <f>Закуп!V47</f>
        <v/>
      </c>
      <c r="N47" s="182">
        <f>Закуп!W47</f>
        <v/>
      </c>
      <c r="O47" s="183">
        <f>IF(OR(Закуп!L47="",Закуп!L47=0),"",Закуп!L47)</f>
        <v/>
      </c>
      <c r="P47" s="182">
        <f>Закуп!K47</f>
        <v/>
      </c>
      <c r="Q47" s="217">
        <f>IF(Закуп!D47="","",IF(LEFT(Закуп!D47,1)="0","0",Закуп!D47))</f>
        <v/>
      </c>
      <c r="R47" s="184">
        <f>Закуп!C47</f>
        <v/>
      </c>
    </row>
    <row r="48">
      <c r="A48" s="177">
        <f>Закуп!E48</f>
        <v/>
      </c>
      <c r="B48" s="178">
        <f>INDEX(Calc!$K:$K, (ROW(A47)-1)*5 + COLUMN(A47) + 1 )</f>
        <v/>
      </c>
      <c r="C48" s="178">
        <f>INDEX(Calc!$K:$K, (ROW(B47)-1)*5 + COLUMN(B47) + 1 )</f>
        <v/>
      </c>
      <c r="D48" s="179">
        <f>INDEX(Calc!$K:$K, (ROW(C47)-1)*5 + COLUMN(C47) + 1 )</f>
        <v/>
      </c>
      <c r="E48" s="180">
        <f>INDEX(Calc!$K:$K, (ROW(D47)-1)*5 + COLUMN(D47) + 1 )</f>
        <v/>
      </c>
      <c r="F48" s="181">
        <f>INDEX(Calc!$K:$K, (ROW(E47)-1)*5 + COLUMN(E47) + 1 )</f>
        <v/>
      </c>
      <c r="G48" s="182">
        <f>Закуп!O48</f>
        <v/>
      </c>
      <c r="H48" s="182">
        <f>Закуп!Q48</f>
        <v/>
      </c>
      <c r="I48" s="182">
        <f>Закуп!X48</f>
        <v/>
      </c>
      <c r="J48" s="182">
        <f>Закуп!Y48</f>
        <v/>
      </c>
      <c r="K48" s="182">
        <f>Закуп!Z48</f>
        <v/>
      </c>
      <c r="L48" s="182">
        <f>Закуп!AA48</f>
        <v/>
      </c>
      <c r="M48" s="182">
        <f>Закуп!V48</f>
        <v/>
      </c>
      <c r="N48" s="182">
        <f>Закуп!W48</f>
        <v/>
      </c>
      <c r="O48" s="183">
        <f>IF(OR(Закуп!L48="",Закуп!L48=0),"",Закуп!L48)</f>
        <v/>
      </c>
      <c r="P48" s="182">
        <f>Закуп!K48</f>
        <v/>
      </c>
      <c r="Q48" s="217">
        <f>IF(Закуп!D48="","",IF(LEFT(Закуп!D48,1)="0","0",Закуп!D48))</f>
        <v/>
      </c>
      <c r="R48" s="184">
        <f>Закуп!C48</f>
        <v/>
      </c>
    </row>
    <row r="49">
      <c r="A49" s="177">
        <f>Закуп!E49</f>
        <v/>
      </c>
      <c r="B49" s="178">
        <f>INDEX(Calc!$K:$K, (ROW(A48)-1)*5 + COLUMN(A48) + 1 )</f>
        <v/>
      </c>
      <c r="C49" s="178">
        <f>INDEX(Calc!$K:$K, (ROW(B48)-1)*5 + COLUMN(B48) + 1 )</f>
        <v/>
      </c>
      <c r="D49" s="179">
        <f>INDEX(Calc!$K:$K, (ROW(C48)-1)*5 + COLUMN(C48) + 1 )</f>
        <v/>
      </c>
      <c r="E49" s="180">
        <f>INDEX(Calc!$K:$K, (ROW(D48)-1)*5 + COLUMN(D48) + 1 )</f>
        <v/>
      </c>
      <c r="F49" s="181">
        <f>INDEX(Calc!$K:$K, (ROW(E48)-1)*5 + COLUMN(E48) + 1 )</f>
        <v/>
      </c>
      <c r="G49" s="182">
        <f>Закуп!O49</f>
        <v/>
      </c>
      <c r="H49" s="182">
        <f>Закуп!Q49</f>
        <v/>
      </c>
      <c r="I49" s="182">
        <f>Закуп!X49</f>
        <v/>
      </c>
      <c r="J49" s="182">
        <f>Закуп!Y49</f>
        <v/>
      </c>
      <c r="K49" s="182">
        <f>Закуп!Z49</f>
        <v/>
      </c>
      <c r="L49" s="182">
        <f>Закуп!AA49</f>
        <v/>
      </c>
      <c r="M49" s="182">
        <f>Закуп!V49</f>
        <v/>
      </c>
      <c r="N49" s="182">
        <f>Закуп!W49</f>
        <v/>
      </c>
      <c r="O49" s="183">
        <f>IF(OR(Закуп!L49="",Закуп!L49=0),"",Закуп!L49)</f>
        <v/>
      </c>
      <c r="P49" s="182">
        <f>Закуп!K49</f>
        <v/>
      </c>
      <c r="Q49" s="217">
        <f>IF(Закуп!D49="","",IF(LEFT(Закуп!D49,1)="0","0",Закуп!D49))</f>
        <v/>
      </c>
      <c r="R49" s="184">
        <f>Закуп!C49</f>
        <v/>
      </c>
    </row>
    <row r="50">
      <c r="A50" s="177">
        <f>Закуп!E50</f>
        <v/>
      </c>
      <c r="B50" s="178">
        <f>INDEX(Calc!$K:$K, (ROW(A49)-1)*5 + COLUMN(A49) + 1 )</f>
        <v/>
      </c>
      <c r="C50" s="178">
        <f>INDEX(Calc!$K:$K, (ROW(B49)-1)*5 + COLUMN(B49) + 1 )</f>
        <v/>
      </c>
      <c r="D50" s="179">
        <f>INDEX(Calc!$K:$K, (ROW(C49)-1)*5 + COLUMN(C49) + 1 )</f>
        <v/>
      </c>
      <c r="E50" s="180">
        <f>INDEX(Calc!$K:$K, (ROW(D49)-1)*5 + COLUMN(D49) + 1 )</f>
        <v/>
      </c>
      <c r="F50" s="181">
        <f>INDEX(Calc!$K:$K, (ROW(E49)-1)*5 + COLUMN(E49) + 1 )</f>
        <v/>
      </c>
      <c r="G50" s="182">
        <f>Закуп!O50</f>
        <v/>
      </c>
      <c r="H50" s="182">
        <f>Закуп!Q50</f>
        <v/>
      </c>
      <c r="I50" s="182">
        <f>Закуп!X50</f>
        <v/>
      </c>
      <c r="J50" s="182">
        <f>Закуп!Y50</f>
        <v/>
      </c>
      <c r="K50" s="182">
        <f>Закуп!Z50</f>
        <v/>
      </c>
      <c r="L50" s="182">
        <f>Закуп!AA50</f>
        <v/>
      </c>
      <c r="M50" s="182">
        <f>Закуп!V50</f>
        <v/>
      </c>
      <c r="N50" s="182">
        <f>Закуп!W50</f>
        <v/>
      </c>
      <c r="O50" s="183">
        <f>IF(OR(Закуп!L50="",Закуп!L50=0),"",Закуп!L50)</f>
        <v/>
      </c>
      <c r="P50" s="182">
        <f>Закуп!K50</f>
        <v/>
      </c>
      <c r="Q50" s="217">
        <f>IF(Закуп!D50="","",IF(LEFT(Закуп!D50,1)="0","0",Закуп!D50))</f>
        <v/>
      </c>
      <c r="R50" s="184">
        <f>Закуп!C50</f>
        <v/>
      </c>
    </row>
    <row r="51">
      <c r="A51" s="177">
        <f>Закуп!E51</f>
        <v/>
      </c>
      <c r="B51" s="178">
        <f>INDEX(Calc!$K:$K, (ROW(A50)-1)*5 + COLUMN(A50) + 1 )</f>
        <v/>
      </c>
      <c r="C51" s="178">
        <f>INDEX(Calc!$K:$K, (ROW(B50)-1)*5 + COLUMN(B50) + 1 )</f>
        <v/>
      </c>
      <c r="D51" s="179">
        <f>INDEX(Calc!$K:$K, (ROW(C50)-1)*5 + COLUMN(C50) + 1 )</f>
        <v/>
      </c>
      <c r="E51" s="180">
        <f>INDEX(Calc!$K:$K, (ROW(D50)-1)*5 + COLUMN(D50) + 1 )</f>
        <v/>
      </c>
      <c r="F51" s="181">
        <f>INDEX(Calc!$K:$K, (ROW(E50)-1)*5 + COLUMN(E50) + 1 )</f>
        <v/>
      </c>
      <c r="G51" s="182">
        <f>Закуп!O51</f>
        <v/>
      </c>
      <c r="H51" s="182">
        <f>Закуп!Q51</f>
        <v/>
      </c>
      <c r="I51" s="182">
        <f>Закуп!X51</f>
        <v/>
      </c>
      <c r="J51" s="182">
        <f>Закуп!Y51</f>
        <v/>
      </c>
      <c r="K51" s="182">
        <f>Закуп!Z51</f>
        <v/>
      </c>
      <c r="L51" s="182">
        <f>Закуп!AA51</f>
        <v/>
      </c>
      <c r="M51" s="182">
        <f>Закуп!V51</f>
        <v/>
      </c>
      <c r="N51" s="182">
        <f>Закуп!W51</f>
        <v/>
      </c>
      <c r="O51" s="183">
        <f>IF(OR(Закуп!L51="",Закуп!L51=0),"",Закуп!L51)</f>
        <v/>
      </c>
      <c r="P51" s="182">
        <f>Закуп!K51</f>
        <v/>
      </c>
      <c r="Q51" s="217">
        <f>IF(Закуп!D51="","",IF(LEFT(Закуп!D51,1)="0","0",Закуп!D51))</f>
        <v/>
      </c>
      <c r="R51" s="184">
        <f>Закуп!C51</f>
        <v/>
      </c>
    </row>
    <row r="52">
      <c r="A52" s="177">
        <f>Закуп!E52</f>
        <v/>
      </c>
      <c r="B52" s="178">
        <f>INDEX(Calc!$K:$K, (ROW(A51)-1)*5 + COLUMN(A51) + 1 )</f>
        <v/>
      </c>
      <c r="C52" s="178">
        <f>INDEX(Calc!$K:$K, (ROW(B51)-1)*5 + COLUMN(B51) + 1 )</f>
        <v/>
      </c>
      <c r="D52" s="179">
        <f>INDEX(Calc!$K:$K, (ROW(C51)-1)*5 + COLUMN(C51) + 1 )</f>
        <v/>
      </c>
      <c r="E52" s="180">
        <f>INDEX(Calc!$K:$K, (ROW(D51)-1)*5 + COLUMN(D51) + 1 )</f>
        <v/>
      </c>
      <c r="F52" s="181">
        <f>INDEX(Calc!$K:$K, (ROW(E51)-1)*5 + COLUMN(E51) + 1 )</f>
        <v/>
      </c>
      <c r="G52" s="182">
        <f>Закуп!O52</f>
        <v/>
      </c>
      <c r="H52" s="182">
        <f>Закуп!Q52</f>
        <v/>
      </c>
      <c r="I52" s="182">
        <f>Закуп!X52</f>
        <v/>
      </c>
      <c r="J52" s="182">
        <f>Закуп!Y52</f>
        <v/>
      </c>
      <c r="K52" s="182">
        <f>Закуп!Z52</f>
        <v/>
      </c>
      <c r="L52" s="182">
        <f>Закуп!AA52</f>
        <v/>
      </c>
      <c r="M52" s="182">
        <f>Закуп!V52</f>
        <v/>
      </c>
      <c r="N52" s="182">
        <f>Закуп!W52</f>
        <v/>
      </c>
      <c r="O52" s="183">
        <f>IF(OR(Закуп!L52="",Закуп!L52=0),"",Закуп!L52)</f>
        <v/>
      </c>
      <c r="P52" s="182">
        <f>Закуп!K52</f>
        <v/>
      </c>
      <c r="Q52" s="217">
        <f>IF(Закуп!D52="","",IF(LEFT(Закуп!D52,1)="0","0",Закуп!D52))</f>
        <v/>
      </c>
      <c r="R52" s="184">
        <f>Закуп!C52</f>
        <v/>
      </c>
    </row>
    <row r="53">
      <c r="A53" s="177">
        <f>Закуп!E53</f>
        <v/>
      </c>
      <c r="B53" s="178">
        <f>INDEX(Calc!$K:$K, (ROW(A52)-1)*5 + COLUMN(A52) + 1 )</f>
        <v/>
      </c>
      <c r="C53" s="178">
        <f>INDEX(Calc!$K:$K, (ROW(B52)-1)*5 + COLUMN(B52) + 1 )</f>
        <v/>
      </c>
      <c r="D53" s="179">
        <f>INDEX(Calc!$K:$K, (ROW(C52)-1)*5 + COLUMN(C52) + 1 )</f>
        <v/>
      </c>
      <c r="E53" s="180">
        <f>INDEX(Calc!$K:$K, (ROW(D52)-1)*5 + COLUMN(D52) + 1 )</f>
        <v/>
      </c>
      <c r="F53" s="181">
        <f>INDEX(Calc!$K:$K, (ROW(E52)-1)*5 + COLUMN(E52) + 1 )</f>
        <v/>
      </c>
      <c r="G53" s="182">
        <f>Закуп!O53</f>
        <v/>
      </c>
      <c r="H53" s="182">
        <f>Закуп!Q53</f>
        <v/>
      </c>
      <c r="I53" s="182">
        <f>Закуп!X53</f>
        <v/>
      </c>
      <c r="J53" s="182">
        <f>Закуп!Y53</f>
        <v/>
      </c>
      <c r="K53" s="182">
        <f>Закуп!Z53</f>
        <v/>
      </c>
      <c r="L53" s="182">
        <f>Закуп!AA53</f>
        <v/>
      </c>
      <c r="M53" s="182">
        <f>Закуп!V53</f>
        <v/>
      </c>
      <c r="N53" s="182">
        <f>Закуп!W53</f>
        <v/>
      </c>
      <c r="O53" s="183">
        <f>IF(OR(Закуп!L53="",Закуп!L53=0),"",Закуп!L53)</f>
        <v/>
      </c>
      <c r="P53" s="182">
        <f>Закуп!K53</f>
        <v/>
      </c>
      <c r="Q53" s="217">
        <f>IF(Закуп!D53="","",IF(LEFT(Закуп!D53,1)="0","0",Закуп!D53))</f>
        <v/>
      </c>
      <c r="R53" s="184">
        <f>Закуп!C53</f>
        <v/>
      </c>
    </row>
    <row r="54">
      <c r="A54" s="177">
        <f>Закуп!E54</f>
        <v/>
      </c>
      <c r="B54" s="178">
        <f>INDEX(Calc!$K:$K, (ROW(A53)-1)*5 + COLUMN(A53) + 1 )</f>
        <v/>
      </c>
      <c r="C54" s="178">
        <f>INDEX(Calc!$K:$K, (ROW(B53)-1)*5 + COLUMN(B53) + 1 )</f>
        <v/>
      </c>
      <c r="D54" s="179">
        <f>INDEX(Calc!$K:$K, (ROW(C53)-1)*5 + COLUMN(C53) + 1 )</f>
        <v/>
      </c>
      <c r="E54" s="180">
        <f>INDEX(Calc!$K:$K, (ROW(D53)-1)*5 + COLUMN(D53) + 1 )</f>
        <v/>
      </c>
      <c r="F54" s="181">
        <f>INDEX(Calc!$K:$K, (ROW(E53)-1)*5 + COLUMN(E53) + 1 )</f>
        <v/>
      </c>
      <c r="G54" s="182">
        <f>Закуп!O54</f>
        <v/>
      </c>
      <c r="H54" s="182">
        <f>Закуп!Q54</f>
        <v/>
      </c>
      <c r="I54" s="182">
        <f>Закуп!X54</f>
        <v/>
      </c>
      <c r="J54" s="182">
        <f>Закуп!Y54</f>
        <v/>
      </c>
      <c r="K54" s="182">
        <f>Закуп!Z54</f>
        <v/>
      </c>
      <c r="L54" s="182">
        <f>Закуп!AA54</f>
        <v/>
      </c>
      <c r="M54" s="182">
        <f>Закуп!V54</f>
        <v/>
      </c>
      <c r="N54" s="182">
        <f>Закуп!W54</f>
        <v/>
      </c>
      <c r="O54" s="183">
        <f>IF(OR(Закуп!L54="",Закуп!L54=0),"",Закуп!L54)</f>
        <v/>
      </c>
      <c r="P54" s="182">
        <f>Закуп!K54</f>
        <v/>
      </c>
      <c r="Q54" s="217">
        <f>IF(Закуп!D54="","",IF(LEFT(Закуп!D54,1)="0","0",Закуп!D54))</f>
        <v/>
      </c>
      <c r="R54" s="184">
        <f>Закуп!C54</f>
        <v/>
      </c>
    </row>
    <row r="55">
      <c r="A55" s="177">
        <f>Закуп!E55</f>
        <v/>
      </c>
      <c r="B55" s="178">
        <f>INDEX(Calc!$K:$K, (ROW(A54)-1)*5 + COLUMN(A54) + 1 )</f>
        <v/>
      </c>
      <c r="C55" s="178">
        <f>INDEX(Calc!$K:$K, (ROW(B54)-1)*5 + COLUMN(B54) + 1 )</f>
        <v/>
      </c>
      <c r="D55" s="179">
        <f>INDEX(Calc!$K:$K, (ROW(C54)-1)*5 + COLUMN(C54) + 1 )</f>
        <v/>
      </c>
      <c r="E55" s="180">
        <f>INDEX(Calc!$K:$K, (ROW(D54)-1)*5 + COLUMN(D54) + 1 )</f>
        <v/>
      </c>
      <c r="F55" s="181">
        <f>INDEX(Calc!$K:$K, (ROW(E54)-1)*5 + COLUMN(E54) + 1 )</f>
        <v/>
      </c>
      <c r="G55" s="182">
        <f>Закуп!O55</f>
        <v/>
      </c>
      <c r="H55" s="182">
        <f>Закуп!Q55</f>
        <v/>
      </c>
      <c r="I55" s="182">
        <f>Закуп!X55</f>
        <v/>
      </c>
      <c r="J55" s="182">
        <f>Закуп!Y55</f>
        <v/>
      </c>
      <c r="K55" s="182">
        <f>Закуп!Z55</f>
        <v/>
      </c>
      <c r="L55" s="182">
        <f>Закуп!AA55</f>
        <v/>
      </c>
      <c r="M55" s="182">
        <f>Закуп!V55</f>
        <v/>
      </c>
      <c r="N55" s="182">
        <f>Закуп!W55</f>
        <v/>
      </c>
      <c r="O55" s="183">
        <f>IF(OR(Закуп!L55="",Закуп!L55=0),"",Закуп!L55)</f>
        <v/>
      </c>
      <c r="P55" s="182">
        <f>Закуп!K55</f>
        <v/>
      </c>
      <c r="Q55" s="217">
        <f>IF(Закуп!D55="","",IF(LEFT(Закуп!D55,1)="0","0",Закуп!D55))</f>
        <v/>
      </c>
      <c r="R55" s="184">
        <f>Закуп!C55</f>
        <v/>
      </c>
    </row>
    <row r="56">
      <c r="A56" s="177">
        <f>Закуп!E56</f>
        <v/>
      </c>
      <c r="B56" s="178">
        <f>INDEX(Calc!$K:$K, (ROW(A55)-1)*5 + COLUMN(A55) + 1 )</f>
        <v/>
      </c>
      <c r="C56" s="178">
        <f>INDEX(Calc!$K:$K, (ROW(B55)-1)*5 + COLUMN(B55) + 1 )</f>
        <v/>
      </c>
      <c r="D56" s="179">
        <f>INDEX(Calc!$K:$K, (ROW(C55)-1)*5 + COLUMN(C55) + 1 )</f>
        <v/>
      </c>
      <c r="E56" s="180">
        <f>INDEX(Calc!$K:$K, (ROW(D55)-1)*5 + COLUMN(D55) + 1 )</f>
        <v/>
      </c>
      <c r="F56" s="181">
        <f>INDEX(Calc!$K:$K, (ROW(E55)-1)*5 + COLUMN(E55) + 1 )</f>
        <v/>
      </c>
      <c r="G56" s="182">
        <f>Закуп!O56</f>
        <v/>
      </c>
      <c r="H56" s="182">
        <f>Закуп!Q56</f>
        <v/>
      </c>
      <c r="I56" s="182">
        <f>Закуп!X56</f>
        <v/>
      </c>
      <c r="J56" s="182">
        <f>Закуп!Y56</f>
        <v/>
      </c>
      <c r="K56" s="182">
        <f>Закуп!Z56</f>
        <v/>
      </c>
      <c r="L56" s="182">
        <f>Закуп!AA56</f>
        <v/>
      </c>
      <c r="M56" s="182">
        <f>Закуп!V56</f>
        <v/>
      </c>
      <c r="N56" s="182">
        <f>Закуп!W56</f>
        <v/>
      </c>
      <c r="O56" s="183">
        <f>IF(OR(Закуп!L56="",Закуп!L56=0),"",Закуп!L56)</f>
        <v/>
      </c>
      <c r="P56" s="182">
        <f>Закуп!K56</f>
        <v/>
      </c>
      <c r="Q56" s="217">
        <f>IF(Закуп!D56="","",IF(LEFT(Закуп!D56,1)="0","0",Закуп!D56))</f>
        <v/>
      </c>
      <c r="R56" s="184">
        <f>Закуп!C56</f>
        <v/>
      </c>
    </row>
    <row r="57">
      <c r="A57" s="177">
        <f>Закуп!E57</f>
        <v/>
      </c>
      <c r="B57" s="178">
        <f>INDEX(Calc!$K:$K, (ROW(A56)-1)*5 + COLUMN(A56) + 1 )</f>
        <v/>
      </c>
      <c r="C57" s="178">
        <f>INDEX(Calc!$K:$K, (ROW(B56)-1)*5 + COLUMN(B56) + 1 )</f>
        <v/>
      </c>
      <c r="D57" s="179">
        <f>INDEX(Calc!$K:$K, (ROW(C56)-1)*5 + COLUMN(C56) + 1 )</f>
        <v/>
      </c>
      <c r="E57" s="180">
        <f>INDEX(Calc!$K:$K, (ROW(D56)-1)*5 + COLUMN(D56) + 1 )</f>
        <v/>
      </c>
      <c r="F57" s="181">
        <f>INDEX(Calc!$K:$K, (ROW(E56)-1)*5 + COLUMN(E56) + 1 )</f>
        <v/>
      </c>
      <c r="G57" s="182">
        <f>Закуп!O57</f>
        <v/>
      </c>
      <c r="H57" s="182">
        <f>Закуп!Q57</f>
        <v/>
      </c>
      <c r="I57" s="182">
        <f>Закуп!X57</f>
        <v/>
      </c>
      <c r="J57" s="182">
        <f>Закуп!Y57</f>
        <v/>
      </c>
      <c r="K57" s="182">
        <f>Закуп!Z57</f>
        <v/>
      </c>
      <c r="L57" s="182">
        <f>Закуп!AA57</f>
        <v/>
      </c>
      <c r="M57" s="182">
        <f>Закуп!V57</f>
        <v/>
      </c>
      <c r="N57" s="182">
        <f>Закуп!W57</f>
        <v/>
      </c>
      <c r="O57" s="183">
        <f>IF(OR(Закуп!L57="",Закуп!L57=0),"",Закуп!L57)</f>
        <v/>
      </c>
      <c r="P57" s="182">
        <f>Закуп!K57</f>
        <v/>
      </c>
      <c r="Q57" s="217">
        <f>IF(Закуп!D57="","",IF(LEFT(Закуп!D57,1)="0","0",Закуп!D57))</f>
        <v/>
      </c>
      <c r="R57" s="184">
        <f>Закуп!C57</f>
        <v/>
      </c>
    </row>
    <row r="58">
      <c r="A58" s="177">
        <f>Закуп!E58</f>
        <v/>
      </c>
      <c r="B58" s="178">
        <f>INDEX(Calc!$K:$K, (ROW(A57)-1)*5 + COLUMN(A57) + 1 )</f>
        <v/>
      </c>
      <c r="C58" s="178">
        <f>INDEX(Calc!$K:$K, (ROW(B57)-1)*5 + COLUMN(B57) + 1 )</f>
        <v/>
      </c>
      <c r="D58" s="179">
        <f>INDEX(Calc!$K:$K, (ROW(C57)-1)*5 + COLUMN(C57) + 1 )</f>
        <v/>
      </c>
      <c r="E58" s="180">
        <f>INDEX(Calc!$K:$K, (ROW(D57)-1)*5 + COLUMN(D57) + 1 )</f>
        <v/>
      </c>
      <c r="F58" s="181">
        <f>INDEX(Calc!$K:$K, (ROW(E57)-1)*5 + COLUMN(E57) + 1 )</f>
        <v/>
      </c>
      <c r="G58" s="182">
        <f>Закуп!O58</f>
        <v/>
      </c>
      <c r="H58" s="182">
        <f>Закуп!Q58</f>
        <v/>
      </c>
      <c r="I58" s="182">
        <f>Закуп!X58</f>
        <v/>
      </c>
      <c r="J58" s="182">
        <f>Закуп!Y58</f>
        <v/>
      </c>
      <c r="K58" s="182">
        <f>Закуп!Z58</f>
        <v/>
      </c>
      <c r="L58" s="182">
        <f>Закуп!AA58</f>
        <v/>
      </c>
      <c r="M58" s="182">
        <f>Закуп!V58</f>
        <v/>
      </c>
      <c r="N58" s="182">
        <f>Закуп!W58</f>
        <v/>
      </c>
      <c r="O58" s="183">
        <f>IF(OR(Закуп!L58="",Закуп!L58=0),"",Закуп!L58)</f>
        <v/>
      </c>
      <c r="P58" s="182">
        <f>Закуп!K58</f>
        <v/>
      </c>
      <c r="Q58" s="217">
        <f>IF(Закуп!D58="","",IF(LEFT(Закуп!D58,1)="0","0",Закуп!D58))</f>
        <v/>
      </c>
      <c r="R58" s="184">
        <f>Закуп!C58</f>
        <v/>
      </c>
    </row>
    <row r="59">
      <c r="A59" s="177">
        <f>Закуп!E59</f>
        <v/>
      </c>
      <c r="B59" s="178">
        <f>INDEX(Calc!$K:$K, (ROW(A58)-1)*5 + COLUMN(A58) + 1 )</f>
        <v/>
      </c>
      <c r="C59" s="178">
        <f>INDEX(Calc!$K:$K, (ROW(B58)-1)*5 + COLUMN(B58) + 1 )</f>
        <v/>
      </c>
      <c r="D59" s="179">
        <f>INDEX(Calc!$K:$K, (ROW(C58)-1)*5 + COLUMN(C58) + 1 )</f>
        <v/>
      </c>
      <c r="E59" s="180">
        <f>INDEX(Calc!$K:$K, (ROW(D58)-1)*5 + COLUMN(D58) + 1 )</f>
        <v/>
      </c>
      <c r="F59" s="181">
        <f>INDEX(Calc!$K:$K, (ROW(E58)-1)*5 + COLUMN(E58) + 1 )</f>
        <v/>
      </c>
      <c r="G59" s="182">
        <f>Закуп!O59</f>
        <v/>
      </c>
      <c r="H59" s="182">
        <f>Закуп!Q59</f>
        <v/>
      </c>
      <c r="I59" s="182">
        <f>Закуп!X59</f>
        <v/>
      </c>
      <c r="J59" s="182">
        <f>Закуп!Y59</f>
        <v/>
      </c>
      <c r="K59" s="182">
        <f>Закуп!Z59</f>
        <v/>
      </c>
      <c r="L59" s="182">
        <f>Закуп!AA59</f>
        <v/>
      </c>
      <c r="M59" s="182">
        <f>Закуп!V59</f>
        <v/>
      </c>
      <c r="N59" s="182">
        <f>Закуп!W59</f>
        <v/>
      </c>
      <c r="O59" s="183">
        <f>IF(OR(Закуп!L59="",Закуп!L59=0),"",Закуп!L59)</f>
        <v/>
      </c>
      <c r="P59" s="182">
        <f>Закуп!K59</f>
        <v/>
      </c>
      <c r="Q59" s="217">
        <f>IF(Закуп!D59="","",IF(LEFT(Закуп!D59,1)="0","0",Закуп!D59))</f>
        <v/>
      </c>
      <c r="R59" s="184">
        <f>Закуп!C59</f>
        <v/>
      </c>
    </row>
    <row r="60">
      <c r="A60" s="177">
        <f>Закуп!E60</f>
        <v/>
      </c>
      <c r="B60" s="178">
        <f>INDEX(Calc!$K:$K, (ROW(A59)-1)*5 + COLUMN(A59) + 1 )</f>
        <v/>
      </c>
      <c r="C60" s="178">
        <f>INDEX(Calc!$K:$K, (ROW(B59)-1)*5 + COLUMN(B59) + 1 )</f>
        <v/>
      </c>
      <c r="D60" s="179">
        <f>INDEX(Calc!$K:$K, (ROW(C59)-1)*5 + COLUMN(C59) + 1 )</f>
        <v/>
      </c>
      <c r="E60" s="180">
        <f>INDEX(Calc!$K:$K, (ROW(D59)-1)*5 + COLUMN(D59) + 1 )</f>
        <v/>
      </c>
      <c r="F60" s="181">
        <f>INDEX(Calc!$K:$K, (ROW(E59)-1)*5 + COLUMN(E59) + 1 )</f>
        <v/>
      </c>
      <c r="G60" s="182">
        <f>Закуп!O60</f>
        <v/>
      </c>
      <c r="H60" s="182">
        <f>Закуп!Q60</f>
        <v/>
      </c>
      <c r="I60" s="182">
        <f>Закуп!X60</f>
        <v/>
      </c>
      <c r="J60" s="182">
        <f>Закуп!Y60</f>
        <v/>
      </c>
      <c r="K60" s="182">
        <f>Закуп!Z60</f>
        <v/>
      </c>
      <c r="L60" s="182">
        <f>Закуп!AA60</f>
        <v/>
      </c>
      <c r="M60" s="182">
        <f>Закуп!V60</f>
        <v/>
      </c>
      <c r="N60" s="182">
        <f>Закуп!W60</f>
        <v/>
      </c>
      <c r="O60" s="183">
        <f>IF(OR(Закуп!L60="",Закуп!L60=0),"",Закуп!L60)</f>
        <v/>
      </c>
      <c r="P60" s="182">
        <f>Закуп!K60</f>
        <v/>
      </c>
      <c r="Q60" s="217">
        <f>IF(Закуп!D60="","",IF(LEFT(Закуп!D60,1)="0","0",Закуп!D60))</f>
        <v/>
      </c>
      <c r="R60" s="184">
        <f>Закуп!C60</f>
        <v/>
      </c>
    </row>
    <row r="61">
      <c r="A61" s="177">
        <f>Закуп!E61</f>
        <v/>
      </c>
      <c r="B61" s="178">
        <f>INDEX(Calc!$K:$K, (ROW(A60)-1)*5 + COLUMN(A60) + 1 )</f>
        <v/>
      </c>
      <c r="C61" s="178">
        <f>INDEX(Calc!$K:$K, (ROW(B60)-1)*5 + COLUMN(B60) + 1 )</f>
        <v/>
      </c>
      <c r="D61" s="179">
        <f>INDEX(Calc!$K:$K, (ROW(C60)-1)*5 + COLUMN(C60) + 1 )</f>
        <v/>
      </c>
      <c r="E61" s="180">
        <f>INDEX(Calc!$K:$K, (ROW(D60)-1)*5 + COLUMN(D60) + 1 )</f>
        <v/>
      </c>
      <c r="F61" s="181">
        <f>INDEX(Calc!$K:$K, (ROW(E60)-1)*5 + COLUMN(E60) + 1 )</f>
        <v/>
      </c>
      <c r="G61" s="182">
        <f>Закуп!O61</f>
        <v/>
      </c>
      <c r="H61" s="182">
        <f>Закуп!Q61</f>
        <v/>
      </c>
      <c r="I61" s="182">
        <f>Закуп!X61</f>
        <v/>
      </c>
      <c r="J61" s="182">
        <f>Закуп!Y61</f>
        <v/>
      </c>
      <c r="K61" s="182">
        <f>Закуп!Z61</f>
        <v/>
      </c>
      <c r="L61" s="182">
        <f>Закуп!AA61</f>
        <v/>
      </c>
      <c r="M61" s="182">
        <f>Закуп!V61</f>
        <v/>
      </c>
      <c r="N61" s="182">
        <f>Закуп!W61</f>
        <v/>
      </c>
      <c r="O61" s="183">
        <f>IF(OR(Закуп!L61="",Закуп!L61=0),"",Закуп!L61)</f>
        <v/>
      </c>
      <c r="P61" s="182">
        <f>Закуп!K61</f>
        <v/>
      </c>
      <c r="Q61" s="217">
        <f>IF(Закуп!D61="","",IF(LEFT(Закуп!D61,1)="0","0",Закуп!D61))</f>
        <v/>
      </c>
      <c r="R61" s="184">
        <f>Закуп!C61</f>
        <v/>
      </c>
    </row>
    <row r="62">
      <c r="A62" s="177">
        <f>Закуп!E62</f>
        <v/>
      </c>
      <c r="B62" s="178">
        <f>INDEX(Calc!$K:$K, (ROW(A61)-1)*5 + COLUMN(A61) + 1 )</f>
        <v/>
      </c>
      <c r="C62" s="178">
        <f>INDEX(Calc!$K:$K, (ROW(B61)-1)*5 + COLUMN(B61) + 1 )</f>
        <v/>
      </c>
      <c r="D62" s="179">
        <f>INDEX(Calc!$K:$K, (ROW(C61)-1)*5 + COLUMN(C61) + 1 )</f>
        <v/>
      </c>
      <c r="E62" s="180">
        <f>INDEX(Calc!$K:$K, (ROW(D61)-1)*5 + COLUMN(D61) + 1 )</f>
        <v/>
      </c>
      <c r="F62" s="181">
        <f>INDEX(Calc!$K:$K, (ROW(E61)-1)*5 + COLUMN(E61) + 1 )</f>
        <v/>
      </c>
      <c r="G62" s="182">
        <f>Закуп!O62</f>
        <v/>
      </c>
      <c r="H62" s="182">
        <f>Закуп!Q62</f>
        <v/>
      </c>
      <c r="I62" s="182">
        <f>Закуп!X62</f>
        <v/>
      </c>
      <c r="J62" s="182">
        <f>Закуп!Y62</f>
        <v/>
      </c>
      <c r="K62" s="182">
        <f>Закуп!Z62</f>
        <v/>
      </c>
      <c r="L62" s="182">
        <f>Закуп!AA62</f>
        <v/>
      </c>
      <c r="M62" s="182">
        <f>Закуп!V62</f>
        <v/>
      </c>
      <c r="N62" s="182">
        <f>Закуп!W62</f>
        <v/>
      </c>
      <c r="O62" s="183">
        <f>IF(OR(Закуп!L62="",Закуп!L62=0),"",Закуп!L62)</f>
        <v/>
      </c>
      <c r="P62" s="182">
        <f>Закуп!K62</f>
        <v/>
      </c>
      <c r="Q62" s="217">
        <f>IF(Закуп!D62="","",IF(LEFT(Закуп!D62,1)="0","0",Закуп!D62))</f>
        <v/>
      </c>
      <c r="R62" s="184">
        <f>Закуп!C62</f>
        <v/>
      </c>
    </row>
    <row r="63">
      <c r="A63" s="177">
        <f>Закуп!E63</f>
        <v/>
      </c>
      <c r="B63" s="178">
        <f>INDEX(Calc!$K:$K, (ROW(A62)-1)*5 + COLUMN(A62) + 1 )</f>
        <v/>
      </c>
      <c r="C63" s="178">
        <f>INDEX(Calc!$K:$K, (ROW(B62)-1)*5 + COLUMN(B62) + 1 )</f>
        <v/>
      </c>
      <c r="D63" s="179">
        <f>INDEX(Calc!$K:$K, (ROW(C62)-1)*5 + COLUMN(C62) + 1 )</f>
        <v/>
      </c>
      <c r="E63" s="180">
        <f>INDEX(Calc!$K:$K, (ROW(D62)-1)*5 + COLUMN(D62) + 1 )</f>
        <v/>
      </c>
      <c r="F63" s="181">
        <f>INDEX(Calc!$K:$K, (ROW(E62)-1)*5 + COLUMN(E62) + 1 )</f>
        <v/>
      </c>
      <c r="G63" s="182">
        <f>Закуп!O63</f>
        <v/>
      </c>
      <c r="H63" s="182">
        <f>Закуп!Q63</f>
        <v/>
      </c>
      <c r="I63" s="182">
        <f>Закуп!X63</f>
        <v/>
      </c>
      <c r="J63" s="182">
        <f>Закуп!Y63</f>
        <v/>
      </c>
      <c r="K63" s="182">
        <f>Закуп!Z63</f>
        <v/>
      </c>
      <c r="L63" s="182">
        <f>Закуп!AA63</f>
        <v/>
      </c>
      <c r="M63" s="182">
        <f>Закуп!V63</f>
        <v/>
      </c>
      <c r="N63" s="182">
        <f>Закуп!W63</f>
        <v/>
      </c>
      <c r="O63" s="183">
        <f>IF(OR(Закуп!L63="",Закуп!L63=0),"",Закуп!L63)</f>
        <v/>
      </c>
      <c r="P63" s="182">
        <f>Закуп!K63</f>
        <v/>
      </c>
      <c r="Q63" s="217">
        <f>IF(Закуп!D63="","",IF(LEFT(Закуп!D63,1)="0","0",Закуп!D63))</f>
        <v/>
      </c>
      <c r="R63" s="184">
        <f>Закуп!C63</f>
        <v/>
      </c>
    </row>
    <row r="64">
      <c r="A64" s="177">
        <f>Закуп!E64</f>
        <v/>
      </c>
      <c r="B64" s="178">
        <f>INDEX(Calc!$K:$K, (ROW(A63)-1)*5 + COLUMN(A63) + 1 )</f>
        <v/>
      </c>
      <c r="C64" s="178">
        <f>INDEX(Calc!$K:$K, (ROW(B63)-1)*5 + COLUMN(B63) + 1 )</f>
        <v/>
      </c>
      <c r="D64" s="179">
        <f>INDEX(Calc!$K:$K, (ROW(C63)-1)*5 + COLUMN(C63) + 1 )</f>
        <v/>
      </c>
      <c r="E64" s="180">
        <f>INDEX(Calc!$K:$K, (ROW(D63)-1)*5 + COLUMN(D63) + 1 )</f>
        <v/>
      </c>
      <c r="F64" s="181">
        <f>INDEX(Calc!$K:$K, (ROW(E63)-1)*5 + COLUMN(E63) + 1 )</f>
        <v/>
      </c>
      <c r="G64" s="182">
        <f>Закуп!O64</f>
        <v/>
      </c>
      <c r="H64" s="182">
        <f>Закуп!Q64</f>
        <v/>
      </c>
      <c r="I64" s="182">
        <f>Закуп!X64</f>
        <v/>
      </c>
      <c r="J64" s="182">
        <f>Закуп!Y64</f>
        <v/>
      </c>
      <c r="K64" s="182">
        <f>Закуп!Z64</f>
        <v/>
      </c>
      <c r="L64" s="182">
        <f>Закуп!AA64</f>
        <v/>
      </c>
      <c r="M64" s="182">
        <f>Закуп!V64</f>
        <v/>
      </c>
      <c r="N64" s="182">
        <f>Закуп!W64</f>
        <v/>
      </c>
      <c r="O64" s="183">
        <f>IF(OR(Закуп!L64="",Закуп!L64=0),"",Закуп!L64)</f>
        <v/>
      </c>
      <c r="P64" s="182">
        <f>Закуп!K64</f>
        <v/>
      </c>
      <c r="Q64" s="217">
        <f>IF(Закуп!D64="","",IF(LEFT(Закуп!D64,1)="0","0",Закуп!D64))</f>
        <v/>
      </c>
      <c r="R64" s="184">
        <f>Закуп!C64</f>
        <v/>
      </c>
    </row>
    <row r="65">
      <c r="A65" s="177">
        <f>Закуп!E65</f>
        <v/>
      </c>
      <c r="B65" s="178">
        <f>INDEX(Calc!$K:$K, (ROW(A64)-1)*5 + COLUMN(A64) + 1 )</f>
        <v/>
      </c>
      <c r="C65" s="178">
        <f>INDEX(Calc!$K:$K, (ROW(B64)-1)*5 + COLUMN(B64) + 1 )</f>
        <v/>
      </c>
      <c r="D65" s="179">
        <f>INDEX(Calc!$K:$K, (ROW(C64)-1)*5 + COLUMN(C64) + 1 )</f>
        <v/>
      </c>
      <c r="E65" s="180">
        <f>INDEX(Calc!$K:$K, (ROW(D64)-1)*5 + COLUMN(D64) + 1 )</f>
        <v/>
      </c>
      <c r="F65" s="181">
        <f>INDEX(Calc!$K:$K, (ROW(E64)-1)*5 + COLUMN(E64) + 1 )</f>
        <v/>
      </c>
      <c r="G65" s="182">
        <f>Закуп!O65</f>
        <v/>
      </c>
      <c r="H65" s="182">
        <f>Закуп!Q65</f>
        <v/>
      </c>
      <c r="I65" s="182">
        <f>Закуп!X65</f>
        <v/>
      </c>
      <c r="J65" s="182">
        <f>Закуп!Y65</f>
        <v/>
      </c>
      <c r="K65" s="182">
        <f>Закуп!Z65</f>
        <v/>
      </c>
      <c r="L65" s="182">
        <f>Закуп!AA65</f>
        <v/>
      </c>
      <c r="M65" s="182">
        <f>Закуп!V65</f>
        <v/>
      </c>
      <c r="N65" s="182">
        <f>Закуп!W65</f>
        <v/>
      </c>
      <c r="O65" s="183">
        <f>IF(OR(Закуп!L65="",Закуп!L65=0),"",Закуп!L65)</f>
        <v/>
      </c>
      <c r="P65" s="182">
        <f>Закуп!K65</f>
        <v/>
      </c>
      <c r="Q65" s="217">
        <f>IF(Закуп!D65="","",IF(LEFT(Закуп!D65,1)="0","0",Закуп!D65))</f>
        <v/>
      </c>
      <c r="R65" s="184">
        <f>Закуп!C65</f>
        <v/>
      </c>
    </row>
    <row r="66">
      <c r="A66" s="177">
        <f>Закуп!E66</f>
        <v/>
      </c>
      <c r="B66" s="178">
        <f>INDEX(Calc!$K:$K, (ROW(A65)-1)*5 + COLUMN(A65) + 1 )</f>
        <v/>
      </c>
      <c r="C66" s="178">
        <f>INDEX(Calc!$K:$K, (ROW(B65)-1)*5 + COLUMN(B65) + 1 )</f>
        <v/>
      </c>
      <c r="D66" s="179">
        <f>INDEX(Calc!$K:$K, (ROW(C65)-1)*5 + COLUMN(C65) + 1 )</f>
        <v/>
      </c>
      <c r="E66" s="180">
        <f>INDEX(Calc!$K:$K, (ROW(D65)-1)*5 + COLUMN(D65) + 1 )</f>
        <v/>
      </c>
      <c r="F66" s="181">
        <f>INDEX(Calc!$K:$K, (ROW(E65)-1)*5 + COLUMN(E65) + 1 )</f>
        <v/>
      </c>
      <c r="G66" s="182">
        <f>Закуп!O66</f>
        <v/>
      </c>
      <c r="H66" s="182">
        <f>Закуп!Q66</f>
        <v/>
      </c>
      <c r="I66" s="182">
        <f>Закуп!X66</f>
        <v/>
      </c>
      <c r="J66" s="182">
        <f>Закуп!Y66</f>
        <v/>
      </c>
      <c r="K66" s="182">
        <f>Закуп!Z66</f>
        <v/>
      </c>
      <c r="L66" s="182">
        <f>Закуп!AA66</f>
        <v/>
      </c>
      <c r="M66" s="182">
        <f>Закуп!V66</f>
        <v/>
      </c>
      <c r="N66" s="182">
        <f>Закуп!W66</f>
        <v/>
      </c>
      <c r="O66" s="183">
        <f>IF(OR(Закуп!L66="",Закуп!L66=0),"",Закуп!L66)</f>
        <v/>
      </c>
      <c r="P66" s="182">
        <f>Закуп!K66</f>
        <v/>
      </c>
      <c r="Q66" s="217">
        <f>IF(Закуп!D66="","",IF(LEFT(Закуп!D66,1)="0","0",Закуп!D66))</f>
        <v/>
      </c>
      <c r="R66" s="184">
        <f>Закуп!C66</f>
        <v/>
      </c>
    </row>
    <row r="67">
      <c r="A67" s="177">
        <f>Закуп!E67</f>
        <v/>
      </c>
      <c r="B67" s="178">
        <f>INDEX(Calc!$K:$K, (ROW(A66)-1)*5 + COLUMN(A66) + 1 )</f>
        <v/>
      </c>
      <c r="C67" s="178">
        <f>INDEX(Calc!$K:$K, (ROW(B66)-1)*5 + COLUMN(B66) + 1 )</f>
        <v/>
      </c>
      <c r="D67" s="179">
        <f>INDEX(Calc!$K:$K, (ROW(C66)-1)*5 + COLUMN(C66) + 1 )</f>
        <v/>
      </c>
      <c r="E67" s="180">
        <f>INDEX(Calc!$K:$K, (ROW(D66)-1)*5 + COLUMN(D66) + 1 )</f>
        <v/>
      </c>
      <c r="F67" s="181">
        <f>INDEX(Calc!$K:$K, (ROW(E66)-1)*5 + COLUMN(E66) + 1 )</f>
        <v/>
      </c>
      <c r="G67" s="182">
        <f>Закуп!O67</f>
        <v/>
      </c>
      <c r="H67" s="182">
        <f>Закуп!Q67</f>
        <v/>
      </c>
      <c r="I67" s="182">
        <f>Закуп!X67</f>
        <v/>
      </c>
      <c r="J67" s="182">
        <f>Закуп!Y67</f>
        <v/>
      </c>
      <c r="K67" s="182">
        <f>Закуп!Z67</f>
        <v/>
      </c>
      <c r="L67" s="182">
        <f>Закуп!AA67</f>
        <v/>
      </c>
      <c r="M67" s="182">
        <f>Закуп!V67</f>
        <v/>
      </c>
      <c r="N67" s="182">
        <f>Закуп!W67</f>
        <v/>
      </c>
      <c r="O67" s="183">
        <f>IF(OR(Закуп!L67="",Закуп!L67=0),"",Закуп!L67)</f>
        <v/>
      </c>
      <c r="P67" s="182">
        <f>Закуп!K67</f>
        <v/>
      </c>
      <c r="Q67" s="217">
        <f>IF(Закуп!D67="","",IF(LEFT(Закуп!D67,1)="0","0",Закуп!D67))</f>
        <v/>
      </c>
      <c r="R67" s="184">
        <f>Закуп!C67</f>
        <v/>
      </c>
    </row>
    <row r="68">
      <c r="A68" s="177">
        <f>Закуп!E68</f>
        <v/>
      </c>
      <c r="B68" s="178">
        <f>INDEX(Calc!$K:$K, (ROW(A67)-1)*5 + COLUMN(A67) + 1 )</f>
        <v/>
      </c>
      <c r="C68" s="178">
        <f>INDEX(Calc!$K:$K, (ROW(B67)-1)*5 + COLUMN(B67) + 1 )</f>
        <v/>
      </c>
      <c r="D68" s="179">
        <f>INDEX(Calc!$K:$K, (ROW(C67)-1)*5 + COLUMN(C67) + 1 )</f>
        <v/>
      </c>
      <c r="E68" s="180">
        <f>INDEX(Calc!$K:$K, (ROW(D67)-1)*5 + COLUMN(D67) + 1 )</f>
        <v/>
      </c>
      <c r="F68" s="181">
        <f>INDEX(Calc!$K:$K, (ROW(E67)-1)*5 + COLUMN(E67) + 1 )</f>
        <v/>
      </c>
      <c r="G68" s="182">
        <f>Закуп!O68</f>
        <v/>
      </c>
      <c r="H68" s="182">
        <f>Закуп!Q68</f>
        <v/>
      </c>
      <c r="I68" s="182">
        <f>Закуп!X68</f>
        <v/>
      </c>
      <c r="J68" s="182">
        <f>Закуп!Y68</f>
        <v/>
      </c>
      <c r="K68" s="182">
        <f>Закуп!Z68</f>
        <v/>
      </c>
      <c r="L68" s="182">
        <f>Закуп!AA68</f>
        <v/>
      </c>
      <c r="M68" s="182">
        <f>Закуп!V68</f>
        <v/>
      </c>
      <c r="N68" s="182">
        <f>Закуп!W68</f>
        <v/>
      </c>
      <c r="O68" s="183">
        <f>IF(OR(Закуп!L68="",Закуп!L68=0),"",Закуп!L68)</f>
        <v/>
      </c>
      <c r="P68" s="182">
        <f>Закуп!K68</f>
        <v/>
      </c>
      <c r="Q68" s="217">
        <f>IF(Закуп!D68="","",IF(LEFT(Закуп!D68,1)="0","0",Закуп!D68))</f>
        <v/>
      </c>
      <c r="R68" s="184">
        <f>Закуп!C68</f>
        <v/>
      </c>
    </row>
    <row r="69">
      <c r="A69" s="177">
        <f>Закуп!E69</f>
        <v/>
      </c>
      <c r="B69" s="178">
        <f>INDEX(Calc!$K:$K, (ROW(A68)-1)*5 + COLUMN(A68) + 1 )</f>
        <v/>
      </c>
      <c r="C69" s="178">
        <f>INDEX(Calc!$K:$K, (ROW(B68)-1)*5 + COLUMN(B68) + 1 )</f>
        <v/>
      </c>
      <c r="D69" s="179">
        <f>INDEX(Calc!$K:$K, (ROW(C68)-1)*5 + COLUMN(C68) + 1 )</f>
        <v/>
      </c>
      <c r="E69" s="180">
        <f>INDEX(Calc!$K:$K, (ROW(D68)-1)*5 + COLUMN(D68) + 1 )</f>
        <v/>
      </c>
      <c r="F69" s="181">
        <f>INDEX(Calc!$K:$K, (ROW(E68)-1)*5 + COLUMN(E68) + 1 )</f>
        <v/>
      </c>
      <c r="G69" s="182">
        <f>Закуп!O69</f>
        <v/>
      </c>
      <c r="H69" s="182">
        <f>Закуп!Q69</f>
        <v/>
      </c>
      <c r="I69" s="182">
        <f>Закуп!X69</f>
        <v/>
      </c>
      <c r="J69" s="182">
        <f>Закуп!Y69</f>
        <v/>
      </c>
      <c r="K69" s="182">
        <f>Закуп!Z69</f>
        <v/>
      </c>
      <c r="L69" s="182">
        <f>Закуп!AA69</f>
        <v/>
      </c>
      <c r="M69" s="182">
        <f>Закуп!V69</f>
        <v/>
      </c>
      <c r="N69" s="182">
        <f>Закуп!W69</f>
        <v/>
      </c>
      <c r="O69" s="183">
        <f>IF(OR(Закуп!L69="",Закуп!L69=0),"",Закуп!L69)</f>
        <v/>
      </c>
      <c r="P69" s="182">
        <f>Закуп!K69</f>
        <v/>
      </c>
      <c r="Q69" s="217">
        <f>IF(Закуп!D69="","",IF(LEFT(Закуп!D69,1)="0","0",Закуп!D69))</f>
        <v/>
      </c>
      <c r="R69" s="184">
        <f>Закуп!C69</f>
        <v/>
      </c>
    </row>
    <row r="70">
      <c r="A70" s="177">
        <f>Закуп!E70</f>
        <v/>
      </c>
      <c r="B70" s="178">
        <f>INDEX(Calc!$K:$K, (ROW(A69)-1)*5 + COLUMN(A69) + 1 )</f>
        <v/>
      </c>
      <c r="C70" s="178">
        <f>INDEX(Calc!$K:$K, (ROW(B69)-1)*5 + COLUMN(B69) + 1 )</f>
        <v/>
      </c>
      <c r="D70" s="179">
        <f>INDEX(Calc!$K:$K, (ROW(C69)-1)*5 + COLUMN(C69) + 1 )</f>
        <v/>
      </c>
      <c r="E70" s="180">
        <f>INDEX(Calc!$K:$K, (ROW(D69)-1)*5 + COLUMN(D69) + 1 )</f>
        <v/>
      </c>
      <c r="F70" s="181">
        <f>INDEX(Calc!$K:$K, (ROW(E69)-1)*5 + COLUMN(E69) + 1 )</f>
        <v/>
      </c>
      <c r="G70" s="182">
        <f>Закуп!O70</f>
        <v/>
      </c>
      <c r="H70" s="182">
        <f>Закуп!Q70</f>
        <v/>
      </c>
      <c r="I70" s="182">
        <f>Закуп!X70</f>
        <v/>
      </c>
      <c r="J70" s="182">
        <f>Закуп!Y70</f>
        <v/>
      </c>
      <c r="K70" s="182">
        <f>Закуп!Z70</f>
        <v/>
      </c>
      <c r="L70" s="182">
        <f>Закуп!AA70</f>
        <v/>
      </c>
      <c r="M70" s="182">
        <f>Закуп!V70</f>
        <v/>
      </c>
      <c r="N70" s="182">
        <f>Закуп!W70</f>
        <v/>
      </c>
      <c r="O70" s="183">
        <f>IF(OR(Закуп!L70="",Закуп!L70=0),"",Закуп!L70)</f>
        <v/>
      </c>
      <c r="P70" s="182">
        <f>Закуп!K70</f>
        <v/>
      </c>
      <c r="Q70" s="217">
        <f>IF(Закуп!D70="","",IF(LEFT(Закуп!D70,1)="0","0",Закуп!D70))</f>
        <v/>
      </c>
      <c r="R70" s="184">
        <f>Закуп!C70</f>
        <v/>
      </c>
    </row>
    <row r="71">
      <c r="A71" s="177">
        <f>Закуп!E71</f>
        <v/>
      </c>
      <c r="B71" s="178">
        <f>INDEX(Calc!$K:$K, (ROW(A70)-1)*5 + COLUMN(A70) + 1 )</f>
        <v/>
      </c>
      <c r="C71" s="178">
        <f>INDEX(Calc!$K:$K, (ROW(B70)-1)*5 + COLUMN(B70) + 1 )</f>
        <v/>
      </c>
      <c r="D71" s="179">
        <f>INDEX(Calc!$K:$K, (ROW(C70)-1)*5 + COLUMN(C70) + 1 )</f>
        <v/>
      </c>
      <c r="E71" s="180">
        <f>INDEX(Calc!$K:$K, (ROW(D70)-1)*5 + COLUMN(D70) + 1 )</f>
        <v/>
      </c>
      <c r="F71" s="181">
        <f>INDEX(Calc!$K:$K, (ROW(E70)-1)*5 + COLUMN(E70) + 1 )</f>
        <v/>
      </c>
      <c r="G71" s="182">
        <f>Закуп!O71</f>
        <v/>
      </c>
      <c r="H71" s="182">
        <f>Закуп!Q71</f>
        <v/>
      </c>
      <c r="I71" s="182">
        <f>Закуп!X71</f>
        <v/>
      </c>
      <c r="J71" s="182">
        <f>Закуп!Y71</f>
        <v/>
      </c>
      <c r="K71" s="182">
        <f>Закуп!Z71</f>
        <v/>
      </c>
      <c r="L71" s="182">
        <f>Закуп!AA71</f>
        <v/>
      </c>
      <c r="M71" s="182">
        <f>Закуп!V71</f>
        <v/>
      </c>
      <c r="N71" s="182">
        <f>Закуп!W71</f>
        <v/>
      </c>
      <c r="O71" s="183">
        <f>IF(OR(Закуп!L71="",Закуп!L71=0),"",Закуп!L71)</f>
        <v/>
      </c>
      <c r="P71" s="182">
        <f>Закуп!K71</f>
        <v/>
      </c>
      <c r="Q71" s="217">
        <f>IF(Закуп!D71="","",IF(LEFT(Закуп!D71,1)="0","0",Закуп!D71))</f>
        <v/>
      </c>
      <c r="R71" s="184">
        <f>Закуп!C71</f>
        <v/>
      </c>
    </row>
    <row r="72">
      <c r="A72" s="177">
        <f>Закуп!E72</f>
        <v/>
      </c>
      <c r="B72" s="178">
        <f>INDEX(Calc!$K:$K, (ROW(A71)-1)*5 + COLUMN(A71) + 1 )</f>
        <v/>
      </c>
      <c r="C72" s="178">
        <f>INDEX(Calc!$K:$K, (ROW(B71)-1)*5 + COLUMN(B71) + 1 )</f>
        <v/>
      </c>
      <c r="D72" s="179">
        <f>INDEX(Calc!$K:$K, (ROW(C71)-1)*5 + COLUMN(C71) + 1 )</f>
        <v/>
      </c>
      <c r="E72" s="180">
        <f>INDEX(Calc!$K:$K, (ROW(D71)-1)*5 + COLUMN(D71) + 1 )</f>
        <v/>
      </c>
      <c r="F72" s="181">
        <f>INDEX(Calc!$K:$K, (ROW(E71)-1)*5 + COLUMN(E71) + 1 )</f>
        <v/>
      </c>
      <c r="G72" s="182">
        <f>Закуп!O72</f>
        <v/>
      </c>
      <c r="H72" s="182">
        <f>Закуп!Q72</f>
        <v/>
      </c>
      <c r="I72" s="182">
        <f>Закуп!X72</f>
        <v/>
      </c>
      <c r="J72" s="182">
        <f>Закуп!Y72</f>
        <v/>
      </c>
      <c r="K72" s="182">
        <f>Закуп!Z72</f>
        <v/>
      </c>
      <c r="L72" s="182">
        <f>Закуп!AA72</f>
        <v/>
      </c>
      <c r="M72" s="182">
        <f>Закуп!V72</f>
        <v/>
      </c>
      <c r="N72" s="182">
        <f>Закуп!W72</f>
        <v/>
      </c>
      <c r="O72" s="183">
        <f>IF(OR(Закуп!L72="",Закуп!L72=0),"",Закуп!L72)</f>
        <v/>
      </c>
      <c r="P72" s="182">
        <f>Закуп!K72</f>
        <v/>
      </c>
      <c r="Q72" s="217">
        <f>IF(Закуп!D72="","",IF(LEFT(Закуп!D72,1)="0","0",Закуп!D72))</f>
        <v/>
      </c>
      <c r="R72" s="184">
        <f>Закуп!C72</f>
        <v/>
      </c>
    </row>
    <row r="73">
      <c r="A73" s="177">
        <f>Закуп!E73</f>
        <v/>
      </c>
      <c r="B73" s="178">
        <f>INDEX(Calc!$K:$K, (ROW(A72)-1)*5 + COLUMN(A72) + 1 )</f>
        <v/>
      </c>
      <c r="C73" s="178">
        <f>INDEX(Calc!$K:$K, (ROW(B72)-1)*5 + COLUMN(B72) + 1 )</f>
        <v/>
      </c>
      <c r="D73" s="179">
        <f>INDEX(Calc!$K:$K, (ROW(C72)-1)*5 + COLUMN(C72) + 1 )</f>
        <v/>
      </c>
      <c r="E73" s="180">
        <f>INDEX(Calc!$K:$K, (ROW(D72)-1)*5 + COLUMN(D72) + 1 )</f>
        <v/>
      </c>
      <c r="F73" s="181">
        <f>INDEX(Calc!$K:$K, (ROW(E72)-1)*5 + COLUMN(E72) + 1 )</f>
        <v/>
      </c>
      <c r="G73" s="182">
        <f>Закуп!O73</f>
        <v/>
      </c>
      <c r="H73" s="182">
        <f>Закуп!Q73</f>
        <v/>
      </c>
      <c r="I73" s="182">
        <f>Закуп!X73</f>
        <v/>
      </c>
      <c r="J73" s="182">
        <f>Закуп!Y73</f>
        <v/>
      </c>
      <c r="K73" s="182">
        <f>Закуп!Z73</f>
        <v/>
      </c>
      <c r="L73" s="182">
        <f>Закуп!AA73</f>
        <v/>
      </c>
      <c r="M73" s="182">
        <f>Закуп!V73</f>
        <v/>
      </c>
      <c r="N73" s="182">
        <f>Закуп!W73</f>
        <v/>
      </c>
      <c r="O73" s="183">
        <f>IF(OR(Закуп!L73="",Закуп!L73=0),"",Закуп!L73)</f>
        <v/>
      </c>
      <c r="P73" s="182">
        <f>Закуп!K73</f>
        <v/>
      </c>
      <c r="Q73" s="217">
        <f>IF(Закуп!D73="","",IF(LEFT(Закуп!D73,1)="0","0",Закуп!D73))</f>
        <v/>
      </c>
      <c r="R73" s="184">
        <f>Закуп!C73</f>
        <v/>
      </c>
    </row>
    <row r="74">
      <c r="A74" s="177">
        <f>Закуп!E74</f>
        <v/>
      </c>
      <c r="B74" s="178">
        <f>INDEX(Calc!$K:$K, (ROW(A73)-1)*5 + COLUMN(A73) + 1 )</f>
        <v/>
      </c>
      <c r="C74" s="178">
        <f>INDEX(Calc!$K:$K, (ROW(B73)-1)*5 + COLUMN(B73) + 1 )</f>
        <v/>
      </c>
      <c r="D74" s="179">
        <f>INDEX(Calc!$K:$K, (ROW(C73)-1)*5 + COLUMN(C73) + 1 )</f>
        <v/>
      </c>
      <c r="E74" s="180">
        <f>INDEX(Calc!$K:$K, (ROW(D73)-1)*5 + COLUMN(D73) + 1 )</f>
        <v/>
      </c>
      <c r="F74" s="181">
        <f>INDEX(Calc!$K:$K, (ROW(E73)-1)*5 + COLUMN(E73) + 1 )</f>
        <v/>
      </c>
      <c r="G74" s="182">
        <f>Закуп!O74</f>
        <v/>
      </c>
      <c r="H74" s="182">
        <f>Закуп!Q74</f>
        <v/>
      </c>
      <c r="I74" s="182">
        <f>Закуп!X74</f>
        <v/>
      </c>
      <c r="J74" s="182">
        <f>Закуп!Y74</f>
        <v/>
      </c>
      <c r="K74" s="182">
        <f>Закуп!Z74</f>
        <v/>
      </c>
      <c r="L74" s="182">
        <f>Закуп!AA74</f>
        <v/>
      </c>
      <c r="M74" s="182">
        <f>Закуп!V74</f>
        <v/>
      </c>
      <c r="N74" s="182">
        <f>Закуп!W74</f>
        <v/>
      </c>
      <c r="O74" s="183">
        <f>IF(OR(Закуп!L74="",Закуп!L74=0),"",Закуп!L74)</f>
        <v/>
      </c>
      <c r="P74" s="182">
        <f>Закуп!K74</f>
        <v/>
      </c>
      <c r="Q74" s="217">
        <f>IF(Закуп!D74="","",IF(LEFT(Закуп!D74,1)="0","0",Закуп!D74))</f>
        <v/>
      </c>
      <c r="R74" s="184">
        <f>Закуп!C74</f>
        <v/>
      </c>
    </row>
    <row r="75">
      <c r="A75" s="177">
        <f>Закуп!E75</f>
        <v/>
      </c>
      <c r="B75" s="178">
        <f>INDEX(Calc!$K:$K, (ROW(A74)-1)*5 + COLUMN(A74) + 1 )</f>
        <v/>
      </c>
      <c r="C75" s="178">
        <f>INDEX(Calc!$K:$K, (ROW(B74)-1)*5 + COLUMN(B74) + 1 )</f>
        <v/>
      </c>
      <c r="D75" s="179">
        <f>INDEX(Calc!$K:$K, (ROW(C74)-1)*5 + COLUMN(C74) + 1 )</f>
        <v/>
      </c>
      <c r="E75" s="180">
        <f>INDEX(Calc!$K:$K, (ROW(D74)-1)*5 + COLUMN(D74) + 1 )</f>
        <v/>
      </c>
      <c r="F75" s="181">
        <f>INDEX(Calc!$K:$K, (ROW(E74)-1)*5 + COLUMN(E74) + 1 )</f>
        <v/>
      </c>
      <c r="G75" s="182">
        <f>Закуп!O75</f>
        <v/>
      </c>
      <c r="H75" s="182">
        <f>Закуп!Q75</f>
        <v/>
      </c>
      <c r="I75" s="182">
        <f>Закуп!X75</f>
        <v/>
      </c>
      <c r="J75" s="182">
        <f>Закуп!Y75</f>
        <v/>
      </c>
      <c r="K75" s="182">
        <f>Закуп!Z75</f>
        <v/>
      </c>
      <c r="L75" s="182">
        <f>Закуп!AA75</f>
        <v/>
      </c>
      <c r="M75" s="182">
        <f>Закуп!V75</f>
        <v/>
      </c>
      <c r="N75" s="182">
        <f>Закуп!W75</f>
        <v/>
      </c>
      <c r="O75" s="183">
        <f>IF(OR(Закуп!L75="",Закуп!L75=0),"",Закуп!L75)</f>
        <v/>
      </c>
      <c r="P75" s="182">
        <f>Закуп!K75</f>
        <v/>
      </c>
      <c r="Q75" s="217">
        <f>IF(Закуп!D75="","",IF(LEFT(Закуп!D75,1)="0","0",Закуп!D75))</f>
        <v/>
      </c>
      <c r="R75" s="184">
        <f>Закуп!C75</f>
        <v/>
      </c>
    </row>
    <row r="76">
      <c r="A76" s="177">
        <f>Закуп!E76</f>
        <v/>
      </c>
      <c r="B76" s="178">
        <f>INDEX(Calc!$K:$K, (ROW(A75)-1)*5 + COLUMN(A75) + 1 )</f>
        <v/>
      </c>
      <c r="C76" s="178">
        <f>INDEX(Calc!$K:$K, (ROW(B75)-1)*5 + COLUMN(B75) + 1 )</f>
        <v/>
      </c>
      <c r="D76" s="179">
        <f>INDEX(Calc!$K:$K, (ROW(C75)-1)*5 + COLUMN(C75) + 1 )</f>
        <v/>
      </c>
      <c r="E76" s="180">
        <f>INDEX(Calc!$K:$K, (ROW(D75)-1)*5 + COLUMN(D75) + 1 )</f>
        <v/>
      </c>
      <c r="F76" s="181">
        <f>INDEX(Calc!$K:$K, (ROW(E75)-1)*5 + COLUMN(E75) + 1 )</f>
        <v/>
      </c>
      <c r="G76" s="182">
        <f>Закуп!O76</f>
        <v/>
      </c>
      <c r="H76" s="182">
        <f>Закуп!Q76</f>
        <v/>
      </c>
      <c r="I76" s="182">
        <f>Закуп!X76</f>
        <v/>
      </c>
      <c r="J76" s="182">
        <f>Закуп!Y76</f>
        <v/>
      </c>
      <c r="K76" s="182">
        <f>Закуп!Z76</f>
        <v/>
      </c>
      <c r="L76" s="182">
        <f>Закуп!AA76</f>
        <v/>
      </c>
      <c r="M76" s="182">
        <f>Закуп!V76</f>
        <v/>
      </c>
      <c r="N76" s="182">
        <f>Закуп!W76</f>
        <v/>
      </c>
      <c r="O76" s="183">
        <f>IF(OR(Закуп!L76="",Закуп!L76=0),"",Закуп!L76)</f>
        <v/>
      </c>
      <c r="P76" s="182">
        <f>Закуп!K76</f>
        <v/>
      </c>
      <c r="Q76" s="217">
        <f>IF(Закуп!D76="","",IF(LEFT(Закуп!D76,1)="0","0",Закуп!D76))</f>
        <v/>
      </c>
      <c r="R76" s="184">
        <f>Закуп!C76</f>
        <v/>
      </c>
    </row>
    <row r="77">
      <c r="A77" s="177">
        <f>Закуп!E77</f>
        <v/>
      </c>
      <c r="B77" s="178">
        <f>INDEX(Calc!$K:$K, (ROW(A76)-1)*5 + COLUMN(A76) + 1 )</f>
        <v/>
      </c>
      <c r="C77" s="178">
        <f>INDEX(Calc!$K:$K, (ROW(B76)-1)*5 + COLUMN(B76) + 1 )</f>
        <v/>
      </c>
      <c r="D77" s="179">
        <f>INDEX(Calc!$K:$K, (ROW(C76)-1)*5 + COLUMN(C76) + 1 )</f>
        <v/>
      </c>
      <c r="E77" s="180">
        <f>INDEX(Calc!$K:$K, (ROW(D76)-1)*5 + COLUMN(D76) + 1 )</f>
        <v/>
      </c>
      <c r="F77" s="181">
        <f>INDEX(Calc!$K:$K, (ROW(E76)-1)*5 + COLUMN(E76) + 1 )</f>
        <v/>
      </c>
      <c r="G77" s="182">
        <f>Закуп!O77</f>
        <v/>
      </c>
      <c r="H77" s="182">
        <f>Закуп!Q77</f>
        <v/>
      </c>
      <c r="I77" s="182">
        <f>Закуп!X77</f>
        <v/>
      </c>
      <c r="J77" s="182">
        <f>Закуп!Y77</f>
        <v/>
      </c>
      <c r="K77" s="182">
        <f>Закуп!Z77</f>
        <v/>
      </c>
      <c r="L77" s="182">
        <f>Закуп!AA77</f>
        <v/>
      </c>
      <c r="M77" s="182">
        <f>Закуп!V77</f>
        <v/>
      </c>
      <c r="N77" s="182">
        <f>Закуп!W77</f>
        <v/>
      </c>
      <c r="O77" s="183">
        <f>IF(OR(Закуп!L77="",Закуп!L77=0),"",Закуп!L77)</f>
        <v/>
      </c>
      <c r="P77" s="182">
        <f>Закуп!K77</f>
        <v/>
      </c>
      <c r="Q77" s="217">
        <f>IF(Закуп!D77="","",IF(LEFT(Закуп!D77,1)="0","0",Закуп!D77))</f>
        <v/>
      </c>
      <c r="R77" s="184">
        <f>Закуп!C77</f>
        <v/>
      </c>
    </row>
    <row r="78">
      <c r="A78" s="177">
        <f>Закуп!E78</f>
        <v/>
      </c>
      <c r="B78" s="178">
        <f>INDEX(Calc!$K:$K, (ROW(A77)-1)*5 + COLUMN(A77) + 1 )</f>
        <v/>
      </c>
      <c r="C78" s="178">
        <f>INDEX(Calc!$K:$K, (ROW(B77)-1)*5 + COLUMN(B77) + 1 )</f>
        <v/>
      </c>
      <c r="D78" s="179">
        <f>INDEX(Calc!$K:$K, (ROW(C77)-1)*5 + COLUMN(C77) + 1 )</f>
        <v/>
      </c>
      <c r="E78" s="180">
        <f>INDEX(Calc!$K:$K, (ROW(D77)-1)*5 + COLUMN(D77) + 1 )</f>
        <v/>
      </c>
      <c r="F78" s="181">
        <f>INDEX(Calc!$K:$K, (ROW(E77)-1)*5 + COLUMN(E77) + 1 )</f>
        <v/>
      </c>
      <c r="G78" s="182">
        <f>Закуп!O78</f>
        <v/>
      </c>
      <c r="H78" s="182">
        <f>Закуп!Q78</f>
        <v/>
      </c>
      <c r="I78" s="182">
        <f>Закуп!X78</f>
        <v/>
      </c>
      <c r="J78" s="182">
        <f>Закуп!Y78</f>
        <v/>
      </c>
      <c r="K78" s="182">
        <f>Закуп!Z78</f>
        <v/>
      </c>
      <c r="L78" s="182">
        <f>Закуп!AA78</f>
        <v/>
      </c>
      <c r="M78" s="182">
        <f>Закуп!V78</f>
        <v/>
      </c>
      <c r="N78" s="182">
        <f>Закуп!W78</f>
        <v/>
      </c>
      <c r="O78" s="183">
        <f>IF(OR(Закуп!L78="",Закуп!L78=0),"",Закуп!L78)</f>
        <v/>
      </c>
      <c r="P78" s="182">
        <f>Закуп!K78</f>
        <v/>
      </c>
      <c r="Q78" s="217">
        <f>IF(Закуп!D78="","",IF(LEFT(Закуп!D78,1)="0","0",Закуп!D78))</f>
        <v/>
      </c>
      <c r="R78" s="184">
        <f>Закуп!C78</f>
        <v/>
      </c>
    </row>
    <row r="79">
      <c r="A79" s="177">
        <f>Закуп!E79</f>
        <v/>
      </c>
      <c r="B79" s="178">
        <f>INDEX(Calc!$K:$K, (ROW(A78)-1)*5 + COLUMN(A78) + 1 )</f>
        <v/>
      </c>
      <c r="C79" s="178">
        <f>INDEX(Calc!$K:$K, (ROW(B78)-1)*5 + COLUMN(B78) + 1 )</f>
        <v/>
      </c>
      <c r="D79" s="179">
        <f>INDEX(Calc!$K:$K, (ROW(C78)-1)*5 + COLUMN(C78) + 1 )</f>
        <v/>
      </c>
      <c r="E79" s="180">
        <f>INDEX(Calc!$K:$K, (ROW(D78)-1)*5 + COLUMN(D78) + 1 )</f>
        <v/>
      </c>
      <c r="F79" s="181">
        <f>INDEX(Calc!$K:$K, (ROW(E78)-1)*5 + COLUMN(E78) + 1 )</f>
        <v/>
      </c>
      <c r="G79" s="182">
        <f>Закуп!O79</f>
        <v/>
      </c>
      <c r="H79" s="182">
        <f>Закуп!Q79</f>
        <v/>
      </c>
      <c r="I79" s="182">
        <f>Закуп!X79</f>
        <v/>
      </c>
      <c r="J79" s="182">
        <f>Закуп!Y79</f>
        <v/>
      </c>
      <c r="K79" s="182">
        <f>Закуп!Z79</f>
        <v/>
      </c>
      <c r="L79" s="182">
        <f>Закуп!AA79</f>
        <v/>
      </c>
      <c r="M79" s="182">
        <f>Закуп!V79</f>
        <v/>
      </c>
      <c r="N79" s="182">
        <f>Закуп!W79</f>
        <v/>
      </c>
      <c r="O79" s="183">
        <f>IF(OR(Закуп!L79="",Закуп!L79=0),"",Закуп!L79)</f>
        <v/>
      </c>
      <c r="P79" s="182">
        <f>Закуп!K79</f>
        <v/>
      </c>
      <c r="Q79" s="217">
        <f>IF(Закуп!D79="","",IF(LEFT(Закуп!D79,1)="0","0",Закуп!D79))</f>
        <v/>
      </c>
      <c r="R79" s="184">
        <f>Закуп!C79</f>
        <v/>
      </c>
    </row>
    <row r="80">
      <c r="A80" s="177">
        <f>Закуп!E80</f>
        <v/>
      </c>
      <c r="B80" s="178">
        <f>INDEX(Calc!$K:$K, (ROW(A79)-1)*5 + COLUMN(A79) + 1 )</f>
        <v/>
      </c>
      <c r="C80" s="178">
        <f>INDEX(Calc!$K:$K, (ROW(B79)-1)*5 + COLUMN(B79) + 1 )</f>
        <v/>
      </c>
      <c r="D80" s="179">
        <f>INDEX(Calc!$K:$K, (ROW(C79)-1)*5 + COLUMN(C79) + 1 )</f>
        <v/>
      </c>
      <c r="E80" s="180">
        <f>INDEX(Calc!$K:$K, (ROW(D79)-1)*5 + COLUMN(D79) + 1 )</f>
        <v/>
      </c>
      <c r="F80" s="181">
        <f>INDEX(Calc!$K:$K, (ROW(E79)-1)*5 + COLUMN(E79) + 1 )</f>
        <v/>
      </c>
      <c r="G80" s="182">
        <f>Закуп!O80</f>
        <v/>
      </c>
      <c r="H80" s="182">
        <f>Закуп!Q80</f>
        <v/>
      </c>
      <c r="I80" s="182">
        <f>Закуп!X80</f>
        <v/>
      </c>
      <c r="J80" s="182">
        <f>Закуп!Y80</f>
        <v/>
      </c>
      <c r="K80" s="182">
        <f>Закуп!Z80</f>
        <v/>
      </c>
      <c r="L80" s="182">
        <f>Закуп!AA80</f>
        <v/>
      </c>
      <c r="M80" s="182">
        <f>Закуп!V80</f>
        <v/>
      </c>
      <c r="N80" s="182">
        <f>Закуп!W80</f>
        <v/>
      </c>
      <c r="O80" s="183">
        <f>IF(OR(Закуп!L80="",Закуп!L80=0),"",Закуп!L80)</f>
        <v/>
      </c>
      <c r="P80" s="182">
        <f>Закуп!K80</f>
        <v/>
      </c>
      <c r="Q80" s="217">
        <f>IF(Закуп!D80="","",IF(LEFT(Закуп!D80,1)="0","0",Закуп!D80))</f>
        <v/>
      </c>
      <c r="R80" s="184">
        <f>Закуп!C80</f>
        <v/>
      </c>
    </row>
    <row r="81">
      <c r="A81" s="177">
        <f>Закуп!E81</f>
        <v/>
      </c>
      <c r="B81" s="178">
        <f>INDEX(Calc!$K:$K, (ROW(A80)-1)*5 + COLUMN(A80) + 1 )</f>
        <v/>
      </c>
      <c r="C81" s="178">
        <f>INDEX(Calc!$K:$K, (ROW(B80)-1)*5 + COLUMN(B80) + 1 )</f>
        <v/>
      </c>
      <c r="D81" s="179">
        <f>INDEX(Calc!$K:$K, (ROW(C80)-1)*5 + COLUMN(C80) + 1 )</f>
        <v/>
      </c>
      <c r="E81" s="180">
        <f>INDEX(Calc!$K:$K, (ROW(D80)-1)*5 + COLUMN(D80) + 1 )</f>
        <v/>
      </c>
      <c r="F81" s="181">
        <f>INDEX(Calc!$K:$K, (ROW(E80)-1)*5 + COLUMN(E80) + 1 )</f>
        <v/>
      </c>
      <c r="G81" s="182">
        <f>Закуп!O81</f>
        <v/>
      </c>
      <c r="H81" s="182">
        <f>Закуп!Q81</f>
        <v/>
      </c>
      <c r="I81" s="182">
        <f>Закуп!X81</f>
        <v/>
      </c>
      <c r="J81" s="182">
        <f>Закуп!Y81</f>
        <v/>
      </c>
      <c r="K81" s="182">
        <f>Закуп!Z81</f>
        <v/>
      </c>
      <c r="L81" s="182">
        <f>Закуп!AA81</f>
        <v/>
      </c>
      <c r="M81" s="182">
        <f>Закуп!V81</f>
        <v/>
      </c>
      <c r="N81" s="182">
        <f>Закуп!W81</f>
        <v/>
      </c>
      <c r="O81" s="183">
        <f>IF(OR(Закуп!L81="",Закуп!L81=0),"",Закуп!L81)</f>
        <v/>
      </c>
      <c r="P81" s="182">
        <f>Закуп!K81</f>
        <v/>
      </c>
      <c r="Q81" s="217">
        <f>IF(Закуп!D81="","",IF(LEFT(Закуп!D81,1)="0","0",Закуп!D81))</f>
        <v/>
      </c>
      <c r="R81" s="184">
        <f>Закуп!C81</f>
        <v/>
      </c>
    </row>
    <row r="82">
      <c r="A82" s="177">
        <f>Закуп!E82</f>
        <v/>
      </c>
      <c r="B82" s="178">
        <f>INDEX(Calc!$K:$K, (ROW(A81)-1)*5 + COLUMN(A81) + 1 )</f>
        <v/>
      </c>
      <c r="C82" s="178">
        <f>INDEX(Calc!$K:$K, (ROW(B81)-1)*5 + COLUMN(B81) + 1 )</f>
        <v/>
      </c>
      <c r="D82" s="179">
        <f>INDEX(Calc!$K:$K, (ROW(C81)-1)*5 + COLUMN(C81) + 1 )</f>
        <v/>
      </c>
      <c r="E82" s="180">
        <f>INDEX(Calc!$K:$K, (ROW(D81)-1)*5 + COLUMN(D81) + 1 )</f>
        <v/>
      </c>
      <c r="F82" s="181">
        <f>INDEX(Calc!$K:$K, (ROW(E81)-1)*5 + COLUMN(E81) + 1 )</f>
        <v/>
      </c>
      <c r="G82" s="182">
        <f>Закуп!O82</f>
        <v/>
      </c>
      <c r="H82" s="182">
        <f>Закуп!Q82</f>
        <v/>
      </c>
      <c r="I82" s="182">
        <f>Закуп!X82</f>
        <v/>
      </c>
      <c r="J82" s="182">
        <f>Закуп!Y82</f>
        <v/>
      </c>
      <c r="K82" s="182">
        <f>Закуп!Z82</f>
        <v/>
      </c>
      <c r="L82" s="182">
        <f>Закуп!AA82</f>
        <v/>
      </c>
      <c r="M82" s="182">
        <f>Закуп!V82</f>
        <v/>
      </c>
      <c r="N82" s="182">
        <f>Закуп!W82</f>
        <v/>
      </c>
      <c r="O82" s="183">
        <f>IF(OR(Закуп!L82="",Закуп!L82=0),"",Закуп!L82)</f>
        <v/>
      </c>
      <c r="P82" s="182">
        <f>Закуп!K82</f>
        <v/>
      </c>
      <c r="Q82" s="217">
        <f>IF(Закуп!D82="","",IF(LEFT(Закуп!D82,1)="0","0",Закуп!D82))</f>
        <v/>
      </c>
      <c r="R82" s="184">
        <f>Закуп!C82</f>
        <v/>
      </c>
    </row>
    <row r="83">
      <c r="A83" s="177">
        <f>Закуп!E83</f>
        <v/>
      </c>
      <c r="B83" s="178">
        <f>INDEX(Calc!$K:$K, (ROW(A82)-1)*5 + COLUMN(A82) + 1 )</f>
        <v/>
      </c>
      <c r="C83" s="178">
        <f>INDEX(Calc!$K:$K, (ROW(B82)-1)*5 + COLUMN(B82) + 1 )</f>
        <v/>
      </c>
      <c r="D83" s="179">
        <f>INDEX(Calc!$K:$K, (ROW(C82)-1)*5 + COLUMN(C82) + 1 )</f>
        <v/>
      </c>
      <c r="E83" s="180">
        <f>INDEX(Calc!$K:$K, (ROW(D82)-1)*5 + COLUMN(D82) + 1 )</f>
        <v/>
      </c>
      <c r="F83" s="181">
        <f>INDEX(Calc!$K:$K, (ROW(E82)-1)*5 + COLUMN(E82) + 1 )</f>
        <v/>
      </c>
      <c r="G83" s="182">
        <f>Закуп!O83</f>
        <v/>
      </c>
      <c r="H83" s="182">
        <f>Закуп!Q83</f>
        <v/>
      </c>
      <c r="I83" s="182">
        <f>Закуп!X83</f>
        <v/>
      </c>
      <c r="J83" s="182">
        <f>Закуп!Y83</f>
        <v/>
      </c>
      <c r="K83" s="182">
        <f>Закуп!Z83</f>
        <v/>
      </c>
      <c r="L83" s="182">
        <f>Закуп!AA83</f>
        <v/>
      </c>
      <c r="M83" s="182">
        <f>Закуп!V83</f>
        <v/>
      </c>
      <c r="N83" s="182">
        <f>Закуп!W83</f>
        <v/>
      </c>
      <c r="O83" s="183">
        <f>IF(OR(Закуп!L83="",Закуп!L83=0),"",Закуп!L83)</f>
        <v/>
      </c>
      <c r="P83" s="182">
        <f>Закуп!K83</f>
        <v/>
      </c>
      <c r="Q83" s="217">
        <f>IF(Закуп!D83="","",IF(LEFT(Закуп!D83,1)="0","0",Закуп!D83))</f>
        <v/>
      </c>
      <c r="R83" s="184">
        <f>Закуп!C83</f>
        <v/>
      </c>
    </row>
    <row r="84">
      <c r="A84" s="177">
        <f>Закуп!E84</f>
        <v/>
      </c>
      <c r="B84" s="178">
        <f>INDEX(Calc!$K:$K, (ROW(A83)-1)*5 + COLUMN(A83) + 1 )</f>
        <v/>
      </c>
      <c r="C84" s="178">
        <f>INDEX(Calc!$K:$K, (ROW(B83)-1)*5 + COLUMN(B83) + 1 )</f>
        <v/>
      </c>
      <c r="D84" s="179">
        <f>INDEX(Calc!$K:$K, (ROW(C83)-1)*5 + COLUMN(C83) + 1 )</f>
        <v/>
      </c>
      <c r="E84" s="180">
        <f>INDEX(Calc!$K:$K, (ROW(D83)-1)*5 + COLUMN(D83) + 1 )</f>
        <v/>
      </c>
      <c r="F84" s="181">
        <f>INDEX(Calc!$K:$K, (ROW(E83)-1)*5 + COLUMN(E83) + 1 )</f>
        <v/>
      </c>
      <c r="G84" s="182">
        <f>Закуп!O84</f>
        <v/>
      </c>
      <c r="H84" s="182">
        <f>Закуп!Q84</f>
        <v/>
      </c>
      <c r="I84" s="182">
        <f>Закуп!X84</f>
        <v/>
      </c>
      <c r="J84" s="182">
        <f>Закуп!Y84</f>
        <v/>
      </c>
      <c r="K84" s="182">
        <f>Закуп!Z84</f>
        <v/>
      </c>
      <c r="L84" s="182">
        <f>Закуп!AA84</f>
        <v/>
      </c>
      <c r="M84" s="182">
        <f>Закуп!V84</f>
        <v/>
      </c>
      <c r="N84" s="182">
        <f>Закуп!W84</f>
        <v/>
      </c>
      <c r="O84" s="183">
        <f>IF(OR(Закуп!L84="",Закуп!L84=0),"",Закуп!L84)</f>
        <v/>
      </c>
      <c r="P84" s="182">
        <f>Закуп!K84</f>
        <v/>
      </c>
      <c r="Q84" s="217">
        <f>IF(Закуп!D84="","",IF(LEFT(Закуп!D84,1)="0","0",Закуп!D84))</f>
        <v/>
      </c>
      <c r="R84" s="184">
        <f>Закуп!C84</f>
        <v/>
      </c>
    </row>
    <row r="85">
      <c r="A85" s="177">
        <f>Закуп!E85</f>
        <v/>
      </c>
      <c r="B85" s="178">
        <f>INDEX(Calc!$K:$K, (ROW(A84)-1)*5 + COLUMN(A84) + 1 )</f>
        <v/>
      </c>
      <c r="C85" s="178">
        <f>INDEX(Calc!$K:$K, (ROW(B84)-1)*5 + COLUMN(B84) + 1 )</f>
        <v/>
      </c>
      <c r="D85" s="179">
        <f>INDEX(Calc!$K:$K, (ROW(C84)-1)*5 + COLUMN(C84) + 1 )</f>
        <v/>
      </c>
      <c r="E85" s="180">
        <f>INDEX(Calc!$K:$K, (ROW(D84)-1)*5 + COLUMN(D84) + 1 )</f>
        <v/>
      </c>
      <c r="F85" s="181">
        <f>INDEX(Calc!$K:$K, (ROW(E84)-1)*5 + COLUMN(E84) + 1 )</f>
        <v/>
      </c>
      <c r="G85" s="182">
        <f>Закуп!O85</f>
        <v/>
      </c>
      <c r="H85" s="182">
        <f>Закуп!Q85</f>
        <v/>
      </c>
      <c r="I85" s="182">
        <f>Закуп!X85</f>
        <v/>
      </c>
      <c r="J85" s="182">
        <f>Закуп!Y85</f>
        <v/>
      </c>
      <c r="K85" s="182">
        <f>Закуп!Z85</f>
        <v/>
      </c>
      <c r="L85" s="182">
        <f>Закуп!AA85</f>
        <v/>
      </c>
      <c r="M85" s="182">
        <f>Закуп!V85</f>
        <v/>
      </c>
      <c r="N85" s="182">
        <f>Закуп!W85</f>
        <v/>
      </c>
      <c r="O85" s="183">
        <f>IF(OR(Закуп!L85="",Закуп!L85=0),"",Закуп!L85)</f>
        <v/>
      </c>
      <c r="P85" s="182">
        <f>Закуп!K85</f>
        <v/>
      </c>
      <c r="Q85" s="217">
        <f>IF(Закуп!D85="","",IF(LEFT(Закуп!D85,1)="0","0",Закуп!D85))</f>
        <v/>
      </c>
      <c r="R85" s="184">
        <f>Закуп!C85</f>
        <v/>
      </c>
    </row>
    <row r="86">
      <c r="A86" s="177">
        <f>Закуп!E86</f>
        <v/>
      </c>
      <c r="B86" s="178">
        <f>INDEX(Calc!$K:$K, (ROW(A85)-1)*5 + COLUMN(A85) + 1 )</f>
        <v/>
      </c>
      <c r="C86" s="178">
        <f>INDEX(Calc!$K:$K, (ROW(B85)-1)*5 + COLUMN(B85) + 1 )</f>
        <v/>
      </c>
      <c r="D86" s="179">
        <f>INDEX(Calc!$K:$K, (ROW(C85)-1)*5 + COLUMN(C85) + 1 )</f>
        <v/>
      </c>
      <c r="E86" s="180">
        <f>INDEX(Calc!$K:$K, (ROW(D85)-1)*5 + COLUMN(D85) + 1 )</f>
        <v/>
      </c>
      <c r="F86" s="181">
        <f>INDEX(Calc!$K:$K, (ROW(E85)-1)*5 + COLUMN(E85) + 1 )</f>
        <v/>
      </c>
      <c r="G86" s="182">
        <f>Закуп!O86</f>
        <v/>
      </c>
      <c r="H86" s="182">
        <f>Закуп!Q86</f>
        <v/>
      </c>
      <c r="I86" s="182">
        <f>Закуп!X86</f>
        <v/>
      </c>
      <c r="J86" s="182">
        <f>Закуп!Y86</f>
        <v/>
      </c>
      <c r="K86" s="182">
        <f>Закуп!Z86</f>
        <v/>
      </c>
      <c r="L86" s="182">
        <f>Закуп!AA86</f>
        <v/>
      </c>
      <c r="M86" s="182">
        <f>Закуп!V86</f>
        <v/>
      </c>
      <c r="N86" s="182">
        <f>Закуп!W86</f>
        <v/>
      </c>
      <c r="O86" s="183">
        <f>IF(OR(Закуп!L86="",Закуп!L86=0),"",Закуп!L86)</f>
        <v/>
      </c>
      <c r="P86" s="182">
        <f>Закуп!K86</f>
        <v/>
      </c>
      <c r="Q86" s="217">
        <f>IF(Закуп!D86="","",IF(LEFT(Закуп!D86,1)="0","0",Закуп!D86))</f>
        <v/>
      </c>
      <c r="R86" s="184">
        <f>Закуп!C86</f>
        <v/>
      </c>
    </row>
    <row r="87">
      <c r="A87" s="177">
        <f>Закуп!E87</f>
        <v/>
      </c>
      <c r="B87" s="178">
        <f>INDEX(Calc!$K:$K, (ROW(A86)-1)*5 + COLUMN(A86) + 1 )</f>
        <v/>
      </c>
      <c r="C87" s="178">
        <f>INDEX(Calc!$K:$K, (ROW(B86)-1)*5 + COLUMN(B86) + 1 )</f>
        <v/>
      </c>
      <c r="D87" s="179">
        <f>INDEX(Calc!$K:$K, (ROW(C86)-1)*5 + COLUMN(C86) + 1 )</f>
        <v/>
      </c>
      <c r="E87" s="180">
        <f>INDEX(Calc!$K:$K, (ROW(D86)-1)*5 + COLUMN(D86) + 1 )</f>
        <v/>
      </c>
      <c r="F87" s="181">
        <f>INDEX(Calc!$K:$K, (ROW(E86)-1)*5 + COLUMN(E86) + 1 )</f>
        <v/>
      </c>
      <c r="G87" s="182">
        <f>Закуп!O87</f>
        <v/>
      </c>
      <c r="H87" s="182">
        <f>Закуп!Q87</f>
        <v/>
      </c>
      <c r="I87" s="182">
        <f>Закуп!X87</f>
        <v/>
      </c>
      <c r="J87" s="182">
        <f>Закуп!Y87</f>
        <v/>
      </c>
      <c r="K87" s="182">
        <f>Закуп!Z87</f>
        <v/>
      </c>
      <c r="L87" s="182">
        <f>Закуп!AA87</f>
        <v/>
      </c>
      <c r="M87" s="182">
        <f>Закуп!V87</f>
        <v/>
      </c>
      <c r="N87" s="182">
        <f>Закуп!W87</f>
        <v/>
      </c>
      <c r="O87" s="183">
        <f>IF(OR(Закуп!L87="",Закуп!L87=0),"",Закуп!L87)</f>
        <v/>
      </c>
      <c r="P87" s="182">
        <f>Закуп!K87</f>
        <v/>
      </c>
      <c r="Q87" s="217">
        <f>IF(Закуп!D87="","",IF(LEFT(Закуп!D87,1)="0","0",Закуп!D87))</f>
        <v/>
      </c>
      <c r="R87" s="184">
        <f>Закуп!C87</f>
        <v/>
      </c>
    </row>
    <row r="88">
      <c r="A88" s="177">
        <f>Закуп!E88</f>
        <v/>
      </c>
      <c r="B88" s="178">
        <f>INDEX(Calc!$K:$K, (ROW(A87)-1)*5 + COLUMN(A87) + 1 )</f>
        <v/>
      </c>
      <c r="C88" s="178">
        <f>INDEX(Calc!$K:$K, (ROW(B87)-1)*5 + COLUMN(B87) + 1 )</f>
        <v/>
      </c>
      <c r="D88" s="179">
        <f>INDEX(Calc!$K:$K, (ROW(C87)-1)*5 + COLUMN(C87) + 1 )</f>
        <v/>
      </c>
      <c r="E88" s="180">
        <f>INDEX(Calc!$K:$K, (ROW(D87)-1)*5 + COLUMN(D87) + 1 )</f>
        <v/>
      </c>
      <c r="F88" s="181">
        <f>INDEX(Calc!$K:$K, (ROW(E87)-1)*5 + COLUMN(E87) + 1 )</f>
        <v/>
      </c>
      <c r="G88" s="182">
        <f>Закуп!O88</f>
        <v/>
      </c>
      <c r="H88" s="182">
        <f>Закуп!Q88</f>
        <v/>
      </c>
      <c r="I88" s="182">
        <f>Закуп!X88</f>
        <v/>
      </c>
      <c r="J88" s="182">
        <f>Закуп!Y88</f>
        <v/>
      </c>
      <c r="K88" s="182">
        <f>Закуп!Z88</f>
        <v/>
      </c>
      <c r="L88" s="182">
        <f>Закуп!AA88</f>
        <v/>
      </c>
      <c r="M88" s="182">
        <f>Закуп!V88</f>
        <v/>
      </c>
      <c r="N88" s="182">
        <f>Закуп!W88</f>
        <v/>
      </c>
      <c r="O88" s="183">
        <f>IF(OR(Закуп!L88="",Закуп!L88=0),"",Закуп!L88)</f>
        <v/>
      </c>
      <c r="P88" s="182">
        <f>Закуп!K88</f>
        <v/>
      </c>
      <c r="Q88" s="217">
        <f>IF(Закуп!D88="","",IF(LEFT(Закуп!D88,1)="0","0",Закуп!D88))</f>
        <v/>
      </c>
      <c r="R88" s="184">
        <f>Закуп!C88</f>
        <v/>
      </c>
    </row>
    <row r="89">
      <c r="A89" s="177">
        <f>Закуп!E89</f>
        <v/>
      </c>
      <c r="B89" s="178">
        <f>INDEX(Calc!$K:$K, (ROW(A88)-1)*5 + COLUMN(A88) + 1 )</f>
        <v/>
      </c>
      <c r="C89" s="178">
        <f>INDEX(Calc!$K:$K, (ROW(B88)-1)*5 + COLUMN(B88) + 1 )</f>
        <v/>
      </c>
      <c r="D89" s="179">
        <f>INDEX(Calc!$K:$K, (ROW(C88)-1)*5 + COLUMN(C88) + 1 )</f>
        <v/>
      </c>
      <c r="E89" s="180">
        <f>INDEX(Calc!$K:$K, (ROW(D88)-1)*5 + COLUMN(D88) + 1 )</f>
        <v/>
      </c>
      <c r="F89" s="181">
        <f>INDEX(Calc!$K:$K, (ROW(E88)-1)*5 + COLUMN(E88) + 1 )</f>
        <v/>
      </c>
      <c r="G89" s="182">
        <f>Закуп!O89</f>
        <v/>
      </c>
      <c r="H89" s="182">
        <f>Закуп!Q89</f>
        <v/>
      </c>
      <c r="I89" s="182">
        <f>Закуп!X89</f>
        <v/>
      </c>
      <c r="J89" s="182">
        <f>Закуп!Y89</f>
        <v/>
      </c>
      <c r="K89" s="182">
        <f>Закуп!Z89</f>
        <v/>
      </c>
      <c r="L89" s="182">
        <f>Закуп!AA89</f>
        <v/>
      </c>
      <c r="M89" s="182">
        <f>Закуп!V89</f>
        <v/>
      </c>
      <c r="N89" s="182">
        <f>Закуп!W89</f>
        <v/>
      </c>
      <c r="O89" s="183">
        <f>IF(OR(Закуп!L89="",Закуп!L89=0),"",Закуп!L89)</f>
        <v/>
      </c>
      <c r="P89" s="182">
        <f>Закуп!K89</f>
        <v/>
      </c>
      <c r="Q89" s="217">
        <f>IF(Закуп!D89="","",IF(LEFT(Закуп!D89,1)="0","0",Закуп!D89))</f>
        <v/>
      </c>
      <c r="R89" s="184">
        <f>Закуп!C89</f>
        <v/>
      </c>
    </row>
    <row r="90">
      <c r="A90" s="177">
        <f>Закуп!E90</f>
        <v/>
      </c>
      <c r="B90" s="178">
        <f>INDEX(Calc!$K:$K, (ROW(A89)-1)*5 + COLUMN(A89) + 1 )</f>
        <v/>
      </c>
      <c r="C90" s="178">
        <f>INDEX(Calc!$K:$K, (ROW(B89)-1)*5 + COLUMN(B89) + 1 )</f>
        <v/>
      </c>
      <c r="D90" s="179">
        <f>INDEX(Calc!$K:$K, (ROW(C89)-1)*5 + COLUMN(C89) + 1 )</f>
        <v/>
      </c>
      <c r="E90" s="180">
        <f>INDEX(Calc!$K:$K, (ROW(D89)-1)*5 + COLUMN(D89) + 1 )</f>
        <v/>
      </c>
      <c r="F90" s="181">
        <f>INDEX(Calc!$K:$K, (ROW(E89)-1)*5 + COLUMN(E89) + 1 )</f>
        <v/>
      </c>
      <c r="G90" s="182">
        <f>Закуп!O90</f>
        <v/>
      </c>
      <c r="H90" s="182">
        <f>Закуп!Q90</f>
        <v/>
      </c>
      <c r="I90" s="182">
        <f>Закуп!X90</f>
        <v/>
      </c>
      <c r="J90" s="182">
        <f>Закуп!Y90</f>
        <v/>
      </c>
      <c r="K90" s="182">
        <f>Закуп!Z90</f>
        <v/>
      </c>
      <c r="L90" s="182">
        <f>Закуп!AA90</f>
        <v/>
      </c>
      <c r="M90" s="182">
        <f>Закуп!V90</f>
        <v/>
      </c>
      <c r="N90" s="182">
        <f>Закуп!W90</f>
        <v/>
      </c>
      <c r="O90" s="183">
        <f>IF(OR(Закуп!L90="",Закуп!L90=0),"",Закуп!L90)</f>
        <v/>
      </c>
      <c r="P90" s="182">
        <f>Закуп!K90</f>
        <v/>
      </c>
      <c r="Q90" s="217">
        <f>IF(Закуп!D90="","",IF(LEFT(Закуп!D90,1)="0","0",Закуп!D90))</f>
        <v/>
      </c>
      <c r="R90" s="184">
        <f>Закуп!C90</f>
        <v/>
      </c>
    </row>
    <row r="91">
      <c r="A91" s="177">
        <f>Закуп!E91</f>
        <v/>
      </c>
      <c r="B91" s="178">
        <f>INDEX(Calc!$K:$K, (ROW(A90)-1)*5 + COLUMN(A90) + 1 )</f>
        <v/>
      </c>
      <c r="C91" s="178">
        <f>INDEX(Calc!$K:$K, (ROW(B90)-1)*5 + COLUMN(B90) + 1 )</f>
        <v/>
      </c>
      <c r="D91" s="179">
        <f>INDEX(Calc!$K:$K, (ROW(C90)-1)*5 + COLUMN(C90) + 1 )</f>
        <v/>
      </c>
      <c r="E91" s="180">
        <f>INDEX(Calc!$K:$K, (ROW(D90)-1)*5 + COLUMN(D90) + 1 )</f>
        <v/>
      </c>
      <c r="F91" s="181">
        <f>INDEX(Calc!$K:$K, (ROW(E90)-1)*5 + COLUMN(E90) + 1 )</f>
        <v/>
      </c>
      <c r="G91" s="182">
        <f>Закуп!O91</f>
        <v/>
      </c>
      <c r="H91" s="182">
        <f>Закуп!Q91</f>
        <v/>
      </c>
      <c r="I91" s="182">
        <f>Закуп!X91</f>
        <v/>
      </c>
      <c r="J91" s="182">
        <f>Закуп!Y91</f>
        <v/>
      </c>
      <c r="K91" s="182">
        <f>Закуп!Z91</f>
        <v/>
      </c>
      <c r="L91" s="182">
        <f>Закуп!AA91</f>
        <v/>
      </c>
      <c r="M91" s="182">
        <f>Закуп!V91</f>
        <v/>
      </c>
      <c r="N91" s="182">
        <f>Закуп!W91</f>
        <v/>
      </c>
      <c r="O91" s="183">
        <f>IF(OR(Закуп!L91="",Закуп!L91=0),"",Закуп!L91)</f>
        <v/>
      </c>
      <c r="P91" s="182">
        <f>Закуп!K91</f>
        <v/>
      </c>
      <c r="Q91" s="217">
        <f>IF(Закуп!D91="","",IF(LEFT(Закуп!D91,1)="0","0",Закуп!D91))</f>
        <v/>
      </c>
      <c r="R91" s="184">
        <f>Закуп!C91</f>
        <v/>
      </c>
    </row>
    <row r="92">
      <c r="A92" s="177">
        <f>Закуп!E92</f>
        <v/>
      </c>
      <c r="B92" s="178">
        <f>INDEX(Calc!$K:$K, (ROW(A91)-1)*5 + COLUMN(A91) + 1 )</f>
        <v/>
      </c>
      <c r="C92" s="178">
        <f>INDEX(Calc!$K:$K, (ROW(B91)-1)*5 + COLUMN(B91) + 1 )</f>
        <v/>
      </c>
      <c r="D92" s="179">
        <f>INDEX(Calc!$K:$K, (ROW(C91)-1)*5 + COLUMN(C91) + 1 )</f>
        <v/>
      </c>
      <c r="E92" s="180">
        <f>INDEX(Calc!$K:$K, (ROW(D91)-1)*5 + COLUMN(D91) + 1 )</f>
        <v/>
      </c>
      <c r="F92" s="181">
        <f>INDEX(Calc!$K:$K, (ROW(E91)-1)*5 + COLUMN(E91) + 1 )</f>
        <v/>
      </c>
      <c r="G92" s="182">
        <f>Закуп!O92</f>
        <v/>
      </c>
      <c r="H92" s="182">
        <f>Закуп!Q92</f>
        <v/>
      </c>
      <c r="I92" s="182">
        <f>Закуп!X92</f>
        <v/>
      </c>
      <c r="J92" s="182">
        <f>Закуп!Y92</f>
        <v/>
      </c>
      <c r="K92" s="182">
        <f>Закуп!Z92</f>
        <v/>
      </c>
      <c r="L92" s="182">
        <f>Закуп!AA92</f>
        <v/>
      </c>
      <c r="M92" s="182">
        <f>Закуп!V92</f>
        <v/>
      </c>
      <c r="N92" s="182">
        <f>Закуп!W92</f>
        <v/>
      </c>
      <c r="O92" s="183">
        <f>IF(OR(Закуп!L92="",Закуп!L92=0),"",Закуп!L92)</f>
        <v/>
      </c>
      <c r="P92" s="182">
        <f>Закуп!K92</f>
        <v/>
      </c>
      <c r="Q92" s="217">
        <f>IF(Закуп!D92="","",IF(LEFT(Закуп!D92,1)="0","0",Закуп!D92))</f>
        <v/>
      </c>
      <c r="R92" s="184">
        <f>Закуп!C92</f>
        <v/>
      </c>
    </row>
    <row r="93">
      <c r="A93" s="177">
        <f>Закуп!E93</f>
        <v/>
      </c>
      <c r="B93" s="178">
        <f>INDEX(Calc!$K:$K, (ROW(A92)-1)*5 + COLUMN(A92) + 1 )</f>
        <v/>
      </c>
      <c r="C93" s="178">
        <f>INDEX(Calc!$K:$K, (ROW(B92)-1)*5 + COLUMN(B92) + 1 )</f>
        <v/>
      </c>
      <c r="D93" s="179">
        <f>INDEX(Calc!$K:$K, (ROW(C92)-1)*5 + COLUMN(C92) + 1 )</f>
        <v/>
      </c>
      <c r="E93" s="180">
        <f>INDEX(Calc!$K:$K, (ROW(D92)-1)*5 + COLUMN(D92) + 1 )</f>
        <v/>
      </c>
      <c r="F93" s="181">
        <f>INDEX(Calc!$K:$K, (ROW(E92)-1)*5 + COLUMN(E92) + 1 )</f>
        <v/>
      </c>
      <c r="G93" s="182">
        <f>Закуп!O93</f>
        <v/>
      </c>
      <c r="H93" s="182">
        <f>Закуп!Q93</f>
        <v/>
      </c>
      <c r="I93" s="182">
        <f>Закуп!X93</f>
        <v/>
      </c>
      <c r="J93" s="182">
        <f>Закуп!Y93</f>
        <v/>
      </c>
      <c r="K93" s="182">
        <f>Закуп!Z93</f>
        <v/>
      </c>
      <c r="L93" s="182">
        <f>Закуп!AA93</f>
        <v/>
      </c>
      <c r="M93" s="182">
        <f>Закуп!V93</f>
        <v/>
      </c>
      <c r="N93" s="182">
        <f>Закуп!W93</f>
        <v/>
      </c>
      <c r="O93" s="183">
        <f>IF(OR(Закуп!L93="",Закуп!L93=0),"",Закуп!L93)</f>
        <v/>
      </c>
      <c r="P93" s="182">
        <f>Закуп!K93</f>
        <v/>
      </c>
      <c r="Q93" s="217">
        <f>IF(Закуп!D93="","",IF(LEFT(Закуп!D93,1)="0","0",Закуп!D93))</f>
        <v/>
      </c>
      <c r="R93" s="184">
        <f>Закуп!C93</f>
        <v/>
      </c>
    </row>
    <row r="94">
      <c r="A94" s="177">
        <f>Закуп!E94</f>
        <v/>
      </c>
      <c r="B94" s="178">
        <f>INDEX(Calc!$K:$K, (ROW(A93)-1)*5 + COLUMN(A93) + 1 )</f>
        <v/>
      </c>
      <c r="C94" s="178">
        <f>INDEX(Calc!$K:$K, (ROW(B93)-1)*5 + COLUMN(B93) + 1 )</f>
        <v/>
      </c>
      <c r="D94" s="179">
        <f>INDEX(Calc!$K:$K, (ROW(C93)-1)*5 + COLUMN(C93) + 1 )</f>
        <v/>
      </c>
      <c r="E94" s="180">
        <f>INDEX(Calc!$K:$K, (ROW(D93)-1)*5 + COLUMN(D93) + 1 )</f>
        <v/>
      </c>
      <c r="F94" s="181">
        <f>INDEX(Calc!$K:$K, (ROW(E93)-1)*5 + COLUMN(E93) + 1 )</f>
        <v/>
      </c>
      <c r="G94" s="182">
        <f>Закуп!O94</f>
        <v/>
      </c>
      <c r="H94" s="182">
        <f>Закуп!Q94</f>
        <v/>
      </c>
      <c r="I94" s="182">
        <f>Закуп!X94</f>
        <v/>
      </c>
      <c r="J94" s="182">
        <f>Закуп!Y94</f>
        <v/>
      </c>
      <c r="K94" s="182">
        <f>Закуп!Z94</f>
        <v/>
      </c>
      <c r="L94" s="182">
        <f>Закуп!AA94</f>
        <v/>
      </c>
      <c r="M94" s="182">
        <f>Закуп!V94</f>
        <v/>
      </c>
      <c r="N94" s="182">
        <f>Закуп!W94</f>
        <v/>
      </c>
      <c r="O94" s="183">
        <f>IF(OR(Закуп!L94="",Закуп!L94=0),"",Закуп!L94)</f>
        <v/>
      </c>
      <c r="P94" s="182">
        <f>Закуп!K94</f>
        <v/>
      </c>
      <c r="Q94" s="217">
        <f>IF(Закуп!D94="","",IF(LEFT(Закуп!D94,1)="0","0",Закуп!D94))</f>
        <v/>
      </c>
      <c r="R94" s="184">
        <f>Закуп!C94</f>
        <v/>
      </c>
    </row>
    <row r="95">
      <c r="A95" s="177">
        <f>Закуп!E95</f>
        <v/>
      </c>
      <c r="B95" s="178">
        <f>INDEX(Calc!$K:$K, (ROW(A94)-1)*5 + COLUMN(A94) + 1 )</f>
        <v/>
      </c>
      <c r="C95" s="178">
        <f>INDEX(Calc!$K:$K, (ROW(B94)-1)*5 + COLUMN(B94) + 1 )</f>
        <v/>
      </c>
      <c r="D95" s="179">
        <f>INDEX(Calc!$K:$K, (ROW(C94)-1)*5 + COLUMN(C94) + 1 )</f>
        <v/>
      </c>
      <c r="E95" s="180">
        <f>INDEX(Calc!$K:$K, (ROW(D94)-1)*5 + COLUMN(D94) + 1 )</f>
        <v/>
      </c>
      <c r="F95" s="181">
        <f>INDEX(Calc!$K:$K, (ROW(E94)-1)*5 + COLUMN(E94) + 1 )</f>
        <v/>
      </c>
      <c r="G95" s="182">
        <f>Закуп!O95</f>
        <v/>
      </c>
      <c r="H95" s="182">
        <f>Закуп!Q95</f>
        <v/>
      </c>
      <c r="I95" s="182">
        <f>Закуп!X95</f>
        <v/>
      </c>
      <c r="J95" s="182">
        <f>Закуп!Y95</f>
        <v/>
      </c>
      <c r="K95" s="182">
        <f>Закуп!Z95</f>
        <v/>
      </c>
      <c r="L95" s="182">
        <f>Закуп!AA95</f>
        <v/>
      </c>
      <c r="M95" s="182">
        <f>Закуп!V95</f>
        <v/>
      </c>
      <c r="N95" s="182">
        <f>Закуп!W95</f>
        <v/>
      </c>
      <c r="O95" s="183">
        <f>IF(OR(Закуп!L95="",Закуп!L95=0),"",Закуп!L95)</f>
        <v/>
      </c>
      <c r="P95" s="182">
        <f>Закуп!K95</f>
        <v/>
      </c>
      <c r="Q95" s="217">
        <f>IF(Закуп!D95="","",IF(LEFT(Закуп!D95,1)="0","0",Закуп!D95))</f>
        <v/>
      </c>
      <c r="R95" s="184">
        <f>Закуп!C95</f>
        <v/>
      </c>
    </row>
    <row r="96">
      <c r="A96" s="177">
        <f>Закуп!E96</f>
        <v/>
      </c>
      <c r="B96" s="178">
        <f>INDEX(Calc!$K:$K, (ROW(A95)-1)*5 + COLUMN(A95) + 1 )</f>
        <v/>
      </c>
      <c r="C96" s="178">
        <f>INDEX(Calc!$K:$K, (ROW(B95)-1)*5 + COLUMN(B95) + 1 )</f>
        <v/>
      </c>
      <c r="D96" s="179">
        <f>INDEX(Calc!$K:$K, (ROW(C95)-1)*5 + COLUMN(C95) + 1 )</f>
        <v/>
      </c>
      <c r="E96" s="180">
        <f>INDEX(Calc!$K:$K, (ROW(D95)-1)*5 + COLUMN(D95) + 1 )</f>
        <v/>
      </c>
      <c r="F96" s="181">
        <f>INDEX(Calc!$K:$K, (ROW(E95)-1)*5 + COLUMN(E95) + 1 )</f>
        <v/>
      </c>
      <c r="G96" s="182">
        <f>Закуп!O96</f>
        <v/>
      </c>
      <c r="H96" s="182">
        <f>Закуп!Q96</f>
        <v/>
      </c>
      <c r="I96" s="182">
        <f>Закуп!X96</f>
        <v/>
      </c>
      <c r="J96" s="182">
        <f>Закуп!Y96</f>
        <v/>
      </c>
      <c r="K96" s="182">
        <f>Закуп!Z96</f>
        <v/>
      </c>
      <c r="L96" s="182">
        <f>Закуп!AA96</f>
        <v/>
      </c>
      <c r="M96" s="182">
        <f>Закуп!V96</f>
        <v/>
      </c>
      <c r="N96" s="182">
        <f>Закуп!W96</f>
        <v/>
      </c>
      <c r="O96" s="183">
        <f>IF(OR(Закуп!L96="",Закуп!L96=0),"",Закуп!L96)</f>
        <v/>
      </c>
      <c r="P96" s="182">
        <f>Закуп!K96</f>
        <v/>
      </c>
      <c r="Q96" s="217">
        <f>IF(Закуп!D96="","",IF(LEFT(Закуп!D96,1)="0","0",Закуп!D96))</f>
        <v/>
      </c>
      <c r="R96" s="184">
        <f>Закуп!C96</f>
        <v/>
      </c>
    </row>
    <row r="97">
      <c r="A97" s="177">
        <f>Закуп!E97</f>
        <v/>
      </c>
      <c r="B97" s="178">
        <f>INDEX(Calc!$K:$K, (ROW(A96)-1)*5 + COLUMN(A96) + 1 )</f>
        <v/>
      </c>
      <c r="C97" s="178">
        <f>INDEX(Calc!$K:$K, (ROW(B96)-1)*5 + COLUMN(B96) + 1 )</f>
        <v/>
      </c>
      <c r="D97" s="179">
        <f>INDEX(Calc!$K:$K, (ROW(C96)-1)*5 + COLUMN(C96) + 1 )</f>
        <v/>
      </c>
      <c r="E97" s="180">
        <f>INDEX(Calc!$K:$K, (ROW(D96)-1)*5 + COLUMN(D96) + 1 )</f>
        <v/>
      </c>
      <c r="F97" s="181">
        <f>INDEX(Calc!$K:$K, (ROW(E96)-1)*5 + COLUMN(E96) + 1 )</f>
        <v/>
      </c>
      <c r="G97" s="182">
        <f>Закуп!O97</f>
        <v/>
      </c>
      <c r="H97" s="182">
        <f>Закуп!Q97</f>
        <v/>
      </c>
      <c r="I97" s="182">
        <f>Закуп!X97</f>
        <v/>
      </c>
      <c r="J97" s="182">
        <f>Закуп!Y97</f>
        <v/>
      </c>
      <c r="K97" s="182">
        <f>Закуп!Z97</f>
        <v/>
      </c>
      <c r="L97" s="182">
        <f>Закуп!AA97</f>
        <v/>
      </c>
      <c r="M97" s="182">
        <f>Закуп!V97</f>
        <v/>
      </c>
      <c r="N97" s="182">
        <f>Закуп!W97</f>
        <v/>
      </c>
      <c r="O97" s="183">
        <f>IF(OR(Закуп!L97="",Закуп!L97=0),"",Закуп!L97)</f>
        <v/>
      </c>
      <c r="P97" s="182">
        <f>Закуп!K97</f>
        <v/>
      </c>
      <c r="Q97" s="217">
        <f>IF(Закуп!D97="","",IF(LEFT(Закуп!D97,1)="0","0",Закуп!D97))</f>
        <v/>
      </c>
      <c r="R97" s="184">
        <f>Закуп!C97</f>
        <v/>
      </c>
    </row>
    <row r="98">
      <c r="A98" s="177">
        <f>Закуп!E98</f>
        <v/>
      </c>
      <c r="B98" s="178">
        <f>INDEX(Calc!$K:$K, (ROW(A97)-1)*5 + COLUMN(A97) + 1 )</f>
        <v/>
      </c>
      <c r="C98" s="178">
        <f>INDEX(Calc!$K:$K, (ROW(B97)-1)*5 + COLUMN(B97) + 1 )</f>
        <v/>
      </c>
      <c r="D98" s="179">
        <f>INDEX(Calc!$K:$K, (ROW(C97)-1)*5 + COLUMN(C97) + 1 )</f>
        <v/>
      </c>
      <c r="E98" s="180">
        <f>INDEX(Calc!$K:$K, (ROW(D97)-1)*5 + COLUMN(D97) + 1 )</f>
        <v/>
      </c>
      <c r="F98" s="181">
        <f>INDEX(Calc!$K:$K, (ROW(E97)-1)*5 + COLUMN(E97) + 1 )</f>
        <v/>
      </c>
      <c r="G98" s="182">
        <f>Закуп!O98</f>
        <v/>
      </c>
      <c r="H98" s="182">
        <f>Закуп!Q98</f>
        <v/>
      </c>
      <c r="I98" s="182">
        <f>Закуп!X98</f>
        <v/>
      </c>
      <c r="J98" s="182">
        <f>Закуп!Y98</f>
        <v/>
      </c>
      <c r="K98" s="182">
        <f>Закуп!Z98</f>
        <v/>
      </c>
      <c r="L98" s="182">
        <f>Закуп!AA98</f>
        <v/>
      </c>
      <c r="M98" s="182">
        <f>Закуп!V98</f>
        <v/>
      </c>
      <c r="N98" s="182">
        <f>Закуп!W98</f>
        <v/>
      </c>
      <c r="O98" s="183">
        <f>IF(OR(Закуп!L98="",Закуп!L98=0),"",Закуп!L98)</f>
        <v/>
      </c>
      <c r="P98" s="182">
        <f>Закуп!K98</f>
        <v/>
      </c>
      <c r="Q98" s="217">
        <f>IF(Закуп!D98="","",IF(LEFT(Закуп!D98,1)="0","0",Закуп!D98))</f>
        <v/>
      </c>
      <c r="R98" s="184">
        <f>Закуп!C98</f>
        <v/>
      </c>
    </row>
    <row r="99">
      <c r="A99" s="177">
        <f>Закуп!E99</f>
        <v/>
      </c>
      <c r="B99" s="178">
        <f>INDEX(Calc!$K:$K, (ROW(A98)-1)*5 + COLUMN(A98) + 1 )</f>
        <v/>
      </c>
      <c r="C99" s="178">
        <f>INDEX(Calc!$K:$K, (ROW(B98)-1)*5 + COLUMN(B98) + 1 )</f>
        <v/>
      </c>
      <c r="D99" s="179">
        <f>INDEX(Calc!$K:$K, (ROW(C98)-1)*5 + COLUMN(C98) + 1 )</f>
        <v/>
      </c>
      <c r="E99" s="180">
        <f>INDEX(Calc!$K:$K, (ROW(D98)-1)*5 + COLUMN(D98) + 1 )</f>
        <v/>
      </c>
      <c r="F99" s="181">
        <f>INDEX(Calc!$K:$K, (ROW(E98)-1)*5 + COLUMN(E98) + 1 )</f>
        <v/>
      </c>
      <c r="G99" s="182">
        <f>Закуп!O99</f>
        <v/>
      </c>
      <c r="H99" s="182">
        <f>Закуп!Q99</f>
        <v/>
      </c>
      <c r="I99" s="182">
        <f>Закуп!X99</f>
        <v/>
      </c>
      <c r="J99" s="182">
        <f>Закуп!Y99</f>
        <v/>
      </c>
      <c r="K99" s="182">
        <f>Закуп!Z99</f>
        <v/>
      </c>
      <c r="L99" s="182">
        <f>Закуп!AA99</f>
        <v/>
      </c>
      <c r="M99" s="182">
        <f>Закуп!V99</f>
        <v/>
      </c>
      <c r="N99" s="182">
        <f>Закуп!W99</f>
        <v/>
      </c>
      <c r="O99" s="183">
        <f>IF(OR(Закуп!L99="",Закуп!L99=0),"",Закуп!L99)</f>
        <v/>
      </c>
      <c r="P99" s="182">
        <f>Закуп!K99</f>
        <v/>
      </c>
      <c r="Q99" s="217">
        <f>IF(Закуп!D99="","",IF(LEFT(Закуп!D99,1)="0","0",Закуп!D99))</f>
        <v/>
      </c>
      <c r="R99" s="184">
        <f>Закуп!C99</f>
        <v/>
      </c>
    </row>
    <row r="100">
      <c r="A100" s="177">
        <f>Закуп!E100</f>
        <v/>
      </c>
      <c r="B100" s="178">
        <f>INDEX(Calc!$K:$K, (ROW(A99)-1)*5 + COLUMN(A99) + 1 )</f>
        <v/>
      </c>
      <c r="C100" s="178">
        <f>INDEX(Calc!$K:$K, (ROW(B99)-1)*5 + COLUMN(B99) + 1 )</f>
        <v/>
      </c>
      <c r="D100" s="179">
        <f>INDEX(Calc!$K:$K, (ROW(C99)-1)*5 + COLUMN(C99) + 1 )</f>
        <v/>
      </c>
      <c r="E100" s="180">
        <f>INDEX(Calc!$K:$K, (ROW(D99)-1)*5 + COLUMN(D99) + 1 )</f>
        <v/>
      </c>
      <c r="F100" s="181">
        <f>INDEX(Calc!$K:$K, (ROW(E99)-1)*5 + COLUMN(E99) + 1 )</f>
        <v/>
      </c>
      <c r="G100" s="182">
        <f>Закуп!O100</f>
        <v/>
      </c>
      <c r="H100" s="182">
        <f>Закуп!Q100</f>
        <v/>
      </c>
      <c r="I100" s="182">
        <f>Закуп!X100</f>
        <v/>
      </c>
      <c r="J100" s="182">
        <f>Закуп!Y100</f>
        <v/>
      </c>
      <c r="K100" s="182">
        <f>Закуп!Z100</f>
        <v/>
      </c>
      <c r="L100" s="182">
        <f>Закуп!AA100</f>
        <v/>
      </c>
      <c r="M100" s="182">
        <f>Закуп!V100</f>
        <v/>
      </c>
      <c r="N100" s="182">
        <f>Закуп!W100</f>
        <v/>
      </c>
      <c r="O100" s="183">
        <f>IF(OR(Закуп!L100="",Закуп!L100=0),"",Закуп!L100)</f>
        <v/>
      </c>
      <c r="P100" s="182">
        <f>Закуп!K100</f>
        <v/>
      </c>
      <c r="Q100" s="217">
        <f>IF(Закуп!D100="","",IF(LEFT(Закуп!D100,1)="0","0",Закуп!D100))</f>
        <v/>
      </c>
      <c r="R100" s="184">
        <f>Закуп!C100</f>
        <v/>
      </c>
    </row>
    <row r="101">
      <c r="A101" s="177">
        <f>Закуп!E101</f>
        <v/>
      </c>
      <c r="B101" s="178">
        <f>INDEX(Calc!$K:$K, (ROW(A100)-1)*5 + COLUMN(A100) + 1 )</f>
        <v/>
      </c>
      <c r="C101" s="178">
        <f>INDEX(Calc!$K:$K, (ROW(B100)-1)*5 + COLUMN(B100) + 1 )</f>
        <v/>
      </c>
      <c r="D101" s="179">
        <f>INDEX(Calc!$K:$K, (ROW(C100)-1)*5 + COLUMN(C100) + 1 )</f>
        <v/>
      </c>
      <c r="E101" s="180">
        <f>INDEX(Calc!$K:$K, (ROW(D100)-1)*5 + COLUMN(D100) + 1 )</f>
        <v/>
      </c>
      <c r="F101" s="181">
        <f>INDEX(Calc!$K:$K, (ROW(E100)-1)*5 + COLUMN(E100) + 1 )</f>
        <v/>
      </c>
      <c r="G101" s="182">
        <f>Закуп!O101</f>
        <v/>
      </c>
      <c r="H101" s="182">
        <f>Закуп!Q101</f>
        <v/>
      </c>
      <c r="I101" s="182">
        <f>Закуп!X101</f>
        <v/>
      </c>
      <c r="J101" s="182">
        <f>Закуп!Y101</f>
        <v/>
      </c>
      <c r="K101" s="182">
        <f>Закуп!Z101</f>
        <v/>
      </c>
      <c r="L101" s="182">
        <f>Закуп!AA101</f>
        <v/>
      </c>
      <c r="M101" s="182">
        <f>Закуп!V101</f>
        <v/>
      </c>
      <c r="N101" s="182">
        <f>Закуп!W101</f>
        <v/>
      </c>
      <c r="O101" s="183">
        <f>IF(OR(Закуп!L101="",Закуп!L101=0),"",Закуп!L101)</f>
        <v/>
      </c>
      <c r="P101" s="182">
        <f>Закуп!K101</f>
        <v/>
      </c>
      <c r="Q101" s="217">
        <f>IF(Закуп!D101="","",IF(LEFT(Закуп!D101,1)="0","0",Закуп!D101))</f>
        <v/>
      </c>
      <c r="R101" s="184">
        <f>Закуп!C101</f>
        <v/>
      </c>
    </row>
    <row r="102">
      <c r="A102" s="177">
        <f>Закуп!E102</f>
        <v/>
      </c>
      <c r="B102" s="178">
        <f>INDEX(Calc!$K:$K, (ROW(A101)-1)*5 + COLUMN(A101) + 1 )</f>
        <v/>
      </c>
      <c r="C102" s="178">
        <f>INDEX(Calc!$K:$K, (ROW(B101)-1)*5 + COLUMN(B101) + 1 )</f>
        <v/>
      </c>
      <c r="D102" s="179">
        <f>INDEX(Calc!$K:$K, (ROW(C101)-1)*5 + COLUMN(C101) + 1 )</f>
        <v/>
      </c>
      <c r="E102" s="180">
        <f>INDEX(Calc!$K:$K, (ROW(D101)-1)*5 + COLUMN(D101) + 1 )</f>
        <v/>
      </c>
      <c r="F102" s="181">
        <f>INDEX(Calc!$K:$K, (ROW(E101)-1)*5 + COLUMN(E101) + 1 )</f>
        <v/>
      </c>
      <c r="G102" s="182">
        <f>Закуп!O102</f>
        <v/>
      </c>
      <c r="H102" s="182">
        <f>Закуп!Q102</f>
        <v/>
      </c>
      <c r="I102" s="182">
        <f>Закуп!X102</f>
        <v/>
      </c>
      <c r="J102" s="182">
        <f>Закуп!Y102</f>
        <v/>
      </c>
      <c r="K102" s="182">
        <f>Закуп!Z102</f>
        <v/>
      </c>
      <c r="L102" s="182">
        <f>Закуп!AA102</f>
        <v/>
      </c>
      <c r="M102" s="182">
        <f>Закуп!V102</f>
        <v/>
      </c>
      <c r="N102" s="182">
        <f>Закуп!W102</f>
        <v/>
      </c>
      <c r="O102" s="183">
        <f>IF(OR(Закуп!L102="",Закуп!L102=0),"",Закуп!L102)</f>
        <v/>
      </c>
      <c r="P102" s="182">
        <f>Закуп!K102</f>
        <v/>
      </c>
      <c r="Q102" s="217">
        <f>IF(Закуп!D102="","",IF(LEFT(Закуп!D102,1)="0","0",Закуп!D102))</f>
        <v/>
      </c>
      <c r="R102" s="184">
        <f>Закуп!C102</f>
        <v/>
      </c>
    </row>
    <row r="103">
      <c r="A103" s="177">
        <f>Закуп!E103</f>
        <v/>
      </c>
      <c r="B103" s="178">
        <f>INDEX(Calc!$K:$K, (ROW(A102)-1)*5 + COLUMN(A102) + 1 )</f>
        <v/>
      </c>
      <c r="C103" s="178">
        <f>INDEX(Calc!$K:$K, (ROW(B102)-1)*5 + COLUMN(B102) + 1 )</f>
        <v/>
      </c>
      <c r="D103" s="179">
        <f>INDEX(Calc!$K:$K, (ROW(C102)-1)*5 + COLUMN(C102) + 1 )</f>
        <v/>
      </c>
      <c r="E103" s="180">
        <f>INDEX(Calc!$K:$K, (ROW(D102)-1)*5 + COLUMN(D102) + 1 )</f>
        <v/>
      </c>
      <c r="F103" s="181">
        <f>INDEX(Calc!$K:$K, (ROW(E102)-1)*5 + COLUMN(E102) + 1 )</f>
        <v/>
      </c>
      <c r="G103" s="182">
        <f>Закуп!O103</f>
        <v/>
      </c>
      <c r="H103" s="182">
        <f>Закуп!Q103</f>
        <v/>
      </c>
      <c r="I103" s="182">
        <f>Закуп!X103</f>
        <v/>
      </c>
      <c r="J103" s="182">
        <f>Закуп!Y103</f>
        <v/>
      </c>
      <c r="K103" s="182">
        <f>Закуп!Z103</f>
        <v/>
      </c>
      <c r="L103" s="182">
        <f>Закуп!AA103</f>
        <v/>
      </c>
      <c r="M103" s="182">
        <f>Закуп!V103</f>
        <v/>
      </c>
      <c r="N103" s="182">
        <f>Закуп!W103</f>
        <v/>
      </c>
      <c r="O103" s="183">
        <f>IF(OR(Закуп!L103="",Закуп!L103=0),"",Закуп!L103)</f>
        <v/>
      </c>
      <c r="P103" s="182">
        <f>Закуп!K103</f>
        <v/>
      </c>
      <c r="Q103" s="217">
        <f>IF(Закуп!D103="","",IF(LEFT(Закуп!D103,1)="0","0",Закуп!D103))</f>
        <v/>
      </c>
      <c r="R103" s="184">
        <f>Закуп!C103</f>
        <v/>
      </c>
    </row>
    <row r="104">
      <c r="A104" s="177">
        <f>Закуп!E104</f>
        <v/>
      </c>
      <c r="B104" s="178">
        <f>INDEX(Calc!$K:$K, (ROW(A103)-1)*5 + COLUMN(A103) + 1 )</f>
        <v/>
      </c>
      <c r="C104" s="178">
        <f>INDEX(Calc!$K:$K, (ROW(B103)-1)*5 + COLUMN(B103) + 1 )</f>
        <v/>
      </c>
      <c r="D104" s="179">
        <f>INDEX(Calc!$K:$K, (ROW(C103)-1)*5 + COLUMN(C103) + 1 )</f>
        <v/>
      </c>
      <c r="E104" s="180">
        <f>INDEX(Calc!$K:$K, (ROW(D103)-1)*5 + COLUMN(D103) + 1 )</f>
        <v/>
      </c>
      <c r="F104" s="181">
        <f>INDEX(Calc!$K:$K, (ROW(E103)-1)*5 + COLUMN(E103) + 1 )</f>
        <v/>
      </c>
      <c r="G104" s="182">
        <f>Закуп!O104</f>
        <v/>
      </c>
      <c r="H104" s="182">
        <f>Закуп!Q104</f>
        <v/>
      </c>
      <c r="I104" s="182">
        <f>Закуп!X104</f>
        <v/>
      </c>
      <c r="J104" s="182">
        <f>Закуп!Y104</f>
        <v/>
      </c>
      <c r="K104" s="182">
        <f>Закуп!Z104</f>
        <v/>
      </c>
      <c r="L104" s="182">
        <f>Закуп!AA104</f>
        <v/>
      </c>
      <c r="M104" s="182">
        <f>Закуп!V104</f>
        <v/>
      </c>
      <c r="N104" s="182">
        <f>Закуп!W104</f>
        <v/>
      </c>
      <c r="O104" s="183">
        <f>IF(OR(Закуп!L104="",Закуп!L104=0),"",Закуп!L104)</f>
        <v/>
      </c>
      <c r="P104" s="182">
        <f>Закуп!K104</f>
        <v/>
      </c>
      <c r="Q104" s="217">
        <f>IF(Закуп!D104="","",IF(LEFT(Закуп!D104,1)="0","0",Закуп!D104))</f>
        <v/>
      </c>
      <c r="R104" s="184">
        <f>Закуп!C104</f>
        <v/>
      </c>
    </row>
    <row r="105">
      <c r="A105" s="177">
        <f>Закуп!E105</f>
        <v/>
      </c>
      <c r="B105" s="178">
        <f>INDEX(Calc!$K:$K, (ROW(A104)-1)*5 + COLUMN(A104) + 1 )</f>
        <v/>
      </c>
      <c r="C105" s="178">
        <f>INDEX(Calc!$K:$K, (ROW(B104)-1)*5 + COLUMN(B104) + 1 )</f>
        <v/>
      </c>
      <c r="D105" s="179">
        <f>INDEX(Calc!$K:$K, (ROW(C104)-1)*5 + COLUMN(C104) + 1 )</f>
        <v/>
      </c>
      <c r="E105" s="180">
        <f>INDEX(Calc!$K:$K, (ROW(D104)-1)*5 + COLUMN(D104) + 1 )</f>
        <v/>
      </c>
      <c r="F105" s="181">
        <f>INDEX(Calc!$K:$K, (ROW(E104)-1)*5 + COLUMN(E104) + 1 )</f>
        <v/>
      </c>
      <c r="G105" s="182">
        <f>Закуп!O105</f>
        <v/>
      </c>
      <c r="H105" s="182">
        <f>Закуп!Q105</f>
        <v/>
      </c>
      <c r="I105" s="182">
        <f>Закуп!X105</f>
        <v/>
      </c>
      <c r="J105" s="182">
        <f>Закуп!Y105</f>
        <v/>
      </c>
      <c r="K105" s="182">
        <f>Закуп!Z105</f>
        <v/>
      </c>
      <c r="L105" s="182">
        <f>Закуп!AA105</f>
        <v/>
      </c>
      <c r="M105" s="182">
        <f>Закуп!V105</f>
        <v/>
      </c>
      <c r="N105" s="182">
        <f>Закуп!W105</f>
        <v/>
      </c>
      <c r="O105" s="183">
        <f>IF(OR(Закуп!L105="",Закуп!L105=0),"",Закуп!L105)</f>
        <v/>
      </c>
      <c r="P105" s="182">
        <f>Закуп!K105</f>
        <v/>
      </c>
      <c r="Q105" s="217">
        <f>IF(Закуп!D105="","",IF(LEFT(Закуп!D105,1)="0","0",Закуп!D105))</f>
        <v/>
      </c>
      <c r="R105" s="184">
        <f>Закуп!C105</f>
        <v/>
      </c>
    </row>
    <row r="106">
      <c r="A106" s="177">
        <f>Закуп!E106</f>
        <v/>
      </c>
      <c r="B106" s="178">
        <f>INDEX(Calc!$K:$K, (ROW(A105)-1)*5 + COLUMN(A105) + 1 )</f>
        <v/>
      </c>
      <c r="C106" s="178">
        <f>INDEX(Calc!$K:$K, (ROW(B105)-1)*5 + COLUMN(B105) + 1 )</f>
        <v/>
      </c>
      <c r="D106" s="179">
        <f>INDEX(Calc!$K:$K, (ROW(C105)-1)*5 + COLUMN(C105) + 1 )</f>
        <v/>
      </c>
      <c r="E106" s="180">
        <f>INDEX(Calc!$K:$K, (ROW(D105)-1)*5 + COLUMN(D105) + 1 )</f>
        <v/>
      </c>
      <c r="F106" s="181">
        <f>INDEX(Calc!$K:$K, (ROW(E105)-1)*5 + COLUMN(E105) + 1 )</f>
        <v/>
      </c>
      <c r="G106" s="182">
        <f>Закуп!O106</f>
        <v/>
      </c>
      <c r="H106" s="182">
        <f>Закуп!Q106</f>
        <v/>
      </c>
      <c r="I106" s="182">
        <f>Закуп!X106</f>
        <v/>
      </c>
      <c r="J106" s="182">
        <f>Закуп!Y106</f>
        <v/>
      </c>
      <c r="K106" s="182">
        <f>Закуп!Z106</f>
        <v/>
      </c>
      <c r="L106" s="182">
        <f>Закуп!AA106</f>
        <v/>
      </c>
      <c r="M106" s="182">
        <f>Закуп!V106</f>
        <v/>
      </c>
      <c r="N106" s="182">
        <f>Закуп!W106</f>
        <v/>
      </c>
      <c r="O106" s="183">
        <f>IF(OR(Закуп!L106="",Закуп!L106=0),"",Закуп!L106)</f>
        <v/>
      </c>
      <c r="P106" s="182">
        <f>Закуп!K106</f>
        <v/>
      </c>
      <c r="Q106" s="217">
        <f>IF(Закуп!D106="","",IF(LEFT(Закуп!D106,1)="0","0",Закуп!D106))</f>
        <v/>
      </c>
      <c r="R106" s="184">
        <f>Закуп!C106</f>
        <v/>
      </c>
    </row>
    <row r="107">
      <c r="A107" s="177">
        <f>Закуп!E107</f>
        <v/>
      </c>
      <c r="B107" s="178">
        <f>INDEX(Calc!$K:$K, (ROW(A106)-1)*5 + COLUMN(A106) + 1 )</f>
        <v/>
      </c>
      <c r="C107" s="178">
        <f>INDEX(Calc!$K:$K, (ROW(B106)-1)*5 + COLUMN(B106) + 1 )</f>
        <v/>
      </c>
      <c r="D107" s="179">
        <f>INDEX(Calc!$K:$K, (ROW(C106)-1)*5 + COLUMN(C106) + 1 )</f>
        <v/>
      </c>
      <c r="E107" s="180">
        <f>INDEX(Calc!$K:$K, (ROW(D106)-1)*5 + COLUMN(D106) + 1 )</f>
        <v/>
      </c>
      <c r="F107" s="181">
        <f>INDEX(Calc!$K:$K, (ROW(E106)-1)*5 + COLUMN(E106) + 1 )</f>
        <v/>
      </c>
      <c r="G107" s="182">
        <f>Закуп!O107</f>
        <v/>
      </c>
      <c r="H107" s="182">
        <f>Закуп!Q107</f>
        <v/>
      </c>
      <c r="I107" s="182">
        <f>Закуп!X107</f>
        <v/>
      </c>
      <c r="J107" s="182">
        <f>Закуп!Y107</f>
        <v/>
      </c>
      <c r="K107" s="182">
        <f>Закуп!Z107</f>
        <v/>
      </c>
      <c r="L107" s="182">
        <f>Закуп!AA107</f>
        <v/>
      </c>
      <c r="M107" s="182">
        <f>Закуп!V107</f>
        <v/>
      </c>
      <c r="N107" s="182">
        <f>Закуп!W107</f>
        <v/>
      </c>
      <c r="O107" s="183">
        <f>IF(OR(Закуп!L107="",Закуп!L107=0),"",Закуп!L107)</f>
        <v/>
      </c>
      <c r="P107" s="182">
        <f>Закуп!K107</f>
        <v/>
      </c>
      <c r="Q107" s="217">
        <f>IF(Закуп!D107="","",IF(LEFT(Закуп!D107,1)="0","0",Закуп!D107))</f>
        <v/>
      </c>
      <c r="R107" s="184">
        <f>Закуп!C107</f>
        <v/>
      </c>
    </row>
    <row r="108">
      <c r="A108" s="177">
        <f>Закуп!E108</f>
        <v/>
      </c>
      <c r="B108" s="178">
        <f>INDEX(Calc!$K:$K, (ROW(A107)-1)*5 + COLUMN(A107) + 1 )</f>
        <v/>
      </c>
      <c r="C108" s="178">
        <f>INDEX(Calc!$K:$K, (ROW(B107)-1)*5 + COLUMN(B107) + 1 )</f>
        <v/>
      </c>
      <c r="D108" s="179">
        <f>INDEX(Calc!$K:$K, (ROW(C107)-1)*5 + COLUMN(C107) + 1 )</f>
        <v/>
      </c>
      <c r="E108" s="180">
        <f>INDEX(Calc!$K:$K, (ROW(D107)-1)*5 + COLUMN(D107) + 1 )</f>
        <v/>
      </c>
      <c r="F108" s="181">
        <f>INDEX(Calc!$K:$K, (ROW(E107)-1)*5 + COLUMN(E107) + 1 )</f>
        <v/>
      </c>
      <c r="G108" s="182">
        <f>Закуп!O108</f>
        <v/>
      </c>
      <c r="H108" s="182">
        <f>Закуп!Q108</f>
        <v/>
      </c>
      <c r="I108" s="182">
        <f>Закуп!X108</f>
        <v/>
      </c>
      <c r="J108" s="182">
        <f>Закуп!Y108</f>
        <v/>
      </c>
      <c r="K108" s="182">
        <f>Закуп!Z108</f>
        <v/>
      </c>
      <c r="L108" s="182">
        <f>Закуп!AA108</f>
        <v/>
      </c>
      <c r="M108" s="182">
        <f>Закуп!V108</f>
        <v/>
      </c>
      <c r="N108" s="182">
        <f>Закуп!W108</f>
        <v/>
      </c>
      <c r="O108" s="183">
        <f>IF(OR(Закуп!L108="",Закуп!L108=0),"",Закуп!L108)</f>
        <v/>
      </c>
      <c r="P108" s="182">
        <f>Закуп!K108</f>
        <v/>
      </c>
      <c r="Q108" s="217">
        <f>IF(Закуп!D108="","",IF(LEFT(Закуп!D108,1)="0","0",Закуп!D108))</f>
        <v/>
      </c>
      <c r="R108" s="184">
        <f>Закуп!C108</f>
        <v/>
      </c>
    </row>
    <row r="109">
      <c r="A109" s="177">
        <f>Закуп!E109</f>
        <v/>
      </c>
      <c r="B109" s="178">
        <f>INDEX(Calc!$K:$K, (ROW(A108)-1)*5 + COLUMN(A108) + 1 )</f>
        <v/>
      </c>
      <c r="C109" s="178">
        <f>INDEX(Calc!$K:$K, (ROW(B108)-1)*5 + COLUMN(B108) + 1 )</f>
        <v/>
      </c>
      <c r="D109" s="179">
        <f>INDEX(Calc!$K:$K, (ROW(C108)-1)*5 + COLUMN(C108) + 1 )</f>
        <v/>
      </c>
      <c r="E109" s="180">
        <f>INDEX(Calc!$K:$K, (ROW(D108)-1)*5 + COLUMN(D108) + 1 )</f>
        <v/>
      </c>
      <c r="F109" s="181">
        <f>INDEX(Calc!$K:$K, (ROW(E108)-1)*5 + COLUMN(E108) + 1 )</f>
        <v/>
      </c>
      <c r="G109" s="182">
        <f>Закуп!O109</f>
        <v/>
      </c>
      <c r="H109" s="182">
        <f>Закуп!Q109</f>
        <v/>
      </c>
      <c r="I109" s="182">
        <f>Закуп!X109</f>
        <v/>
      </c>
      <c r="J109" s="182">
        <f>Закуп!Y109</f>
        <v/>
      </c>
      <c r="K109" s="182">
        <f>Закуп!Z109</f>
        <v/>
      </c>
      <c r="L109" s="182">
        <f>Закуп!AA109</f>
        <v/>
      </c>
      <c r="M109" s="182">
        <f>Закуп!V109</f>
        <v/>
      </c>
      <c r="N109" s="182">
        <f>Закуп!W109</f>
        <v/>
      </c>
      <c r="O109" s="183">
        <f>IF(OR(Закуп!L109="",Закуп!L109=0),"",Закуп!L109)</f>
        <v/>
      </c>
      <c r="P109" s="182">
        <f>Закуп!K109</f>
        <v/>
      </c>
      <c r="Q109" s="217">
        <f>IF(Закуп!D109="","",IF(LEFT(Закуп!D109,1)="0","0",Закуп!D109))</f>
        <v/>
      </c>
      <c r="R109" s="184">
        <f>Закуп!C109</f>
        <v/>
      </c>
    </row>
    <row r="110">
      <c r="A110" s="177">
        <f>Закуп!E110</f>
        <v/>
      </c>
      <c r="B110" s="178">
        <f>INDEX(Calc!$K:$K, (ROW(A109)-1)*5 + COLUMN(A109) + 1 )</f>
        <v/>
      </c>
      <c r="C110" s="178">
        <f>INDEX(Calc!$K:$K, (ROW(B109)-1)*5 + COLUMN(B109) + 1 )</f>
        <v/>
      </c>
      <c r="D110" s="179">
        <f>INDEX(Calc!$K:$K, (ROW(C109)-1)*5 + COLUMN(C109) + 1 )</f>
        <v/>
      </c>
      <c r="E110" s="180">
        <f>INDEX(Calc!$K:$K, (ROW(D109)-1)*5 + COLUMN(D109) + 1 )</f>
        <v/>
      </c>
      <c r="F110" s="181">
        <f>INDEX(Calc!$K:$K, (ROW(E109)-1)*5 + COLUMN(E109) + 1 )</f>
        <v/>
      </c>
      <c r="G110" s="182">
        <f>Закуп!O110</f>
        <v/>
      </c>
      <c r="H110" s="182">
        <f>Закуп!Q110</f>
        <v/>
      </c>
      <c r="I110" s="182">
        <f>Закуп!X110</f>
        <v/>
      </c>
      <c r="J110" s="182">
        <f>Закуп!Y110</f>
        <v/>
      </c>
      <c r="K110" s="182">
        <f>Закуп!Z110</f>
        <v/>
      </c>
      <c r="L110" s="182">
        <f>Закуп!AA110</f>
        <v/>
      </c>
      <c r="M110" s="182">
        <f>Закуп!V110</f>
        <v/>
      </c>
      <c r="N110" s="182">
        <f>Закуп!W110</f>
        <v/>
      </c>
      <c r="O110" s="183">
        <f>IF(OR(Закуп!L110="",Закуп!L110=0),"",Закуп!L110)</f>
        <v/>
      </c>
      <c r="P110" s="182">
        <f>Закуп!K110</f>
        <v/>
      </c>
      <c r="Q110" s="217">
        <f>IF(Закуп!D110="","",IF(LEFT(Закуп!D110,1)="0","0",Закуп!D110))</f>
        <v/>
      </c>
      <c r="R110" s="184">
        <f>Закуп!C110</f>
        <v/>
      </c>
    </row>
    <row r="111">
      <c r="A111" s="177">
        <f>Закуп!E111</f>
        <v/>
      </c>
      <c r="B111" s="178">
        <f>INDEX(Calc!$K:$K, (ROW(A110)-1)*5 + COLUMN(A110) + 1 )</f>
        <v/>
      </c>
      <c r="C111" s="178">
        <f>INDEX(Calc!$K:$K, (ROW(B110)-1)*5 + COLUMN(B110) + 1 )</f>
        <v/>
      </c>
      <c r="D111" s="179">
        <f>INDEX(Calc!$K:$K, (ROW(C110)-1)*5 + COLUMN(C110) + 1 )</f>
        <v/>
      </c>
      <c r="E111" s="180">
        <f>INDEX(Calc!$K:$K, (ROW(D110)-1)*5 + COLUMN(D110) + 1 )</f>
        <v/>
      </c>
      <c r="F111" s="181">
        <f>INDEX(Calc!$K:$K, (ROW(E110)-1)*5 + COLUMN(E110) + 1 )</f>
        <v/>
      </c>
      <c r="G111" s="182">
        <f>Закуп!O111</f>
        <v/>
      </c>
      <c r="H111" s="182">
        <f>Закуп!Q111</f>
        <v/>
      </c>
      <c r="I111" s="182">
        <f>Закуп!X111</f>
        <v/>
      </c>
      <c r="J111" s="182">
        <f>Закуп!Y111</f>
        <v/>
      </c>
      <c r="K111" s="182">
        <f>Закуп!Z111</f>
        <v/>
      </c>
      <c r="L111" s="182">
        <f>Закуп!AA111</f>
        <v/>
      </c>
      <c r="M111" s="182">
        <f>Закуп!V111</f>
        <v/>
      </c>
      <c r="N111" s="182">
        <f>Закуп!W111</f>
        <v/>
      </c>
      <c r="O111" s="183">
        <f>IF(OR(Закуп!L111="",Закуп!L111=0),"",Закуп!L111)</f>
        <v/>
      </c>
      <c r="P111" s="182">
        <f>Закуп!K111</f>
        <v/>
      </c>
      <c r="Q111" s="217">
        <f>IF(Закуп!D111="","",IF(LEFT(Закуп!D111,1)="0","0",Закуп!D111))</f>
        <v/>
      </c>
      <c r="R111" s="184">
        <f>Закуп!C111</f>
        <v/>
      </c>
    </row>
    <row r="112">
      <c r="A112" s="177">
        <f>Закуп!E112</f>
        <v/>
      </c>
      <c r="B112" s="178">
        <f>INDEX(Calc!$K:$K, (ROW(A111)-1)*5 + COLUMN(A111) + 1 )</f>
        <v/>
      </c>
      <c r="C112" s="178">
        <f>INDEX(Calc!$K:$K, (ROW(B111)-1)*5 + COLUMN(B111) + 1 )</f>
        <v/>
      </c>
      <c r="D112" s="179">
        <f>INDEX(Calc!$K:$K, (ROW(C111)-1)*5 + COLUMN(C111) + 1 )</f>
        <v/>
      </c>
      <c r="E112" s="180">
        <f>INDEX(Calc!$K:$K, (ROW(D111)-1)*5 + COLUMN(D111) + 1 )</f>
        <v/>
      </c>
      <c r="F112" s="181">
        <f>INDEX(Calc!$K:$K, (ROW(E111)-1)*5 + COLUMN(E111) + 1 )</f>
        <v/>
      </c>
      <c r="G112" s="182">
        <f>Закуп!O112</f>
        <v/>
      </c>
      <c r="H112" s="182">
        <f>Закуп!Q112</f>
        <v/>
      </c>
      <c r="I112" s="182">
        <f>Закуп!X112</f>
        <v/>
      </c>
      <c r="J112" s="182">
        <f>Закуп!Y112</f>
        <v/>
      </c>
      <c r="K112" s="182">
        <f>Закуп!Z112</f>
        <v/>
      </c>
      <c r="L112" s="182">
        <f>Закуп!AA112</f>
        <v/>
      </c>
      <c r="M112" s="182">
        <f>Закуп!V112</f>
        <v/>
      </c>
      <c r="N112" s="182">
        <f>Закуп!W112</f>
        <v/>
      </c>
      <c r="O112" s="183">
        <f>IF(OR(Закуп!L112="",Закуп!L112=0),"",Закуп!L112)</f>
        <v/>
      </c>
      <c r="P112" s="182">
        <f>Закуп!K112</f>
        <v/>
      </c>
      <c r="Q112" s="217">
        <f>IF(Закуп!D112="","",IF(LEFT(Закуп!D112,1)="0","0",Закуп!D112))</f>
        <v/>
      </c>
      <c r="R112" s="184">
        <f>Закуп!C112</f>
        <v/>
      </c>
    </row>
    <row r="113">
      <c r="A113" s="177">
        <f>Закуп!E113</f>
        <v/>
      </c>
      <c r="B113" s="178">
        <f>INDEX(Calc!$K:$K, (ROW(A112)-1)*5 + COLUMN(A112) + 1 )</f>
        <v/>
      </c>
      <c r="C113" s="178">
        <f>INDEX(Calc!$K:$K, (ROW(B112)-1)*5 + COLUMN(B112) + 1 )</f>
        <v/>
      </c>
      <c r="D113" s="179">
        <f>INDEX(Calc!$K:$K, (ROW(C112)-1)*5 + COLUMN(C112) + 1 )</f>
        <v/>
      </c>
      <c r="E113" s="180">
        <f>INDEX(Calc!$K:$K, (ROW(D112)-1)*5 + COLUMN(D112) + 1 )</f>
        <v/>
      </c>
      <c r="F113" s="181">
        <f>INDEX(Calc!$K:$K, (ROW(E112)-1)*5 + COLUMN(E112) + 1 )</f>
        <v/>
      </c>
      <c r="G113" s="182">
        <f>Закуп!O113</f>
        <v/>
      </c>
      <c r="H113" s="182">
        <f>Закуп!Q113</f>
        <v/>
      </c>
      <c r="I113" s="182">
        <f>Закуп!X113</f>
        <v/>
      </c>
      <c r="J113" s="182">
        <f>Закуп!Y113</f>
        <v/>
      </c>
      <c r="K113" s="182">
        <f>Закуп!Z113</f>
        <v/>
      </c>
      <c r="L113" s="182">
        <f>Закуп!AA113</f>
        <v/>
      </c>
      <c r="M113" s="182">
        <f>Закуп!V113</f>
        <v/>
      </c>
      <c r="N113" s="182">
        <f>Закуп!W113</f>
        <v/>
      </c>
      <c r="O113" s="183">
        <f>IF(OR(Закуп!L113="",Закуп!L113=0),"",Закуп!L113)</f>
        <v/>
      </c>
      <c r="P113" s="182">
        <f>Закуп!K113</f>
        <v/>
      </c>
      <c r="Q113" s="217">
        <f>IF(Закуп!D113="","",IF(LEFT(Закуп!D113,1)="0","0",Закуп!D113))</f>
        <v/>
      </c>
      <c r="R113" s="184">
        <f>Закуп!C113</f>
        <v/>
      </c>
    </row>
    <row r="114">
      <c r="A114" s="177">
        <f>Закуп!E114</f>
        <v/>
      </c>
      <c r="B114" s="178">
        <f>INDEX(Calc!$K:$K, (ROW(A113)-1)*5 + COLUMN(A113) + 1 )</f>
        <v/>
      </c>
      <c r="C114" s="178">
        <f>INDEX(Calc!$K:$K, (ROW(B113)-1)*5 + COLUMN(B113) + 1 )</f>
        <v/>
      </c>
      <c r="D114" s="179">
        <f>INDEX(Calc!$K:$K, (ROW(C113)-1)*5 + COLUMN(C113) + 1 )</f>
        <v/>
      </c>
      <c r="E114" s="180">
        <f>INDEX(Calc!$K:$K, (ROW(D113)-1)*5 + COLUMN(D113) + 1 )</f>
        <v/>
      </c>
      <c r="F114" s="181">
        <f>INDEX(Calc!$K:$K, (ROW(E113)-1)*5 + COLUMN(E113) + 1 )</f>
        <v/>
      </c>
      <c r="G114" s="182">
        <f>Закуп!O114</f>
        <v/>
      </c>
      <c r="H114" s="182">
        <f>Закуп!Q114</f>
        <v/>
      </c>
      <c r="I114" s="182">
        <f>Закуп!X114</f>
        <v/>
      </c>
      <c r="J114" s="182">
        <f>Закуп!Y114</f>
        <v/>
      </c>
      <c r="K114" s="182">
        <f>Закуп!Z114</f>
        <v/>
      </c>
      <c r="L114" s="182">
        <f>Закуп!AA114</f>
        <v/>
      </c>
      <c r="M114" s="182">
        <f>Закуп!V114</f>
        <v/>
      </c>
      <c r="N114" s="182">
        <f>Закуп!W114</f>
        <v/>
      </c>
      <c r="O114" s="183">
        <f>IF(OR(Закуп!L114="",Закуп!L114=0),"",Закуп!L114)</f>
        <v/>
      </c>
      <c r="P114" s="182">
        <f>Закуп!K114</f>
        <v/>
      </c>
      <c r="Q114" s="217">
        <f>IF(Закуп!D114="","",IF(LEFT(Закуп!D114,1)="0","0",Закуп!D114))</f>
        <v/>
      </c>
      <c r="R114" s="184">
        <f>Закуп!C114</f>
        <v/>
      </c>
    </row>
    <row r="115">
      <c r="A115" s="177">
        <f>Закуп!E115</f>
        <v/>
      </c>
      <c r="B115" s="178">
        <f>INDEX(Calc!$K:$K, (ROW(A114)-1)*5 + COLUMN(A114) + 1 )</f>
        <v/>
      </c>
      <c r="C115" s="178">
        <f>INDEX(Calc!$K:$K, (ROW(B114)-1)*5 + COLUMN(B114) + 1 )</f>
        <v/>
      </c>
      <c r="D115" s="179">
        <f>INDEX(Calc!$K:$K, (ROW(C114)-1)*5 + COLUMN(C114) + 1 )</f>
        <v/>
      </c>
      <c r="E115" s="180">
        <f>INDEX(Calc!$K:$K, (ROW(D114)-1)*5 + COLUMN(D114) + 1 )</f>
        <v/>
      </c>
      <c r="F115" s="181">
        <f>INDEX(Calc!$K:$K, (ROW(E114)-1)*5 + COLUMN(E114) + 1 )</f>
        <v/>
      </c>
      <c r="G115" s="182">
        <f>Закуп!O115</f>
        <v/>
      </c>
      <c r="H115" s="182">
        <f>Закуп!Q115</f>
        <v/>
      </c>
      <c r="I115" s="182">
        <f>Закуп!X115</f>
        <v/>
      </c>
      <c r="J115" s="182">
        <f>Закуп!Y115</f>
        <v/>
      </c>
      <c r="K115" s="182">
        <f>Закуп!Z115</f>
        <v/>
      </c>
      <c r="L115" s="182">
        <f>Закуп!AA115</f>
        <v/>
      </c>
      <c r="M115" s="182">
        <f>Закуп!V115</f>
        <v/>
      </c>
      <c r="N115" s="182">
        <f>Закуп!W115</f>
        <v/>
      </c>
      <c r="O115" s="183">
        <f>IF(OR(Закуп!L115="",Закуп!L115=0),"",Закуп!L115)</f>
        <v/>
      </c>
      <c r="P115" s="182">
        <f>Закуп!K115</f>
        <v/>
      </c>
      <c r="Q115" s="217">
        <f>IF(Закуп!D115="","",IF(LEFT(Закуп!D115,1)="0","0",Закуп!D115))</f>
        <v/>
      </c>
      <c r="R115" s="184">
        <f>Закуп!C115</f>
        <v/>
      </c>
    </row>
    <row r="116">
      <c r="A116" s="177">
        <f>Закуп!E116</f>
        <v/>
      </c>
      <c r="B116" s="178">
        <f>INDEX(Calc!$K:$K, (ROW(A115)-1)*5 + COLUMN(A115) + 1 )</f>
        <v/>
      </c>
      <c r="C116" s="178">
        <f>INDEX(Calc!$K:$K, (ROW(B115)-1)*5 + COLUMN(B115) + 1 )</f>
        <v/>
      </c>
      <c r="D116" s="179">
        <f>INDEX(Calc!$K:$K, (ROW(C115)-1)*5 + COLUMN(C115) + 1 )</f>
        <v/>
      </c>
      <c r="E116" s="180">
        <f>INDEX(Calc!$K:$K, (ROW(D115)-1)*5 + COLUMN(D115) + 1 )</f>
        <v/>
      </c>
      <c r="F116" s="181">
        <f>INDEX(Calc!$K:$K, (ROW(E115)-1)*5 + COLUMN(E115) + 1 )</f>
        <v/>
      </c>
      <c r="G116" s="182">
        <f>Закуп!O116</f>
        <v/>
      </c>
      <c r="H116" s="182">
        <f>Закуп!Q116</f>
        <v/>
      </c>
      <c r="I116" s="182">
        <f>Закуп!X116</f>
        <v/>
      </c>
      <c r="J116" s="182">
        <f>Закуп!Y116</f>
        <v/>
      </c>
      <c r="K116" s="182">
        <f>Закуп!Z116</f>
        <v/>
      </c>
      <c r="L116" s="182">
        <f>Закуп!AA116</f>
        <v/>
      </c>
      <c r="M116" s="182">
        <f>Закуп!V116</f>
        <v/>
      </c>
      <c r="N116" s="182">
        <f>Закуп!W116</f>
        <v/>
      </c>
      <c r="O116" s="183">
        <f>IF(OR(Закуп!L116="",Закуп!L116=0),"",Закуп!L116)</f>
        <v/>
      </c>
      <c r="P116" s="182">
        <f>Закуп!K116</f>
        <v/>
      </c>
      <c r="Q116" s="217">
        <f>IF(Закуп!D116="","",IF(LEFT(Закуп!D116,1)="0","0",Закуп!D116))</f>
        <v/>
      </c>
      <c r="R116" s="184">
        <f>Закуп!C116</f>
        <v/>
      </c>
    </row>
    <row r="117">
      <c r="A117" s="177">
        <f>Закуп!E117</f>
        <v/>
      </c>
      <c r="B117" s="178">
        <f>INDEX(Calc!$K:$K, (ROW(A116)-1)*5 + COLUMN(A116) + 1 )</f>
        <v/>
      </c>
      <c r="C117" s="178">
        <f>INDEX(Calc!$K:$K, (ROW(B116)-1)*5 + COLUMN(B116) + 1 )</f>
        <v/>
      </c>
      <c r="D117" s="179">
        <f>INDEX(Calc!$K:$K, (ROW(C116)-1)*5 + COLUMN(C116) + 1 )</f>
        <v/>
      </c>
      <c r="E117" s="180">
        <f>INDEX(Calc!$K:$K, (ROW(D116)-1)*5 + COLUMN(D116) + 1 )</f>
        <v/>
      </c>
      <c r="F117" s="181">
        <f>INDEX(Calc!$K:$K, (ROW(E116)-1)*5 + COLUMN(E116) + 1 )</f>
        <v/>
      </c>
      <c r="G117" s="182">
        <f>Закуп!O117</f>
        <v/>
      </c>
      <c r="H117" s="182">
        <f>Закуп!Q117</f>
        <v/>
      </c>
      <c r="I117" s="182">
        <f>Закуп!X117</f>
        <v/>
      </c>
      <c r="J117" s="182">
        <f>Закуп!Y117</f>
        <v/>
      </c>
      <c r="K117" s="182">
        <f>Закуп!Z117</f>
        <v/>
      </c>
      <c r="L117" s="182">
        <f>Закуп!AA117</f>
        <v/>
      </c>
      <c r="M117" s="182">
        <f>Закуп!V117</f>
        <v/>
      </c>
      <c r="N117" s="182">
        <f>Закуп!W117</f>
        <v/>
      </c>
      <c r="O117" s="183">
        <f>IF(OR(Закуп!L117="",Закуп!L117=0),"",Закуп!L117)</f>
        <v/>
      </c>
      <c r="P117" s="182">
        <f>Закуп!K117</f>
        <v/>
      </c>
      <c r="Q117" s="217">
        <f>IF(Закуп!D117="","",IF(LEFT(Закуп!D117,1)="0","0",Закуп!D117))</f>
        <v/>
      </c>
      <c r="R117" s="184">
        <f>Закуп!C117</f>
        <v/>
      </c>
    </row>
    <row r="118">
      <c r="A118" s="177">
        <f>Закуп!E118</f>
        <v/>
      </c>
      <c r="B118" s="178">
        <f>INDEX(Calc!$K:$K, (ROW(A117)-1)*5 + COLUMN(A117) + 1 )</f>
        <v/>
      </c>
      <c r="C118" s="178">
        <f>INDEX(Calc!$K:$K, (ROW(B117)-1)*5 + COLUMN(B117) + 1 )</f>
        <v/>
      </c>
      <c r="D118" s="179">
        <f>INDEX(Calc!$K:$K, (ROW(C117)-1)*5 + COLUMN(C117) + 1 )</f>
        <v/>
      </c>
      <c r="E118" s="180">
        <f>INDEX(Calc!$K:$K, (ROW(D117)-1)*5 + COLUMN(D117) + 1 )</f>
        <v/>
      </c>
      <c r="F118" s="181">
        <f>INDEX(Calc!$K:$K, (ROW(E117)-1)*5 + COLUMN(E117) + 1 )</f>
        <v/>
      </c>
      <c r="G118" s="182">
        <f>Закуп!O118</f>
        <v/>
      </c>
      <c r="H118" s="182">
        <f>Закуп!Q118</f>
        <v/>
      </c>
      <c r="I118" s="182">
        <f>Закуп!X118</f>
        <v/>
      </c>
      <c r="J118" s="182">
        <f>Закуп!Y118</f>
        <v/>
      </c>
      <c r="K118" s="182">
        <f>Закуп!Z118</f>
        <v/>
      </c>
      <c r="L118" s="182">
        <f>Закуп!AA118</f>
        <v/>
      </c>
      <c r="M118" s="182">
        <f>Закуп!V118</f>
        <v/>
      </c>
      <c r="N118" s="182">
        <f>Закуп!W118</f>
        <v/>
      </c>
      <c r="O118" s="183">
        <f>IF(OR(Закуп!L118="",Закуп!L118=0),"",Закуп!L118)</f>
        <v/>
      </c>
      <c r="P118" s="182">
        <f>Закуп!K118</f>
        <v/>
      </c>
      <c r="Q118" s="217">
        <f>IF(Закуп!D118="","",IF(LEFT(Закуп!D118,1)="0","0",Закуп!D118))</f>
        <v/>
      </c>
      <c r="R118" s="184">
        <f>Закуп!C118</f>
        <v/>
      </c>
    </row>
    <row r="119">
      <c r="A119" s="177">
        <f>Закуп!E119</f>
        <v/>
      </c>
      <c r="B119" s="178">
        <f>INDEX(Calc!$K:$K, (ROW(A118)-1)*5 + COLUMN(A118) + 1 )</f>
        <v/>
      </c>
      <c r="C119" s="178">
        <f>INDEX(Calc!$K:$K, (ROW(B118)-1)*5 + COLUMN(B118) + 1 )</f>
        <v/>
      </c>
      <c r="D119" s="179">
        <f>INDEX(Calc!$K:$K, (ROW(C118)-1)*5 + COLUMN(C118) + 1 )</f>
        <v/>
      </c>
      <c r="E119" s="180">
        <f>INDEX(Calc!$K:$K, (ROW(D118)-1)*5 + COLUMN(D118) + 1 )</f>
        <v/>
      </c>
      <c r="F119" s="181">
        <f>INDEX(Calc!$K:$K, (ROW(E118)-1)*5 + COLUMN(E118) + 1 )</f>
        <v/>
      </c>
      <c r="G119" s="182">
        <f>Закуп!O119</f>
        <v/>
      </c>
      <c r="H119" s="182">
        <f>Закуп!Q119</f>
        <v/>
      </c>
      <c r="I119" s="182">
        <f>Закуп!X119</f>
        <v/>
      </c>
      <c r="J119" s="182">
        <f>Закуп!Y119</f>
        <v/>
      </c>
      <c r="K119" s="182">
        <f>Закуп!Z119</f>
        <v/>
      </c>
      <c r="L119" s="182">
        <f>Закуп!AA119</f>
        <v/>
      </c>
      <c r="M119" s="182">
        <f>Закуп!V119</f>
        <v/>
      </c>
      <c r="N119" s="182">
        <f>Закуп!W119</f>
        <v/>
      </c>
      <c r="O119" s="183">
        <f>IF(OR(Закуп!L119="",Закуп!L119=0),"",Закуп!L119)</f>
        <v/>
      </c>
      <c r="P119" s="182">
        <f>Закуп!K119</f>
        <v/>
      </c>
      <c r="Q119" s="217">
        <f>IF(Закуп!D119="","",IF(LEFT(Закуп!D119,1)="0","0",Закуп!D119))</f>
        <v/>
      </c>
      <c r="R119" s="184">
        <f>Закуп!C119</f>
        <v/>
      </c>
    </row>
    <row r="120">
      <c r="A120" s="177">
        <f>Закуп!E120</f>
        <v/>
      </c>
      <c r="B120" s="178">
        <f>INDEX(Calc!$K:$K, (ROW(A119)-1)*5 + COLUMN(A119) + 1 )</f>
        <v/>
      </c>
      <c r="C120" s="178">
        <f>INDEX(Calc!$K:$K, (ROW(B119)-1)*5 + COLUMN(B119) + 1 )</f>
        <v/>
      </c>
      <c r="D120" s="179">
        <f>INDEX(Calc!$K:$K, (ROW(C119)-1)*5 + COLUMN(C119) + 1 )</f>
        <v/>
      </c>
      <c r="E120" s="180">
        <f>INDEX(Calc!$K:$K, (ROW(D119)-1)*5 + COLUMN(D119) + 1 )</f>
        <v/>
      </c>
      <c r="F120" s="181">
        <f>INDEX(Calc!$K:$K, (ROW(E119)-1)*5 + COLUMN(E119) + 1 )</f>
        <v/>
      </c>
      <c r="G120" s="182">
        <f>Закуп!O120</f>
        <v/>
      </c>
      <c r="H120" s="182">
        <f>Закуп!Q120</f>
        <v/>
      </c>
      <c r="I120" s="182">
        <f>Закуп!X120</f>
        <v/>
      </c>
      <c r="J120" s="182">
        <f>Закуп!Y120</f>
        <v/>
      </c>
      <c r="K120" s="182">
        <f>Закуп!Z120</f>
        <v/>
      </c>
      <c r="L120" s="182">
        <f>Закуп!AA120</f>
        <v/>
      </c>
      <c r="M120" s="182">
        <f>Закуп!V120</f>
        <v/>
      </c>
      <c r="N120" s="182">
        <f>Закуп!W120</f>
        <v/>
      </c>
      <c r="O120" s="183">
        <f>IF(OR(Закуп!L120="",Закуп!L120=0),"",Закуп!L120)</f>
        <v/>
      </c>
      <c r="P120" s="182">
        <f>Закуп!K120</f>
        <v/>
      </c>
      <c r="Q120" s="217">
        <f>IF(Закуп!D120="","",IF(LEFT(Закуп!D120,1)="0","0",Закуп!D120))</f>
        <v/>
      </c>
      <c r="R120" s="184">
        <f>Закуп!C120</f>
        <v/>
      </c>
    </row>
    <row r="121">
      <c r="A121" s="177">
        <f>Закуп!E121</f>
        <v/>
      </c>
      <c r="B121" s="178">
        <f>INDEX(Calc!$K:$K, (ROW(A120)-1)*5 + COLUMN(A120) + 1 )</f>
        <v/>
      </c>
      <c r="C121" s="178">
        <f>INDEX(Calc!$K:$K, (ROW(B120)-1)*5 + COLUMN(B120) + 1 )</f>
        <v/>
      </c>
      <c r="D121" s="179">
        <f>INDEX(Calc!$K:$K, (ROW(C120)-1)*5 + COLUMN(C120) + 1 )</f>
        <v/>
      </c>
      <c r="E121" s="180">
        <f>INDEX(Calc!$K:$K, (ROW(D120)-1)*5 + COLUMN(D120) + 1 )</f>
        <v/>
      </c>
      <c r="F121" s="181">
        <f>INDEX(Calc!$K:$K, (ROW(E120)-1)*5 + COLUMN(E120) + 1 )</f>
        <v/>
      </c>
      <c r="G121" s="182">
        <f>Закуп!O121</f>
        <v/>
      </c>
      <c r="H121" s="182">
        <f>Закуп!Q121</f>
        <v/>
      </c>
      <c r="I121" s="182">
        <f>Закуп!X121</f>
        <v/>
      </c>
      <c r="J121" s="182">
        <f>Закуп!Y121</f>
        <v/>
      </c>
      <c r="K121" s="182">
        <f>Закуп!Z121</f>
        <v/>
      </c>
      <c r="L121" s="182">
        <f>Закуп!AA121</f>
        <v/>
      </c>
      <c r="M121" s="182">
        <f>Закуп!V121</f>
        <v/>
      </c>
      <c r="N121" s="182">
        <f>Закуп!W121</f>
        <v/>
      </c>
      <c r="O121" s="183">
        <f>IF(OR(Закуп!L121="",Закуп!L121=0),"",Закуп!L121)</f>
        <v/>
      </c>
      <c r="P121" s="182">
        <f>Закуп!K121</f>
        <v/>
      </c>
      <c r="Q121" s="217">
        <f>IF(Закуп!D121="","",IF(LEFT(Закуп!D121,1)="0","0",Закуп!D121))</f>
        <v/>
      </c>
      <c r="R121" s="184">
        <f>Закуп!C121</f>
        <v/>
      </c>
    </row>
    <row r="122">
      <c r="A122" s="177">
        <f>Закуп!E122</f>
        <v/>
      </c>
      <c r="B122" s="178">
        <f>INDEX(Calc!$K:$K, (ROW(A121)-1)*5 + COLUMN(A121) + 1 )</f>
        <v/>
      </c>
      <c r="C122" s="178">
        <f>INDEX(Calc!$K:$K, (ROW(B121)-1)*5 + COLUMN(B121) + 1 )</f>
        <v/>
      </c>
      <c r="D122" s="179">
        <f>INDEX(Calc!$K:$K, (ROW(C121)-1)*5 + COLUMN(C121) + 1 )</f>
        <v/>
      </c>
      <c r="E122" s="180">
        <f>INDEX(Calc!$K:$K, (ROW(D121)-1)*5 + COLUMN(D121) + 1 )</f>
        <v/>
      </c>
      <c r="F122" s="181">
        <f>INDEX(Calc!$K:$K, (ROW(E121)-1)*5 + COLUMN(E121) + 1 )</f>
        <v/>
      </c>
      <c r="G122" s="182">
        <f>Закуп!O122</f>
        <v/>
      </c>
      <c r="H122" s="182">
        <f>Закуп!Q122</f>
        <v/>
      </c>
      <c r="I122" s="182">
        <f>Закуп!X122</f>
        <v/>
      </c>
      <c r="J122" s="182">
        <f>Закуп!Y122</f>
        <v/>
      </c>
      <c r="K122" s="182">
        <f>Закуп!Z122</f>
        <v/>
      </c>
      <c r="L122" s="182">
        <f>Закуп!AA122</f>
        <v/>
      </c>
      <c r="M122" s="182">
        <f>Закуп!V122</f>
        <v/>
      </c>
      <c r="N122" s="182">
        <f>Закуп!W122</f>
        <v/>
      </c>
      <c r="O122" s="183">
        <f>IF(OR(Закуп!L122="",Закуп!L122=0),"",Закуп!L122)</f>
        <v/>
      </c>
      <c r="P122" s="182">
        <f>Закуп!K122</f>
        <v/>
      </c>
      <c r="Q122" s="217">
        <f>IF(Закуп!D122="","",IF(LEFT(Закуп!D122,1)="0","0",Закуп!D122))</f>
        <v/>
      </c>
      <c r="R122" s="184">
        <f>Закуп!C122</f>
        <v/>
      </c>
    </row>
    <row r="123">
      <c r="A123" s="177">
        <f>Закуп!E123</f>
        <v/>
      </c>
      <c r="B123" s="178">
        <f>INDEX(Calc!$K:$K, (ROW(A122)-1)*5 + COLUMN(A122) + 1 )</f>
        <v/>
      </c>
      <c r="C123" s="178">
        <f>INDEX(Calc!$K:$K, (ROW(B122)-1)*5 + COLUMN(B122) + 1 )</f>
        <v/>
      </c>
      <c r="D123" s="179">
        <f>INDEX(Calc!$K:$K, (ROW(C122)-1)*5 + COLUMN(C122) + 1 )</f>
        <v/>
      </c>
      <c r="E123" s="180">
        <f>INDEX(Calc!$K:$K, (ROW(D122)-1)*5 + COLUMN(D122) + 1 )</f>
        <v/>
      </c>
      <c r="F123" s="181">
        <f>INDEX(Calc!$K:$K, (ROW(E122)-1)*5 + COLUMN(E122) + 1 )</f>
        <v/>
      </c>
      <c r="G123" s="182">
        <f>Закуп!O123</f>
        <v/>
      </c>
      <c r="H123" s="182">
        <f>Закуп!Q123</f>
        <v/>
      </c>
      <c r="I123" s="182">
        <f>Закуп!X123</f>
        <v/>
      </c>
      <c r="J123" s="182">
        <f>Закуп!Y123</f>
        <v/>
      </c>
      <c r="K123" s="182">
        <f>Закуп!Z123</f>
        <v/>
      </c>
      <c r="L123" s="182">
        <f>Закуп!AA123</f>
        <v/>
      </c>
      <c r="M123" s="182">
        <f>Закуп!V123</f>
        <v/>
      </c>
      <c r="N123" s="182">
        <f>Закуп!W123</f>
        <v/>
      </c>
      <c r="O123" s="183">
        <f>IF(OR(Закуп!L123="",Закуп!L123=0),"",Закуп!L123)</f>
        <v/>
      </c>
      <c r="P123" s="182">
        <f>Закуп!K123</f>
        <v/>
      </c>
      <c r="Q123" s="217">
        <f>IF(Закуп!D123="","",IF(LEFT(Закуп!D123,1)="0","0",Закуп!D123))</f>
        <v/>
      </c>
      <c r="R123" s="184">
        <f>Закуп!C123</f>
        <v/>
      </c>
    </row>
    <row r="124">
      <c r="A124" s="177">
        <f>Закуп!E124</f>
        <v/>
      </c>
      <c r="B124" s="178">
        <f>INDEX(Calc!$K:$K, (ROW(A123)-1)*5 + COLUMN(A123) + 1 )</f>
        <v/>
      </c>
      <c r="C124" s="178">
        <f>INDEX(Calc!$K:$K, (ROW(B123)-1)*5 + COLUMN(B123) + 1 )</f>
        <v/>
      </c>
      <c r="D124" s="179">
        <f>INDEX(Calc!$K:$K, (ROW(C123)-1)*5 + COLUMN(C123) + 1 )</f>
        <v/>
      </c>
      <c r="E124" s="180">
        <f>INDEX(Calc!$K:$K, (ROW(D123)-1)*5 + COLUMN(D123) + 1 )</f>
        <v/>
      </c>
      <c r="F124" s="181">
        <f>INDEX(Calc!$K:$K, (ROW(E123)-1)*5 + COLUMN(E123) + 1 )</f>
        <v/>
      </c>
      <c r="G124" s="182">
        <f>Закуп!O124</f>
        <v/>
      </c>
      <c r="H124" s="182">
        <f>Закуп!Q124</f>
        <v/>
      </c>
      <c r="I124" s="182">
        <f>Закуп!X124</f>
        <v/>
      </c>
      <c r="J124" s="182">
        <f>Закуп!Y124</f>
        <v/>
      </c>
      <c r="K124" s="182">
        <f>Закуп!Z124</f>
        <v/>
      </c>
      <c r="L124" s="182">
        <f>Закуп!AA124</f>
        <v/>
      </c>
      <c r="M124" s="182">
        <f>Закуп!V124</f>
        <v/>
      </c>
      <c r="N124" s="182">
        <f>Закуп!W124</f>
        <v/>
      </c>
      <c r="O124" s="183">
        <f>IF(OR(Закуп!L124="",Закуп!L124=0),"",Закуп!L124)</f>
        <v/>
      </c>
      <c r="P124" s="182">
        <f>Закуп!K124</f>
        <v/>
      </c>
      <c r="Q124" s="217">
        <f>IF(Закуп!D124="","",IF(LEFT(Закуп!D124,1)="0","0",Закуп!D124))</f>
        <v/>
      </c>
      <c r="R124" s="184">
        <f>Закуп!C124</f>
        <v/>
      </c>
    </row>
    <row r="125">
      <c r="A125" s="177">
        <f>Закуп!E125</f>
        <v/>
      </c>
      <c r="B125" s="178">
        <f>INDEX(Calc!$K:$K, (ROW(A124)-1)*5 + COLUMN(A124) + 1 )</f>
        <v/>
      </c>
      <c r="C125" s="178">
        <f>INDEX(Calc!$K:$K, (ROW(B124)-1)*5 + COLUMN(B124) + 1 )</f>
        <v/>
      </c>
      <c r="D125" s="179">
        <f>INDEX(Calc!$K:$K, (ROW(C124)-1)*5 + COLUMN(C124) + 1 )</f>
        <v/>
      </c>
      <c r="E125" s="180">
        <f>INDEX(Calc!$K:$K, (ROW(D124)-1)*5 + COLUMN(D124) + 1 )</f>
        <v/>
      </c>
      <c r="F125" s="181">
        <f>INDEX(Calc!$K:$K, (ROW(E124)-1)*5 + COLUMN(E124) + 1 )</f>
        <v/>
      </c>
      <c r="G125" s="182">
        <f>Закуп!O125</f>
        <v/>
      </c>
      <c r="H125" s="182">
        <f>Закуп!Q125</f>
        <v/>
      </c>
      <c r="I125" s="182">
        <f>Закуп!X125</f>
        <v/>
      </c>
      <c r="J125" s="182">
        <f>Закуп!Y125</f>
        <v/>
      </c>
      <c r="K125" s="182">
        <f>Закуп!Z125</f>
        <v/>
      </c>
      <c r="L125" s="182">
        <f>Закуп!AA125</f>
        <v/>
      </c>
      <c r="M125" s="182">
        <f>Закуп!V125</f>
        <v/>
      </c>
      <c r="N125" s="182">
        <f>Закуп!W125</f>
        <v/>
      </c>
      <c r="O125" s="183">
        <f>IF(OR(Закуп!L125="",Закуп!L125=0),"",Закуп!L125)</f>
        <v/>
      </c>
      <c r="P125" s="182">
        <f>Закуп!K125</f>
        <v/>
      </c>
      <c r="Q125" s="217">
        <f>IF(Закуп!D125="","",IF(LEFT(Закуп!D125,1)="0","0",Закуп!D125))</f>
        <v/>
      </c>
      <c r="R125" s="184">
        <f>Закуп!C125</f>
        <v/>
      </c>
    </row>
    <row r="126">
      <c r="A126" s="177">
        <f>Закуп!E126</f>
        <v/>
      </c>
      <c r="B126" s="178">
        <f>INDEX(Calc!$K:$K, (ROW(A125)-1)*5 + COLUMN(A125) + 1 )</f>
        <v/>
      </c>
      <c r="C126" s="178">
        <f>INDEX(Calc!$K:$K, (ROW(B125)-1)*5 + COLUMN(B125) + 1 )</f>
        <v/>
      </c>
      <c r="D126" s="179">
        <f>INDEX(Calc!$K:$K, (ROW(C125)-1)*5 + COLUMN(C125) + 1 )</f>
        <v/>
      </c>
      <c r="E126" s="180">
        <f>INDEX(Calc!$K:$K, (ROW(D125)-1)*5 + COLUMN(D125) + 1 )</f>
        <v/>
      </c>
      <c r="F126" s="181">
        <f>INDEX(Calc!$K:$K, (ROW(E125)-1)*5 + COLUMN(E125) + 1 )</f>
        <v/>
      </c>
      <c r="G126" s="182">
        <f>Закуп!O126</f>
        <v/>
      </c>
      <c r="H126" s="182">
        <f>Закуп!Q126</f>
        <v/>
      </c>
      <c r="I126" s="182">
        <f>Закуп!X126</f>
        <v/>
      </c>
      <c r="J126" s="182">
        <f>Закуп!Y126</f>
        <v/>
      </c>
      <c r="K126" s="182">
        <f>Закуп!Z126</f>
        <v/>
      </c>
      <c r="L126" s="182">
        <f>Закуп!AA126</f>
        <v/>
      </c>
      <c r="M126" s="182">
        <f>Закуп!V126</f>
        <v/>
      </c>
      <c r="N126" s="182">
        <f>Закуп!W126</f>
        <v/>
      </c>
      <c r="O126" s="183">
        <f>IF(OR(Закуп!L126="",Закуп!L126=0),"",Закуп!L126)</f>
        <v/>
      </c>
      <c r="P126" s="182">
        <f>Закуп!K126</f>
        <v/>
      </c>
      <c r="Q126" s="217">
        <f>IF(Закуп!D126="","",IF(LEFT(Закуп!D126,1)="0","0",Закуп!D126))</f>
        <v/>
      </c>
      <c r="R126" s="184">
        <f>Закуп!C126</f>
        <v/>
      </c>
    </row>
    <row r="127">
      <c r="A127" s="177">
        <f>Закуп!E127</f>
        <v/>
      </c>
      <c r="B127" s="178">
        <f>INDEX(Calc!$K:$K, (ROW(A126)-1)*5 + COLUMN(A126) + 1 )</f>
        <v/>
      </c>
      <c r="C127" s="178">
        <f>INDEX(Calc!$K:$K, (ROW(B126)-1)*5 + COLUMN(B126) + 1 )</f>
        <v/>
      </c>
      <c r="D127" s="179">
        <f>INDEX(Calc!$K:$K, (ROW(C126)-1)*5 + COLUMN(C126) + 1 )</f>
        <v/>
      </c>
      <c r="E127" s="180">
        <f>INDEX(Calc!$K:$K, (ROW(D126)-1)*5 + COLUMN(D126) + 1 )</f>
        <v/>
      </c>
      <c r="F127" s="181">
        <f>INDEX(Calc!$K:$K, (ROW(E126)-1)*5 + COLUMN(E126) + 1 )</f>
        <v/>
      </c>
      <c r="G127" s="182">
        <f>Закуп!O127</f>
        <v/>
      </c>
      <c r="H127" s="182">
        <f>Закуп!Q127</f>
        <v/>
      </c>
      <c r="I127" s="182">
        <f>Закуп!X127</f>
        <v/>
      </c>
      <c r="J127" s="182">
        <f>Закуп!Y127</f>
        <v/>
      </c>
      <c r="K127" s="182">
        <f>Закуп!Z127</f>
        <v/>
      </c>
      <c r="L127" s="182">
        <f>Закуп!AA127</f>
        <v/>
      </c>
      <c r="M127" s="182">
        <f>Закуп!V127</f>
        <v/>
      </c>
      <c r="N127" s="182">
        <f>Закуп!W127</f>
        <v/>
      </c>
      <c r="O127" s="183">
        <f>IF(OR(Закуп!L127="",Закуп!L127=0),"",Закуп!L127)</f>
        <v/>
      </c>
      <c r="P127" s="182">
        <f>Закуп!K127</f>
        <v/>
      </c>
      <c r="Q127" s="217">
        <f>IF(Закуп!D127="","",IF(LEFT(Закуп!D127,1)="0","0",Закуп!D127))</f>
        <v/>
      </c>
      <c r="R127" s="184">
        <f>Закуп!C127</f>
        <v/>
      </c>
    </row>
    <row r="128">
      <c r="A128" s="177">
        <f>Закуп!E128</f>
        <v/>
      </c>
      <c r="B128" s="178">
        <f>INDEX(Calc!$K:$K, (ROW(A127)-1)*5 + COLUMN(A127) + 1 )</f>
        <v/>
      </c>
      <c r="C128" s="178">
        <f>INDEX(Calc!$K:$K, (ROW(B127)-1)*5 + COLUMN(B127) + 1 )</f>
        <v/>
      </c>
      <c r="D128" s="179">
        <f>INDEX(Calc!$K:$K, (ROW(C127)-1)*5 + COLUMN(C127) + 1 )</f>
        <v/>
      </c>
      <c r="E128" s="180">
        <f>INDEX(Calc!$K:$K, (ROW(D127)-1)*5 + COLUMN(D127) + 1 )</f>
        <v/>
      </c>
      <c r="F128" s="181">
        <f>INDEX(Calc!$K:$K, (ROW(E127)-1)*5 + COLUMN(E127) + 1 )</f>
        <v/>
      </c>
      <c r="G128" s="182">
        <f>Закуп!O128</f>
        <v/>
      </c>
      <c r="H128" s="182">
        <f>Закуп!Q128</f>
        <v/>
      </c>
      <c r="I128" s="182">
        <f>Закуп!X128</f>
        <v/>
      </c>
      <c r="J128" s="182">
        <f>Закуп!Y128</f>
        <v/>
      </c>
      <c r="K128" s="182">
        <f>Закуп!Z128</f>
        <v/>
      </c>
      <c r="L128" s="182">
        <f>Закуп!AA128</f>
        <v/>
      </c>
      <c r="M128" s="182">
        <f>Закуп!V128</f>
        <v/>
      </c>
      <c r="N128" s="182">
        <f>Закуп!W128</f>
        <v/>
      </c>
      <c r="O128" s="183">
        <f>IF(OR(Закуп!L128="",Закуп!L128=0),"",Закуп!L128)</f>
        <v/>
      </c>
      <c r="P128" s="182">
        <f>Закуп!K128</f>
        <v/>
      </c>
      <c r="Q128" s="217">
        <f>IF(Закуп!D128="","",IF(LEFT(Закуп!D128,1)="0","0",Закуп!D128))</f>
        <v/>
      </c>
      <c r="R128" s="184">
        <f>Закуп!C128</f>
        <v/>
      </c>
    </row>
    <row r="129">
      <c r="A129" s="177">
        <f>Закуп!E129</f>
        <v/>
      </c>
      <c r="B129" s="178">
        <f>INDEX(Calc!$K:$K, (ROW(A128)-1)*5 + COLUMN(A128) + 1 )</f>
        <v/>
      </c>
      <c r="C129" s="178">
        <f>INDEX(Calc!$K:$K, (ROW(B128)-1)*5 + COLUMN(B128) + 1 )</f>
        <v/>
      </c>
      <c r="D129" s="179">
        <f>INDEX(Calc!$K:$K, (ROW(C128)-1)*5 + COLUMN(C128) + 1 )</f>
        <v/>
      </c>
      <c r="E129" s="180">
        <f>INDEX(Calc!$K:$K, (ROW(D128)-1)*5 + COLUMN(D128) + 1 )</f>
        <v/>
      </c>
      <c r="F129" s="181">
        <f>INDEX(Calc!$K:$K, (ROW(E128)-1)*5 + COLUMN(E128) + 1 )</f>
        <v/>
      </c>
      <c r="G129" s="182">
        <f>Закуп!O129</f>
        <v/>
      </c>
      <c r="H129" s="182">
        <f>Закуп!Q129</f>
        <v/>
      </c>
      <c r="I129" s="182">
        <f>Закуп!X129</f>
        <v/>
      </c>
      <c r="J129" s="182">
        <f>Закуп!Y129</f>
        <v/>
      </c>
      <c r="K129" s="182">
        <f>Закуп!Z129</f>
        <v/>
      </c>
      <c r="L129" s="182">
        <f>Закуп!AA129</f>
        <v/>
      </c>
      <c r="M129" s="182">
        <f>Закуп!V129</f>
        <v/>
      </c>
      <c r="N129" s="182">
        <f>Закуп!W129</f>
        <v/>
      </c>
      <c r="O129" s="183">
        <f>IF(OR(Закуп!L129="",Закуп!L129=0),"",Закуп!L129)</f>
        <v/>
      </c>
      <c r="P129" s="182">
        <f>Закуп!K129</f>
        <v/>
      </c>
      <c r="Q129" s="217">
        <f>IF(Закуп!D129="","",IF(LEFT(Закуп!D129,1)="0","0",Закуп!D129))</f>
        <v/>
      </c>
      <c r="R129" s="184">
        <f>Закуп!C129</f>
        <v/>
      </c>
    </row>
    <row r="130">
      <c r="A130" s="177">
        <f>Закуп!E130</f>
        <v/>
      </c>
      <c r="B130" s="178">
        <f>INDEX(Calc!$K:$K, (ROW(A129)-1)*5 + COLUMN(A129) + 1 )</f>
        <v/>
      </c>
      <c r="C130" s="178">
        <f>INDEX(Calc!$K:$K, (ROW(B129)-1)*5 + COLUMN(B129) + 1 )</f>
        <v/>
      </c>
      <c r="D130" s="179">
        <f>INDEX(Calc!$K:$K, (ROW(C129)-1)*5 + COLUMN(C129) + 1 )</f>
        <v/>
      </c>
      <c r="E130" s="180">
        <f>INDEX(Calc!$K:$K, (ROW(D129)-1)*5 + COLUMN(D129) + 1 )</f>
        <v/>
      </c>
      <c r="F130" s="181">
        <f>INDEX(Calc!$K:$K, (ROW(E129)-1)*5 + COLUMN(E129) + 1 )</f>
        <v/>
      </c>
      <c r="G130" s="182">
        <f>Закуп!O130</f>
        <v/>
      </c>
      <c r="H130" s="182">
        <f>Закуп!Q130</f>
        <v/>
      </c>
      <c r="I130" s="182">
        <f>Закуп!X130</f>
        <v/>
      </c>
      <c r="J130" s="182">
        <f>Закуп!Y130</f>
        <v/>
      </c>
      <c r="K130" s="182">
        <f>Закуп!Z130</f>
        <v/>
      </c>
      <c r="L130" s="182">
        <f>Закуп!AA130</f>
        <v/>
      </c>
      <c r="M130" s="182">
        <f>Закуп!V130</f>
        <v/>
      </c>
      <c r="N130" s="182">
        <f>Закуп!W130</f>
        <v/>
      </c>
      <c r="O130" s="183">
        <f>IF(OR(Закуп!L130="",Закуп!L130=0),"",Закуп!L130)</f>
        <v/>
      </c>
      <c r="P130" s="182">
        <f>Закуп!K130</f>
        <v/>
      </c>
      <c r="Q130" s="217">
        <f>IF(Закуп!D130="","",IF(LEFT(Закуп!D130,1)="0","0",Закуп!D130))</f>
        <v/>
      </c>
      <c r="R130" s="184">
        <f>Закуп!C130</f>
        <v/>
      </c>
    </row>
    <row r="131">
      <c r="A131" s="177">
        <f>Закуп!E131</f>
        <v/>
      </c>
      <c r="B131" s="178">
        <f>INDEX(Calc!$K:$K, (ROW(A130)-1)*5 + COLUMN(A130) + 1 )</f>
        <v/>
      </c>
      <c r="C131" s="178">
        <f>INDEX(Calc!$K:$K, (ROW(B130)-1)*5 + COLUMN(B130) + 1 )</f>
        <v/>
      </c>
      <c r="D131" s="179">
        <f>INDEX(Calc!$K:$K, (ROW(C130)-1)*5 + COLUMN(C130) + 1 )</f>
        <v/>
      </c>
      <c r="E131" s="180">
        <f>INDEX(Calc!$K:$K, (ROW(D130)-1)*5 + COLUMN(D130) + 1 )</f>
        <v/>
      </c>
      <c r="F131" s="181">
        <f>INDEX(Calc!$K:$K, (ROW(E130)-1)*5 + COLUMN(E130) + 1 )</f>
        <v/>
      </c>
      <c r="G131" s="182">
        <f>Закуп!O131</f>
        <v/>
      </c>
      <c r="H131" s="182">
        <f>Закуп!Q131</f>
        <v/>
      </c>
      <c r="I131" s="182">
        <f>Закуп!X131</f>
        <v/>
      </c>
      <c r="J131" s="182">
        <f>Закуп!Y131</f>
        <v/>
      </c>
      <c r="K131" s="182">
        <f>Закуп!Z131</f>
        <v/>
      </c>
      <c r="L131" s="182">
        <f>Закуп!AA131</f>
        <v/>
      </c>
      <c r="M131" s="182">
        <f>Закуп!V131</f>
        <v/>
      </c>
      <c r="N131" s="182">
        <f>Закуп!W131</f>
        <v/>
      </c>
      <c r="O131" s="183">
        <f>IF(OR(Закуп!L131="",Закуп!L131=0),"",Закуп!L131)</f>
        <v/>
      </c>
      <c r="P131" s="182">
        <f>Закуп!K131</f>
        <v/>
      </c>
      <c r="Q131" s="217">
        <f>IF(Закуп!D131="","",IF(LEFT(Закуп!D131,1)="0","0",Закуп!D131))</f>
        <v/>
      </c>
      <c r="R131" s="184">
        <f>Закуп!C131</f>
        <v/>
      </c>
    </row>
    <row r="132">
      <c r="A132" s="177">
        <f>Закуп!E132</f>
        <v/>
      </c>
      <c r="B132" s="178">
        <f>INDEX(Calc!$K:$K, (ROW(A131)-1)*5 + COLUMN(A131) + 1 )</f>
        <v/>
      </c>
      <c r="C132" s="178">
        <f>INDEX(Calc!$K:$K, (ROW(B131)-1)*5 + COLUMN(B131) + 1 )</f>
        <v/>
      </c>
      <c r="D132" s="179">
        <f>INDEX(Calc!$K:$K, (ROW(C131)-1)*5 + COLUMN(C131) + 1 )</f>
        <v/>
      </c>
      <c r="E132" s="180">
        <f>INDEX(Calc!$K:$K, (ROW(D131)-1)*5 + COLUMN(D131) + 1 )</f>
        <v/>
      </c>
      <c r="F132" s="181">
        <f>INDEX(Calc!$K:$K, (ROW(E131)-1)*5 + COLUMN(E131) + 1 )</f>
        <v/>
      </c>
      <c r="G132" s="182">
        <f>Закуп!O132</f>
        <v/>
      </c>
      <c r="H132" s="182">
        <f>Закуп!Q132</f>
        <v/>
      </c>
      <c r="I132" s="182">
        <f>Закуп!X132</f>
        <v/>
      </c>
      <c r="J132" s="182">
        <f>Закуп!Y132</f>
        <v/>
      </c>
      <c r="K132" s="182">
        <f>Закуп!Z132</f>
        <v/>
      </c>
      <c r="L132" s="182">
        <f>Закуп!AA132</f>
        <v/>
      </c>
      <c r="M132" s="182">
        <f>Закуп!V132</f>
        <v/>
      </c>
      <c r="N132" s="182">
        <f>Закуп!W132</f>
        <v/>
      </c>
      <c r="O132" s="183">
        <f>IF(OR(Закуп!L132="",Закуп!L132=0),"",Закуп!L132)</f>
        <v/>
      </c>
      <c r="P132" s="182">
        <f>Закуп!K132</f>
        <v/>
      </c>
      <c r="Q132" s="217">
        <f>IF(Закуп!D132="","",IF(LEFT(Закуп!D132,1)="0","0",Закуп!D132))</f>
        <v/>
      </c>
      <c r="R132" s="184">
        <f>Закуп!C132</f>
        <v/>
      </c>
    </row>
    <row r="133">
      <c r="A133" s="177">
        <f>Закуп!E133</f>
        <v/>
      </c>
      <c r="B133" s="178">
        <f>INDEX(Calc!$K:$K, (ROW(A132)-1)*5 + COLUMN(A132) + 1 )</f>
        <v/>
      </c>
      <c r="C133" s="178">
        <f>INDEX(Calc!$K:$K, (ROW(B132)-1)*5 + COLUMN(B132) + 1 )</f>
        <v/>
      </c>
      <c r="D133" s="179">
        <f>INDEX(Calc!$K:$K, (ROW(C132)-1)*5 + COLUMN(C132) + 1 )</f>
        <v/>
      </c>
      <c r="E133" s="180">
        <f>INDEX(Calc!$K:$K, (ROW(D132)-1)*5 + COLUMN(D132) + 1 )</f>
        <v/>
      </c>
      <c r="F133" s="181">
        <f>INDEX(Calc!$K:$K, (ROW(E132)-1)*5 + COLUMN(E132) + 1 )</f>
        <v/>
      </c>
      <c r="G133" s="182">
        <f>Закуп!O133</f>
        <v/>
      </c>
      <c r="H133" s="182">
        <f>Закуп!Q133</f>
        <v/>
      </c>
      <c r="I133" s="182">
        <f>Закуп!X133</f>
        <v/>
      </c>
      <c r="J133" s="182">
        <f>Закуп!Y133</f>
        <v/>
      </c>
      <c r="K133" s="182">
        <f>Закуп!Z133</f>
        <v/>
      </c>
      <c r="L133" s="182">
        <f>Закуп!AA133</f>
        <v/>
      </c>
      <c r="M133" s="182">
        <f>Закуп!V133</f>
        <v/>
      </c>
      <c r="N133" s="182">
        <f>Закуп!W133</f>
        <v/>
      </c>
      <c r="O133" s="183">
        <f>IF(OR(Закуп!L133="",Закуп!L133=0),"",Закуп!L133)</f>
        <v/>
      </c>
      <c r="P133" s="182">
        <f>Закуп!K133</f>
        <v/>
      </c>
      <c r="Q133" s="217">
        <f>IF(Закуп!D133="","",IF(LEFT(Закуп!D133,1)="0","0",Закуп!D133))</f>
        <v/>
      </c>
      <c r="R133" s="184">
        <f>Закуп!C133</f>
        <v/>
      </c>
    </row>
    <row r="134">
      <c r="A134" s="177">
        <f>Закуп!E134</f>
        <v/>
      </c>
      <c r="B134" s="178">
        <f>INDEX(Calc!$K:$K, (ROW(A133)-1)*5 + COLUMN(A133) + 1 )</f>
        <v/>
      </c>
      <c r="C134" s="178">
        <f>INDEX(Calc!$K:$K, (ROW(B133)-1)*5 + COLUMN(B133) + 1 )</f>
        <v/>
      </c>
      <c r="D134" s="179">
        <f>INDEX(Calc!$K:$K, (ROW(C133)-1)*5 + COLUMN(C133) + 1 )</f>
        <v/>
      </c>
      <c r="E134" s="180">
        <f>INDEX(Calc!$K:$K, (ROW(D133)-1)*5 + COLUMN(D133) + 1 )</f>
        <v/>
      </c>
      <c r="F134" s="181">
        <f>INDEX(Calc!$K:$K, (ROW(E133)-1)*5 + COLUMN(E133) + 1 )</f>
        <v/>
      </c>
      <c r="G134" s="182">
        <f>Закуп!O134</f>
        <v/>
      </c>
      <c r="H134" s="182">
        <f>Закуп!Q134</f>
        <v/>
      </c>
      <c r="I134" s="182">
        <f>Закуп!X134</f>
        <v/>
      </c>
      <c r="J134" s="182">
        <f>Закуп!Y134</f>
        <v/>
      </c>
      <c r="K134" s="182">
        <f>Закуп!Z134</f>
        <v/>
      </c>
      <c r="L134" s="182">
        <f>Закуп!AA134</f>
        <v/>
      </c>
      <c r="M134" s="182">
        <f>Закуп!V134</f>
        <v/>
      </c>
      <c r="N134" s="182">
        <f>Закуп!W134</f>
        <v/>
      </c>
      <c r="O134" s="183">
        <f>IF(OR(Закуп!L134="",Закуп!L134=0),"",Закуп!L134)</f>
        <v/>
      </c>
      <c r="P134" s="182">
        <f>Закуп!K134</f>
        <v/>
      </c>
      <c r="Q134" s="217">
        <f>IF(Закуп!D134="","",IF(LEFT(Закуп!D134,1)="0","0",Закуп!D134))</f>
        <v/>
      </c>
      <c r="R134" s="184">
        <f>Закуп!C134</f>
        <v/>
      </c>
    </row>
    <row r="135">
      <c r="A135" s="177">
        <f>Закуп!E135</f>
        <v/>
      </c>
      <c r="B135" s="178">
        <f>INDEX(Calc!$K:$K, (ROW(A134)-1)*5 + COLUMN(A134) + 1 )</f>
        <v/>
      </c>
      <c r="C135" s="178">
        <f>INDEX(Calc!$K:$K, (ROW(B134)-1)*5 + COLUMN(B134) + 1 )</f>
        <v/>
      </c>
      <c r="D135" s="179">
        <f>INDEX(Calc!$K:$K, (ROW(C134)-1)*5 + COLUMN(C134) + 1 )</f>
        <v/>
      </c>
      <c r="E135" s="180">
        <f>INDEX(Calc!$K:$K, (ROW(D134)-1)*5 + COLUMN(D134) + 1 )</f>
        <v/>
      </c>
      <c r="F135" s="181">
        <f>INDEX(Calc!$K:$K, (ROW(E134)-1)*5 + COLUMN(E134) + 1 )</f>
        <v/>
      </c>
      <c r="G135" s="182">
        <f>Закуп!O135</f>
        <v/>
      </c>
      <c r="H135" s="182">
        <f>Закуп!Q135</f>
        <v/>
      </c>
      <c r="I135" s="182">
        <f>Закуп!X135</f>
        <v/>
      </c>
      <c r="J135" s="182">
        <f>Закуп!Y135</f>
        <v/>
      </c>
      <c r="K135" s="182">
        <f>Закуп!Z135</f>
        <v/>
      </c>
      <c r="L135" s="182">
        <f>Закуп!AA135</f>
        <v/>
      </c>
      <c r="M135" s="182">
        <f>Закуп!V135</f>
        <v/>
      </c>
      <c r="N135" s="182">
        <f>Закуп!W135</f>
        <v/>
      </c>
      <c r="O135" s="183">
        <f>IF(OR(Закуп!L135="",Закуп!L135=0),"",Закуп!L135)</f>
        <v/>
      </c>
      <c r="P135" s="182">
        <f>Закуп!K135</f>
        <v/>
      </c>
      <c r="Q135" s="217">
        <f>IF(Закуп!D135="","",IF(LEFT(Закуп!D135,1)="0","0",Закуп!D135))</f>
        <v/>
      </c>
      <c r="R135" s="184">
        <f>Закуп!C135</f>
        <v/>
      </c>
    </row>
    <row r="136">
      <c r="A136" s="177">
        <f>Закуп!E136</f>
        <v/>
      </c>
      <c r="B136" s="178">
        <f>INDEX(Calc!$K:$K, (ROW(A135)-1)*5 + COLUMN(A135) + 1 )</f>
        <v/>
      </c>
      <c r="C136" s="178">
        <f>INDEX(Calc!$K:$K, (ROW(B135)-1)*5 + COLUMN(B135) + 1 )</f>
        <v/>
      </c>
      <c r="D136" s="179">
        <f>INDEX(Calc!$K:$K, (ROW(C135)-1)*5 + COLUMN(C135) + 1 )</f>
        <v/>
      </c>
      <c r="E136" s="180">
        <f>INDEX(Calc!$K:$K, (ROW(D135)-1)*5 + COLUMN(D135) + 1 )</f>
        <v/>
      </c>
      <c r="F136" s="181">
        <f>INDEX(Calc!$K:$K, (ROW(E135)-1)*5 + COLUMN(E135) + 1 )</f>
        <v/>
      </c>
      <c r="G136" s="182">
        <f>Закуп!O136</f>
        <v/>
      </c>
      <c r="H136" s="182">
        <f>Закуп!Q136</f>
        <v/>
      </c>
      <c r="I136" s="182">
        <f>Закуп!X136</f>
        <v/>
      </c>
      <c r="J136" s="182">
        <f>Закуп!Y136</f>
        <v/>
      </c>
      <c r="K136" s="182">
        <f>Закуп!Z136</f>
        <v/>
      </c>
      <c r="L136" s="182">
        <f>Закуп!AA136</f>
        <v/>
      </c>
      <c r="M136" s="182">
        <f>Закуп!V136</f>
        <v/>
      </c>
      <c r="N136" s="182">
        <f>Закуп!W136</f>
        <v/>
      </c>
      <c r="O136" s="183">
        <f>IF(OR(Закуп!L136="",Закуп!L136=0),"",Закуп!L136)</f>
        <v/>
      </c>
      <c r="P136" s="182">
        <f>Закуп!K136</f>
        <v/>
      </c>
      <c r="Q136" s="217">
        <f>IF(Закуп!D136="","",IF(LEFT(Закуп!D136,1)="0","0",Закуп!D136))</f>
        <v/>
      </c>
      <c r="R136" s="184">
        <f>Закуп!C136</f>
        <v/>
      </c>
    </row>
    <row r="137">
      <c r="A137" s="177">
        <f>Закуп!E137</f>
        <v/>
      </c>
      <c r="B137" s="178">
        <f>INDEX(Calc!$K:$K, (ROW(A136)-1)*5 + COLUMN(A136) + 1 )</f>
        <v/>
      </c>
      <c r="C137" s="178">
        <f>INDEX(Calc!$K:$K, (ROW(B136)-1)*5 + COLUMN(B136) + 1 )</f>
        <v/>
      </c>
      <c r="D137" s="179">
        <f>INDEX(Calc!$K:$K, (ROW(C136)-1)*5 + COLUMN(C136) + 1 )</f>
        <v/>
      </c>
      <c r="E137" s="180">
        <f>INDEX(Calc!$K:$K, (ROW(D136)-1)*5 + COLUMN(D136) + 1 )</f>
        <v/>
      </c>
      <c r="F137" s="181">
        <f>INDEX(Calc!$K:$K, (ROW(E136)-1)*5 + COLUMN(E136) + 1 )</f>
        <v/>
      </c>
      <c r="G137" s="182">
        <f>Закуп!O137</f>
        <v/>
      </c>
      <c r="H137" s="182">
        <f>Закуп!Q137</f>
        <v/>
      </c>
      <c r="I137" s="182">
        <f>Закуп!X137</f>
        <v/>
      </c>
      <c r="J137" s="182">
        <f>Закуп!Y137</f>
        <v/>
      </c>
      <c r="K137" s="182">
        <f>Закуп!Z137</f>
        <v/>
      </c>
      <c r="L137" s="182">
        <f>Закуп!AA137</f>
        <v/>
      </c>
      <c r="M137" s="182">
        <f>Закуп!V137</f>
        <v/>
      </c>
      <c r="N137" s="182">
        <f>Закуп!W137</f>
        <v/>
      </c>
      <c r="O137" s="183">
        <f>IF(OR(Закуп!L137="",Закуп!L137=0),"",Закуп!L137)</f>
        <v/>
      </c>
      <c r="P137" s="182">
        <f>Закуп!K137</f>
        <v/>
      </c>
      <c r="Q137" s="217">
        <f>IF(Закуп!D137="","",IF(LEFT(Закуп!D137,1)="0","0",Закуп!D137))</f>
        <v/>
      </c>
      <c r="R137" s="184">
        <f>Закуп!C137</f>
        <v/>
      </c>
    </row>
    <row r="138">
      <c r="A138" s="177">
        <f>Закуп!E138</f>
        <v/>
      </c>
      <c r="B138" s="178">
        <f>INDEX(Calc!$K:$K, (ROW(A137)-1)*5 + COLUMN(A137) + 1 )</f>
        <v/>
      </c>
      <c r="C138" s="178">
        <f>INDEX(Calc!$K:$K, (ROW(B137)-1)*5 + COLUMN(B137) + 1 )</f>
        <v/>
      </c>
      <c r="D138" s="179">
        <f>INDEX(Calc!$K:$K, (ROW(C137)-1)*5 + COLUMN(C137) + 1 )</f>
        <v/>
      </c>
      <c r="E138" s="180">
        <f>INDEX(Calc!$K:$K, (ROW(D137)-1)*5 + COLUMN(D137) + 1 )</f>
        <v/>
      </c>
      <c r="F138" s="181">
        <f>INDEX(Calc!$K:$K, (ROW(E137)-1)*5 + COLUMN(E137) + 1 )</f>
        <v/>
      </c>
      <c r="G138" s="182">
        <f>Закуп!O138</f>
        <v/>
      </c>
      <c r="H138" s="182">
        <f>Закуп!Q138</f>
        <v/>
      </c>
      <c r="I138" s="182">
        <f>Закуп!X138</f>
        <v/>
      </c>
      <c r="J138" s="182">
        <f>Закуп!Y138</f>
        <v/>
      </c>
      <c r="K138" s="182">
        <f>Закуп!Z138</f>
        <v/>
      </c>
      <c r="L138" s="182">
        <f>Закуп!AA138</f>
        <v/>
      </c>
      <c r="M138" s="182">
        <f>Закуп!V138</f>
        <v/>
      </c>
      <c r="N138" s="182">
        <f>Закуп!W138</f>
        <v/>
      </c>
      <c r="O138" s="183">
        <f>IF(OR(Закуп!L138="",Закуп!L138=0),"",Закуп!L138)</f>
        <v/>
      </c>
      <c r="P138" s="182">
        <f>Закуп!K138</f>
        <v/>
      </c>
      <c r="Q138" s="217">
        <f>IF(Закуп!D138="","",IF(LEFT(Закуп!D138,1)="0","0",Закуп!D138))</f>
        <v/>
      </c>
      <c r="R138" s="184">
        <f>Закуп!C138</f>
        <v/>
      </c>
    </row>
    <row r="139">
      <c r="A139" s="177">
        <f>Закуп!E139</f>
        <v/>
      </c>
      <c r="B139" s="178">
        <f>INDEX(Calc!$K:$K, (ROW(A138)-1)*5 + COLUMN(A138) + 1 )</f>
        <v/>
      </c>
      <c r="C139" s="178">
        <f>INDEX(Calc!$K:$K, (ROW(B138)-1)*5 + COLUMN(B138) + 1 )</f>
        <v/>
      </c>
      <c r="D139" s="179">
        <f>INDEX(Calc!$K:$K, (ROW(C138)-1)*5 + COLUMN(C138) + 1 )</f>
        <v/>
      </c>
      <c r="E139" s="180">
        <f>INDEX(Calc!$K:$K, (ROW(D138)-1)*5 + COLUMN(D138) + 1 )</f>
        <v/>
      </c>
      <c r="F139" s="181">
        <f>INDEX(Calc!$K:$K, (ROW(E138)-1)*5 + COLUMN(E138) + 1 )</f>
        <v/>
      </c>
      <c r="G139" s="182">
        <f>Закуп!O139</f>
        <v/>
      </c>
      <c r="H139" s="182">
        <f>Закуп!Q139</f>
        <v/>
      </c>
      <c r="I139" s="182">
        <f>Закуп!X139</f>
        <v/>
      </c>
      <c r="J139" s="182">
        <f>Закуп!Y139</f>
        <v/>
      </c>
      <c r="K139" s="182">
        <f>Закуп!Z139</f>
        <v/>
      </c>
      <c r="L139" s="182">
        <f>Закуп!AA139</f>
        <v/>
      </c>
      <c r="M139" s="182">
        <f>Закуп!V139</f>
        <v/>
      </c>
      <c r="N139" s="182">
        <f>Закуп!W139</f>
        <v/>
      </c>
      <c r="O139" s="183">
        <f>IF(OR(Закуп!L139="",Закуп!L139=0),"",Закуп!L139)</f>
        <v/>
      </c>
      <c r="P139" s="182">
        <f>Закуп!K139</f>
        <v/>
      </c>
      <c r="Q139" s="217">
        <f>IF(Закуп!D139="","",IF(LEFT(Закуп!D139,1)="0","0",Закуп!D139))</f>
        <v/>
      </c>
      <c r="R139" s="184">
        <f>Закуп!C139</f>
        <v/>
      </c>
    </row>
    <row r="140">
      <c r="A140" s="177">
        <f>Закуп!E140</f>
        <v/>
      </c>
      <c r="B140" s="178">
        <f>INDEX(Calc!$K:$K, (ROW(A139)-1)*5 + COLUMN(A139) + 1 )</f>
        <v/>
      </c>
      <c r="C140" s="178">
        <f>INDEX(Calc!$K:$K, (ROW(B139)-1)*5 + COLUMN(B139) + 1 )</f>
        <v/>
      </c>
      <c r="D140" s="179">
        <f>INDEX(Calc!$K:$K, (ROW(C139)-1)*5 + COLUMN(C139) + 1 )</f>
        <v/>
      </c>
      <c r="E140" s="180">
        <f>INDEX(Calc!$K:$K, (ROW(D139)-1)*5 + COLUMN(D139) + 1 )</f>
        <v/>
      </c>
      <c r="F140" s="181">
        <f>INDEX(Calc!$K:$K, (ROW(E139)-1)*5 + COLUMN(E139) + 1 )</f>
        <v/>
      </c>
      <c r="G140" s="182">
        <f>Закуп!O140</f>
        <v/>
      </c>
      <c r="H140" s="182">
        <f>Закуп!Q140</f>
        <v/>
      </c>
      <c r="I140" s="182">
        <f>Закуп!X140</f>
        <v/>
      </c>
      <c r="J140" s="182">
        <f>Закуп!Y140</f>
        <v/>
      </c>
      <c r="K140" s="182">
        <f>Закуп!Z140</f>
        <v/>
      </c>
      <c r="L140" s="182">
        <f>Закуп!AA140</f>
        <v/>
      </c>
      <c r="M140" s="182">
        <f>Закуп!V140</f>
        <v/>
      </c>
      <c r="N140" s="182">
        <f>Закуп!W140</f>
        <v/>
      </c>
      <c r="O140" s="183">
        <f>IF(OR(Закуп!L140="",Закуп!L140=0),"",Закуп!L140)</f>
        <v/>
      </c>
      <c r="P140" s="182">
        <f>Закуп!K140</f>
        <v/>
      </c>
      <c r="Q140" s="217">
        <f>IF(Закуп!D140="","",IF(LEFT(Закуп!D140,1)="0","0",Закуп!D140))</f>
        <v/>
      </c>
      <c r="R140" s="184">
        <f>Закуп!C140</f>
        <v/>
      </c>
    </row>
    <row r="141">
      <c r="A141" s="177">
        <f>Закуп!E141</f>
        <v/>
      </c>
      <c r="B141" s="178">
        <f>INDEX(Calc!$K:$K, (ROW(A140)-1)*5 + COLUMN(A140) + 1 )</f>
        <v/>
      </c>
      <c r="C141" s="178">
        <f>INDEX(Calc!$K:$K, (ROW(B140)-1)*5 + COLUMN(B140) + 1 )</f>
        <v/>
      </c>
      <c r="D141" s="179">
        <f>INDEX(Calc!$K:$K, (ROW(C140)-1)*5 + COLUMN(C140) + 1 )</f>
        <v/>
      </c>
      <c r="E141" s="180">
        <f>INDEX(Calc!$K:$K, (ROW(D140)-1)*5 + COLUMN(D140) + 1 )</f>
        <v/>
      </c>
      <c r="F141" s="181">
        <f>INDEX(Calc!$K:$K, (ROW(E140)-1)*5 + COLUMN(E140) + 1 )</f>
        <v/>
      </c>
      <c r="G141" s="182">
        <f>Закуп!O141</f>
        <v/>
      </c>
      <c r="H141" s="182">
        <f>Закуп!Q141</f>
        <v/>
      </c>
      <c r="I141" s="182">
        <f>Закуп!X141</f>
        <v/>
      </c>
      <c r="J141" s="182">
        <f>Закуп!Y141</f>
        <v/>
      </c>
      <c r="K141" s="182">
        <f>Закуп!Z141</f>
        <v/>
      </c>
      <c r="L141" s="182">
        <f>Закуп!AA141</f>
        <v/>
      </c>
      <c r="M141" s="182">
        <f>Закуп!V141</f>
        <v/>
      </c>
      <c r="N141" s="182">
        <f>Закуп!W141</f>
        <v/>
      </c>
      <c r="O141" s="183">
        <f>IF(OR(Закуп!L141="",Закуп!L141=0),"",Закуп!L141)</f>
        <v/>
      </c>
      <c r="P141" s="182">
        <f>Закуп!K141</f>
        <v/>
      </c>
      <c r="Q141" s="217">
        <f>IF(Закуп!D141="","",IF(LEFT(Закуп!D141,1)="0","0",Закуп!D141))</f>
        <v/>
      </c>
      <c r="R141" s="184">
        <f>Закуп!C141</f>
        <v/>
      </c>
    </row>
    <row r="142">
      <c r="A142" s="177">
        <f>Закуп!E142</f>
        <v/>
      </c>
      <c r="B142" s="178">
        <f>INDEX(Calc!$K:$K, (ROW(A141)-1)*5 + COLUMN(A141) + 1 )</f>
        <v/>
      </c>
      <c r="C142" s="178">
        <f>INDEX(Calc!$K:$K, (ROW(B141)-1)*5 + COLUMN(B141) + 1 )</f>
        <v/>
      </c>
      <c r="D142" s="179">
        <f>INDEX(Calc!$K:$K, (ROW(C141)-1)*5 + COLUMN(C141) + 1 )</f>
        <v/>
      </c>
      <c r="E142" s="180">
        <f>INDEX(Calc!$K:$K, (ROW(D141)-1)*5 + COLUMN(D141) + 1 )</f>
        <v/>
      </c>
      <c r="F142" s="181">
        <f>INDEX(Calc!$K:$K, (ROW(E141)-1)*5 + COLUMN(E141) + 1 )</f>
        <v/>
      </c>
      <c r="G142" s="182">
        <f>Закуп!O142</f>
        <v/>
      </c>
      <c r="H142" s="182">
        <f>Закуп!Q142</f>
        <v/>
      </c>
      <c r="I142" s="182">
        <f>Закуп!X142</f>
        <v/>
      </c>
      <c r="J142" s="182">
        <f>Закуп!Y142</f>
        <v/>
      </c>
      <c r="K142" s="182">
        <f>Закуп!Z142</f>
        <v/>
      </c>
      <c r="L142" s="182">
        <f>Закуп!AA142</f>
        <v/>
      </c>
      <c r="M142" s="182">
        <f>Закуп!V142</f>
        <v/>
      </c>
      <c r="N142" s="182">
        <f>Закуп!W142</f>
        <v/>
      </c>
      <c r="O142" s="183">
        <f>IF(OR(Закуп!L142="",Закуп!L142=0),"",Закуп!L142)</f>
        <v/>
      </c>
      <c r="P142" s="182">
        <f>Закуп!K142</f>
        <v/>
      </c>
      <c r="Q142" s="217">
        <f>IF(Закуп!D142="","",IF(LEFT(Закуп!D142,1)="0","0",Закуп!D142))</f>
        <v/>
      </c>
      <c r="R142" s="184">
        <f>Закуп!C142</f>
        <v/>
      </c>
    </row>
    <row r="143">
      <c r="A143" s="177">
        <f>Закуп!E143</f>
        <v/>
      </c>
      <c r="B143" s="178">
        <f>INDEX(Calc!$K:$K, (ROW(A142)-1)*5 + COLUMN(A142) + 1 )</f>
        <v/>
      </c>
      <c r="C143" s="178">
        <f>INDEX(Calc!$K:$K, (ROW(B142)-1)*5 + COLUMN(B142) + 1 )</f>
        <v/>
      </c>
      <c r="D143" s="179">
        <f>INDEX(Calc!$K:$K, (ROW(C142)-1)*5 + COLUMN(C142) + 1 )</f>
        <v/>
      </c>
      <c r="E143" s="180">
        <f>INDEX(Calc!$K:$K, (ROW(D142)-1)*5 + COLUMN(D142) + 1 )</f>
        <v/>
      </c>
      <c r="F143" s="181">
        <f>INDEX(Calc!$K:$K, (ROW(E142)-1)*5 + COLUMN(E142) + 1 )</f>
        <v/>
      </c>
      <c r="G143" s="182">
        <f>Закуп!O143</f>
        <v/>
      </c>
      <c r="H143" s="182">
        <f>Закуп!Q143</f>
        <v/>
      </c>
      <c r="I143" s="182">
        <f>Закуп!X143</f>
        <v/>
      </c>
      <c r="J143" s="182">
        <f>Закуп!Y143</f>
        <v/>
      </c>
      <c r="K143" s="182">
        <f>Закуп!Z143</f>
        <v/>
      </c>
      <c r="L143" s="182">
        <f>Закуп!AA143</f>
        <v/>
      </c>
      <c r="M143" s="182">
        <f>Закуп!V143</f>
        <v/>
      </c>
      <c r="N143" s="182">
        <f>Закуп!W143</f>
        <v/>
      </c>
      <c r="O143" s="183">
        <f>IF(OR(Закуп!L143="",Закуп!L143=0),"",Закуп!L143)</f>
        <v/>
      </c>
      <c r="P143" s="182">
        <f>Закуп!K143</f>
        <v/>
      </c>
      <c r="Q143" s="217">
        <f>IF(Закуп!D143="","",IF(LEFT(Закуп!D143,1)="0","0",Закуп!D143))</f>
        <v/>
      </c>
      <c r="R143" s="184">
        <f>Закуп!C143</f>
        <v/>
      </c>
    </row>
    <row r="144">
      <c r="A144" s="177">
        <f>Закуп!E144</f>
        <v/>
      </c>
      <c r="B144" s="178">
        <f>INDEX(Calc!$K:$K, (ROW(A143)-1)*5 + COLUMN(A143) + 1 )</f>
        <v/>
      </c>
      <c r="C144" s="178">
        <f>INDEX(Calc!$K:$K, (ROW(B143)-1)*5 + COLUMN(B143) + 1 )</f>
        <v/>
      </c>
      <c r="D144" s="179">
        <f>INDEX(Calc!$K:$K, (ROW(C143)-1)*5 + COLUMN(C143) + 1 )</f>
        <v/>
      </c>
      <c r="E144" s="180">
        <f>INDEX(Calc!$K:$K, (ROW(D143)-1)*5 + COLUMN(D143) + 1 )</f>
        <v/>
      </c>
      <c r="F144" s="181">
        <f>INDEX(Calc!$K:$K, (ROW(E143)-1)*5 + COLUMN(E143) + 1 )</f>
        <v/>
      </c>
      <c r="G144" s="182">
        <f>Закуп!O144</f>
        <v/>
      </c>
      <c r="H144" s="182">
        <f>Закуп!Q144</f>
        <v/>
      </c>
      <c r="I144" s="182">
        <f>Закуп!X144</f>
        <v/>
      </c>
      <c r="J144" s="182">
        <f>Закуп!Y144</f>
        <v/>
      </c>
      <c r="K144" s="182">
        <f>Закуп!Z144</f>
        <v/>
      </c>
      <c r="L144" s="182">
        <f>Закуп!AA144</f>
        <v/>
      </c>
      <c r="M144" s="182">
        <f>Закуп!V144</f>
        <v/>
      </c>
      <c r="N144" s="182">
        <f>Закуп!W144</f>
        <v/>
      </c>
      <c r="O144" s="183">
        <f>IF(OR(Закуп!L144="",Закуп!L144=0),"",Закуп!L144)</f>
        <v/>
      </c>
      <c r="P144" s="182">
        <f>Закуп!K144</f>
        <v/>
      </c>
      <c r="Q144" s="217">
        <f>IF(Закуп!D144="","",IF(LEFT(Закуп!D144,1)="0","0",Закуп!D144))</f>
        <v/>
      </c>
      <c r="R144" s="184">
        <f>Закуп!C144</f>
        <v/>
      </c>
    </row>
    <row r="145">
      <c r="A145" s="177">
        <f>Закуп!E145</f>
        <v/>
      </c>
      <c r="B145" s="178">
        <f>INDEX(Calc!$K:$K, (ROW(A144)-1)*5 + COLUMN(A144) + 1 )</f>
        <v/>
      </c>
      <c r="C145" s="178">
        <f>INDEX(Calc!$K:$K, (ROW(B144)-1)*5 + COLUMN(B144) + 1 )</f>
        <v/>
      </c>
      <c r="D145" s="179">
        <f>INDEX(Calc!$K:$K, (ROW(C144)-1)*5 + COLUMN(C144) + 1 )</f>
        <v/>
      </c>
      <c r="E145" s="180">
        <f>INDEX(Calc!$K:$K, (ROW(D144)-1)*5 + COLUMN(D144) + 1 )</f>
        <v/>
      </c>
      <c r="F145" s="181">
        <f>INDEX(Calc!$K:$K, (ROW(E144)-1)*5 + COLUMN(E144) + 1 )</f>
        <v/>
      </c>
      <c r="G145" s="182">
        <f>Закуп!O145</f>
        <v/>
      </c>
      <c r="H145" s="182">
        <f>Закуп!Q145</f>
        <v/>
      </c>
      <c r="I145" s="182">
        <f>Закуп!X145</f>
        <v/>
      </c>
      <c r="J145" s="182">
        <f>Закуп!Y145</f>
        <v/>
      </c>
      <c r="K145" s="182">
        <f>Закуп!Z145</f>
        <v/>
      </c>
      <c r="L145" s="182">
        <f>Закуп!AA145</f>
        <v/>
      </c>
      <c r="M145" s="182">
        <f>Закуп!V145</f>
        <v/>
      </c>
      <c r="N145" s="182">
        <f>Закуп!W145</f>
        <v/>
      </c>
      <c r="O145" s="183">
        <f>IF(OR(Закуп!L145="",Закуп!L145=0),"",Закуп!L145)</f>
        <v/>
      </c>
      <c r="P145" s="182">
        <f>Закуп!K145</f>
        <v/>
      </c>
      <c r="Q145" s="217">
        <f>IF(Закуп!D145="","",IF(LEFT(Закуп!D145,1)="0","0",Закуп!D145))</f>
        <v/>
      </c>
      <c r="R145" s="184">
        <f>Закуп!C145</f>
        <v/>
      </c>
    </row>
    <row r="146">
      <c r="A146" s="177">
        <f>Закуп!E146</f>
        <v/>
      </c>
      <c r="B146" s="178">
        <f>INDEX(Calc!$K:$K, (ROW(A145)-1)*5 + COLUMN(A145) + 1 )</f>
        <v/>
      </c>
      <c r="C146" s="178">
        <f>INDEX(Calc!$K:$K, (ROW(B145)-1)*5 + COLUMN(B145) + 1 )</f>
        <v/>
      </c>
      <c r="D146" s="179">
        <f>INDEX(Calc!$K:$K, (ROW(C145)-1)*5 + COLUMN(C145) + 1 )</f>
        <v/>
      </c>
      <c r="E146" s="180">
        <f>INDEX(Calc!$K:$K, (ROW(D145)-1)*5 + COLUMN(D145) + 1 )</f>
        <v/>
      </c>
      <c r="F146" s="181">
        <f>INDEX(Calc!$K:$K, (ROW(E145)-1)*5 + COLUMN(E145) + 1 )</f>
        <v/>
      </c>
      <c r="G146" s="182">
        <f>Закуп!O146</f>
        <v/>
      </c>
      <c r="H146" s="182">
        <f>Закуп!Q146</f>
        <v/>
      </c>
      <c r="I146" s="182">
        <f>Закуп!X146</f>
        <v/>
      </c>
      <c r="J146" s="182">
        <f>Закуп!Y146</f>
        <v/>
      </c>
      <c r="K146" s="182">
        <f>Закуп!Z146</f>
        <v/>
      </c>
      <c r="L146" s="182">
        <f>Закуп!AA146</f>
        <v/>
      </c>
      <c r="M146" s="182">
        <f>Закуп!V146</f>
        <v/>
      </c>
      <c r="N146" s="182">
        <f>Закуп!W146</f>
        <v/>
      </c>
      <c r="O146" s="183">
        <f>IF(OR(Закуп!L146="",Закуп!L146=0),"",Закуп!L146)</f>
        <v/>
      </c>
      <c r="P146" s="182">
        <f>Закуп!K146</f>
        <v/>
      </c>
      <c r="Q146" s="217">
        <f>IF(Закуп!D146="","",IF(LEFT(Закуп!D146,1)="0","0",Закуп!D146))</f>
        <v/>
      </c>
      <c r="R146" s="184">
        <f>Закуп!C146</f>
        <v/>
      </c>
    </row>
    <row r="147">
      <c r="A147" s="177">
        <f>Закуп!E147</f>
        <v/>
      </c>
      <c r="B147" s="178">
        <f>INDEX(Calc!$K:$K, (ROW(A146)-1)*5 + COLUMN(A146) + 1 )</f>
        <v/>
      </c>
      <c r="C147" s="178">
        <f>INDEX(Calc!$K:$K, (ROW(B146)-1)*5 + COLUMN(B146) + 1 )</f>
        <v/>
      </c>
      <c r="D147" s="179">
        <f>INDEX(Calc!$K:$K, (ROW(C146)-1)*5 + COLUMN(C146) + 1 )</f>
        <v/>
      </c>
      <c r="E147" s="180">
        <f>INDEX(Calc!$K:$K, (ROW(D146)-1)*5 + COLUMN(D146) + 1 )</f>
        <v/>
      </c>
      <c r="F147" s="181">
        <f>INDEX(Calc!$K:$K, (ROW(E146)-1)*5 + COLUMN(E146) + 1 )</f>
        <v/>
      </c>
      <c r="G147" s="182">
        <f>Закуп!O147</f>
        <v/>
      </c>
      <c r="H147" s="182">
        <f>Закуп!Q147</f>
        <v/>
      </c>
      <c r="I147" s="182">
        <f>Закуп!X147</f>
        <v/>
      </c>
      <c r="J147" s="182">
        <f>Закуп!Y147</f>
        <v/>
      </c>
      <c r="K147" s="182">
        <f>Закуп!Z147</f>
        <v/>
      </c>
      <c r="L147" s="182">
        <f>Закуп!AA147</f>
        <v/>
      </c>
      <c r="M147" s="182">
        <f>Закуп!V147</f>
        <v/>
      </c>
      <c r="N147" s="182">
        <f>Закуп!W147</f>
        <v/>
      </c>
      <c r="O147" s="183">
        <f>IF(OR(Закуп!L147="",Закуп!L147=0),"",Закуп!L147)</f>
        <v/>
      </c>
      <c r="P147" s="182">
        <f>Закуп!K147</f>
        <v/>
      </c>
      <c r="Q147" s="217">
        <f>IF(Закуп!D147="","",IF(LEFT(Закуп!D147,1)="0","0",Закуп!D147))</f>
        <v/>
      </c>
      <c r="R147" s="184">
        <f>Закуп!C147</f>
        <v/>
      </c>
    </row>
    <row r="148">
      <c r="A148" s="177">
        <f>Закуп!E148</f>
        <v/>
      </c>
      <c r="B148" s="178">
        <f>INDEX(Calc!$K:$K, (ROW(A147)-1)*5 + COLUMN(A147) + 1 )</f>
        <v/>
      </c>
      <c r="C148" s="178">
        <f>INDEX(Calc!$K:$K, (ROW(B147)-1)*5 + COLUMN(B147) + 1 )</f>
        <v/>
      </c>
      <c r="D148" s="179">
        <f>INDEX(Calc!$K:$K, (ROW(C147)-1)*5 + COLUMN(C147) + 1 )</f>
        <v/>
      </c>
      <c r="E148" s="180">
        <f>INDEX(Calc!$K:$K, (ROW(D147)-1)*5 + COLUMN(D147) + 1 )</f>
        <v/>
      </c>
      <c r="F148" s="181">
        <f>INDEX(Calc!$K:$K, (ROW(E147)-1)*5 + COLUMN(E147) + 1 )</f>
        <v/>
      </c>
      <c r="G148" s="182">
        <f>Закуп!O148</f>
        <v/>
      </c>
      <c r="H148" s="182">
        <f>Закуп!Q148</f>
        <v/>
      </c>
      <c r="I148" s="182">
        <f>Закуп!X148</f>
        <v/>
      </c>
      <c r="J148" s="182">
        <f>Закуп!Y148</f>
        <v/>
      </c>
      <c r="K148" s="182">
        <f>Закуп!Z148</f>
        <v/>
      </c>
      <c r="L148" s="182">
        <f>Закуп!AA148</f>
        <v/>
      </c>
      <c r="M148" s="182">
        <f>Закуп!V148</f>
        <v/>
      </c>
      <c r="N148" s="182">
        <f>Закуп!W148</f>
        <v/>
      </c>
      <c r="O148" s="183">
        <f>IF(OR(Закуп!L148="",Закуп!L148=0),"",Закуп!L148)</f>
        <v/>
      </c>
      <c r="P148" s="182">
        <f>Закуп!K148</f>
        <v/>
      </c>
      <c r="Q148" s="217">
        <f>IF(Закуп!D148="","",IF(LEFT(Закуп!D148,1)="0","0",Закуп!D148))</f>
        <v/>
      </c>
      <c r="R148" s="184">
        <f>Закуп!C148</f>
        <v/>
      </c>
    </row>
    <row r="149">
      <c r="A149" s="177">
        <f>Закуп!E149</f>
        <v/>
      </c>
      <c r="B149" s="178">
        <f>INDEX(Calc!$K:$K, (ROW(A148)-1)*5 + COLUMN(A148) + 1 )</f>
        <v/>
      </c>
      <c r="C149" s="178">
        <f>INDEX(Calc!$K:$K, (ROW(B148)-1)*5 + COLUMN(B148) + 1 )</f>
        <v/>
      </c>
      <c r="D149" s="179">
        <f>INDEX(Calc!$K:$K, (ROW(C148)-1)*5 + COLUMN(C148) + 1 )</f>
        <v/>
      </c>
      <c r="E149" s="180">
        <f>INDEX(Calc!$K:$K, (ROW(D148)-1)*5 + COLUMN(D148) + 1 )</f>
        <v/>
      </c>
      <c r="F149" s="181">
        <f>INDEX(Calc!$K:$K, (ROW(E148)-1)*5 + COLUMN(E148) + 1 )</f>
        <v/>
      </c>
      <c r="G149" s="182">
        <f>Закуп!O149</f>
        <v/>
      </c>
      <c r="H149" s="182">
        <f>Закуп!Q149</f>
        <v/>
      </c>
      <c r="I149" s="182">
        <f>Закуп!X149</f>
        <v/>
      </c>
      <c r="J149" s="182">
        <f>Закуп!Y149</f>
        <v/>
      </c>
      <c r="K149" s="182">
        <f>Закуп!Z149</f>
        <v/>
      </c>
      <c r="L149" s="182">
        <f>Закуп!AA149</f>
        <v/>
      </c>
      <c r="M149" s="182">
        <f>Закуп!V149</f>
        <v/>
      </c>
      <c r="N149" s="182">
        <f>Закуп!W149</f>
        <v/>
      </c>
      <c r="O149" s="183">
        <f>IF(OR(Закуп!L149="",Закуп!L149=0),"",Закуп!L149)</f>
        <v/>
      </c>
      <c r="P149" s="182">
        <f>Закуп!K149</f>
        <v/>
      </c>
      <c r="Q149" s="217">
        <f>IF(Закуп!D149="","",IF(LEFT(Закуп!D149,1)="0","0",Закуп!D149))</f>
        <v/>
      </c>
      <c r="R149" s="184">
        <f>Закуп!C149</f>
        <v/>
      </c>
    </row>
    <row r="150">
      <c r="A150" s="177">
        <f>Закуп!E150</f>
        <v/>
      </c>
      <c r="B150" s="178">
        <f>INDEX(Calc!$K:$K, (ROW(A149)-1)*5 + COLUMN(A149) + 1 )</f>
        <v/>
      </c>
      <c r="C150" s="178">
        <f>INDEX(Calc!$K:$K, (ROW(B149)-1)*5 + COLUMN(B149) + 1 )</f>
        <v/>
      </c>
      <c r="D150" s="179">
        <f>INDEX(Calc!$K:$K, (ROW(C149)-1)*5 + COLUMN(C149) + 1 )</f>
        <v/>
      </c>
      <c r="E150" s="180">
        <f>INDEX(Calc!$K:$K, (ROW(D149)-1)*5 + COLUMN(D149) + 1 )</f>
        <v/>
      </c>
      <c r="F150" s="181">
        <f>INDEX(Calc!$K:$K, (ROW(E149)-1)*5 + COLUMN(E149) + 1 )</f>
        <v/>
      </c>
      <c r="G150" s="182">
        <f>Закуп!O150</f>
        <v/>
      </c>
      <c r="H150" s="182">
        <f>Закуп!Q150</f>
        <v/>
      </c>
      <c r="I150" s="182">
        <f>Закуп!X150</f>
        <v/>
      </c>
      <c r="J150" s="182">
        <f>Закуп!Y150</f>
        <v/>
      </c>
      <c r="K150" s="182">
        <f>Закуп!Z150</f>
        <v/>
      </c>
      <c r="L150" s="182">
        <f>Закуп!AA150</f>
        <v/>
      </c>
      <c r="M150" s="182">
        <f>Закуп!V150</f>
        <v/>
      </c>
      <c r="N150" s="182">
        <f>Закуп!W150</f>
        <v/>
      </c>
      <c r="O150" s="183">
        <f>IF(OR(Закуп!L150="",Закуп!L150=0),"",Закуп!L150)</f>
        <v/>
      </c>
      <c r="P150" s="182">
        <f>Закуп!K150</f>
        <v/>
      </c>
      <c r="Q150" s="217">
        <f>IF(Закуп!D150="","",IF(LEFT(Закуп!D150,1)="0","0",Закуп!D150))</f>
        <v/>
      </c>
      <c r="R150" s="184">
        <f>Закуп!C150</f>
        <v/>
      </c>
    </row>
    <row r="151">
      <c r="A151" s="177">
        <f>Закуп!E151</f>
        <v/>
      </c>
      <c r="B151" s="178">
        <f>INDEX(Calc!$K:$K, (ROW(A150)-1)*5 + COLUMN(A150) + 1 )</f>
        <v/>
      </c>
      <c r="C151" s="178">
        <f>INDEX(Calc!$K:$K, (ROW(B150)-1)*5 + COLUMN(B150) + 1 )</f>
        <v/>
      </c>
      <c r="D151" s="179">
        <f>INDEX(Calc!$K:$K, (ROW(C150)-1)*5 + COLUMN(C150) + 1 )</f>
        <v/>
      </c>
      <c r="E151" s="180">
        <f>INDEX(Calc!$K:$K, (ROW(D150)-1)*5 + COLUMN(D150) + 1 )</f>
        <v/>
      </c>
      <c r="F151" s="181">
        <f>INDEX(Calc!$K:$K, (ROW(E150)-1)*5 + COLUMN(E150) + 1 )</f>
        <v/>
      </c>
      <c r="G151" s="182">
        <f>Закуп!O151</f>
        <v/>
      </c>
      <c r="H151" s="182">
        <f>Закуп!Q151</f>
        <v/>
      </c>
      <c r="I151" s="182">
        <f>Закуп!X151</f>
        <v/>
      </c>
      <c r="J151" s="182">
        <f>Закуп!Y151</f>
        <v/>
      </c>
      <c r="K151" s="182">
        <f>Закуп!Z151</f>
        <v/>
      </c>
      <c r="L151" s="182">
        <f>Закуп!AA151</f>
        <v/>
      </c>
      <c r="M151" s="182">
        <f>Закуп!V151</f>
        <v/>
      </c>
      <c r="N151" s="182">
        <f>Закуп!W151</f>
        <v/>
      </c>
      <c r="O151" s="183">
        <f>IF(OR(Закуп!L151="",Закуп!L151=0),"",Закуп!L151)</f>
        <v/>
      </c>
      <c r="P151" s="182">
        <f>Закуп!K151</f>
        <v/>
      </c>
      <c r="Q151" s="217">
        <f>IF(Закуп!D151="","",IF(LEFT(Закуп!D151,1)="0","0",Закуп!D151))</f>
        <v/>
      </c>
      <c r="R151" s="184">
        <f>Закуп!C151</f>
        <v/>
      </c>
    </row>
    <row r="152">
      <c r="A152" s="177">
        <f>Закуп!E152</f>
        <v/>
      </c>
      <c r="B152" s="178">
        <f>INDEX(Calc!$K:$K, (ROW(A151)-1)*5 + COLUMN(A151) + 1 )</f>
        <v/>
      </c>
      <c r="C152" s="178">
        <f>INDEX(Calc!$K:$K, (ROW(B151)-1)*5 + COLUMN(B151) + 1 )</f>
        <v/>
      </c>
      <c r="D152" s="179">
        <f>INDEX(Calc!$K:$K, (ROW(C151)-1)*5 + COLUMN(C151) + 1 )</f>
        <v/>
      </c>
      <c r="E152" s="180">
        <f>INDEX(Calc!$K:$K, (ROW(D151)-1)*5 + COLUMN(D151) + 1 )</f>
        <v/>
      </c>
      <c r="F152" s="181">
        <f>INDEX(Calc!$K:$K, (ROW(E151)-1)*5 + COLUMN(E151) + 1 )</f>
        <v/>
      </c>
      <c r="G152" s="182">
        <f>Закуп!O152</f>
        <v/>
      </c>
      <c r="H152" s="182">
        <f>Закуп!Q152</f>
        <v/>
      </c>
      <c r="I152" s="182">
        <f>Закуп!X152</f>
        <v/>
      </c>
      <c r="J152" s="182">
        <f>Закуп!Y152</f>
        <v/>
      </c>
      <c r="K152" s="182">
        <f>Закуп!Z152</f>
        <v/>
      </c>
      <c r="L152" s="182">
        <f>Закуп!AA152</f>
        <v/>
      </c>
      <c r="M152" s="182">
        <f>Закуп!V152</f>
        <v/>
      </c>
      <c r="N152" s="182">
        <f>Закуп!W152</f>
        <v/>
      </c>
      <c r="O152" s="183">
        <f>IF(OR(Закуп!L152="",Закуп!L152=0),"",Закуп!L152)</f>
        <v/>
      </c>
      <c r="P152" s="182">
        <f>Закуп!K152</f>
        <v/>
      </c>
      <c r="Q152" s="217">
        <f>IF(Закуп!D152="","",IF(LEFT(Закуп!D152,1)="0","0",Закуп!D152))</f>
        <v/>
      </c>
      <c r="R152" s="184">
        <f>Закуп!C152</f>
        <v/>
      </c>
    </row>
    <row r="153">
      <c r="A153" s="177">
        <f>Закуп!E153</f>
        <v/>
      </c>
      <c r="B153" s="178">
        <f>INDEX(Calc!$K:$K, (ROW(A152)-1)*5 + COLUMN(A152) + 1 )</f>
        <v/>
      </c>
      <c r="C153" s="178">
        <f>INDEX(Calc!$K:$K, (ROW(B152)-1)*5 + COLUMN(B152) + 1 )</f>
        <v/>
      </c>
      <c r="D153" s="179">
        <f>INDEX(Calc!$K:$K, (ROW(C152)-1)*5 + COLUMN(C152) + 1 )</f>
        <v/>
      </c>
      <c r="E153" s="180">
        <f>INDEX(Calc!$K:$K, (ROW(D152)-1)*5 + COLUMN(D152) + 1 )</f>
        <v/>
      </c>
      <c r="F153" s="181">
        <f>INDEX(Calc!$K:$K, (ROW(E152)-1)*5 + COLUMN(E152) + 1 )</f>
        <v/>
      </c>
      <c r="G153" s="182">
        <f>Закуп!O153</f>
        <v/>
      </c>
      <c r="H153" s="182">
        <f>Закуп!Q153</f>
        <v/>
      </c>
      <c r="I153" s="182">
        <f>Закуп!X153</f>
        <v/>
      </c>
      <c r="J153" s="182">
        <f>Закуп!Y153</f>
        <v/>
      </c>
      <c r="K153" s="182">
        <f>Закуп!Z153</f>
        <v/>
      </c>
      <c r="L153" s="182">
        <f>Закуп!AA153</f>
        <v/>
      </c>
      <c r="M153" s="182">
        <f>Закуп!V153</f>
        <v/>
      </c>
      <c r="N153" s="182">
        <f>Закуп!W153</f>
        <v/>
      </c>
      <c r="O153" s="183">
        <f>IF(OR(Закуп!L153="",Закуп!L153=0),"",Закуп!L153)</f>
        <v/>
      </c>
      <c r="P153" s="182">
        <f>Закуп!K153</f>
        <v/>
      </c>
      <c r="Q153" s="217">
        <f>IF(Закуп!D153="","",IF(LEFT(Закуп!D153,1)="0","0",Закуп!D153))</f>
        <v/>
      </c>
      <c r="R153" s="184">
        <f>Закуп!C153</f>
        <v/>
      </c>
    </row>
    <row r="154">
      <c r="A154" s="177">
        <f>Закуп!E154</f>
        <v/>
      </c>
      <c r="B154" s="178">
        <f>INDEX(Calc!$K:$K, (ROW(A153)-1)*5 + COLUMN(A153) + 1 )</f>
        <v/>
      </c>
      <c r="C154" s="178">
        <f>INDEX(Calc!$K:$K, (ROW(B153)-1)*5 + COLUMN(B153) + 1 )</f>
        <v/>
      </c>
      <c r="D154" s="179">
        <f>INDEX(Calc!$K:$K, (ROW(C153)-1)*5 + COLUMN(C153) + 1 )</f>
        <v/>
      </c>
      <c r="E154" s="180">
        <f>INDEX(Calc!$K:$K, (ROW(D153)-1)*5 + COLUMN(D153) + 1 )</f>
        <v/>
      </c>
      <c r="F154" s="181">
        <f>INDEX(Calc!$K:$K, (ROW(E153)-1)*5 + COLUMN(E153) + 1 )</f>
        <v/>
      </c>
      <c r="G154" s="182">
        <f>Закуп!O154</f>
        <v/>
      </c>
      <c r="H154" s="182">
        <f>Закуп!Q154</f>
        <v/>
      </c>
      <c r="I154" s="182">
        <f>Закуп!X154</f>
        <v/>
      </c>
      <c r="J154" s="182">
        <f>Закуп!Y154</f>
        <v/>
      </c>
      <c r="K154" s="182">
        <f>Закуп!Z154</f>
        <v/>
      </c>
      <c r="L154" s="182">
        <f>Закуп!AA154</f>
        <v/>
      </c>
      <c r="M154" s="182">
        <f>Закуп!V154</f>
        <v/>
      </c>
      <c r="N154" s="182">
        <f>Закуп!W154</f>
        <v/>
      </c>
      <c r="O154" s="183">
        <f>IF(OR(Закуп!L154="",Закуп!L154=0),"",Закуп!L154)</f>
        <v/>
      </c>
      <c r="P154" s="182">
        <f>Закуп!K154</f>
        <v/>
      </c>
      <c r="Q154" s="217">
        <f>IF(Закуп!D154="","",IF(LEFT(Закуп!D154,1)="0","0",Закуп!D154))</f>
        <v/>
      </c>
      <c r="R154" s="184">
        <f>Закуп!C154</f>
        <v/>
      </c>
    </row>
    <row r="155">
      <c r="A155" s="177">
        <f>Закуп!E155</f>
        <v/>
      </c>
      <c r="B155" s="178">
        <f>INDEX(Calc!$K:$K, (ROW(A154)-1)*5 + COLUMN(A154) + 1 )</f>
        <v/>
      </c>
      <c r="C155" s="178">
        <f>INDEX(Calc!$K:$K, (ROW(B154)-1)*5 + COLUMN(B154) + 1 )</f>
        <v/>
      </c>
      <c r="D155" s="179">
        <f>INDEX(Calc!$K:$K, (ROW(C154)-1)*5 + COLUMN(C154) + 1 )</f>
        <v/>
      </c>
      <c r="E155" s="180">
        <f>INDEX(Calc!$K:$K, (ROW(D154)-1)*5 + COLUMN(D154) + 1 )</f>
        <v/>
      </c>
      <c r="F155" s="181">
        <f>INDEX(Calc!$K:$K, (ROW(E154)-1)*5 + COLUMN(E154) + 1 )</f>
        <v/>
      </c>
      <c r="G155" s="182">
        <f>Закуп!O155</f>
        <v/>
      </c>
      <c r="H155" s="182">
        <f>Закуп!Q155</f>
        <v/>
      </c>
      <c r="I155" s="182">
        <f>Закуп!X155</f>
        <v/>
      </c>
      <c r="J155" s="182">
        <f>Закуп!Y155</f>
        <v/>
      </c>
      <c r="K155" s="182">
        <f>Закуп!Z155</f>
        <v/>
      </c>
      <c r="L155" s="182">
        <f>Закуп!AA155</f>
        <v/>
      </c>
      <c r="M155" s="182">
        <f>Закуп!V155</f>
        <v/>
      </c>
      <c r="N155" s="182">
        <f>Закуп!W155</f>
        <v/>
      </c>
      <c r="O155" s="183">
        <f>IF(OR(Закуп!L155="",Закуп!L155=0),"",Закуп!L155)</f>
        <v/>
      </c>
      <c r="P155" s="182">
        <f>Закуп!K155</f>
        <v/>
      </c>
      <c r="Q155" s="217">
        <f>IF(Закуп!D155="","",IF(LEFT(Закуп!D155,1)="0","0",Закуп!D155))</f>
        <v/>
      </c>
      <c r="R155" s="184">
        <f>Закуп!C155</f>
        <v/>
      </c>
    </row>
    <row r="156">
      <c r="A156" s="177">
        <f>Закуп!E156</f>
        <v/>
      </c>
      <c r="B156" s="178">
        <f>INDEX(Calc!$K:$K, (ROW(A155)-1)*5 + COLUMN(A155) + 1 )</f>
        <v/>
      </c>
      <c r="C156" s="178">
        <f>INDEX(Calc!$K:$K, (ROW(B155)-1)*5 + COLUMN(B155) + 1 )</f>
        <v/>
      </c>
      <c r="D156" s="179">
        <f>INDEX(Calc!$K:$K, (ROW(C155)-1)*5 + COLUMN(C155) + 1 )</f>
        <v/>
      </c>
      <c r="E156" s="180">
        <f>INDEX(Calc!$K:$K, (ROW(D155)-1)*5 + COLUMN(D155) + 1 )</f>
        <v/>
      </c>
      <c r="F156" s="181">
        <f>INDEX(Calc!$K:$K, (ROW(E155)-1)*5 + COLUMN(E155) + 1 )</f>
        <v/>
      </c>
      <c r="G156" s="182">
        <f>Закуп!O156</f>
        <v/>
      </c>
      <c r="H156" s="182">
        <f>Закуп!Q156</f>
        <v/>
      </c>
      <c r="I156" s="182">
        <f>Закуп!X156</f>
        <v/>
      </c>
      <c r="J156" s="182">
        <f>Закуп!Y156</f>
        <v/>
      </c>
      <c r="K156" s="182">
        <f>Закуп!Z156</f>
        <v/>
      </c>
      <c r="L156" s="182">
        <f>Закуп!AA156</f>
        <v/>
      </c>
      <c r="M156" s="182">
        <f>Закуп!V156</f>
        <v/>
      </c>
      <c r="N156" s="182">
        <f>Закуп!W156</f>
        <v/>
      </c>
      <c r="O156" s="183">
        <f>IF(OR(Закуп!L156="",Закуп!L156=0),"",Закуп!L156)</f>
        <v/>
      </c>
      <c r="P156" s="182">
        <f>Закуп!K156</f>
        <v/>
      </c>
      <c r="Q156" s="217">
        <f>IF(Закуп!D156="","",IF(LEFT(Закуп!D156,1)="0","0",Закуп!D156))</f>
        <v/>
      </c>
      <c r="R156" s="184">
        <f>Закуп!C156</f>
        <v/>
      </c>
    </row>
    <row r="157">
      <c r="A157" s="177">
        <f>Закуп!E157</f>
        <v/>
      </c>
      <c r="B157" s="178">
        <f>INDEX(Calc!$K:$K, (ROW(A156)-1)*5 + COLUMN(A156) + 1 )</f>
        <v/>
      </c>
      <c r="C157" s="178">
        <f>INDEX(Calc!$K:$K, (ROW(B156)-1)*5 + COLUMN(B156) + 1 )</f>
        <v/>
      </c>
      <c r="D157" s="179">
        <f>INDEX(Calc!$K:$K, (ROW(C156)-1)*5 + COLUMN(C156) + 1 )</f>
        <v/>
      </c>
      <c r="E157" s="180">
        <f>INDEX(Calc!$K:$K, (ROW(D156)-1)*5 + COLUMN(D156) + 1 )</f>
        <v/>
      </c>
      <c r="F157" s="181">
        <f>INDEX(Calc!$K:$K, (ROW(E156)-1)*5 + COLUMN(E156) + 1 )</f>
        <v/>
      </c>
      <c r="G157" s="182">
        <f>Закуп!O157</f>
        <v/>
      </c>
      <c r="H157" s="182">
        <f>Закуп!Q157</f>
        <v/>
      </c>
      <c r="I157" s="182">
        <f>Закуп!X157</f>
        <v/>
      </c>
      <c r="J157" s="182">
        <f>Закуп!Y157</f>
        <v/>
      </c>
      <c r="K157" s="182">
        <f>Закуп!Z157</f>
        <v/>
      </c>
      <c r="L157" s="182">
        <f>Закуп!AA157</f>
        <v/>
      </c>
      <c r="M157" s="182">
        <f>Закуп!V157</f>
        <v/>
      </c>
      <c r="N157" s="182">
        <f>Закуп!W157</f>
        <v/>
      </c>
      <c r="O157" s="183">
        <f>IF(OR(Закуп!L157="",Закуп!L157=0),"",Закуп!L157)</f>
        <v/>
      </c>
      <c r="P157" s="182">
        <f>Закуп!K157</f>
        <v/>
      </c>
      <c r="Q157" s="217">
        <f>IF(Закуп!D157="","",IF(LEFT(Закуп!D157,1)="0","0",Закуп!D157))</f>
        <v/>
      </c>
      <c r="R157" s="184">
        <f>Закуп!C157</f>
        <v/>
      </c>
    </row>
    <row r="158">
      <c r="A158" s="177">
        <f>Закуп!E158</f>
        <v/>
      </c>
      <c r="B158" s="178">
        <f>INDEX(Calc!$K:$K, (ROW(A157)-1)*5 + COLUMN(A157) + 1 )</f>
        <v/>
      </c>
      <c r="C158" s="178">
        <f>INDEX(Calc!$K:$K, (ROW(B157)-1)*5 + COLUMN(B157) + 1 )</f>
        <v/>
      </c>
      <c r="D158" s="179">
        <f>INDEX(Calc!$K:$K, (ROW(C157)-1)*5 + COLUMN(C157) + 1 )</f>
        <v/>
      </c>
      <c r="E158" s="180">
        <f>INDEX(Calc!$K:$K, (ROW(D157)-1)*5 + COLUMN(D157) + 1 )</f>
        <v/>
      </c>
      <c r="F158" s="181">
        <f>INDEX(Calc!$K:$K, (ROW(E157)-1)*5 + COLUMN(E157) + 1 )</f>
        <v/>
      </c>
      <c r="G158" s="182">
        <f>Закуп!O158</f>
        <v/>
      </c>
      <c r="H158" s="182">
        <f>Закуп!Q158</f>
        <v/>
      </c>
      <c r="I158" s="182">
        <f>Закуп!X158</f>
        <v/>
      </c>
      <c r="J158" s="182">
        <f>Закуп!Y158</f>
        <v/>
      </c>
      <c r="K158" s="182">
        <f>Закуп!Z158</f>
        <v/>
      </c>
      <c r="L158" s="182">
        <f>Закуп!AA158</f>
        <v/>
      </c>
      <c r="M158" s="182">
        <f>Закуп!V158</f>
        <v/>
      </c>
      <c r="N158" s="182">
        <f>Закуп!W158</f>
        <v/>
      </c>
      <c r="O158" s="183">
        <f>IF(OR(Закуп!L158="",Закуп!L158=0),"",Закуп!L158)</f>
        <v/>
      </c>
      <c r="P158" s="182">
        <f>Закуп!K158</f>
        <v/>
      </c>
      <c r="Q158" s="217">
        <f>IF(Закуп!D158="","",IF(LEFT(Закуп!D158,1)="0","0",Закуп!D158))</f>
        <v/>
      </c>
      <c r="R158" s="184">
        <f>Закуп!C158</f>
        <v/>
      </c>
    </row>
    <row r="159">
      <c r="A159" s="177">
        <f>Закуп!E159</f>
        <v/>
      </c>
      <c r="B159" s="178">
        <f>INDEX(Calc!$K:$K, (ROW(A158)-1)*5 + COLUMN(A158) + 1 )</f>
        <v/>
      </c>
      <c r="C159" s="178">
        <f>INDEX(Calc!$K:$K, (ROW(B158)-1)*5 + COLUMN(B158) + 1 )</f>
        <v/>
      </c>
      <c r="D159" s="179">
        <f>INDEX(Calc!$K:$K, (ROW(C158)-1)*5 + COLUMN(C158) + 1 )</f>
        <v/>
      </c>
      <c r="E159" s="180">
        <f>INDEX(Calc!$K:$K, (ROW(D158)-1)*5 + COLUMN(D158) + 1 )</f>
        <v/>
      </c>
      <c r="F159" s="181">
        <f>INDEX(Calc!$K:$K, (ROW(E158)-1)*5 + COLUMN(E158) + 1 )</f>
        <v/>
      </c>
      <c r="G159" s="182">
        <f>Закуп!O159</f>
        <v/>
      </c>
      <c r="H159" s="182">
        <f>Закуп!Q159</f>
        <v/>
      </c>
      <c r="I159" s="182">
        <f>Закуп!X159</f>
        <v/>
      </c>
      <c r="J159" s="182">
        <f>Закуп!Y159</f>
        <v/>
      </c>
      <c r="K159" s="182">
        <f>Закуп!Z159</f>
        <v/>
      </c>
      <c r="L159" s="182">
        <f>Закуп!AA159</f>
        <v/>
      </c>
      <c r="M159" s="182">
        <f>Закуп!V159</f>
        <v/>
      </c>
      <c r="N159" s="182">
        <f>Закуп!W159</f>
        <v/>
      </c>
      <c r="O159" s="183">
        <f>IF(OR(Закуп!L159="",Закуп!L159=0),"",Закуп!L159)</f>
        <v/>
      </c>
      <c r="P159" s="182">
        <f>Закуп!K159</f>
        <v/>
      </c>
      <c r="Q159" s="217">
        <f>IF(Закуп!D159="","",IF(LEFT(Закуп!D159,1)="0","0",Закуп!D159))</f>
        <v/>
      </c>
      <c r="R159" s="184">
        <f>Закуп!C159</f>
        <v/>
      </c>
    </row>
    <row r="160">
      <c r="A160" s="177">
        <f>Закуп!E160</f>
        <v/>
      </c>
      <c r="B160" s="178">
        <f>INDEX(Calc!$K:$K, (ROW(A159)-1)*5 + COLUMN(A159) + 1 )</f>
        <v/>
      </c>
      <c r="C160" s="178">
        <f>INDEX(Calc!$K:$K, (ROW(B159)-1)*5 + COLUMN(B159) + 1 )</f>
        <v/>
      </c>
      <c r="D160" s="179">
        <f>INDEX(Calc!$K:$K, (ROW(C159)-1)*5 + COLUMN(C159) + 1 )</f>
        <v/>
      </c>
      <c r="E160" s="180">
        <f>INDEX(Calc!$K:$K, (ROW(D159)-1)*5 + COLUMN(D159) + 1 )</f>
        <v/>
      </c>
      <c r="F160" s="181">
        <f>INDEX(Calc!$K:$K, (ROW(E159)-1)*5 + COLUMN(E159) + 1 )</f>
        <v/>
      </c>
      <c r="G160" s="182">
        <f>Закуп!O160</f>
        <v/>
      </c>
      <c r="H160" s="182">
        <f>Закуп!Q160</f>
        <v/>
      </c>
      <c r="I160" s="182">
        <f>Закуп!X160</f>
        <v/>
      </c>
      <c r="J160" s="182">
        <f>Закуп!Y160</f>
        <v/>
      </c>
      <c r="K160" s="182">
        <f>Закуп!Z160</f>
        <v/>
      </c>
      <c r="L160" s="182">
        <f>Закуп!AA160</f>
        <v/>
      </c>
      <c r="M160" s="182">
        <f>Закуп!V160</f>
        <v/>
      </c>
      <c r="N160" s="182">
        <f>Закуп!W160</f>
        <v/>
      </c>
      <c r="O160" s="183">
        <f>IF(OR(Закуп!L160="",Закуп!L160=0),"",Закуп!L160)</f>
        <v/>
      </c>
      <c r="P160" s="182">
        <f>Закуп!K160</f>
        <v/>
      </c>
      <c r="Q160" s="217">
        <f>IF(Закуп!D160="","",IF(LEFT(Закуп!D160,1)="0","0",Закуп!D160))</f>
        <v/>
      </c>
      <c r="R160" s="184">
        <f>Закуп!C160</f>
        <v/>
      </c>
    </row>
    <row r="161">
      <c r="A161" s="177">
        <f>Закуп!E161</f>
        <v/>
      </c>
      <c r="B161" s="178">
        <f>INDEX(Calc!$K:$K, (ROW(A160)-1)*5 + COLUMN(A160) + 1 )</f>
        <v/>
      </c>
      <c r="C161" s="178">
        <f>INDEX(Calc!$K:$K, (ROW(B160)-1)*5 + COLUMN(B160) + 1 )</f>
        <v/>
      </c>
      <c r="D161" s="179">
        <f>INDEX(Calc!$K:$K, (ROW(C160)-1)*5 + COLUMN(C160) + 1 )</f>
        <v/>
      </c>
      <c r="E161" s="180">
        <f>INDEX(Calc!$K:$K, (ROW(D160)-1)*5 + COLUMN(D160) + 1 )</f>
        <v/>
      </c>
      <c r="F161" s="181">
        <f>INDEX(Calc!$K:$K, (ROW(E160)-1)*5 + COLUMN(E160) + 1 )</f>
        <v/>
      </c>
      <c r="G161" s="182">
        <f>Закуп!O161</f>
        <v/>
      </c>
      <c r="H161" s="182">
        <f>Закуп!Q161</f>
        <v/>
      </c>
      <c r="I161" s="182">
        <f>Закуп!X161</f>
        <v/>
      </c>
      <c r="J161" s="182">
        <f>Закуп!Y161</f>
        <v/>
      </c>
      <c r="K161" s="182">
        <f>Закуп!Z161</f>
        <v/>
      </c>
      <c r="L161" s="182">
        <f>Закуп!AA161</f>
        <v/>
      </c>
      <c r="M161" s="182">
        <f>Закуп!V161</f>
        <v/>
      </c>
      <c r="N161" s="182">
        <f>Закуп!W161</f>
        <v/>
      </c>
      <c r="O161" s="183">
        <f>IF(OR(Закуп!L161="",Закуп!L161=0),"",Закуп!L161)</f>
        <v/>
      </c>
      <c r="P161" s="182">
        <f>Закуп!K161</f>
        <v/>
      </c>
      <c r="Q161" s="217">
        <f>IF(Закуп!D161="","",IF(LEFT(Закуп!D161,1)="0","0",Закуп!D161))</f>
        <v/>
      </c>
      <c r="R161" s="184">
        <f>Закуп!C161</f>
        <v/>
      </c>
    </row>
    <row r="162">
      <c r="A162" s="177">
        <f>Закуп!E162</f>
        <v/>
      </c>
      <c r="B162" s="178">
        <f>INDEX(Calc!$K:$K, (ROW(A161)-1)*5 + COLUMN(A161) + 1 )</f>
        <v/>
      </c>
      <c r="C162" s="178">
        <f>INDEX(Calc!$K:$K, (ROW(B161)-1)*5 + COLUMN(B161) + 1 )</f>
        <v/>
      </c>
      <c r="D162" s="179">
        <f>INDEX(Calc!$K:$K, (ROW(C161)-1)*5 + COLUMN(C161) + 1 )</f>
        <v/>
      </c>
      <c r="E162" s="180">
        <f>INDEX(Calc!$K:$K, (ROW(D161)-1)*5 + COLUMN(D161) + 1 )</f>
        <v/>
      </c>
      <c r="F162" s="181">
        <f>INDEX(Calc!$K:$K, (ROW(E161)-1)*5 + COLUMN(E161) + 1 )</f>
        <v/>
      </c>
      <c r="G162" s="182">
        <f>Закуп!O162</f>
        <v/>
      </c>
      <c r="H162" s="182">
        <f>Закуп!Q162</f>
        <v/>
      </c>
      <c r="I162" s="182">
        <f>Закуп!X162</f>
        <v/>
      </c>
      <c r="J162" s="182">
        <f>Закуп!Y162</f>
        <v/>
      </c>
      <c r="K162" s="182">
        <f>Закуп!Z162</f>
        <v/>
      </c>
      <c r="L162" s="182">
        <f>Закуп!AA162</f>
        <v/>
      </c>
      <c r="M162" s="182">
        <f>Закуп!V162</f>
        <v/>
      </c>
      <c r="N162" s="182">
        <f>Закуп!W162</f>
        <v/>
      </c>
      <c r="O162" s="183">
        <f>IF(OR(Закуп!L162="",Закуп!L162=0),"",Закуп!L162)</f>
        <v/>
      </c>
      <c r="P162" s="182">
        <f>Закуп!K162</f>
        <v/>
      </c>
      <c r="Q162" s="217">
        <f>IF(Закуп!D162="","",IF(LEFT(Закуп!D162,1)="0","0",Закуп!D162))</f>
        <v/>
      </c>
      <c r="R162" s="184">
        <f>Закуп!C162</f>
        <v/>
      </c>
    </row>
    <row r="163">
      <c r="A163" s="177">
        <f>Закуп!E163</f>
        <v/>
      </c>
      <c r="B163" s="178">
        <f>INDEX(Calc!$K:$K, (ROW(A162)-1)*5 + COLUMN(A162) + 1 )</f>
        <v/>
      </c>
      <c r="C163" s="178">
        <f>INDEX(Calc!$K:$K, (ROW(B162)-1)*5 + COLUMN(B162) + 1 )</f>
        <v/>
      </c>
      <c r="D163" s="179">
        <f>INDEX(Calc!$K:$K, (ROW(C162)-1)*5 + COLUMN(C162) + 1 )</f>
        <v/>
      </c>
      <c r="E163" s="180">
        <f>INDEX(Calc!$K:$K, (ROW(D162)-1)*5 + COLUMN(D162) + 1 )</f>
        <v/>
      </c>
      <c r="F163" s="181">
        <f>INDEX(Calc!$K:$K, (ROW(E162)-1)*5 + COLUMN(E162) + 1 )</f>
        <v/>
      </c>
      <c r="G163" s="182">
        <f>Закуп!O163</f>
        <v/>
      </c>
      <c r="H163" s="182">
        <f>Закуп!Q163</f>
        <v/>
      </c>
      <c r="I163" s="182">
        <f>Закуп!X163</f>
        <v/>
      </c>
      <c r="J163" s="182">
        <f>Закуп!Y163</f>
        <v/>
      </c>
      <c r="K163" s="182">
        <f>Закуп!Z163</f>
        <v/>
      </c>
      <c r="L163" s="182">
        <f>Закуп!AA163</f>
        <v/>
      </c>
      <c r="M163" s="182">
        <f>Закуп!V163</f>
        <v/>
      </c>
      <c r="N163" s="182">
        <f>Закуп!W163</f>
        <v/>
      </c>
      <c r="O163" s="183">
        <f>IF(OR(Закуп!L163="",Закуп!L163=0),"",Закуп!L163)</f>
        <v/>
      </c>
      <c r="P163" s="182">
        <f>Закуп!K163</f>
        <v/>
      </c>
      <c r="Q163" s="217">
        <f>IF(Закуп!D163="","",IF(LEFT(Закуп!D163,1)="0","0",Закуп!D163))</f>
        <v/>
      </c>
      <c r="R163" s="184">
        <f>Закуп!C163</f>
        <v/>
      </c>
    </row>
    <row r="164">
      <c r="A164" s="177">
        <f>Закуп!E164</f>
        <v/>
      </c>
      <c r="B164" s="178">
        <f>INDEX(Calc!$K:$K, (ROW(A163)-1)*5 + COLUMN(A163) + 1 )</f>
        <v/>
      </c>
      <c r="C164" s="178">
        <f>INDEX(Calc!$K:$K, (ROW(B163)-1)*5 + COLUMN(B163) + 1 )</f>
        <v/>
      </c>
      <c r="D164" s="179">
        <f>INDEX(Calc!$K:$K, (ROW(C163)-1)*5 + COLUMN(C163) + 1 )</f>
        <v/>
      </c>
      <c r="E164" s="180">
        <f>INDEX(Calc!$K:$K, (ROW(D163)-1)*5 + COLUMN(D163) + 1 )</f>
        <v/>
      </c>
      <c r="F164" s="181">
        <f>INDEX(Calc!$K:$K, (ROW(E163)-1)*5 + COLUMN(E163) + 1 )</f>
        <v/>
      </c>
      <c r="G164" s="182">
        <f>Закуп!O164</f>
        <v/>
      </c>
      <c r="H164" s="182">
        <f>Закуп!Q164</f>
        <v/>
      </c>
      <c r="I164" s="182">
        <f>Закуп!X164</f>
        <v/>
      </c>
      <c r="J164" s="182">
        <f>Закуп!Y164</f>
        <v/>
      </c>
      <c r="K164" s="182">
        <f>Закуп!Z164</f>
        <v/>
      </c>
      <c r="L164" s="182">
        <f>Закуп!AA164</f>
        <v/>
      </c>
      <c r="M164" s="182">
        <f>Закуп!V164</f>
        <v/>
      </c>
      <c r="N164" s="182">
        <f>Закуп!W164</f>
        <v/>
      </c>
      <c r="O164" s="183">
        <f>IF(OR(Закуп!L164="",Закуп!L164=0),"",Закуп!L164)</f>
        <v/>
      </c>
      <c r="P164" s="182">
        <f>Закуп!K164</f>
        <v/>
      </c>
      <c r="Q164" s="217">
        <f>IF(Закуп!D164="","",IF(LEFT(Закуп!D164,1)="0","0",Закуп!D164))</f>
        <v/>
      </c>
      <c r="R164" s="184">
        <f>Закуп!C164</f>
        <v/>
      </c>
    </row>
    <row r="165">
      <c r="A165" s="177">
        <f>Закуп!E165</f>
        <v/>
      </c>
      <c r="B165" s="178">
        <f>INDEX(Calc!$K:$K, (ROW(A164)-1)*5 + COLUMN(A164) + 1 )</f>
        <v/>
      </c>
      <c r="C165" s="178">
        <f>INDEX(Calc!$K:$K, (ROW(B164)-1)*5 + COLUMN(B164) + 1 )</f>
        <v/>
      </c>
      <c r="D165" s="179">
        <f>INDEX(Calc!$K:$K, (ROW(C164)-1)*5 + COLUMN(C164) + 1 )</f>
        <v/>
      </c>
      <c r="E165" s="180">
        <f>INDEX(Calc!$K:$K, (ROW(D164)-1)*5 + COLUMN(D164) + 1 )</f>
        <v/>
      </c>
      <c r="F165" s="181">
        <f>INDEX(Calc!$K:$K, (ROW(E164)-1)*5 + COLUMN(E164) + 1 )</f>
        <v/>
      </c>
      <c r="G165" s="182">
        <f>Закуп!O165</f>
        <v/>
      </c>
      <c r="H165" s="182">
        <f>Закуп!Q165</f>
        <v/>
      </c>
      <c r="I165" s="182">
        <f>Закуп!X165</f>
        <v/>
      </c>
      <c r="J165" s="182">
        <f>Закуп!Y165</f>
        <v/>
      </c>
      <c r="K165" s="182">
        <f>Закуп!Z165</f>
        <v/>
      </c>
      <c r="L165" s="182">
        <f>Закуп!AA165</f>
        <v/>
      </c>
      <c r="M165" s="182">
        <f>Закуп!V165</f>
        <v/>
      </c>
      <c r="N165" s="182">
        <f>Закуп!W165</f>
        <v/>
      </c>
      <c r="O165" s="183">
        <f>IF(OR(Закуп!L165="",Закуп!L165=0),"",Закуп!L165)</f>
        <v/>
      </c>
      <c r="P165" s="182">
        <f>Закуп!K165</f>
        <v/>
      </c>
      <c r="Q165" s="217">
        <f>IF(Закуп!D165="","",IF(LEFT(Закуп!D165,1)="0","0",Закуп!D165))</f>
        <v/>
      </c>
      <c r="R165" s="184">
        <f>Закуп!C165</f>
        <v/>
      </c>
    </row>
    <row r="166">
      <c r="A166" s="177">
        <f>Закуп!E166</f>
        <v/>
      </c>
      <c r="B166" s="178">
        <f>INDEX(Calc!$K:$K, (ROW(A165)-1)*5 + COLUMN(A165) + 1 )</f>
        <v/>
      </c>
      <c r="C166" s="178">
        <f>INDEX(Calc!$K:$K, (ROW(B165)-1)*5 + COLUMN(B165) + 1 )</f>
        <v/>
      </c>
      <c r="D166" s="179">
        <f>INDEX(Calc!$K:$K, (ROW(C165)-1)*5 + COLUMN(C165) + 1 )</f>
        <v/>
      </c>
      <c r="E166" s="180">
        <f>INDEX(Calc!$K:$K, (ROW(D165)-1)*5 + COLUMN(D165) + 1 )</f>
        <v/>
      </c>
      <c r="F166" s="181">
        <f>INDEX(Calc!$K:$K, (ROW(E165)-1)*5 + COLUMN(E165) + 1 )</f>
        <v/>
      </c>
      <c r="G166" s="182">
        <f>Закуп!O166</f>
        <v/>
      </c>
      <c r="H166" s="182">
        <f>Закуп!Q166</f>
        <v/>
      </c>
      <c r="I166" s="182">
        <f>Закуп!X166</f>
        <v/>
      </c>
      <c r="J166" s="182">
        <f>Закуп!Y166</f>
        <v/>
      </c>
      <c r="K166" s="182">
        <f>Закуп!Z166</f>
        <v/>
      </c>
      <c r="L166" s="182">
        <f>Закуп!AA166</f>
        <v/>
      </c>
      <c r="M166" s="182">
        <f>Закуп!V166</f>
        <v/>
      </c>
      <c r="N166" s="182">
        <f>Закуп!W166</f>
        <v/>
      </c>
      <c r="O166" s="183">
        <f>IF(OR(Закуп!L166="",Закуп!L166=0),"",Закуп!L166)</f>
        <v/>
      </c>
      <c r="P166" s="182">
        <f>Закуп!K166</f>
        <v/>
      </c>
      <c r="Q166" s="217">
        <f>IF(Закуп!D166="","",IF(LEFT(Закуп!D166,1)="0","0",Закуп!D166))</f>
        <v/>
      </c>
      <c r="R166" s="184">
        <f>Закуп!C166</f>
        <v/>
      </c>
    </row>
    <row r="167">
      <c r="A167" s="177">
        <f>Закуп!E167</f>
        <v/>
      </c>
      <c r="B167" s="178">
        <f>INDEX(Calc!$K:$K, (ROW(A166)-1)*5 + COLUMN(A166) + 1 )</f>
        <v/>
      </c>
      <c r="C167" s="178">
        <f>INDEX(Calc!$K:$K, (ROW(B166)-1)*5 + COLUMN(B166) + 1 )</f>
        <v/>
      </c>
      <c r="D167" s="179">
        <f>INDEX(Calc!$K:$K, (ROW(C166)-1)*5 + COLUMN(C166) + 1 )</f>
        <v/>
      </c>
      <c r="E167" s="180">
        <f>INDEX(Calc!$K:$K, (ROW(D166)-1)*5 + COLUMN(D166) + 1 )</f>
        <v/>
      </c>
      <c r="F167" s="181">
        <f>INDEX(Calc!$K:$K, (ROW(E166)-1)*5 + COLUMN(E166) + 1 )</f>
        <v/>
      </c>
      <c r="G167" s="182">
        <f>Закуп!O167</f>
        <v/>
      </c>
      <c r="H167" s="182">
        <f>Закуп!Q167</f>
        <v/>
      </c>
      <c r="I167" s="182">
        <f>Закуп!X167</f>
        <v/>
      </c>
      <c r="J167" s="182">
        <f>Закуп!Y167</f>
        <v/>
      </c>
      <c r="K167" s="182">
        <f>Закуп!Z167</f>
        <v/>
      </c>
      <c r="L167" s="182">
        <f>Закуп!AA167</f>
        <v/>
      </c>
      <c r="M167" s="182">
        <f>Закуп!V167</f>
        <v/>
      </c>
      <c r="N167" s="182">
        <f>Закуп!W167</f>
        <v/>
      </c>
      <c r="O167" s="183">
        <f>IF(OR(Закуп!L167="",Закуп!L167=0),"",Закуп!L167)</f>
        <v/>
      </c>
      <c r="P167" s="182">
        <f>Закуп!K167</f>
        <v/>
      </c>
      <c r="Q167" s="217">
        <f>IF(Закуп!D167="","",IF(LEFT(Закуп!D167,1)="0","0",Закуп!D167))</f>
        <v/>
      </c>
      <c r="R167" s="184">
        <f>Закуп!C167</f>
        <v/>
      </c>
    </row>
    <row r="168">
      <c r="A168" s="177">
        <f>Закуп!E168</f>
        <v/>
      </c>
      <c r="B168" s="178">
        <f>INDEX(Calc!$K:$K, (ROW(A167)-1)*5 + COLUMN(A167) + 1 )</f>
        <v/>
      </c>
      <c r="C168" s="178">
        <f>INDEX(Calc!$K:$K, (ROW(B167)-1)*5 + COLUMN(B167) + 1 )</f>
        <v/>
      </c>
      <c r="D168" s="179">
        <f>INDEX(Calc!$K:$K, (ROW(C167)-1)*5 + COLUMN(C167) + 1 )</f>
        <v/>
      </c>
      <c r="E168" s="180">
        <f>INDEX(Calc!$K:$K, (ROW(D167)-1)*5 + COLUMN(D167) + 1 )</f>
        <v/>
      </c>
      <c r="F168" s="181">
        <f>INDEX(Calc!$K:$K, (ROW(E167)-1)*5 + COLUMN(E167) + 1 )</f>
        <v/>
      </c>
      <c r="G168" s="182">
        <f>Закуп!O168</f>
        <v/>
      </c>
      <c r="H168" s="182">
        <f>Закуп!Q168</f>
        <v/>
      </c>
      <c r="I168" s="182">
        <f>Закуп!X168</f>
        <v/>
      </c>
      <c r="J168" s="182">
        <f>Закуп!Y168</f>
        <v/>
      </c>
      <c r="K168" s="182">
        <f>Закуп!Z168</f>
        <v/>
      </c>
      <c r="L168" s="182">
        <f>Закуп!AA168</f>
        <v/>
      </c>
      <c r="M168" s="182">
        <f>Закуп!V168</f>
        <v/>
      </c>
      <c r="N168" s="182">
        <f>Закуп!W168</f>
        <v/>
      </c>
      <c r="O168" s="183">
        <f>IF(OR(Закуп!L168="",Закуп!L168=0),"",Закуп!L168)</f>
        <v/>
      </c>
      <c r="P168" s="182">
        <f>Закуп!K168</f>
        <v/>
      </c>
      <c r="Q168" s="217">
        <f>IF(Закуп!D168="","",IF(LEFT(Закуп!D168,1)="0","0",Закуп!D168))</f>
        <v/>
      </c>
      <c r="R168" s="184">
        <f>Закуп!C168</f>
        <v/>
      </c>
    </row>
    <row r="169">
      <c r="A169" s="177">
        <f>Закуп!E169</f>
        <v/>
      </c>
      <c r="B169" s="178">
        <f>INDEX(Calc!$K:$K, (ROW(A168)-1)*5 + COLUMN(A168) + 1 )</f>
        <v/>
      </c>
      <c r="C169" s="178">
        <f>INDEX(Calc!$K:$K, (ROW(B168)-1)*5 + COLUMN(B168) + 1 )</f>
        <v/>
      </c>
      <c r="D169" s="179">
        <f>INDEX(Calc!$K:$K, (ROW(C168)-1)*5 + COLUMN(C168) + 1 )</f>
        <v/>
      </c>
      <c r="E169" s="180">
        <f>INDEX(Calc!$K:$K, (ROW(D168)-1)*5 + COLUMN(D168) + 1 )</f>
        <v/>
      </c>
      <c r="F169" s="181">
        <f>INDEX(Calc!$K:$K, (ROW(E168)-1)*5 + COLUMN(E168) + 1 )</f>
        <v/>
      </c>
      <c r="G169" s="182">
        <f>Закуп!O169</f>
        <v/>
      </c>
      <c r="H169" s="182">
        <f>Закуп!Q169</f>
        <v/>
      </c>
      <c r="I169" s="182">
        <f>Закуп!X169</f>
        <v/>
      </c>
      <c r="J169" s="182">
        <f>Закуп!Y169</f>
        <v/>
      </c>
      <c r="K169" s="182">
        <f>Закуп!Z169</f>
        <v/>
      </c>
      <c r="L169" s="182">
        <f>Закуп!AA169</f>
        <v/>
      </c>
      <c r="M169" s="182">
        <f>Закуп!V169</f>
        <v/>
      </c>
      <c r="N169" s="182">
        <f>Закуп!W169</f>
        <v/>
      </c>
      <c r="O169" s="183">
        <f>IF(OR(Закуп!L169="",Закуп!L169=0),"",Закуп!L169)</f>
        <v/>
      </c>
      <c r="P169" s="182">
        <f>Закуп!K169</f>
        <v/>
      </c>
      <c r="Q169" s="217">
        <f>IF(Закуп!D169="","",IF(LEFT(Закуп!D169,1)="0","0",Закуп!D169))</f>
        <v/>
      </c>
      <c r="R169" s="184">
        <f>Закуп!C169</f>
        <v/>
      </c>
    </row>
    <row r="170">
      <c r="A170" s="177">
        <f>Закуп!E170</f>
        <v/>
      </c>
      <c r="B170" s="178">
        <f>INDEX(Calc!$K:$K, (ROW(A169)-1)*5 + COLUMN(A169) + 1 )</f>
        <v/>
      </c>
      <c r="C170" s="178">
        <f>INDEX(Calc!$K:$K, (ROW(B169)-1)*5 + COLUMN(B169) + 1 )</f>
        <v/>
      </c>
      <c r="D170" s="179">
        <f>INDEX(Calc!$K:$K, (ROW(C169)-1)*5 + COLUMN(C169) + 1 )</f>
        <v/>
      </c>
      <c r="E170" s="180">
        <f>INDEX(Calc!$K:$K, (ROW(D169)-1)*5 + COLUMN(D169) + 1 )</f>
        <v/>
      </c>
      <c r="F170" s="181">
        <f>INDEX(Calc!$K:$K, (ROW(E169)-1)*5 + COLUMN(E169) + 1 )</f>
        <v/>
      </c>
      <c r="G170" s="182">
        <f>Закуп!O170</f>
        <v/>
      </c>
      <c r="H170" s="182">
        <f>Закуп!Q170</f>
        <v/>
      </c>
      <c r="I170" s="182">
        <f>Закуп!X170</f>
        <v/>
      </c>
      <c r="J170" s="182">
        <f>Закуп!Y170</f>
        <v/>
      </c>
      <c r="K170" s="182">
        <f>Закуп!Z170</f>
        <v/>
      </c>
      <c r="L170" s="182">
        <f>Закуп!AA170</f>
        <v/>
      </c>
      <c r="M170" s="182">
        <f>Закуп!V170</f>
        <v/>
      </c>
      <c r="N170" s="182">
        <f>Закуп!W170</f>
        <v/>
      </c>
      <c r="O170" s="183">
        <f>IF(OR(Закуп!L170="",Закуп!L170=0),"",Закуп!L170)</f>
        <v/>
      </c>
      <c r="P170" s="182">
        <f>Закуп!K170</f>
        <v/>
      </c>
      <c r="Q170" s="217">
        <f>IF(Закуп!D170="","",IF(LEFT(Закуп!D170,1)="0","0",Закуп!D170))</f>
        <v/>
      </c>
      <c r="R170" s="184">
        <f>Закуп!C170</f>
        <v/>
      </c>
    </row>
    <row r="171">
      <c r="A171" s="177">
        <f>Закуп!E171</f>
        <v/>
      </c>
      <c r="B171" s="178">
        <f>INDEX(Calc!$K:$K, (ROW(A170)-1)*5 + COLUMN(A170) + 1 )</f>
        <v/>
      </c>
      <c r="C171" s="178">
        <f>INDEX(Calc!$K:$K, (ROW(B170)-1)*5 + COLUMN(B170) + 1 )</f>
        <v/>
      </c>
      <c r="D171" s="179">
        <f>INDEX(Calc!$K:$K, (ROW(C170)-1)*5 + COLUMN(C170) + 1 )</f>
        <v/>
      </c>
      <c r="E171" s="180">
        <f>INDEX(Calc!$K:$K, (ROW(D170)-1)*5 + COLUMN(D170) + 1 )</f>
        <v/>
      </c>
      <c r="F171" s="181">
        <f>INDEX(Calc!$K:$K, (ROW(E170)-1)*5 + COLUMN(E170) + 1 )</f>
        <v/>
      </c>
      <c r="G171" s="182">
        <f>Закуп!O171</f>
        <v/>
      </c>
      <c r="H171" s="182">
        <f>Закуп!Q171</f>
        <v/>
      </c>
      <c r="I171" s="182">
        <f>Закуп!X171</f>
        <v/>
      </c>
      <c r="J171" s="182">
        <f>Закуп!Y171</f>
        <v/>
      </c>
      <c r="K171" s="182">
        <f>Закуп!Z171</f>
        <v/>
      </c>
      <c r="L171" s="182">
        <f>Закуп!AA171</f>
        <v/>
      </c>
      <c r="M171" s="182">
        <f>Закуп!V171</f>
        <v/>
      </c>
      <c r="N171" s="182">
        <f>Закуп!W171</f>
        <v/>
      </c>
      <c r="O171" s="183">
        <f>IF(OR(Закуп!L171="",Закуп!L171=0),"",Закуп!L171)</f>
        <v/>
      </c>
      <c r="P171" s="182">
        <f>Закуп!K171</f>
        <v/>
      </c>
      <c r="Q171" s="217">
        <f>IF(Закуп!D171="","",IF(LEFT(Закуп!D171,1)="0","0",Закуп!D171))</f>
        <v/>
      </c>
      <c r="R171" s="184">
        <f>Закуп!C171</f>
        <v/>
      </c>
    </row>
    <row r="172">
      <c r="A172" s="177">
        <f>Закуп!E172</f>
        <v/>
      </c>
      <c r="B172" s="178">
        <f>INDEX(Calc!$K:$K, (ROW(A171)-1)*5 + COLUMN(A171) + 1 )</f>
        <v/>
      </c>
      <c r="C172" s="178">
        <f>INDEX(Calc!$K:$K, (ROW(B171)-1)*5 + COLUMN(B171) + 1 )</f>
        <v/>
      </c>
      <c r="D172" s="179">
        <f>INDEX(Calc!$K:$K, (ROW(C171)-1)*5 + COLUMN(C171) + 1 )</f>
        <v/>
      </c>
      <c r="E172" s="180">
        <f>INDEX(Calc!$K:$K, (ROW(D171)-1)*5 + COLUMN(D171) + 1 )</f>
        <v/>
      </c>
      <c r="F172" s="181">
        <f>INDEX(Calc!$K:$K, (ROW(E171)-1)*5 + COLUMN(E171) + 1 )</f>
        <v/>
      </c>
      <c r="G172" s="182">
        <f>Закуп!O172</f>
        <v/>
      </c>
      <c r="H172" s="182">
        <f>Закуп!Q172</f>
        <v/>
      </c>
      <c r="I172" s="182">
        <f>Закуп!X172</f>
        <v/>
      </c>
      <c r="J172" s="182">
        <f>Закуп!Y172</f>
        <v/>
      </c>
      <c r="K172" s="182">
        <f>Закуп!Z172</f>
        <v/>
      </c>
      <c r="L172" s="182">
        <f>Закуп!AA172</f>
        <v/>
      </c>
      <c r="M172" s="182">
        <f>Закуп!V172</f>
        <v/>
      </c>
      <c r="N172" s="182">
        <f>Закуп!W172</f>
        <v/>
      </c>
      <c r="O172" s="183">
        <f>IF(OR(Закуп!L172="",Закуп!L172=0),"",Закуп!L172)</f>
        <v/>
      </c>
      <c r="P172" s="182">
        <f>Закуп!K172</f>
        <v/>
      </c>
      <c r="Q172" s="217">
        <f>IF(Закуп!D172="","",IF(LEFT(Закуп!D172,1)="0","0",Закуп!D172))</f>
        <v/>
      </c>
      <c r="R172" s="184">
        <f>Закуп!C172</f>
        <v/>
      </c>
    </row>
    <row r="173">
      <c r="A173" s="177">
        <f>Закуп!E173</f>
        <v/>
      </c>
      <c r="B173" s="178">
        <f>INDEX(Calc!$K:$K, (ROW(A172)-1)*5 + COLUMN(A172) + 1 )</f>
        <v/>
      </c>
      <c r="C173" s="178">
        <f>INDEX(Calc!$K:$K, (ROW(B172)-1)*5 + COLUMN(B172) + 1 )</f>
        <v/>
      </c>
      <c r="D173" s="179">
        <f>INDEX(Calc!$K:$K, (ROW(C172)-1)*5 + COLUMN(C172) + 1 )</f>
        <v/>
      </c>
      <c r="E173" s="180">
        <f>INDEX(Calc!$K:$K, (ROW(D172)-1)*5 + COLUMN(D172) + 1 )</f>
        <v/>
      </c>
      <c r="F173" s="181">
        <f>INDEX(Calc!$K:$K, (ROW(E172)-1)*5 + COLUMN(E172) + 1 )</f>
        <v/>
      </c>
      <c r="G173" s="182">
        <f>Закуп!O173</f>
        <v/>
      </c>
      <c r="H173" s="182">
        <f>Закуп!Q173</f>
        <v/>
      </c>
      <c r="I173" s="182">
        <f>Закуп!X173</f>
        <v/>
      </c>
      <c r="J173" s="182">
        <f>Закуп!Y173</f>
        <v/>
      </c>
      <c r="K173" s="182">
        <f>Закуп!Z173</f>
        <v/>
      </c>
      <c r="L173" s="182">
        <f>Закуп!AA173</f>
        <v/>
      </c>
      <c r="M173" s="182">
        <f>Закуп!V173</f>
        <v/>
      </c>
      <c r="N173" s="182">
        <f>Закуп!W173</f>
        <v/>
      </c>
      <c r="O173" s="183">
        <f>IF(OR(Закуп!L173="",Закуп!L173=0),"",Закуп!L173)</f>
        <v/>
      </c>
      <c r="P173" s="182">
        <f>Закуп!K173</f>
        <v/>
      </c>
      <c r="Q173" s="217">
        <f>IF(Закуп!D173="","",IF(LEFT(Закуп!D173,1)="0","0",Закуп!D173))</f>
        <v/>
      </c>
      <c r="R173" s="184">
        <f>Закуп!C173</f>
        <v/>
      </c>
    </row>
    <row r="174">
      <c r="A174" s="177">
        <f>Закуп!E174</f>
        <v/>
      </c>
      <c r="B174" s="178">
        <f>INDEX(Calc!$K:$K, (ROW(A173)-1)*5 + COLUMN(A173) + 1 )</f>
        <v/>
      </c>
      <c r="C174" s="178">
        <f>INDEX(Calc!$K:$K, (ROW(B173)-1)*5 + COLUMN(B173) + 1 )</f>
        <v/>
      </c>
      <c r="D174" s="179">
        <f>INDEX(Calc!$K:$K, (ROW(C173)-1)*5 + COLUMN(C173) + 1 )</f>
        <v/>
      </c>
      <c r="E174" s="180">
        <f>INDEX(Calc!$K:$K, (ROW(D173)-1)*5 + COLUMN(D173) + 1 )</f>
        <v/>
      </c>
      <c r="F174" s="181">
        <f>INDEX(Calc!$K:$K, (ROW(E173)-1)*5 + COLUMN(E173) + 1 )</f>
        <v/>
      </c>
      <c r="G174" s="182">
        <f>Закуп!O174</f>
        <v/>
      </c>
      <c r="H174" s="182">
        <f>Закуп!Q174</f>
        <v/>
      </c>
      <c r="I174" s="182">
        <f>Закуп!X174</f>
        <v/>
      </c>
      <c r="J174" s="182">
        <f>Закуп!Y174</f>
        <v/>
      </c>
      <c r="K174" s="182">
        <f>Закуп!Z174</f>
        <v/>
      </c>
      <c r="L174" s="182">
        <f>Закуп!AA174</f>
        <v/>
      </c>
      <c r="M174" s="182">
        <f>Закуп!V174</f>
        <v/>
      </c>
      <c r="N174" s="182">
        <f>Закуп!W174</f>
        <v/>
      </c>
      <c r="O174" s="183">
        <f>IF(OR(Закуп!L174="",Закуп!L174=0),"",Закуп!L174)</f>
        <v/>
      </c>
      <c r="P174" s="182">
        <f>Закуп!K174</f>
        <v/>
      </c>
      <c r="Q174" s="217">
        <f>IF(Закуп!D174="","",IF(LEFT(Закуп!D174,1)="0","0",Закуп!D174))</f>
        <v/>
      </c>
      <c r="R174" s="184">
        <f>Закуп!C174</f>
        <v/>
      </c>
    </row>
    <row r="175">
      <c r="A175" s="177">
        <f>Закуп!E175</f>
        <v/>
      </c>
      <c r="B175" s="178">
        <f>INDEX(Calc!$K:$K, (ROW(A174)-1)*5 + COLUMN(A174) + 1 )</f>
        <v/>
      </c>
      <c r="C175" s="178">
        <f>INDEX(Calc!$K:$K, (ROW(B174)-1)*5 + COLUMN(B174) + 1 )</f>
        <v/>
      </c>
      <c r="D175" s="179">
        <f>INDEX(Calc!$K:$K, (ROW(C174)-1)*5 + COLUMN(C174) + 1 )</f>
        <v/>
      </c>
      <c r="E175" s="180">
        <f>INDEX(Calc!$K:$K, (ROW(D174)-1)*5 + COLUMN(D174) + 1 )</f>
        <v/>
      </c>
      <c r="F175" s="181">
        <f>INDEX(Calc!$K:$K, (ROW(E174)-1)*5 + COLUMN(E174) + 1 )</f>
        <v/>
      </c>
      <c r="G175" s="182">
        <f>Закуп!O175</f>
        <v/>
      </c>
      <c r="H175" s="182">
        <f>Закуп!Q175</f>
        <v/>
      </c>
      <c r="I175" s="182">
        <f>Закуп!X175</f>
        <v/>
      </c>
      <c r="J175" s="182">
        <f>Закуп!Y175</f>
        <v/>
      </c>
      <c r="K175" s="182">
        <f>Закуп!Z175</f>
        <v/>
      </c>
      <c r="L175" s="182">
        <f>Закуп!AA175</f>
        <v/>
      </c>
      <c r="M175" s="182">
        <f>Закуп!V175</f>
        <v/>
      </c>
      <c r="N175" s="182">
        <f>Закуп!W175</f>
        <v/>
      </c>
      <c r="O175" s="183">
        <f>IF(OR(Закуп!L175="",Закуп!L175=0),"",Закуп!L175)</f>
        <v/>
      </c>
      <c r="P175" s="182">
        <f>Закуп!K175</f>
        <v/>
      </c>
      <c r="Q175" s="217">
        <f>IF(Закуп!D175="","",IF(LEFT(Закуп!D175,1)="0","0",Закуп!D175))</f>
        <v/>
      </c>
      <c r="R175" s="184">
        <f>Закуп!C175</f>
        <v/>
      </c>
    </row>
    <row r="176">
      <c r="A176" s="177">
        <f>Закуп!E176</f>
        <v/>
      </c>
      <c r="B176" s="178">
        <f>INDEX(Calc!$K:$K, (ROW(A175)-1)*5 + COLUMN(A175) + 1 )</f>
        <v/>
      </c>
      <c r="C176" s="178">
        <f>INDEX(Calc!$K:$K, (ROW(B175)-1)*5 + COLUMN(B175) + 1 )</f>
        <v/>
      </c>
      <c r="D176" s="179">
        <f>INDEX(Calc!$K:$K, (ROW(C175)-1)*5 + COLUMN(C175) + 1 )</f>
        <v/>
      </c>
      <c r="E176" s="180">
        <f>INDEX(Calc!$K:$K, (ROW(D175)-1)*5 + COLUMN(D175) + 1 )</f>
        <v/>
      </c>
      <c r="F176" s="181">
        <f>INDEX(Calc!$K:$K, (ROW(E175)-1)*5 + COLUMN(E175) + 1 )</f>
        <v/>
      </c>
      <c r="G176" s="182">
        <f>Закуп!O176</f>
        <v/>
      </c>
      <c r="H176" s="182">
        <f>Закуп!Q176</f>
        <v/>
      </c>
      <c r="I176" s="182">
        <f>Закуп!X176</f>
        <v/>
      </c>
      <c r="J176" s="182">
        <f>Закуп!Y176</f>
        <v/>
      </c>
      <c r="K176" s="182">
        <f>Закуп!Z176</f>
        <v/>
      </c>
      <c r="L176" s="182">
        <f>Закуп!AA176</f>
        <v/>
      </c>
      <c r="M176" s="182">
        <f>Закуп!V176</f>
        <v/>
      </c>
      <c r="N176" s="182">
        <f>Закуп!W176</f>
        <v/>
      </c>
      <c r="O176" s="183">
        <f>IF(OR(Закуп!L176="",Закуп!L176=0),"",Закуп!L176)</f>
        <v/>
      </c>
      <c r="P176" s="182">
        <f>Закуп!K176</f>
        <v/>
      </c>
      <c r="Q176" s="217">
        <f>IF(Закуп!D176="","",IF(LEFT(Закуп!D176,1)="0","0",Закуп!D176))</f>
        <v/>
      </c>
      <c r="R176" s="184">
        <f>Закуп!C176</f>
        <v/>
      </c>
    </row>
    <row r="177">
      <c r="A177" s="177">
        <f>Закуп!E177</f>
        <v/>
      </c>
      <c r="B177" s="178">
        <f>INDEX(Calc!$K:$K, (ROW(A176)-1)*5 + COLUMN(A176) + 1 )</f>
        <v/>
      </c>
      <c r="C177" s="178">
        <f>INDEX(Calc!$K:$K, (ROW(B176)-1)*5 + COLUMN(B176) + 1 )</f>
        <v/>
      </c>
      <c r="D177" s="179">
        <f>INDEX(Calc!$K:$K, (ROW(C176)-1)*5 + COLUMN(C176) + 1 )</f>
        <v/>
      </c>
      <c r="E177" s="180">
        <f>INDEX(Calc!$K:$K, (ROW(D176)-1)*5 + COLUMN(D176) + 1 )</f>
        <v/>
      </c>
      <c r="F177" s="181">
        <f>INDEX(Calc!$K:$K, (ROW(E176)-1)*5 + COLUMN(E176) + 1 )</f>
        <v/>
      </c>
      <c r="G177" s="182">
        <f>Закуп!O177</f>
        <v/>
      </c>
      <c r="H177" s="182">
        <f>Закуп!Q177</f>
        <v/>
      </c>
      <c r="I177" s="182">
        <f>Закуп!X177</f>
        <v/>
      </c>
      <c r="J177" s="182">
        <f>Закуп!Y177</f>
        <v/>
      </c>
      <c r="K177" s="182">
        <f>Закуп!Z177</f>
        <v/>
      </c>
      <c r="L177" s="182">
        <f>Закуп!AA177</f>
        <v/>
      </c>
      <c r="M177" s="182">
        <f>Закуп!V177</f>
        <v/>
      </c>
      <c r="N177" s="182">
        <f>Закуп!W177</f>
        <v/>
      </c>
      <c r="O177" s="183">
        <f>IF(OR(Закуп!L177="",Закуп!L177=0),"",Закуп!L177)</f>
        <v/>
      </c>
      <c r="P177" s="182">
        <f>Закуп!K177</f>
        <v/>
      </c>
      <c r="Q177" s="217">
        <f>IF(Закуп!D177="","",IF(LEFT(Закуп!D177,1)="0","0",Закуп!D177))</f>
        <v/>
      </c>
      <c r="R177" s="184">
        <f>Закуп!C177</f>
        <v/>
      </c>
    </row>
    <row r="178">
      <c r="A178" s="177">
        <f>Закуп!E178</f>
        <v/>
      </c>
      <c r="B178" s="178">
        <f>INDEX(Calc!$K:$K, (ROW(A177)-1)*5 + COLUMN(A177) + 1 )</f>
        <v/>
      </c>
      <c r="C178" s="178">
        <f>INDEX(Calc!$K:$K, (ROW(B177)-1)*5 + COLUMN(B177) + 1 )</f>
        <v/>
      </c>
      <c r="D178" s="179">
        <f>INDEX(Calc!$K:$K, (ROW(C177)-1)*5 + COLUMN(C177) + 1 )</f>
        <v/>
      </c>
      <c r="E178" s="180">
        <f>INDEX(Calc!$K:$K, (ROW(D177)-1)*5 + COLUMN(D177) + 1 )</f>
        <v/>
      </c>
      <c r="F178" s="181">
        <f>INDEX(Calc!$K:$K, (ROW(E177)-1)*5 + COLUMN(E177) + 1 )</f>
        <v/>
      </c>
      <c r="G178" s="182">
        <f>Закуп!O178</f>
        <v/>
      </c>
      <c r="H178" s="182">
        <f>Закуп!Q178</f>
        <v/>
      </c>
      <c r="I178" s="182">
        <f>Закуп!X178</f>
        <v/>
      </c>
      <c r="J178" s="182">
        <f>Закуп!Y178</f>
        <v/>
      </c>
      <c r="K178" s="182">
        <f>Закуп!Z178</f>
        <v/>
      </c>
      <c r="L178" s="182">
        <f>Закуп!AA178</f>
        <v/>
      </c>
      <c r="M178" s="182">
        <f>Закуп!V178</f>
        <v/>
      </c>
      <c r="N178" s="182">
        <f>Закуп!W178</f>
        <v/>
      </c>
      <c r="O178" s="183">
        <f>IF(OR(Закуп!L178="",Закуп!L178=0),"",Закуп!L178)</f>
        <v/>
      </c>
      <c r="P178" s="182">
        <f>Закуп!K178</f>
        <v/>
      </c>
      <c r="Q178" s="217">
        <f>IF(Закуп!D178="","",IF(LEFT(Закуп!D178,1)="0","0",Закуп!D178))</f>
        <v/>
      </c>
      <c r="R178" s="184">
        <f>Закуп!C178</f>
        <v/>
      </c>
    </row>
    <row r="179">
      <c r="A179" s="177">
        <f>Закуп!E179</f>
        <v/>
      </c>
      <c r="B179" s="178">
        <f>INDEX(Calc!$K:$K, (ROW(A178)-1)*5 + COLUMN(A178) + 1 )</f>
        <v/>
      </c>
      <c r="C179" s="178">
        <f>INDEX(Calc!$K:$K, (ROW(B178)-1)*5 + COLUMN(B178) + 1 )</f>
        <v/>
      </c>
      <c r="D179" s="179">
        <f>INDEX(Calc!$K:$K, (ROW(C178)-1)*5 + COLUMN(C178) + 1 )</f>
        <v/>
      </c>
      <c r="E179" s="180">
        <f>INDEX(Calc!$K:$K, (ROW(D178)-1)*5 + COLUMN(D178) + 1 )</f>
        <v/>
      </c>
      <c r="F179" s="181">
        <f>INDEX(Calc!$K:$K, (ROW(E178)-1)*5 + COLUMN(E178) + 1 )</f>
        <v/>
      </c>
      <c r="G179" s="182">
        <f>Закуп!O179</f>
        <v/>
      </c>
      <c r="H179" s="182">
        <f>Закуп!Q179</f>
        <v/>
      </c>
      <c r="I179" s="182">
        <f>Закуп!X179</f>
        <v/>
      </c>
      <c r="J179" s="182">
        <f>Закуп!Y179</f>
        <v/>
      </c>
      <c r="K179" s="182">
        <f>Закуп!Z179</f>
        <v/>
      </c>
      <c r="L179" s="182">
        <f>Закуп!AA179</f>
        <v/>
      </c>
      <c r="M179" s="182">
        <f>Закуп!V179</f>
        <v/>
      </c>
      <c r="N179" s="182">
        <f>Закуп!W179</f>
        <v/>
      </c>
      <c r="O179" s="183">
        <f>IF(OR(Закуп!L179="",Закуп!L179=0),"",Закуп!L179)</f>
        <v/>
      </c>
      <c r="P179" s="182">
        <f>Закуп!K179</f>
        <v/>
      </c>
      <c r="Q179" s="217">
        <f>IF(Закуп!D179="","",IF(LEFT(Закуп!D179,1)="0","0",Закуп!D179))</f>
        <v/>
      </c>
      <c r="R179" s="184">
        <f>Закуп!C179</f>
        <v/>
      </c>
    </row>
    <row r="180">
      <c r="A180" s="177">
        <f>Закуп!E180</f>
        <v/>
      </c>
      <c r="B180" s="178">
        <f>INDEX(Calc!$K:$K, (ROW(A179)-1)*5 + COLUMN(A179) + 1 )</f>
        <v/>
      </c>
      <c r="C180" s="178">
        <f>INDEX(Calc!$K:$K, (ROW(B179)-1)*5 + COLUMN(B179) + 1 )</f>
        <v/>
      </c>
      <c r="D180" s="179">
        <f>INDEX(Calc!$K:$K, (ROW(C179)-1)*5 + COLUMN(C179) + 1 )</f>
        <v/>
      </c>
      <c r="E180" s="180">
        <f>INDEX(Calc!$K:$K, (ROW(D179)-1)*5 + COLUMN(D179) + 1 )</f>
        <v/>
      </c>
      <c r="F180" s="181">
        <f>INDEX(Calc!$K:$K, (ROW(E179)-1)*5 + COLUMN(E179) + 1 )</f>
        <v/>
      </c>
      <c r="G180" s="182">
        <f>Закуп!O180</f>
        <v/>
      </c>
      <c r="H180" s="182">
        <f>Закуп!Q180</f>
        <v/>
      </c>
      <c r="I180" s="182">
        <f>Закуп!X180</f>
        <v/>
      </c>
      <c r="J180" s="182">
        <f>Закуп!Y180</f>
        <v/>
      </c>
      <c r="K180" s="182">
        <f>Закуп!Z180</f>
        <v/>
      </c>
      <c r="L180" s="182">
        <f>Закуп!AA180</f>
        <v/>
      </c>
      <c r="M180" s="182">
        <f>Закуп!V180</f>
        <v/>
      </c>
      <c r="N180" s="182">
        <f>Закуп!W180</f>
        <v/>
      </c>
      <c r="O180" s="183">
        <f>IF(OR(Закуп!L180="",Закуп!L180=0),"",Закуп!L180)</f>
        <v/>
      </c>
      <c r="P180" s="182">
        <f>Закуп!K180</f>
        <v/>
      </c>
      <c r="Q180" s="217">
        <f>IF(Закуп!D180="","",IF(LEFT(Закуп!D180,1)="0","0",Закуп!D180))</f>
        <v/>
      </c>
      <c r="R180" s="184">
        <f>Закуп!C180</f>
        <v/>
      </c>
    </row>
    <row r="181">
      <c r="A181" s="177">
        <f>Закуп!E181</f>
        <v/>
      </c>
      <c r="B181" s="178">
        <f>INDEX(Calc!$K:$K, (ROW(A180)-1)*5 + COLUMN(A180) + 1 )</f>
        <v/>
      </c>
      <c r="C181" s="178">
        <f>INDEX(Calc!$K:$K, (ROW(B180)-1)*5 + COLUMN(B180) + 1 )</f>
        <v/>
      </c>
      <c r="D181" s="179">
        <f>INDEX(Calc!$K:$K, (ROW(C180)-1)*5 + COLUMN(C180) + 1 )</f>
        <v/>
      </c>
      <c r="E181" s="180">
        <f>INDEX(Calc!$K:$K, (ROW(D180)-1)*5 + COLUMN(D180) + 1 )</f>
        <v/>
      </c>
      <c r="F181" s="181">
        <f>INDEX(Calc!$K:$K, (ROW(E180)-1)*5 + COLUMN(E180) + 1 )</f>
        <v/>
      </c>
      <c r="G181" s="182">
        <f>Закуп!O181</f>
        <v/>
      </c>
      <c r="H181" s="182">
        <f>Закуп!Q181</f>
        <v/>
      </c>
      <c r="I181" s="182">
        <f>Закуп!X181</f>
        <v/>
      </c>
      <c r="J181" s="182">
        <f>Закуп!Y181</f>
        <v/>
      </c>
      <c r="K181" s="182">
        <f>Закуп!Z181</f>
        <v/>
      </c>
      <c r="L181" s="182">
        <f>Закуп!AA181</f>
        <v/>
      </c>
      <c r="M181" s="182">
        <f>Закуп!V181</f>
        <v/>
      </c>
      <c r="N181" s="182">
        <f>Закуп!W181</f>
        <v/>
      </c>
      <c r="O181" s="183">
        <f>IF(OR(Закуп!L181="",Закуп!L181=0),"",Закуп!L181)</f>
        <v/>
      </c>
      <c r="P181" s="182">
        <f>Закуп!K181</f>
        <v/>
      </c>
      <c r="Q181" s="217">
        <f>IF(Закуп!D181="","",IF(LEFT(Закуп!D181,1)="0","0",Закуп!D181))</f>
        <v/>
      </c>
      <c r="R181" s="184">
        <f>Закуп!C181</f>
        <v/>
      </c>
    </row>
    <row r="182">
      <c r="A182" s="177">
        <f>Закуп!E182</f>
        <v/>
      </c>
      <c r="B182" s="178">
        <f>INDEX(Calc!$K:$K, (ROW(A181)-1)*5 + COLUMN(A181) + 1 )</f>
        <v/>
      </c>
      <c r="C182" s="178">
        <f>INDEX(Calc!$K:$K, (ROW(B181)-1)*5 + COLUMN(B181) + 1 )</f>
        <v/>
      </c>
      <c r="D182" s="179">
        <f>INDEX(Calc!$K:$K, (ROW(C181)-1)*5 + COLUMN(C181) + 1 )</f>
        <v/>
      </c>
      <c r="E182" s="180">
        <f>INDEX(Calc!$K:$K, (ROW(D181)-1)*5 + COLUMN(D181) + 1 )</f>
        <v/>
      </c>
      <c r="F182" s="181">
        <f>INDEX(Calc!$K:$K, (ROW(E181)-1)*5 + COLUMN(E181) + 1 )</f>
        <v/>
      </c>
      <c r="G182" s="182">
        <f>Закуп!O182</f>
        <v/>
      </c>
      <c r="H182" s="182">
        <f>Закуп!Q182</f>
        <v/>
      </c>
      <c r="I182" s="182">
        <f>Закуп!X182</f>
        <v/>
      </c>
      <c r="J182" s="182">
        <f>Закуп!Y182</f>
        <v/>
      </c>
      <c r="K182" s="182">
        <f>Закуп!Z182</f>
        <v/>
      </c>
      <c r="L182" s="182">
        <f>Закуп!AA182</f>
        <v/>
      </c>
      <c r="M182" s="182">
        <f>Закуп!V182</f>
        <v/>
      </c>
      <c r="N182" s="182">
        <f>Закуп!W182</f>
        <v/>
      </c>
      <c r="O182" s="183">
        <f>IF(OR(Закуп!L182="",Закуп!L182=0),"",Закуп!L182)</f>
        <v/>
      </c>
      <c r="P182" s="182">
        <f>Закуп!K182</f>
        <v/>
      </c>
      <c r="Q182" s="217">
        <f>IF(Закуп!D182="","",IF(LEFT(Закуп!D182,1)="0","0",Закуп!D182))</f>
        <v/>
      </c>
      <c r="R182" s="184">
        <f>Закуп!C182</f>
        <v/>
      </c>
    </row>
    <row r="183">
      <c r="A183" s="177">
        <f>Закуп!E183</f>
        <v/>
      </c>
      <c r="B183" s="178">
        <f>INDEX(Calc!$K:$K, (ROW(A182)-1)*5 + COLUMN(A182) + 1 )</f>
        <v/>
      </c>
      <c r="C183" s="178">
        <f>INDEX(Calc!$K:$K, (ROW(B182)-1)*5 + COLUMN(B182) + 1 )</f>
        <v/>
      </c>
      <c r="D183" s="179">
        <f>INDEX(Calc!$K:$K, (ROW(C182)-1)*5 + COLUMN(C182) + 1 )</f>
        <v/>
      </c>
      <c r="E183" s="180">
        <f>INDEX(Calc!$K:$K, (ROW(D182)-1)*5 + COLUMN(D182) + 1 )</f>
        <v/>
      </c>
      <c r="F183" s="181">
        <f>INDEX(Calc!$K:$K, (ROW(E182)-1)*5 + COLUMN(E182) + 1 )</f>
        <v/>
      </c>
      <c r="G183" s="182">
        <f>Закуп!O183</f>
        <v/>
      </c>
      <c r="H183" s="182">
        <f>Закуп!Q183</f>
        <v/>
      </c>
      <c r="I183" s="182">
        <f>Закуп!X183</f>
        <v/>
      </c>
      <c r="J183" s="182">
        <f>Закуп!Y183</f>
        <v/>
      </c>
      <c r="K183" s="182">
        <f>Закуп!Z183</f>
        <v/>
      </c>
      <c r="L183" s="182">
        <f>Закуп!AA183</f>
        <v/>
      </c>
      <c r="M183" s="182">
        <f>Закуп!V183</f>
        <v/>
      </c>
      <c r="N183" s="182">
        <f>Закуп!W183</f>
        <v/>
      </c>
      <c r="O183" s="183">
        <f>IF(OR(Закуп!L183="",Закуп!L183=0),"",Закуп!L183)</f>
        <v/>
      </c>
      <c r="P183" s="182">
        <f>Закуп!K183</f>
        <v/>
      </c>
      <c r="Q183" s="217">
        <f>IF(Закуп!D183="","",IF(LEFT(Закуп!D183,1)="0","0",Закуп!D183))</f>
        <v/>
      </c>
      <c r="R183" s="184">
        <f>Закуп!C183</f>
        <v/>
      </c>
    </row>
    <row r="184">
      <c r="A184" s="177">
        <f>Закуп!E184</f>
        <v/>
      </c>
      <c r="B184" s="178">
        <f>INDEX(Calc!$K:$K, (ROW(A183)-1)*5 + COLUMN(A183) + 1 )</f>
        <v/>
      </c>
      <c r="C184" s="178">
        <f>INDEX(Calc!$K:$K, (ROW(B183)-1)*5 + COLUMN(B183) + 1 )</f>
        <v/>
      </c>
      <c r="D184" s="179">
        <f>INDEX(Calc!$K:$K, (ROW(C183)-1)*5 + COLUMN(C183) + 1 )</f>
        <v/>
      </c>
      <c r="E184" s="180">
        <f>INDEX(Calc!$K:$K, (ROW(D183)-1)*5 + COLUMN(D183) + 1 )</f>
        <v/>
      </c>
      <c r="F184" s="181">
        <f>INDEX(Calc!$K:$K, (ROW(E183)-1)*5 + COLUMN(E183) + 1 )</f>
        <v/>
      </c>
      <c r="G184" s="182">
        <f>Закуп!O184</f>
        <v/>
      </c>
      <c r="H184" s="182">
        <f>Закуп!Q184</f>
        <v/>
      </c>
      <c r="I184" s="182">
        <f>Закуп!X184</f>
        <v/>
      </c>
      <c r="J184" s="182">
        <f>Закуп!Y184</f>
        <v/>
      </c>
      <c r="K184" s="182">
        <f>Закуп!Z184</f>
        <v/>
      </c>
      <c r="L184" s="182">
        <f>Закуп!AA184</f>
        <v/>
      </c>
      <c r="M184" s="182">
        <f>Закуп!V184</f>
        <v/>
      </c>
      <c r="N184" s="182">
        <f>Закуп!W184</f>
        <v/>
      </c>
      <c r="O184" s="183">
        <f>IF(OR(Закуп!L184="",Закуп!L184=0),"",Закуп!L184)</f>
        <v/>
      </c>
      <c r="P184" s="182">
        <f>Закуп!K184</f>
        <v/>
      </c>
      <c r="Q184" s="217">
        <f>IF(Закуп!D184="","",IF(LEFT(Закуп!D184,1)="0","0",Закуп!D184))</f>
        <v/>
      </c>
      <c r="R184" s="184">
        <f>Закуп!C184</f>
        <v/>
      </c>
    </row>
    <row r="185">
      <c r="A185" s="177">
        <f>Закуп!E185</f>
        <v/>
      </c>
      <c r="B185" s="178">
        <f>INDEX(Calc!$K:$K, (ROW(A184)-1)*5 + COLUMN(A184) + 1 )</f>
        <v/>
      </c>
      <c r="C185" s="178">
        <f>INDEX(Calc!$K:$K, (ROW(B184)-1)*5 + COLUMN(B184) + 1 )</f>
        <v/>
      </c>
      <c r="D185" s="179">
        <f>INDEX(Calc!$K:$K, (ROW(C184)-1)*5 + COLUMN(C184) + 1 )</f>
        <v/>
      </c>
      <c r="E185" s="180">
        <f>INDEX(Calc!$K:$K, (ROW(D184)-1)*5 + COLUMN(D184) + 1 )</f>
        <v/>
      </c>
      <c r="F185" s="181">
        <f>INDEX(Calc!$K:$K, (ROW(E184)-1)*5 + COLUMN(E184) + 1 )</f>
        <v/>
      </c>
      <c r="G185" s="182">
        <f>Закуп!O185</f>
        <v/>
      </c>
      <c r="H185" s="182">
        <f>Закуп!Q185</f>
        <v/>
      </c>
      <c r="I185" s="182">
        <f>Закуп!X185</f>
        <v/>
      </c>
      <c r="J185" s="182">
        <f>Закуп!Y185</f>
        <v/>
      </c>
      <c r="K185" s="182">
        <f>Закуп!Z185</f>
        <v/>
      </c>
      <c r="L185" s="182">
        <f>Закуп!AA185</f>
        <v/>
      </c>
      <c r="M185" s="182">
        <f>Закуп!V185</f>
        <v/>
      </c>
      <c r="N185" s="182">
        <f>Закуп!W185</f>
        <v/>
      </c>
      <c r="O185" s="183">
        <f>IF(OR(Закуп!L185="",Закуп!L185=0),"",Закуп!L185)</f>
        <v/>
      </c>
      <c r="P185" s="182">
        <f>Закуп!K185</f>
        <v/>
      </c>
      <c r="Q185" s="217">
        <f>IF(Закуп!D185="","",IF(LEFT(Закуп!D185,1)="0","0",Закуп!D185))</f>
        <v/>
      </c>
      <c r="R185" s="184">
        <f>Закуп!C185</f>
        <v/>
      </c>
    </row>
    <row r="186">
      <c r="A186" s="177">
        <f>Закуп!E186</f>
        <v/>
      </c>
      <c r="B186" s="178">
        <f>INDEX(Calc!$K:$K, (ROW(A185)-1)*5 + COLUMN(A185) + 1 )</f>
        <v/>
      </c>
      <c r="C186" s="178">
        <f>INDEX(Calc!$K:$K, (ROW(B185)-1)*5 + COLUMN(B185) + 1 )</f>
        <v/>
      </c>
      <c r="D186" s="179">
        <f>INDEX(Calc!$K:$K, (ROW(C185)-1)*5 + COLUMN(C185) + 1 )</f>
        <v/>
      </c>
      <c r="E186" s="180">
        <f>INDEX(Calc!$K:$K, (ROW(D185)-1)*5 + COLUMN(D185) + 1 )</f>
        <v/>
      </c>
      <c r="F186" s="181">
        <f>INDEX(Calc!$K:$K, (ROW(E185)-1)*5 + COLUMN(E185) + 1 )</f>
        <v/>
      </c>
      <c r="G186" s="182">
        <f>Закуп!O186</f>
        <v/>
      </c>
      <c r="H186" s="182">
        <f>Закуп!Q186</f>
        <v/>
      </c>
      <c r="I186" s="182">
        <f>Закуп!X186</f>
        <v/>
      </c>
      <c r="J186" s="182">
        <f>Закуп!Y186</f>
        <v/>
      </c>
      <c r="K186" s="182">
        <f>Закуп!Z186</f>
        <v/>
      </c>
      <c r="L186" s="182">
        <f>Закуп!AA186</f>
        <v/>
      </c>
      <c r="M186" s="182">
        <f>Закуп!V186</f>
        <v/>
      </c>
      <c r="N186" s="182">
        <f>Закуп!W186</f>
        <v/>
      </c>
      <c r="O186" s="183">
        <f>IF(OR(Закуп!L186="",Закуп!L186=0),"",Закуп!L186)</f>
        <v/>
      </c>
      <c r="P186" s="182">
        <f>Закуп!K186</f>
        <v/>
      </c>
      <c r="Q186" s="217">
        <f>IF(Закуп!D186="","",IF(LEFT(Закуп!D186,1)="0","0",Закуп!D186))</f>
        <v/>
      </c>
      <c r="R186" s="184">
        <f>Закуп!C186</f>
        <v/>
      </c>
    </row>
    <row r="187">
      <c r="A187" s="177">
        <f>Закуп!E187</f>
        <v/>
      </c>
      <c r="B187" s="178">
        <f>INDEX(Calc!$K:$K, (ROW(A186)-1)*5 + COLUMN(A186) + 1 )</f>
        <v/>
      </c>
      <c r="C187" s="178">
        <f>INDEX(Calc!$K:$K, (ROW(B186)-1)*5 + COLUMN(B186) + 1 )</f>
        <v/>
      </c>
      <c r="D187" s="179">
        <f>INDEX(Calc!$K:$K, (ROW(C186)-1)*5 + COLUMN(C186) + 1 )</f>
        <v/>
      </c>
      <c r="E187" s="180">
        <f>INDEX(Calc!$K:$K, (ROW(D186)-1)*5 + COLUMN(D186) + 1 )</f>
        <v/>
      </c>
      <c r="F187" s="181">
        <f>INDEX(Calc!$K:$K, (ROW(E186)-1)*5 + COLUMN(E186) + 1 )</f>
        <v/>
      </c>
      <c r="G187" s="182">
        <f>Закуп!O187</f>
        <v/>
      </c>
      <c r="H187" s="182">
        <f>Закуп!Q187</f>
        <v/>
      </c>
      <c r="I187" s="182">
        <f>Закуп!X187</f>
        <v/>
      </c>
      <c r="J187" s="182">
        <f>Закуп!Y187</f>
        <v/>
      </c>
      <c r="K187" s="182">
        <f>Закуп!Z187</f>
        <v/>
      </c>
      <c r="L187" s="182">
        <f>Закуп!AA187</f>
        <v/>
      </c>
      <c r="M187" s="182">
        <f>Закуп!V187</f>
        <v/>
      </c>
      <c r="N187" s="182">
        <f>Закуп!W187</f>
        <v/>
      </c>
      <c r="O187" s="183">
        <f>IF(OR(Закуп!L187="",Закуп!L187=0),"",Закуп!L187)</f>
        <v/>
      </c>
      <c r="P187" s="182">
        <f>Закуп!K187</f>
        <v/>
      </c>
      <c r="Q187" s="217">
        <f>IF(Закуп!D187="","",IF(LEFT(Закуп!D187,1)="0","0",Закуп!D187))</f>
        <v/>
      </c>
      <c r="R187" s="184">
        <f>Закуп!C187</f>
        <v/>
      </c>
    </row>
    <row r="188">
      <c r="A188" s="177">
        <f>Закуп!E188</f>
        <v/>
      </c>
      <c r="B188" s="178">
        <f>INDEX(Calc!$K:$K, (ROW(A187)-1)*5 + COLUMN(A187) + 1 )</f>
        <v/>
      </c>
      <c r="C188" s="178">
        <f>INDEX(Calc!$K:$K, (ROW(B187)-1)*5 + COLUMN(B187) + 1 )</f>
        <v/>
      </c>
      <c r="D188" s="179">
        <f>INDEX(Calc!$K:$K, (ROW(C187)-1)*5 + COLUMN(C187) + 1 )</f>
        <v/>
      </c>
      <c r="E188" s="180">
        <f>INDEX(Calc!$K:$K, (ROW(D187)-1)*5 + COLUMN(D187) + 1 )</f>
        <v/>
      </c>
      <c r="F188" s="181">
        <f>INDEX(Calc!$K:$K, (ROW(E187)-1)*5 + COLUMN(E187) + 1 )</f>
        <v/>
      </c>
      <c r="G188" s="182">
        <f>Закуп!O188</f>
        <v/>
      </c>
      <c r="H188" s="182">
        <f>Закуп!Q188</f>
        <v/>
      </c>
      <c r="I188" s="182">
        <f>Закуп!X188</f>
        <v/>
      </c>
      <c r="J188" s="182">
        <f>Закуп!Y188</f>
        <v/>
      </c>
      <c r="K188" s="182">
        <f>Закуп!Z188</f>
        <v/>
      </c>
      <c r="L188" s="182">
        <f>Закуп!AA188</f>
        <v/>
      </c>
      <c r="M188" s="182">
        <f>Закуп!V188</f>
        <v/>
      </c>
      <c r="N188" s="182">
        <f>Закуп!W188</f>
        <v/>
      </c>
      <c r="O188" s="183">
        <f>IF(OR(Закуп!L188="",Закуп!L188=0),"",Закуп!L188)</f>
        <v/>
      </c>
      <c r="P188" s="182">
        <f>Закуп!K188</f>
        <v/>
      </c>
      <c r="Q188" s="217">
        <f>IF(Закуп!D188="","",IF(LEFT(Закуп!D188,1)="0","0",Закуп!D188))</f>
        <v/>
      </c>
      <c r="R188" s="184">
        <f>Закуп!C188</f>
        <v/>
      </c>
    </row>
    <row r="189">
      <c r="A189" s="177">
        <f>Закуп!E189</f>
        <v/>
      </c>
      <c r="B189" s="178">
        <f>INDEX(Calc!$K:$K, (ROW(A188)-1)*5 + COLUMN(A188) + 1 )</f>
        <v/>
      </c>
      <c r="C189" s="178">
        <f>INDEX(Calc!$K:$K, (ROW(B188)-1)*5 + COLUMN(B188) + 1 )</f>
        <v/>
      </c>
      <c r="D189" s="179">
        <f>INDEX(Calc!$K:$K, (ROW(C188)-1)*5 + COLUMN(C188) + 1 )</f>
        <v/>
      </c>
      <c r="E189" s="180">
        <f>INDEX(Calc!$K:$K, (ROW(D188)-1)*5 + COLUMN(D188) + 1 )</f>
        <v/>
      </c>
      <c r="F189" s="181">
        <f>INDEX(Calc!$K:$K, (ROW(E188)-1)*5 + COLUMN(E188) + 1 )</f>
        <v/>
      </c>
      <c r="G189" s="182">
        <f>Закуп!O189</f>
        <v/>
      </c>
      <c r="H189" s="182">
        <f>Закуп!Q189</f>
        <v/>
      </c>
      <c r="I189" s="182">
        <f>Закуп!X189</f>
        <v/>
      </c>
      <c r="J189" s="182">
        <f>Закуп!Y189</f>
        <v/>
      </c>
      <c r="K189" s="182">
        <f>Закуп!Z189</f>
        <v/>
      </c>
      <c r="L189" s="182">
        <f>Закуп!AA189</f>
        <v/>
      </c>
      <c r="M189" s="182">
        <f>Закуп!V189</f>
        <v/>
      </c>
      <c r="N189" s="182">
        <f>Закуп!W189</f>
        <v/>
      </c>
      <c r="O189" s="183">
        <f>IF(OR(Закуп!L189="",Закуп!L189=0),"",Закуп!L189)</f>
        <v/>
      </c>
      <c r="P189" s="182">
        <f>Закуп!K189</f>
        <v/>
      </c>
      <c r="Q189" s="217">
        <f>IF(Закуп!D189="","",IF(LEFT(Закуп!D189,1)="0","0",Закуп!D189))</f>
        <v/>
      </c>
      <c r="R189" s="184">
        <f>Закуп!C189</f>
        <v/>
      </c>
    </row>
    <row r="190">
      <c r="A190" s="177">
        <f>Закуп!E190</f>
        <v/>
      </c>
      <c r="B190" s="178">
        <f>INDEX(Calc!$K:$K, (ROW(A189)-1)*5 + COLUMN(A189) + 1 )</f>
        <v/>
      </c>
      <c r="C190" s="178">
        <f>INDEX(Calc!$K:$K, (ROW(B189)-1)*5 + COLUMN(B189) + 1 )</f>
        <v/>
      </c>
      <c r="D190" s="179">
        <f>INDEX(Calc!$K:$K, (ROW(C189)-1)*5 + COLUMN(C189) + 1 )</f>
        <v/>
      </c>
      <c r="E190" s="180">
        <f>INDEX(Calc!$K:$K, (ROW(D189)-1)*5 + COLUMN(D189) + 1 )</f>
        <v/>
      </c>
      <c r="F190" s="181">
        <f>INDEX(Calc!$K:$K, (ROW(E189)-1)*5 + COLUMN(E189) + 1 )</f>
        <v/>
      </c>
      <c r="G190" s="182">
        <f>Закуп!O190</f>
        <v/>
      </c>
      <c r="H190" s="182">
        <f>Закуп!Q190</f>
        <v/>
      </c>
      <c r="I190" s="182">
        <f>Закуп!X190</f>
        <v/>
      </c>
      <c r="J190" s="182">
        <f>Закуп!Y190</f>
        <v/>
      </c>
      <c r="K190" s="182">
        <f>Закуп!Z190</f>
        <v/>
      </c>
      <c r="L190" s="182">
        <f>Закуп!AA190</f>
        <v/>
      </c>
      <c r="M190" s="182">
        <f>Закуп!V190</f>
        <v/>
      </c>
      <c r="N190" s="182">
        <f>Закуп!W190</f>
        <v/>
      </c>
      <c r="O190" s="183">
        <f>IF(OR(Закуп!L190="",Закуп!L190=0),"",Закуп!L190)</f>
        <v/>
      </c>
      <c r="P190" s="182">
        <f>Закуп!K190</f>
        <v/>
      </c>
      <c r="Q190" s="217">
        <f>IF(Закуп!D190="","",IF(LEFT(Закуп!D190,1)="0","0",Закуп!D190))</f>
        <v/>
      </c>
      <c r="R190" s="184">
        <f>Закуп!C190</f>
        <v/>
      </c>
    </row>
    <row r="191">
      <c r="A191" s="177">
        <f>Закуп!E191</f>
        <v/>
      </c>
      <c r="B191" s="178">
        <f>INDEX(Calc!$K:$K, (ROW(A190)-1)*5 + COLUMN(A190) + 1 )</f>
        <v/>
      </c>
      <c r="C191" s="178">
        <f>INDEX(Calc!$K:$K, (ROW(B190)-1)*5 + COLUMN(B190) + 1 )</f>
        <v/>
      </c>
      <c r="D191" s="179">
        <f>INDEX(Calc!$K:$K, (ROW(C190)-1)*5 + COLUMN(C190) + 1 )</f>
        <v/>
      </c>
      <c r="E191" s="180">
        <f>INDEX(Calc!$K:$K, (ROW(D190)-1)*5 + COLUMN(D190) + 1 )</f>
        <v/>
      </c>
      <c r="F191" s="181">
        <f>INDEX(Calc!$K:$K, (ROW(E190)-1)*5 + COLUMN(E190) + 1 )</f>
        <v/>
      </c>
      <c r="G191" s="182">
        <f>Закуп!O191</f>
        <v/>
      </c>
      <c r="H191" s="182">
        <f>Закуп!Q191</f>
        <v/>
      </c>
      <c r="I191" s="182">
        <f>Закуп!X191</f>
        <v/>
      </c>
      <c r="J191" s="182">
        <f>Закуп!Y191</f>
        <v/>
      </c>
      <c r="K191" s="182">
        <f>Закуп!Z191</f>
        <v/>
      </c>
      <c r="L191" s="182">
        <f>Закуп!AA191</f>
        <v/>
      </c>
      <c r="M191" s="182">
        <f>Закуп!V191</f>
        <v/>
      </c>
      <c r="N191" s="182">
        <f>Закуп!W191</f>
        <v/>
      </c>
      <c r="O191" s="183">
        <f>IF(OR(Закуп!L191="",Закуп!L191=0),"",Закуп!L191)</f>
        <v/>
      </c>
      <c r="P191" s="182">
        <f>Закуп!K191</f>
        <v/>
      </c>
      <c r="Q191" s="217">
        <f>IF(Закуп!D191="","",IF(LEFT(Закуп!D191,1)="0","0",Закуп!D191))</f>
        <v/>
      </c>
      <c r="R191" s="184">
        <f>Закуп!C191</f>
        <v/>
      </c>
    </row>
    <row r="192">
      <c r="A192" s="177">
        <f>Закуп!E192</f>
        <v/>
      </c>
      <c r="B192" s="178">
        <f>INDEX(Calc!$K:$K, (ROW(A191)-1)*5 + COLUMN(A191) + 1 )</f>
        <v/>
      </c>
      <c r="C192" s="178">
        <f>INDEX(Calc!$K:$K, (ROW(B191)-1)*5 + COLUMN(B191) + 1 )</f>
        <v/>
      </c>
      <c r="D192" s="179">
        <f>INDEX(Calc!$K:$K, (ROW(C191)-1)*5 + COLUMN(C191) + 1 )</f>
        <v/>
      </c>
      <c r="E192" s="180">
        <f>INDEX(Calc!$K:$K, (ROW(D191)-1)*5 + COLUMN(D191) + 1 )</f>
        <v/>
      </c>
      <c r="F192" s="181">
        <f>INDEX(Calc!$K:$K, (ROW(E191)-1)*5 + COLUMN(E191) + 1 )</f>
        <v/>
      </c>
      <c r="G192" s="182">
        <f>Закуп!O192</f>
        <v/>
      </c>
      <c r="H192" s="182">
        <f>Закуп!Q192</f>
        <v/>
      </c>
      <c r="I192" s="182">
        <f>Закуп!X192</f>
        <v/>
      </c>
      <c r="J192" s="182">
        <f>Закуп!Y192</f>
        <v/>
      </c>
      <c r="K192" s="182">
        <f>Закуп!Z192</f>
        <v/>
      </c>
      <c r="L192" s="182">
        <f>Закуп!AA192</f>
        <v/>
      </c>
      <c r="M192" s="182">
        <f>Закуп!V192</f>
        <v/>
      </c>
      <c r="N192" s="182">
        <f>Закуп!W192</f>
        <v/>
      </c>
      <c r="O192" s="183">
        <f>IF(OR(Закуп!L192="",Закуп!L192=0),"",Закуп!L192)</f>
        <v/>
      </c>
      <c r="P192" s="182">
        <f>Закуп!K192</f>
        <v/>
      </c>
      <c r="Q192" s="217">
        <f>IF(Закуп!D192="","",IF(LEFT(Закуп!D192,1)="0","0",Закуп!D192))</f>
        <v/>
      </c>
      <c r="R192" s="184">
        <f>Закуп!C192</f>
        <v/>
      </c>
    </row>
    <row r="193">
      <c r="A193" s="177">
        <f>Закуп!E193</f>
        <v/>
      </c>
      <c r="B193" s="178">
        <f>INDEX(Calc!$K:$K, (ROW(A192)-1)*5 + COLUMN(A192) + 1 )</f>
        <v/>
      </c>
      <c r="C193" s="178">
        <f>INDEX(Calc!$K:$K, (ROW(B192)-1)*5 + COLUMN(B192) + 1 )</f>
        <v/>
      </c>
      <c r="D193" s="179">
        <f>INDEX(Calc!$K:$K, (ROW(C192)-1)*5 + COLUMN(C192) + 1 )</f>
        <v/>
      </c>
      <c r="E193" s="180">
        <f>INDEX(Calc!$K:$K, (ROW(D192)-1)*5 + COLUMN(D192) + 1 )</f>
        <v/>
      </c>
      <c r="F193" s="181">
        <f>INDEX(Calc!$K:$K, (ROW(E192)-1)*5 + COLUMN(E192) + 1 )</f>
        <v/>
      </c>
      <c r="G193" s="182">
        <f>Закуп!O193</f>
        <v/>
      </c>
      <c r="H193" s="182">
        <f>Закуп!Q193</f>
        <v/>
      </c>
      <c r="I193" s="182">
        <f>Закуп!X193</f>
        <v/>
      </c>
      <c r="J193" s="182">
        <f>Закуп!Y193</f>
        <v/>
      </c>
      <c r="K193" s="182">
        <f>Закуп!Z193</f>
        <v/>
      </c>
      <c r="L193" s="182">
        <f>Закуп!AA193</f>
        <v/>
      </c>
      <c r="M193" s="182">
        <f>Закуп!V193</f>
        <v/>
      </c>
      <c r="N193" s="182">
        <f>Закуп!W193</f>
        <v/>
      </c>
      <c r="O193" s="183">
        <f>IF(OR(Закуп!L193="",Закуп!L193=0),"",Закуп!L193)</f>
        <v/>
      </c>
      <c r="P193" s="182">
        <f>Закуп!K193</f>
        <v/>
      </c>
      <c r="Q193" s="217">
        <f>IF(Закуп!D193="","",IF(LEFT(Закуп!D193,1)="0","0",Закуп!D193))</f>
        <v/>
      </c>
      <c r="R193" s="184">
        <f>Закуп!C193</f>
        <v/>
      </c>
    </row>
    <row r="194">
      <c r="A194" s="177">
        <f>Закуп!E194</f>
        <v/>
      </c>
      <c r="B194" s="178">
        <f>INDEX(Calc!$K:$K, (ROW(A193)-1)*5 + COLUMN(A193) + 1 )</f>
        <v/>
      </c>
      <c r="C194" s="178">
        <f>INDEX(Calc!$K:$K, (ROW(B193)-1)*5 + COLUMN(B193) + 1 )</f>
        <v/>
      </c>
      <c r="D194" s="179">
        <f>INDEX(Calc!$K:$K, (ROW(C193)-1)*5 + COLUMN(C193) + 1 )</f>
        <v/>
      </c>
      <c r="E194" s="180">
        <f>INDEX(Calc!$K:$K, (ROW(D193)-1)*5 + COLUMN(D193) + 1 )</f>
        <v/>
      </c>
      <c r="F194" s="181">
        <f>INDEX(Calc!$K:$K, (ROW(E193)-1)*5 + COLUMN(E193) + 1 )</f>
        <v/>
      </c>
      <c r="G194" s="182">
        <f>Закуп!O194</f>
        <v/>
      </c>
      <c r="H194" s="182">
        <f>Закуп!Q194</f>
        <v/>
      </c>
      <c r="I194" s="182">
        <f>Закуп!X194</f>
        <v/>
      </c>
      <c r="J194" s="182">
        <f>Закуп!Y194</f>
        <v/>
      </c>
      <c r="K194" s="182">
        <f>Закуп!Z194</f>
        <v/>
      </c>
      <c r="L194" s="182">
        <f>Закуп!AA194</f>
        <v/>
      </c>
      <c r="M194" s="182">
        <f>Закуп!V194</f>
        <v/>
      </c>
      <c r="N194" s="182">
        <f>Закуп!W194</f>
        <v/>
      </c>
      <c r="O194" s="183">
        <f>IF(OR(Закуп!L194="",Закуп!L194=0),"",Закуп!L194)</f>
        <v/>
      </c>
      <c r="P194" s="182">
        <f>Закуп!K194</f>
        <v/>
      </c>
      <c r="Q194" s="217">
        <f>IF(Закуп!D194="","",IF(LEFT(Закуп!D194,1)="0","0",Закуп!D194))</f>
        <v/>
      </c>
      <c r="R194" s="184">
        <f>Закуп!C194</f>
        <v/>
      </c>
    </row>
    <row r="195">
      <c r="A195" s="177">
        <f>Закуп!E195</f>
        <v/>
      </c>
      <c r="B195" s="178">
        <f>INDEX(Calc!$K:$K, (ROW(A194)-1)*5 + COLUMN(A194) + 1 )</f>
        <v/>
      </c>
      <c r="C195" s="178">
        <f>INDEX(Calc!$K:$K, (ROW(B194)-1)*5 + COLUMN(B194) + 1 )</f>
        <v/>
      </c>
      <c r="D195" s="179">
        <f>INDEX(Calc!$K:$K, (ROW(C194)-1)*5 + COLUMN(C194) + 1 )</f>
        <v/>
      </c>
      <c r="E195" s="180">
        <f>INDEX(Calc!$K:$K, (ROW(D194)-1)*5 + COLUMN(D194) + 1 )</f>
        <v/>
      </c>
      <c r="F195" s="181">
        <f>INDEX(Calc!$K:$K, (ROW(E194)-1)*5 + COLUMN(E194) + 1 )</f>
        <v/>
      </c>
      <c r="G195" s="182">
        <f>Закуп!O195</f>
        <v/>
      </c>
      <c r="H195" s="182">
        <f>Закуп!Q195</f>
        <v/>
      </c>
      <c r="I195" s="182">
        <f>Закуп!X195</f>
        <v/>
      </c>
      <c r="J195" s="182">
        <f>Закуп!Y195</f>
        <v/>
      </c>
      <c r="K195" s="182">
        <f>Закуп!Z195</f>
        <v/>
      </c>
      <c r="L195" s="182">
        <f>Закуп!AA195</f>
        <v/>
      </c>
      <c r="M195" s="182">
        <f>Закуп!V195</f>
        <v/>
      </c>
      <c r="N195" s="182">
        <f>Закуп!W195</f>
        <v/>
      </c>
      <c r="O195" s="183">
        <f>IF(OR(Закуп!L195="",Закуп!L195=0),"",Закуп!L195)</f>
        <v/>
      </c>
      <c r="P195" s="182">
        <f>Закуп!K195</f>
        <v/>
      </c>
      <c r="Q195" s="217">
        <f>IF(Закуп!D195="","",IF(LEFT(Закуп!D195,1)="0","0",Закуп!D195))</f>
        <v/>
      </c>
      <c r="R195" s="184">
        <f>Закуп!C195</f>
        <v/>
      </c>
    </row>
    <row r="196">
      <c r="A196" s="177">
        <f>Закуп!E196</f>
        <v/>
      </c>
      <c r="B196" s="178">
        <f>INDEX(Calc!$K:$K, (ROW(A195)-1)*5 + COLUMN(A195) + 1 )</f>
        <v/>
      </c>
      <c r="C196" s="178">
        <f>INDEX(Calc!$K:$K, (ROW(B195)-1)*5 + COLUMN(B195) + 1 )</f>
        <v/>
      </c>
      <c r="D196" s="179">
        <f>INDEX(Calc!$K:$K, (ROW(C195)-1)*5 + COLUMN(C195) + 1 )</f>
        <v/>
      </c>
      <c r="E196" s="180">
        <f>INDEX(Calc!$K:$K, (ROW(D195)-1)*5 + COLUMN(D195) + 1 )</f>
        <v/>
      </c>
      <c r="F196" s="181">
        <f>INDEX(Calc!$K:$K, (ROW(E195)-1)*5 + COLUMN(E195) + 1 )</f>
        <v/>
      </c>
      <c r="G196" s="182">
        <f>Закуп!O196</f>
        <v/>
      </c>
      <c r="H196" s="182">
        <f>Закуп!Q196</f>
        <v/>
      </c>
      <c r="I196" s="182">
        <f>Закуп!X196</f>
        <v/>
      </c>
      <c r="J196" s="182">
        <f>Закуп!Y196</f>
        <v/>
      </c>
      <c r="K196" s="182">
        <f>Закуп!Z196</f>
        <v/>
      </c>
      <c r="L196" s="182">
        <f>Закуп!AA196</f>
        <v/>
      </c>
      <c r="M196" s="182">
        <f>Закуп!V196</f>
        <v/>
      </c>
      <c r="N196" s="182">
        <f>Закуп!W196</f>
        <v/>
      </c>
      <c r="O196" s="183">
        <f>IF(OR(Закуп!L196="",Закуп!L196=0),"",Закуп!L196)</f>
        <v/>
      </c>
      <c r="P196" s="182">
        <f>Закуп!K196</f>
        <v/>
      </c>
      <c r="Q196" s="217">
        <f>IF(Закуп!D196="","",IF(LEFT(Закуп!D196,1)="0","0",Закуп!D196))</f>
        <v/>
      </c>
      <c r="R196" s="184">
        <f>Закуп!C196</f>
        <v/>
      </c>
    </row>
    <row r="197">
      <c r="A197" s="177">
        <f>Закуп!E197</f>
        <v/>
      </c>
      <c r="B197" s="178">
        <f>INDEX(Calc!$K:$K, (ROW(A196)-1)*5 + COLUMN(A196) + 1 )</f>
        <v/>
      </c>
      <c r="C197" s="178">
        <f>INDEX(Calc!$K:$K, (ROW(B196)-1)*5 + COLUMN(B196) + 1 )</f>
        <v/>
      </c>
      <c r="D197" s="179">
        <f>INDEX(Calc!$K:$K, (ROW(C196)-1)*5 + COLUMN(C196) + 1 )</f>
        <v/>
      </c>
      <c r="E197" s="180">
        <f>INDEX(Calc!$K:$K, (ROW(D196)-1)*5 + COLUMN(D196) + 1 )</f>
        <v/>
      </c>
      <c r="F197" s="181">
        <f>INDEX(Calc!$K:$K, (ROW(E196)-1)*5 + COLUMN(E196) + 1 )</f>
        <v/>
      </c>
      <c r="G197" s="182">
        <f>Закуп!O197</f>
        <v/>
      </c>
      <c r="H197" s="182">
        <f>Закуп!Q197</f>
        <v/>
      </c>
      <c r="I197" s="182">
        <f>Закуп!X197</f>
        <v/>
      </c>
      <c r="J197" s="182">
        <f>Закуп!Y197</f>
        <v/>
      </c>
      <c r="K197" s="182">
        <f>Закуп!Z197</f>
        <v/>
      </c>
      <c r="L197" s="182">
        <f>Закуп!AA197</f>
        <v/>
      </c>
      <c r="M197" s="182">
        <f>Закуп!V197</f>
        <v/>
      </c>
      <c r="N197" s="182">
        <f>Закуп!W197</f>
        <v/>
      </c>
      <c r="O197" s="183">
        <f>IF(OR(Закуп!L197="",Закуп!L197=0),"",Закуп!L197)</f>
        <v/>
      </c>
      <c r="P197" s="182">
        <f>Закуп!K197</f>
        <v/>
      </c>
      <c r="Q197" s="217">
        <f>IF(Закуп!D197="","",IF(LEFT(Закуп!D197,1)="0","0",Закуп!D197))</f>
        <v/>
      </c>
      <c r="R197" s="184">
        <f>Закуп!C197</f>
        <v/>
      </c>
    </row>
    <row r="198">
      <c r="A198" s="177">
        <f>Закуп!E198</f>
        <v/>
      </c>
      <c r="B198" s="178">
        <f>INDEX(Calc!$K:$K, (ROW(A197)-1)*5 + COLUMN(A197) + 1 )</f>
        <v/>
      </c>
      <c r="C198" s="178">
        <f>INDEX(Calc!$K:$K, (ROW(B197)-1)*5 + COLUMN(B197) + 1 )</f>
        <v/>
      </c>
      <c r="D198" s="179">
        <f>INDEX(Calc!$K:$K, (ROW(C197)-1)*5 + COLUMN(C197) + 1 )</f>
        <v/>
      </c>
      <c r="E198" s="180">
        <f>INDEX(Calc!$K:$K, (ROW(D197)-1)*5 + COLUMN(D197) + 1 )</f>
        <v/>
      </c>
      <c r="F198" s="181">
        <f>INDEX(Calc!$K:$K, (ROW(E197)-1)*5 + COLUMN(E197) + 1 )</f>
        <v/>
      </c>
      <c r="G198" s="182">
        <f>Закуп!O198</f>
        <v/>
      </c>
      <c r="H198" s="182">
        <f>Закуп!Q198</f>
        <v/>
      </c>
      <c r="I198" s="182">
        <f>Закуп!X198</f>
        <v/>
      </c>
      <c r="J198" s="182">
        <f>Закуп!Y198</f>
        <v/>
      </c>
      <c r="K198" s="182">
        <f>Закуп!Z198</f>
        <v/>
      </c>
      <c r="L198" s="182">
        <f>Закуп!AA198</f>
        <v/>
      </c>
      <c r="M198" s="182">
        <f>Закуп!V198</f>
        <v/>
      </c>
      <c r="N198" s="182">
        <f>Закуп!W198</f>
        <v/>
      </c>
      <c r="O198" s="183">
        <f>IF(OR(Закуп!L198="",Закуп!L198=0),"",Закуп!L198)</f>
        <v/>
      </c>
      <c r="P198" s="182">
        <f>Закуп!K198</f>
        <v/>
      </c>
      <c r="Q198" s="217">
        <f>IF(Закуп!D198="","",IF(LEFT(Закуп!D198,1)="0","0",Закуп!D198))</f>
        <v/>
      </c>
      <c r="R198" s="184">
        <f>Закуп!C198</f>
        <v/>
      </c>
    </row>
    <row r="199">
      <c r="A199" s="177">
        <f>Закуп!E199</f>
        <v/>
      </c>
      <c r="B199" s="178">
        <f>INDEX(Calc!$K:$K, (ROW(A198)-1)*5 + COLUMN(A198) + 1 )</f>
        <v/>
      </c>
      <c r="C199" s="178">
        <f>INDEX(Calc!$K:$K, (ROW(B198)-1)*5 + COLUMN(B198) + 1 )</f>
        <v/>
      </c>
      <c r="D199" s="179">
        <f>INDEX(Calc!$K:$K, (ROW(C198)-1)*5 + COLUMN(C198) + 1 )</f>
        <v/>
      </c>
      <c r="E199" s="180">
        <f>INDEX(Calc!$K:$K, (ROW(D198)-1)*5 + COLUMN(D198) + 1 )</f>
        <v/>
      </c>
      <c r="F199" s="181">
        <f>INDEX(Calc!$K:$K, (ROW(E198)-1)*5 + COLUMN(E198) + 1 )</f>
        <v/>
      </c>
      <c r="G199" s="182">
        <f>Закуп!O199</f>
        <v/>
      </c>
      <c r="H199" s="182">
        <f>Закуп!Q199</f>
        <v/>
      </c>
      <c r="I199" s="182">
        <f>Закуп!X199</f>
        <v/>
      </c>
      <c r="J199" s="182">
        <f>Закуп!Y199</f>
        <v/>
      </c>
      <c r="K199" s="182">
        <f>Закуп!Z199</f>
        <v/>
      </c>
      <c r="L199" s="182">
        <f>Закуп!AA199</f>
        <v/>
      </c>
      <c r="M199" s="182">
        <f>Закуп!V199</f>
        <v/>
      </c>
      <c r="N199" s="182">
        <f>Закуп!W199</f>
        <v/>
      </c>
      <c r="O199" s="183">
        <f>IF(OR(Закуп!L199="",Закуп!L199=0),"",Закуп!L199)</f>
        <v/>
      </c>
      <c r="P199" s="182">
        <f>Закуп!K199</f>
        <v/>
      </c>
      <c r="Q199" s="217">
        <f>IF(Закуп!D199="","",IF(LEFT(Закуп!D199,1)="0","0",Закуп!D199))</f>
        <v/>
      </c>
      <c r="R199" s="184">
        <f>Закуп!C199</f>
        <v/>
      </c>
    </row>
    <row r="200">
      <c r="A200" s="177">
        <f>Закуп!E200</f>
        <v/>
      </c>
      <c r="B200" s="178">
        <f>INDEX(Calc!$K:$K, (ROW(A199)-1)*5 + COLUMN(A199) + 1 )</f>
        <v/>
      </c>
      <c r="C200" s="178">
        <f>INDEX(Calc!$K:$K, (ROW(B199)-1)*5 + COLUMN(B199) + 1 )</f>
        <v/>
      </c>
      <c r="D200" s="179">
        <f>INDEX(Calc!$K:$K, (ROW(C199)-1)*5 + COLUMN(C199) + 1 )</f>
        <v/>
      </c>
      <c r="E200" s="180">
        <f>INDEX(Calc!$K:$K, (ROW(D199)-1)*5 + COLUMN(D199) + 1 )</f>
        <v/>
      </c>
      <c r="F200" s="181">
        <f>INDEX(Calc!$K:$K, (ROW(E199)-1)*5 + COLUMN(E199) + 1 )</f>
        <v/>
      </c>
      <c r="G200" s="182">
        <f>Закуп!O200</f>
        <v/>
      </c>
      <c r="H200" s="182">
        <f>Закуп!Q200</f>
        <v/>
      </c>
      <c r="I200" s="182">
        <f>Закуп!X200</f>
        <v/>
      </c>
      <c r="J200" s="182">
        <f>Закуп!Y200</f>
        <v/>
      </c>
      <c r="K200" s="182">
        <f>Закуп!Z200</f>
        <v/>
      </c>
      <c r="L200" s="182">
        <f>Закуп!AA200</f>
        <v/>
      </c>
      <c r="M200" s="182">
        <f>Закуп!V200</f>
        <v/>
      </c>
      <c r="N200" s="182">
        <f>Закуп!W200</f>
        <v/>
      </c>
      <c r="O200" s="183">
        <f>IF(OR(Закуп!L200="",Закуп!L200=0),"",Закуп!L200)</f>
        <v/>
      </c>
      <c r="P200" s="182">
        <f>Закуп!K200</f>
        <v/>
      </c>
      <c r="Q200" s="217">
        <f>IF(Закуп!D200="","",IF(LEFT(Закуп!D200,1)="0","0",Закуп!D200))</f>
        <v/>
      </c>
      <c r="R200" s="184">
        <f>Закуп!C200</f>
        <v/>
      </c>
    </row>
    <row r="201">
      <c r="A201" s="177">
        <f>Закуп!E201</f>
        <v/>
      </c>
      <c r="B201" s="178">
        <f>INDEX(Calc!$K:$K, (ROW(A200)-1)*5 + COLUMN(A200) + 1 )</f>
        <v/>
      </c>
      <c r="C201" s="178">
        <f>INDEX(Calc!$K:$K, (ROW(B200)-1)*5 + COLUMN(B200) + 1 )</f>
        <v/>
      </c>
      <c r="D201" s="179">
        <f>INDEX(Calc!$K:$K, (ROW(C200)-1)*5 + COLUMN(C200) + 1 )</f>
        <v/>
      </c>
      <c r="E201" s="180">
        <f>INDEX(Calc!$K:$K, (ROW(D200)-1)*5 + COLUMN(D200) + 1 )</f>
        <v/>
      </c>
      <c r="F201" s="181">
        <f>INDEX(Calc!$K:$K, (ROW(E200)-1)*5 + COLUMN(E200) + 1 )</f>
        <v/>
      </c>
      <c r="G201" s="182">
        <f>Закуп!O201</f>
        <v/>
      </c>
      <c r="H201" s="182">
        <f>Закуп!Q201</f>
        <v/>
      </c>
      <c r="I201" s="182">
        <f>Закуп!X201</f>
        <v/>
      </c>
      <c r="J201" s="182">
        <f>Закуп!Y201</f>
        <v/>
      </c>
      <c r="K201" s="182">
        <f>Закуп!Z201</f>
        <v/>
      </c>
      <c r="L201" s="182">
        <f>Закуп!AA201</f>
        <v/>
      </c>
      <c r="M201" s="182">
        <f>Закуп!V201</f>
        <v/>
      </c>
      <c r="N201" s="182">
        <f>Закуп!W201</f>
        <v/>
      </c>
      <c r="O201" s="183">
        <f>IF(OR(Закуп!L201="",Закуп!L201=0),"",Закуп!L201)</f>
        <v/>
      </c>
      <c r="P201" s="182">
        <f>Закуп!K201</f>
        <v/>
      </c>
      <c r="Q201" s="217">
        <f>IF(Закуп!D201="","",IF(LEFT(Закуп!D201,1)="0","0",Закуп!D201))</f>
        <v/>
      </c>
      <c r="R201" s="184">
        <f>Закуп!C201</f>
        <v/>
      </c>
    </row>
    <row r="202">
      <c r="A202" s="177">
        <f>Закуп!E202</f>
        <v/>
      </c>
      <c r="B202" s="178">
        <f>INDEX(Calc!$K:$K, (ROW(A201)-1)*5 + COLUMN(A201) + 1 )</f>
        <v/>
      </c>
      <c r="C202" s="178">
        <f>INDEX(Calc!$K:$K, (ROW(B201)-1)*5 + COLUMN(B201) + 1 )</f>
        <v/>
      </c>
      <c r="D202" s="179">
        <f>INDEX(Calc!$K:$K, (ROW(C201)-1)*5 + COLUMN(C201) + 1 )</f>
        <v/>
      </c>
      <c r="E202" s="180">
        <f>INDEX(Calc!$K:$K, (ROW(D201)-1)*5 + COLUMN(D201) + 1 )</f>
        <v/>
      </c>
      <c r="F202" s="181">
        <f>INDEX(Calc!$K:$K, (ROW(E201)-1)*5 + COLUMN(E201) + 1 )</f>
        <v/>
      </c>
      <c r="G202" s="182">
        <f>Закуп!O202</f>
        <v/>
      </c>
      <c r="H202" s="182">
        <f>Закуп!Q202</f>
        <v/>
      </c>
      <c r="I202" s="182">
        <f>Закуп!X202</f>
        <v/>
      </c>
      <c r="J202" s="182">
        <f>Закуп!Y202</f>
        <v/>
      </c>
      <c r="K202" s="182">
        <f>Закуп!Z202</f>
        <v/>
      </c>
      <c r="L202" s="182">
        <f>Закуп!AA202</f>
        <v/>
      </c>
      <c r="M202" s="182">
        <f>Закуп!V202</f>
        <v/>
      </c>
      <c r="N202" s="182">
        <f>Закуп!W202</f>
        <v/>
      </c>
      <c r="O202" s="183">
        <f>IF(OR(Закуп!L202="",Закуп!L202=0),"",Закуп!L202)</f>
        <v/>
      </c>
      <c r="P202" s="182">
        <f>Закуп!K202</f>
        <v/>
      </c>
      <c r="Q202" s="217">
        <f>IF(Закуп!D202="","",IF(LEFT(Закуп!D202,1)="0","0",Закуп!D202))</f>
        <v/>
      </c>
      <c r="R202" s="184">
        <f>Закуп!C202</f>
        <v/>
      </c>
    </row>
    <row r="203">
      <c r="A203" s="177">
        <f>Закуп!E203</f>
        <v/>
      </c>
      <c r="B203" s="178">
        <f>INDEX(Calc!$K:$K, (ROW(A202)-1)*5 + COLUMN(A202) + 1 )</f>
        <v/>
      </c>
      <c r="C203" s="178">
        <f>INDEX(Calc!$K:$K, (ROW(B202)-1)*5 + COLUMN(B202) + 1 )</f>
        <v/>
      </c>
      <c r="D203" s="179">
        <f>INDEX(Calc!$K:$K, (ROW(C202)-1)*5 + COLUMN(C202) + 1 )</f>
        <v/>
      </c>
      <c r="E203" s="180">
        <f>INDEX(Calc!$K:$K, (ROW(D202)-1)*5 + COLUMN(D202) + 1 )</f>
        <v/>
      </c>
      <c r="F203" s="181">
        <f>INDEX(Calc!$K:$K, (ROW(E202)-1)*5 + COLUMN(E202) + 1 )</f>
        <v/>
      </c>
      <c r="G203" s="182">
        <f>Закуп!O203</f>
        <v/>
      </c>
      <c r="H203" s="182">
        <f>Закуп!Q203</f>
        <v/>
      </c>
      <c r="I203" s="182">
        <f>Закуп!X203</f>
        <v/>
      </c>
      <c r="J203" s="182">
        <f>Закуп!Y203</f>
        <v/>
      </c>
      <c r="K203" s="182">
        <f>Закуп!Z203</f>
        <v/>
      </c>
      <c r="L203" s="182">
        <f>Закуп!AA203</f>
        <v/>
      </c>
      <c r="M203" s="182">
        <f>Закуп!V203</f>
        <v/>
      </c>
      <c r="N203" s="182">
        <f>Закуп!W203</f>
        <v/>
      </c>
      <c r="O203" s="183">
        <f>IF(OR(Закуп!L203="",Закуп!L203=0),"",Закуп!L203)</f>
        <v/>
      </c>
      <c r="P203" s="182">
        <f>Закуп!K203</f>
        <v/>
      </c>
      <c r="Q203" s="217">
        <f>IF(Закуп!D203="","",IF(LEFT(Закуп!D203,1)="0","0",Закуп!D203))</f>
        <v/>
      </c>
      <c r="R203" s="184">
        <f>Закуп!C203</f>
        <v/>
      </c>
    </row>
    <row r="204">
      <c r="A204" s="177">
        <f>Закуп!E204</f>
        <v/>
      </c>
      <c r="B204" s="178">
        <f>INDEX(Calc!$K:$K, (ROW(A203)-1)*5 + COLUMN(A203) + 1 )</f>
        <v/>
      </c>
      <c r="C204" s="178">
        <f>INDEX(Calc!$K:$K, (ROW(B203)-1)*5 + COLUMN(B203) + 1 )</f>
        <v/>
      </c>
      <c r="D204" s="179">
        <f>INDEX(Calc!$K:$K, (ROW(C203)-1)*5 + COLUMN(C203) + 1 )</f>
        <v/>
      </c>
      <c r="E204" s="180">
        <f>INDEX(Calc!$K:$K, (ROW(D203)-1)*5 + COLUMN(D203) + 1 )</f>
        <v/>
      </c>
      <c r="F204" s="181">
        <f>INDEX(Calc!$K:$K, (ROW(E203)-1)*5 + COLUMN(E203) + 1 )</f>
        <v/>
      </c>
      <c r="G204" s="182">
        <f>Закуп!O204</f>
        <v/>
      </c>
      <c r="H204" s="182">
        <f>Закуп!Q204</f>
        <v/>
      </c>
      <c r="I204" s="182">
        <f>Закуп!X204</f>
        <v/>
      </c>
      <c r="J204" s="182">
        <f>Закуп!Y204</f>
        <v/>
      </c>
      <c r="K204" s="182">
        <f>Закуп!Z204</f>
        <v/>
      </c>
      <c r="L204" s="182">
        <f>Закуп!AA204</f>
        <v/>
      </c>
      <c r="M204" s="182">
        <f>Закуп!V204</f>
        <v/>
      </c>
      <c r="N204" s="182">
        <f>Закуп!W204</f>
        <v/>
      </c>
      <c r="O204" s="183">
        <f>IF(OR(Закуп!L204="",Закуп!L204=0),"",Закуп!L204)</f>
        <v/>
      </c>
      <c r="P204" s="182">
        <f>Закуп!K204</f>
        <v/>
      </c>
      <c r="Q204" s="217">
        <f>IF(Закуп!D204="","",IF(LEFT(Закуп!D204,1)="0","0",Закуп!D204))</f>
        <v/>
      </c>
      <c r="R204" s="184">
        <f>Закуп!C204</f>
        <v/>
      </c>
    </row>
    <row r="205">
      <c r="A205" s="177">
        <f>Закуп!E205</f>
        <v/>
      </c>
      <c r="B205" s="178">
        <f>INDEX(Calc!$K:$K, (ROW(A204)-1)*5 + COLUMN(A204) + 1 )</f>
        <v/>
      </c>
      <c r="C205" s="178">
        <f>INDEX(Calc!$K:$K, (ROW(B204)-1)*5 + COLUMN(B204) + 1 )</f>
        <v/>
      </c>
      <c r="D205" s="179">
        <f>INDEX(Calc!$K:$K, (ROW(C204)-1)*5 + COLUMN(C204) + 1 )</f>
        <v/>
      </c>
      <c r="E205" s="180">
        <f>INDEX(Calc!$K:$K, (ROW(D204)-1)*5 + COLUMN(D204) + 1 )</f>
        <v/>
      </c>
      <c r="F205" s="181">
        <f>INDEX(Calc!$K:$K, (ROW(E204)-1)*5 + COLUMN(E204) + 1 )</f>
        <v/>
      </c>
      <c r="G205" s="182">
        <f>Закуп!O205</f>
        <v/>
      </c>
      <c r="H205" s="182">
        <f>Закуп!Q205</f>
        <v/>
      </c>
      <c r="I205" s="182">
        <f>Закуп!X205</f>
        <v/>
      </c>
      <c r="J205" s="182">
        <f>Закуп!Y205</f>
        <v/>
      </c>
      <c r="K205" s="182">
        <f>Закуп!Z205</f>
        <v/>
      </c>
      <c r="L205" s="182">
        <f>Закуп!AA205</f>
        <v/>
      </c>
      <c r="M205" s="182">
        <f>Закуп!V205</f>
        <v/>
      </c>
      <c r="N205" s="182">
        <f>Закуп!W205</f>
        <v/>
      </c>
      <c r="O205" s="183">
        <f>IF(OR(Закуп!L205="",Закуп!L205=0),"",Закуп!L205)</f>
        <v/>
      </c>
      <c r="P205" s="182">
        <f>Закуп!K205</f>
        <v/>
      </c>
      <c r="Q205" s="217">
        <f>IF(Закуп!D205="","",IF(LEFT(Закуп!D205,1)="0","0",Закуп!D205))</f>
        <v/>
      </c>
      <c r="R205" s="184">
        <f>Закуп!C205</f>
        <v/>
      </c>
    </row>
    <row r="206">
      <c r="A206" s="177">
        <f>Закуп!E206</f>
        <v/>
      </c>
      <c r="B206" s="178">
        <f>INDEX(Calc!$K:$K, (ROW(A205)-1)*5 + COLUMN(A205) + 1 )</f>
        <v/>
      </c>
      <c r="C206" s="178">
        <f>INDEX(Calc!$K:$K, (ROW(B205)-1)*5 + COLUMN(B205) + 1 )</f>
        <v/>
      </c>
      <c r="D206" s="179">
        <f>INDEX(Calc!$K:$K, (ROW(C205)-1)*5 + COLUMN(C205) + 1 )</f>
        <v/>
      </c>
      <c r="E206" s="180">
        <f>INDEX(Calc!$K:$K, (ROW(D205)-1)*5 + COLUMN(D205) + 1 )</f>
        <v/>
      </c>
      <c r="F206" s="181">
        <f>INDEX(Calc!$K:$K, (ROW(E205)-1)*5 + COLUMN(E205) + 1 )</f>
        <v/>
      </c>
      <c r="G206" s="182">
        <f>Закуп!O206</f>
        <v/>
      </c>
      <c r="H206" s="182">
        <f>Закуп!Q206</f>
        <v/>
      </c>
      <c r="I206" s="182">
        <f>Закуп!X206</f>
        <v/>
      </c>
      <c r="J206" s="182">
        <f>Закуп!Y206</f>
        <v/>
      </c>
      <c r="K206" s="182">
        <f>Закуп!Z206</f>
        <v/>
      </c>
      <c r="L206" s="182">
        <f>Закуп!AA206</f>
        <v/>
      </c>
      <c r="M206" s="182">
        <f>Закуп!V206</f>
        <v/>
      </c>
      <c r="N206" s="182">
        <f>Закуп!W206</f>
        <v/>
      </c>
      <c r="O206" s="183">
        <f>IF(OR(Закуп!L206="",Закуп!L206=0),"",Закуп!L206)</f>
        <v/>
      </c>
      <c r="P206" s="182">
        <f>Закуп!K206</f>
        <v/>
      </c>
      <c r="Q206" s="217">
        <f>IF(Закуп!D206="","",IF(LEFT(Закуп!D206,1)="0","0",Закуп!D206))</f>
        <v/>
      </c>
      <c r="R206" s="184">
        <f>Закуп!C206</f>
        <v/>
      </c>
    </row>
    <row r="207">
      <c r="A207" s="177">
        <f>Закуп!E207</f>
        <v/>
      </c>
      <c r="B207" s="178">
        <f>INDEX(Calc!$K:$K, (ROW(A206)-1)*5 + COLUMN(A206) + 1 )</f>
        <v/>
      </c>
      <c r="C207" s="178">
        <f>INDEX(Calc!$K:$K, (ROW(B206)-1)*5 + COLUMN(B206) + 1 )</f>
        <v/>
      </c>
      <c r="D207" s="179">
        <f>INDEX(Calc!$K:$K, (ROW(C206)-1)*5 + COLUMN(C206) + 1 )</f>
        <v/>
      </c>
      <c r="E207" s="180">
        <f>INDEX(Calc!$K:$K, (ROW(D206)-1)*5 + COLUMN(D206) + 1 )</f>
        <v/>
      </c>
      <c r="F207" s="181">
        <f>INDEX(Calc!$K:$K, (ROW(E206)-1)*5 + COLUMN(E206) + 1 )</f>
        <v/>
      </c>
      <c r="G207" s="182">
        <f>Закуп!O207</f>
        <v/>
      </c>
      <c r="H207" s="182">
        <f>Закуп!Q207</f>
        <v/>
      </c>
      <c r="I207" s="182">
        <f>Закуп!X207</f>
        <v/>
      </c>
      <c r="J207" s="182">
        <f>Закуп!Y207</f>
        <v/>
      </c>
      <c r="K207" s="182">
        <f>Закуп!Z207</f>
        <v/>
      </c>
      <c r="L207" s="182">
        <f>Закуп!AA207</f>
        <v/>
      </c>
      <c r="M207" s="182">
        <f>Закуп!V207</f>
        <v/>
      </c>
      <c r="N207" s="182">
        <f>Закуп!W207</f>
        <v/>
      </c>
      <c r="O207" s="183">
        <f>IF(OR(Закуп!L207="",Закуп!L207=0),"",Закуп!L207)</f>
        <v/>
      </c>
      <c r="P207" s="182">
        <f>Закуп!K207</f>
        <v/>
      </c>
      <c r="Q207" s="217">
        <f>IF(Закуп!D207="","",IF(LEFT(Закуп!D207,1)="0","0",Закуп!D207))</f>
        <v/>
      </c>
      <c r="R207" s="184">
        <f>Закуп!C207</f>
        <v/>
      </c>
    </row>
    <row r="208">
      <c r="A208" s="177">
        <f>Закуп!E208</f>
        <v/>
      </c>
      <c r="B208" s="178">
        <f>INDEX(Calc!$K:$K, (ROW(A207)-1)*5 + COLUMN(A207) + 1 )</f>
        <v/>
      </c>
      <c r="C208" s="178">
        <f>INDEX(Calc!$K:$K, (ROW(B207)-1)*5 + COLUMN(B207) + 1 )</f>
        <v/>
      </c>
      <c r="D208" s="179">
        <f>INDEX(Calc!$K:$K, (ROW(C207)-1)*5 + COLUMN(C207) + 1 )</f>
        <v/>
      </c>
      <c r="E208" s="180">
        <f>INDEX(Calc!$K:$K, (ROW(D207)-1)*5 + COLUMN(D207) + 1 )</f>
        <v/>
      </c>
      <c r="F208" s="181">
        <f>INDEX(Calc!$K:$K, (ROW(E207)-1)*5 + COLUMN(E207) + 1 )</f>
        <v/>
      </c>
      <c r="G208" s="182">
        <f>Закуп!O208</f>
        <v/>
      </c>
      <c r="H208" s="182">
        <f>Закуп!Q208</f>
        <v/>
      </c>
      <c r="I208" s="182">
        <f>Закуп!X208</f>
        <v/>
      </c>
      <c r="J208" s="182">
        <f>Закуп!Y208</f>
        <v/>
      </c>
      <c r="K208" s="182">
        <f>Закуп!Z208</f>
        <v/>
      </c>
      <c r="L208" s="182">
        <f>Закуп!AA208</f>
        <v/>
      </c>
      <c r="M208" s="182">
        <f>Закуп!V208</f>
        <v/>
      </c>
      <c r="N208" s="182">
        <f>Закуп!W208</f>
        <v/>
      </c>
      <c r="O208" s="183">
        <f>IF(OR(Закуп!L208="",Закуп!L208=0),"",Закуп!L208)</f>
        <v/>
      </c>
      <c r="P208" s="182">
        <f>Закуп!K208</f>
        <v/>
      </c>
      <c r="Q208" s="217">
        <f>IF(Закуп!D208="","",IF(LEFT(Закуп!D208,1)="0","0",Закуп!D208))</f>
        <v/>
      </c>
      <c r="R208" s="184">
        <f>Закуп!C208</f>
        <v/>
      </c>
    </row>
    <row r="209">
      <c r="A209" s="177">
        <f>Закуп!E209</f>
        <v/>
      </c>
      <c r="B209" s="178">
        <f>INDEX(Calc!$K:$K, (ROW(A208)-1)*5 + COLUMN(A208) + 1 )</f>
        <v/>
      </c>
      <c r="C209" s="178">
        <f>INDEX(Calc!$K:$K, (ROW(B208)-1)*5 + COLUMN(B208) + 1 )</f>
        <v/>
      </c>
      <c r="D209" s="179">
        <f>INDEX(Calc!$K:$K, (ROW(C208)-1)*5 + COLUMN(C208) + 1 )</f>
        <v/>
      </c>
      <c r="E209" s="180">
        <f>INDEX(Calc!$K:$K, (ROW(D208)-1)*5 + COLUMN(D208) + 1 )</f>
        <v/>
      </c>
      <c r="F209" s="181">
        <f>INDEX(Calc!$K:$K, (ROW(E208)-1)*5 + COLUMN(E208) + 1 )</f>
        <v/>
      </c>
      <c r="G209" s="182">
        <f>Закуп!O209</f>
        <v/>
      </c>
      <c r="H209" s="182">
        <f>Закуп!Q209</f>
        <v/>
      </c>
      <c r="I209" s="182">
        <f>Закуп!X209</f>
        <v/>
      </c>
      <c r="J209" s="182">
        <f>Закуп!Y209</f>
        <v/>
      </c>
      <c r="K209" s="182">
        <f>Закуп!Z209</f>
        <v/>
      </c>
      <c r="L209" s="182">
        <f>Закуп!AA209</f>
        <v/>
      </c>
      <c r="M209" s="182">
        <f>Закуп!V209</f>
        <v/>
      </c>
      <c r="N209" s="182">
        <f>Закуп!W209</f>
        <v/>
      </c>
      <c r="O209" s="183">
        <f>IF(OR(Закуп!L209="",Закуп!L209=0),"",Закуп!L209)</f>
        <v/>
      </c>
      <c r="P209" s="182">
        <f>Закуп!K209</f>
        <v/>
      </c>
      <c r="Q209" s="217">
        <f>IF(Закуп!D209="","",IF(LEFT(Закуп!D209,1)="0","0",Закуп!D209))</f>
        <v/>
      </c>
      <c r="R209" s="184">
        <f>Закуп!C209</f>
        <v/>
      </c>
    </row>
    <row r="210">
      <c r="A210" s="177">
        <f>Закуп!E210</f>
        <v/>
      </c>
      <c r="B210" s="178">
        <f>INDEX(Calc!$K:$K, (ROW(A209)-1)*5 + COLUMN(A209) + 1 )</f>
        <v/>
      </c>
      <c r="C210" s="178">
        <f>INDEX(Calc!$K:$K, (ROW(B209)-1)*5 + COLUMN(B209) + 1 )</f>
        <v/>
      </c>
      <c r="D210" s="179">
        <f>INDEX(Calc!$K:$K, (ROW(C209)-1)*5 + COLUMN(C209) + 1 )</f>
        <v/>
      </c>
      <c r="E210" s="180">
        <f>INDEX(Calc!$K:$K, (ROW(D209)-1)*5 + COLUMN(D209) + 1 )</f>
        <v/>
      </c>
      <c r="F210" s="181">
        <f>INDEX(Calc!$K:$K, (ROW(E209)-1)*5 + COLUMN(E209) + 1 )</f>
        <v/>
      </c>
      <c r="G210" s="182">
        <f>Закуп!O210</f>
        <v/>
      </c>
      <c r="H210" s="182">
        <f>Закуп!Q210</f>
        <v/>
      </c>
      <c r="I210" s="182">
        <f>Закуп!X210</f>
        <v/>
      </c>
      <c r="J210" s="182">
        <f>Закуп!Y210</f>
        <v/>
      </c>
      <c r="K210" s="182">
        <f>Закуп!Z210</f>
        <v/>
      </c>
      <c r="L210" s="182">
        <f>Закуп!AA210</f>
        <v/>
      </c>
      <c r="M210" s="182">
        <f>Закуп!V210</f>
        <v/>
      </c>
      <c r="N210" s="182">
        <f>Закуп!W210</f>
        <v/>
      </c>
      <c r="O210" s="183">
        <f>IF(OR(Закуп!L210="",Закуп!L210=0),"",Закуп!L210)</f>
        <v/>
      </c>
      <c r="P210" s="182">
        <f>Закуп!K210</f>
        <v/>
      </c>
      <c r="Q210" s="217">
        <f>IF(Закуп!D210="","",IF(LEFT(Закуп!D210,1)="0","0",Закуп!D210))</f>
        <v/>
      </c>
      <c r="R210" s="184">
        <f>Закуп!C210</f>
        <v/>
      </c>
    </row>
    <row r="211">
      <c r="A211" s="177">
        <f>Закуп!E211</f>
        <v/>
      </c>
      <c r="B211" s="178">
        <f>INDEX(Calc!$K:$K, (ROW(A210)-1)*5 + COLUMN(A210) + 1 )</f>
        <v/>
      </c>
      <c r="C211" s="178">
        <f>INDEX(Calc!$K:$K, (ROW(B210)-1)*5 + COLUMN(B210) + 1 )</f>
        <v/>
      </c>
      <c r="D211" s="179">
        <f>INDEX(Calc!$K:$K, (ROW(C210)-1)*5 + COLUMN(C210) + 1 )</f>
        <v/>
      </c>
      <c r="E211" s="180">
        <f>INDEX(Calc!$K:$K, (ROW(D210)-1)*5 + COLUMN(D210) + 1 )</f>
        <v/>
      </c>
      <c r="F211" s="181">
        <f>INDEX(Calc!$K:$K, (ROW(E210)-1)*5 + COLUMN(E210) + 1 )</f>
        <v/>
      </c>
      <c r="G211" s="182">
        <f>Закуп!O211</f>
        <v/>
      </c>
      <c r="H211" s="182">
        <f>Закуп!Q211</f>
        <v/>
      </c>
      <c r="I211" s="182">
        <f>Закуп!X211</f>
        <v/>
      </c>
      <c r="J211" s="182">
        <f>Закуп!Y211</f>
        <v/>
      </c>
      <c r="K211" s="182">
        <f>Закуп!Z211</f>
        <v/>
      </c>
      <c r="L211" s="182">
        <f>Закуп!AA211</f>
        <v/>
      </c>
      <c r="M211" s="182">
        <f>Закуп!V211</f>
        <v/>
      </c>
      <c r="N211" s="182">
        <f>Закуп!W211</f>
        <v/>
      </c>
      <c r="O211" s="183">
        <f>IF(OR(Закуп!L211="",Закуп!L211=0),"",Закуп!L211)</f>
        <v/>
      </c>
      <c r="P211" s="182">
        <f>Закуп!K211</f>
        <v/>
      </c>
      <c r="Q211" s="217">
        <f>IF(Закуп!D211="","",IF(LEFT(Закуп!D211,1)="0","0",Закуп!D211))</f>
        <v/>
      </c>
      <c r="R211" s="184">
        <f>Закуп!C211</f>
        <v/>
      </c>
    </row>
    <row r="212">
      <c r="A212" s="177">
        <f>Закуп!E212</f>
        <v/>
      </c>
      <c r="B212" s="178">
        <f>INDEX(Calc!$K:$K, (ROW(A211)-1)*5 + COLUMN(A211) + 1 )</f>
        <v/>
      </c>
      <c r="C212" s="178">
        <f>INDEX(Calc!$K:$K, (ROW(B211)-1)*5 + COLUMN(B211) + 1 )</f>
        <v/>
      </c>
      <c r="D212" s="179">
        <f>INDEX(Calc!$K:$K, (ROW(C211)-1)*5 + COLUMN(C211) + 1 )</f>
        <v/>
      </c>
      <c r="E212" s="180">
        <f>INDEX(Calc!$K:$K, (ROW(D211)-1)*5 + COLUMN(D211) + 1 )</f>
        <v/>
      </c>
      <c r="F212" s="181">
        <f>INDEX(Calc!$K:$K, (ROW(E211)-1)*5 + COLUMN(E211) + 1 )</f>
        <v/>
      </c>
      <c r="G212" s="182">
        <f>Закуп!O212</f>
        <v/>
      </c>
      <c r="H212" s="182">
        <f>Закуп!Q212</f>
        <v/>
      </c>
      <c r="I212" s="182">
        <f>Закуп!X212</f>
        <v/>
      </c>
      <c r="J212" s="182">
        <f>Закуп!Y212</f>
        <v/>
      </c>
      <c r="K212" s="182">
        <f>Закуп!Z212</f>
        <v/>
      </c>
      <c r="L212" s="182">
        <f>Закуп!AA212</f>
        <v/>
      </c>
      <c r="M212" s="182">
        <f>Закуп!V212</f>
        <v/>
      </c>
      <c r="N212" s="182">
        <f>Закуп!W212</f>
        <v/>
      </c>
      <c r="O212" s="183">
        <f>IF(OR(Закуп!L212="",Закуп!L212=0),"",Закуп!L212)</f>
        <v/>
      </c>
      <c r="P212" s="182">
        <f>Закуп!K212</f>
        <v/>
      </c>
      <c r="Q212" s="217">
        <f>IF(Закуп!D212="","",IF(LEFT(Закуп!D212,1)="0","0",Закуп!D212))</f>
        <v/>
      </c>
      <c r="R212" s="184">
        <f>Закуп!C212</f>
        <v/>
      </c>
    </row>
    <row r="213">
      <c r="A213" s="177">
        <f>Закуп!E213</f>
        <v/>
      </c>
      <c r="B213" s="178">
        <f>INDEX(Calc!$K:$K, (ROW(A212)-1)*5 + COLUMN(A212) + 1 )</f>
        <v/>
      </c>
      <c r="C213" s="178">
        <f>INDEX(Calc!$K:$K, (ROW(B212)-1)*5 + COLUMN(B212) + 1 )</f>
        <v/>
      </c>
      <c r="D213" s="179">
        <f>INDEX(Calc!$K:$K, (ROW(C212)-1)*5 + COLUMN(C212) + 1 )</f>
        <v/>
      </c>
      <c r="E213" s="180">
        <f>INDEX(Calc!$K:$K, (ROW(D212)-1)*5 + COLUMN(D212) + 1 )</f>
        <v/>
      </c>
      <c r="F213" s="181">
        <f>INDEX(Calc!$K:$K, (ROW(E212)-1)*5 + COLUMN(E212) + 1 )</f>
        <v/>
      </c>
      <c r="G213" s="182">
        <f>Закуп!O213</f>
        <v/>
      </c>
      <c r="H213" s="182">
        <f>Закуп!Q213</f>
        <v/>
      </c>
      <c r="I213" s="182">
        <f>Закуп!X213</f>
        <v/>
      </c>
      <c r="J213" s="182">
        <f>Закуп!Y213</f>
        <v/>
      </c>
      <c r="K213" s="182">
        <f>Закуп!Z213</f>
        <v/>
      </c>
      <c r="L213" s="182">
        <f>Закуп!AA213</f>
        <v/>
      </c>
      <c r="M213" s="182">
        <f>Закуп!V213</f>
        <v/>
      </c>
      <c r="N213" s="182">
        <f>Закуп!W213</f>
        <v/>
      </c>
      <c r="O213" s="183">
        <f>IF(OR(Закуп!L213="",Закуп!L213=0),"",Закуп!L213)</f>
        <v/>
      </c>
      <c r="P213" s="182">
        <f>Закуп!K213</f>
        <v/>
      </c>
      <c r="Q213" s="217">
        <f>IF(Закуп!D213="","",IF(LEFT(Закуп!D213,1)="0","0",Закуп!D213))</f>
        <v/>
      </c>
      <c r="R213" s="184">
        <f>Закуп!C213</f>
        <v/>
      </c>
    </row>
    <row r="214">
      <c r="A214" s="177">
        <f>Закуп!E214</f>
        <v/>
      </c>
      <c r="B214" s="178">
        <f>INDEX(Calc!$K:$K, (ROW(A213)-1)*5 + COLUMN(A213) + 1 )</f>
        <v/>
      </c>
      <c r="C214" s="178">
        <f>INDEX(Calc!$K:$K, (ROW(B213)-1)*5 + COLUMN(B213) + 1 )</f>
        <v/>
      </c>
      <c r="D214" s="179">
        <f>INDEX(Calc!$K:$K, (ROW(C213)-1)*5 + COLUMN(C213) + 1 )</f>
        <v/>
      </c>
      <c r="E214" s="180">
        <f>INDEX(Calc!$K:$K, (ROW(D213)-1)*5 + COLUMN(D213) + 1 )</f>
        <v/>
      </c>
      <c r="F214" s="181">
        <f>INDEX(Calc!$K:$K, (ROW(E213)-1)*5 + COLUMN(E213) + 1 )</f>
        <v/>
      </c>
      <c r="G214" s="182">
        <f>Закуп!O214</f>
        <v/>
      </c>
      <c r="H214" s="182">
        <f>Закуп!Q214</f>
        <v/>
      </c>
      <c r="I214" s="182">
        <f>Закуп!X214</f>
        <v/>
      </c>
      <c r="J214" s="182">
        <f>Закуп!Y214</f>
        <v/>
      </c>
      <c r="K214" s="182">
        <f>Закуп!Z214</f>
        <v/>
      </c>
      <c r="L214" s="182">
        <f>Закуп!AA214</f>
        <v/>
      </c>
      <c r="M214" s="182">
        <f>Закуп!V214</f>
        <v/>
      </c>
      <c r="N214" s="182">
        <f>Закуп!W214</f>
        <v/>
      </c>
      <c r="O214" s="183">
        <f>IF(OR(Закуп!L214="",Закуп!L214=0),"",Закуп!L214)</f>
        <v/>
      </c>
      <c r="P214" s="182">
        <f>Закуп!K214</f>
        <v/>
      </c>
      <c r="Q214" s="217">
        <f>IF(Закуп!D214="","",IF(LEFT(Закуп!D214,1)="0","0",Закуп!D214))</f>
        <v/>
      </c>
      <c r="R214" s="184">
        <f>Закуп!C214</f>
        <v/>
      </c>
    </row>
    <row r="215">
      <c r="A215" s="177">
        <f>Закуп!E215</f>
        <v/>
      </c>
      <c r="B215" s="178">
        <f>INDEX(Calc!$K:$K, (ROW(A214)-1)*5 + COLUMN(A214) + 1 )</f>
        <v/>
      </c>
      <c r="C215" s="178">
        <f>INDEX(Calc!$K:$K, (ROW(B214)-1)*5 + COLUMN(B214) + 1 )</f>
        <v/>
      </c>
      <c r="D215" s="179">
        <f>INDEX(Calc!$K:$K, (ROW(C214)-1)*5 + COLUMN(C214) + 1 )</f>
        <v/>
      </c>
      <c r="E215" s="180">
        <f>INDEX(Calc!$K:$K, (ROW(D214)-1)*5 + COLUMN(D214) + 1 )</f>
        <v/>
      </c>
      <c r="F215" s="181">
        <f>INDEX(Calc!$K:$K, (ROW(E214)-1)*5 + COLUMN(E214) + 1 )</f>
        <v/>
      </c>
      <c r="G215" s="182">
        <f>Закуп!O215</f>
        <v/>
      </c>
      <c r="H215" s="182">
        <f>Закуп!Q215</f>
        <v/>
      </c>
      <c r="I215" s="182">
        <f>Закуп!X215</f>
        <v/>
      </c>
      <c r="J215" s="182">
        <f>Закуп!Y215</f>
        <v/>
      </c>
      <c r="K215" s="182">
        <f>Закуп!Z215</f>
        <v/>
      </c>
      <c r="L215" s="182">
        <f>Закуп!AA215</f>
        <v/>
      </c>
      <c r="M215" s="182">
        <f>Закуп!V215</f>
        <v/>
      </c>
      <c r="N215" s="182">
        <f>Закуп!W215</f>
        <v/>
      </c>
      <c r="O215" s="183">
        <f>IF(OR(Закуп!L215="",Закуп!L215=0),"",Закуп!L215)</f>
        <v/>
      </c>
      <c r="P215" s="182">
        <f>Закуп!K215</f>
        <v/>
      </c>
      <c r="Q215" s="217">
        <f>IF(Закуп!D215="","",IF(LEFT(Закуп!D215,1)="0","0",Закуп!D215))</f>
        <v/>
      </c>
      <c r="R215" s="184">
        <f>Закуп!C215</f>
        <v/>
      </c>
    </row>
    <row r="216">
      <c r="A216" s="177">
        <f>Закуп!E216</f>
        <v/>
      </c>
      <c r="B216" s="178">
        <f>INDEX(Calc!$K:$K, (ROW(A215)-1)*5 + COLUMN(A215) + 1 )</f>
        <v/>
      </c>
      <c r="C216" s="178">
        <f>INDEX(Calc!$K:$K, (ROW(B215)-1)*5 + COLUMN(B215) + 1 )</f>
        <v/>
      </c>
      <c r="D216" s="179">
        <f>INDEX(Calc!$K:$K, (ROW(C215)-1)*5 + COLUMN(C215) + 1 )</f>
        <v/>
      </c>
      <c r="E216" s="180">
        <f>INDEX(Calc!$K:$K, (ROW(D215)-1)*5 + COLUMN(D215) + 1 )</f>
        <v/>
      </c>
      <c r="F216" s="181">
        <f>INDEX(Calc!$K:$K, (ROW(E215)-1)*5 + COLUMN(E215) + 1 )</f>
        <v/>
      </c>
      <c r="G216" s="182">
        <f>Закуп!O216</f>
        <v/>
      </c>
      <c r="H216" s="182">
        <f>Закуп!Q216</f>
        <v/>
      </c>
      <c r="I216" s="182">
        <f>Закуп!X216</f>
        <v/>
      </c>
      <c r="J216" s="182">
        <f>Закуп!Y216</f>
        <v/>
      </c>
      <c r="K216" s="182">
        <f>Закуп!Z216</f>
        <v/>
      </c>
      <c r="L216" s="182">
        <f>Закуп!AA216</f>
        <v/>
      </c>
      <c r="M216" s="182">
        <f>Закуп!V216</f>
        <v/>
      </c>
      <c r="N216" s="182">
        <f>Закуп!W216</f>
        <v/>
      </c>
      <c r="O216" s="183">
        <f>IF(OR(Закуп!L216="",Закуп!L216=0),"",Закуп!L216)</f>
        <v/>
      </c>
      <c r="P216" s="182">
        <f>Закуп!K216</f>
        <v/>
      </c>
      <c r="Q216" s="217">
        <f>IF(Закуп!D216="","",IF(LEFT(Закуп!D216,1)="0","0",Закуп!D216))</f>
        <v/>
      </c>
      <c r="R216" s="184">
        <f>Закуп!C216</f>
        <v/>
      </c>
    </row>
    <row r="217">
      <c r="A217" s="177">
        <f>Закуп!E217</f>
        <v/>
      </c>
      <c r="B217" s="178">
        <f>INDEX(Calc!$K:$K, (ROW(A216)-1)*5 + COLUMN(A216) + 1 )</f>
        <v/>
      </c>
      <c r="C217" s="178">
        <f>INDEX(Calc!$K:$K, (ROW(B216)-1)*5 + COLUMN(B216) + 1 )</f>
        <v/>
      </c>
      <c r="D217" s="179">
        <f>INDEX(Calc!$K:$K, (ROW(C216)-1)*5 + COLUMN(C216) + 1 )</f>
        <v/>
      </c>
      <c r="E217" s="180">
        <f>INDEX(Calc!$K:$K, (ROW(D216)-1)*5 + COLUMN(D216) + 1 )</f>
        <v/>
      </c>
      <c r="F217" s="181">
        <f>INDEX(Calc!$K:$K, (ROW(E216)-1)*5 + COLUMN(E216) + 1 )</f>
        <v/>
      </c>
      <c r="G217" s="182">
        <f>Закуп!O217</f>
        <v/>
      </c>
      <c r="H217" s="182">
        <f>Закуп!Q217</f>
        <v/>
      </c>
      <c r="I217" s="182">
        <f>Закуп!X217</f>
        <v/>
      </c>
      <c r="J217" s="182">
        <f>Закуп!Y217</f>
        <v/>
      </c>
      <c r="K217" s="182">
        <f>Закуп!Z217</f>
        <v/>
      </c>
      <c r="L217" s="182">
        <f>Закуп!AA217</f>
        <v/>
      </c>
      <c r="M217" s="182">
        <f>Закуп!V217</f>
        <v/>
      </c>
      <c r="N217" s="182">
        <f>Закуп!W217</f>
        <v/>
      </c>
      <c r="O217" s="183">
        <f>IF(OR(Закуп!L217="",Закуп!L217=0),"",Закуп!L217)</f>
        <v/>
      </c>
      <c r="P217" s="182">
        <f>Закуп!K217</f>
        <v/>
      </c>
      <c r="Q217" s="217">
        <f>IF(Закуп!D217="","",IF(LEFT(Закуп!D217,1)="0","0",Закуп!D217))</f>
        <v/>
      </c>
      <c r="R217" s="184">
        <f>Закуп!C217</f>
        <v/>
      </c>
    </row>
    <row r="218">
      <c r="A218" s="177">
        <f>Закуп!E218</f>
        <v/>
      </c>
      <c r="B218" s="178">
        <f>INDEX(Calc!$K:$K, (ROW(A217)-1)*5 + COLUMN(A217) + 1 )</f>
        <v/>
      </c>
      <c r="C218" s="178">
        <f>INDEX(Calc!$K:$K, (ROW(B217)-1)*5 + COLUMN(B217) + 1 )</f>
        <v/>
      </c>
      <c r="D218" s="179">
        <f>INDEX(Calc!$K:$K, (ROW(C217)-1)*5 + COLUMN(C217) + 1 )</f>
        <v/>
      </c>
      <c r="E218" s="180">
        <f>INDEX(Calc!$K:$K, (ROW(D217)-1)*5 + COLUMN(D217) + 1 )</f>
        <v/>
      </c>
      <c r="F218" s="181">
        <f>INDEX(Calc!$K:$K, (ROW(E217)-1)*5 + COLUMN(E217) + 1 )</f>
        <v/>
      </c>
      <c r="G218" s="182">
        <f>Закуп!O218</f>
        <v/>
      </c>
      <c r="H218" s="182">
        <f>Закуп!Q218</f>
        <v/>
      </c>
      <c r="I218" s="182">
        <f>Закуп!X218</f>
        <v/>
      </c>
      <c r="J218" s="182">
        <f>Закуп!Y218</f>
        <v/>
      </c>
      <c r="K218" s="182">
        <f>Закуп!Z218</f>
        <v/>
      </c>
      <c r="L218" s="182">
        <f>Закуп!AA218</f>
        <v/>
      </c>
      <c r="M218" s="182">
        <f>Закуп!V218</f>
        <v/>
      </c>
      <c r="N218" s="182">
        <f>Закуп!W218</f>
        <v/>
      </c>
      <c r="O218" s="183">
        <f>IF(OR(Закуп!L218="",Закуп!L218=0),"",Закуп!L218)</f>
        <v/>
      </c>
      <c r="P218" s="182">
        <f>Закуп!K218</f>
        <v/>
      </c>
      <c r="Q218" s="217">
        <f>IF(Закуп!D218="","",IF(LEFT(Закуп!D218,1)="0","0",Закуп!D218))</f>
        <v/>
      </c>
      <c r="R218" s="184">
        <f>Закуп!C218</f>
        <v/>
      </c>
    </row>
    <row r="219">
      <c r="A219" s="177">
        <f>Закуп!E219</f>
        <v/>
      </c>
      <c r="B219" s="178">
        <f>INDEX(Calc!$K:$K, (ROW(A218)-1)*5 + COLUMN(A218) + 1 )</f>
        <v/>
      </c>
      <c r="C219" s="178">
        <f>INDEX(Calc!$K:$K, (ROW(B218)-1)*5 + COLUMN(B218) + 1 )</f>
        <v/>
      </c>
      <c r="D219" s="179">
        <f>INDEX(Calc!$K:$K, (ROW(C218)-1)*5 + COLUMN(C218) + 1 )</f>
        <v/>
      </c>
      <c r="E219" s="180">
        <f>INDEX(Calc!$K:$K, (ROW(D218)-1)*5 + COLUMN(D218) + 1 )</f>
        <v/>
      </c>
      <c r="F219" s="181">
        <f>INDEX(Calc!$K:$K, (ROW(E218)-1)*5 + COLUMN(E218) + 1 )</f>
        <v/>
      </c>
      <c r="G219" s="182">
        <f>Закуп!O219</f>
        <v/>
      </c>
      <c r="H219" s="182">
        <f>Закуп!Q219</f>
        <v/>
      </c>
      <c r="I219" s="182">
        <f>Закуп!X219</f>
        <v/>
      </c>
      <c r="J219" s="182">
        <f>Закуп!Y219</f>
        <v/>
      </c>
      <c r="K219" s="182">
        <f>Закуп!Z219</f>
        <v/>
      </c>
      <c r="L219" s="182">
        <f>Закуп!AA219</f>
        <v/>
      </c>
      <c r="M219" s="182">
        <f>Закуп!V219</f>
        <v/>
      </c>
      <c r="N219" s="182">
        <f>Закуп!W219</f>
        <v/>
      </c>
      <c r="O219" s="183">
        <f>IF(OR(Закуп!L219="",Закуп!L219=0),"",Закуп!L219)</f>
        <v/>
      </c>
      <c r="P219" s="182">
        <f>Закуп!K219</f>
        <v/>
      </c>
      <c r="Q219" s="217">
        <f>IF(Закуп!D219="","",IF(LEFT(Закуп!D219,1)="0","0",Закуп!D219))</f>
        <v/>
      </c>
      <c r="R219" s="184">
        <f>Закуп!C219</f>
        <v/>
      </c>
    </row>
    <row r="220">
      <c r="A220" s="177">
        <f>Закуп!E220</f>
        <v/>
      </c>
      <c r="B220" s="178">
        <f>INDEX(Calc!$K:$K, (ROW(A219)-1)*5 + COLUMN(A219) + 1 )</f>
        <v/>
      </c>
      <c r="C220" s="178">
        <f>INDEX(Calc!$K:$K, (ROW(B219)-1)*5 + COLUMN(B219) + 1 )</f>
        <v/>
      </c>
      <c r="D220" s="179">
        <f>INDEX(Calc!$K:$K, (ROW(C219)-1)*5 + COLUMN(C219) + 1 )</f>
        <v/>
      </c>
      <c r="E220" s="180">
        <f>INDEX(Calc!$K:$K, (ROW(D219)-1)*5 + COLUMN(D219) + 1 )</f>
        <v/>
      </c>
      <c r="F220" s="181">
        <f>INDEX(Calc!$K:$K, (ROW(E219)-1)*5 + COLUMN(E219) + 1 )</f>
        <v/>
      </c>
      <c r="G220" s="182">
        <f>Закуп!O220</f>
        <v/>
      </c>
      <c r="H220" s="182">
        <f>Закуп!Q220</f>
        <v/>
      </c>
      <c r="I220" s="182">
        <f>Закуп!X220</f>
        <v/>
      </c>
      <c r="J220" s="182">
        <f>Закуп!Y220</f>
        <v/>
      </c>
      <c r="K220" s="182">
        <f>Закуп!Z220</f>
        <v/>
      </c>
      <c r="L220" s="182">
        <f>Закуп!AA220</f>
        <v/>
      </c>
      <c r="M220" s="182">
        <f>Закуп!V220</f>
        <v/>
      </c>
      <c r="N220" s="182">
        <f>Закуп!W220</f>
        <v/>
      </c>
      <c r="O220" s="183">
        <f>IF(OR(Закуп!L220="",Закуп!L220=0),"",Закуп!L220)</f>
        <v/>
      </c>
      <c r="P220" s="182">
        <f>Закуп!K220</f>
        <v/>
      </c>
      <c r="Q220" s="217">
        <f>IF(Закуп!D220="","",IF(LEFT(Закуп!D220,1)="0","0",Закуп!D220))</f>
        <v/>
      </c>
      <c r="R220" s="184">
        <f>Закуп!C220</f>
        <v/>
      </c>
    </row>
    <row r="221">
      <c r="A221" s="177">
        <f>Закуп!E221</f>
        <v/>
      </c>
      <c r="B221" s="178">
        <f>INDEX(Calc!$K:$K, (ROW(A220)-1)*5 + COLUMN(A220) + 1 )</f>
        <v/>
      </c>
      <c r="C221" s="178">
        <f>INDEX(Calc!$K:$K, (ROW(B220)-1)*5 + COLUMN(B220) + 1 )</f>
        <v/>
      </c>
      <c r="D221" s="179">
        <f>INDEX(Calc!$K:$K, (ROW(C220)-1)*5 + COLUMN(C220) + 1 )</f>
        <v/>
      </c>
      <c r="E221" s="180">
        <f>INDEX(Calc!$K:$K, (ROW(D220)-1)*5 + COLUMN(D220) + 1 )</f>
        <v/>
      </c>
      <c r="F221" s="181">
        <f>INDEX(Calc!$K:$K, (ROW(E220)-1)*5 + COLUMN(E220) + 1 )</f>
        <v/>
      </c>
      <c r="G221" s="182">
        <f>Закуп!O221</f>
        <v/>
      </c>
      <c r="H221" s="182">
        <f>Закуп!Q221</f>
        <v/>
      </c>
      <c r="I221" s="182">
        <f>Закуп!X221</f>
        <v/>
      </c>
      <c r="J221" s="182">
        <f>Закуп!Y221</f>
        <v/>
      </c>
      <c r="K221" s="182">
        <f>Закуп!Z221</f>
        <v/>
      </c>
      <c r="L221" s="182">
        <f>Закуп!AA221</f>
        <v/>
      </c>
      <c r="M221" s="182">
        <f>Закуп!V221</f>
        <v/>
      </c>
      <c r="N221" s="182">
        <f>Закуп!W221</f>
        <v/>
      </c>
      <c r="O221" s="183">
        <f>IF(OR(Закуп!L221="",Закуп!L221=0),"",Закуп!L221)</f>
        <v/>
      </c>
      <c r="P221" s="182">
        <f>Закуп!K221</f>
        <v/>
      </c>
      <c r="Q221" s="217">
        <f>IF(Закуп!D221="","",IF(LEFT(Закуп!D221,1)="0","0",Закуп!D221))</f>
        <v/>
      </c>
      <c r="R221" s="184">
        <f>Закуп!C221</f>
        <v/>
      </c>
    </row>
    <row r="222">
      <c r="A222" s="177">
        <f>Закуп!E222</f>
        <v/>
      </c>
      <c r="B222" s="178">
        <f>INDEX(Calc!$K:$K, (ROW(A221)-1)*5 + COLUMN(A221) + 1 )</f>
        <v/>
      </c>
      <c r="C222" s="178">
        <f>INDEX(Calc!$K:$K, (ROW(B221)-1)*5 + COLUMN(B221) + 1 )</f>
        <v/>
      </c>
      <c r="D222" s="179">
        <f>INDEX(Calc!$K:$K, (ROW(C221)-1)*5 + COLUMN(C221) + 1 )</f>
        <v/>
      </c>
      <c r="E222" s="180">
        <f>INDEX(Calc!$K:$K, (ROW(D221)-1)*5 + COLUMN(D221) + 1 )</f>
        <v/>
      </c>
      <c r="F222" s="181">
        <f>INDEX(Calc!$K:$K, (ROW(E221)-1)*5 + COLUMN(E221) + 1 )</f>
        <v/>
      </c>
      <c r="G222" s="182">
        <f>Закуп!O222</f>
        <v/>
      </c>
      <c r="H222" s="182">
        <f>Закуп!Q222</f>
        <v/>
      </c>
      <c r="I222" s="182">
        <f>Закуп!X222</f>
        <v/>
      </c>
      <c r="J222" s="182">
        <f>Закуп!Y222</f>
        <v/>
      </c>
      <c r="K222" s="182">
        <f>Закуп!Z222</f>
        <v/>
      </c>
      <c r="L222" s="182">
        <f>Закуп!AA222</f>
        <v/>
      </c>
      <c r="M222" s="182">
        <f>Закуп!V222</f>
        <v/>
      </c>
      <c r="N222" s="182">
        <f>Закуп!W222</f>
        <v/>
      </c>
      <c r="O222" s="183">
        <f>IF(OR(Закуп!L222="",Закуп!L222=0),"",Закуп!L222)</f>
        <v/>
      </c>
      <c r="P222" s="182">
        <f>Закуп!K222</f>
        <v/>
      </c>
      <c r="Q222" s="217">
        <f>IF(Закуп!D222="","",IF(LEFT(Закуп!D222,1)="0","0",Закуп!D222))</f>
        <v/>
      </c>
      <c r="R222" s="184">
        <f>Закуп!C222</f>
        <v/>
      </c>
    </row>
    <row r="223">
      <c r="A223" s="177">
        <f>Закуп!E223</f>
        <v/>
      </c>
      <c r="B223" s="178">
        <f>INDEX(Calc!$K:$K, (ROW(A222)-1)*5 + COLUMN(A222) + 1 )</f>
        <v/>
      </c>
      <c r="C223" s="178">
        <f>INDEX(Calc!$K:$K, (ROW(B222)-1)*5 + COLUMN(B222) + 1 )</f>
        <v/>
      </c>
      <c r="D223" s="179">
        <f>INDEX(Calc!$K:$K, (ROW(C222)-1)*5 + COLUMN(C222) + 1 )</f>
        <v/>
      </c>
      <c r="E223" s="180">
        <f>INDEX(Calc!$K:$K, (ROW(D222)-1)*5 + COLUMN(D222) + 1 )</f>
        <v/>
      </c>
      <c r="F223" s="181">
        <f>INDEX(Calc!$K:$K, (ROW(E222)-1)*5 + COLUMN(E222) + 1 )</f>
        <v/>
      </c>
      <c r="G223" s="182">
        <f>Закуп!O223</f>
        <v/>
      </c>
      <c r="H223" s="182">
        <f>Закуп!Q223</f>
        <v/>
      </c>
      <c r="I223" s="182">
        <f>Закуп!X223</f>
        <v/>
      </c>
      <c r="J223" s="182">
        <f>Закуп!Y223</f>
        <v/>
      </c>
      <c r="K223" s="182">
        <f>Закуп!Z223</f>
        <v/>
      </c>
      <c r="L223" s="182">
        <f>Закуп!AA223</f>
        <v/>
      </c>
      <c r="M223" s="182">
        <f>Закуп!V223</f>
        <v/>
      </c>
      <c r="N223" s="182">
        <f>Закуп!W223</f>
        <v/>
      </c>
      <c r="O223" s="183">
        <f>IF(OR(Закуп!L223="",Закуп!L223=0),"",Закуп!L223)</f>
        <v/>
      </c>
      <c r="P223" s="182">
        <f>Закуп!K223</f>
        <v/>
      </c>
      <c r="Q223" s="217">
        <f>IF(Закуп!D223="","",IF(LEFT(Закуп!D223,1)="0","0",Закуп!D223))</f>
        <v/>
      </c>
      <c r="R223" s="184">
        <f>Закуп!C223</f>
        <v/>
      </c>
    </row>
    <row r="224">
      <c r="A224" s="177">
        <f>Закуп!E224</f>
        <v/>
      </c>
      <c r="B224" s="178">
        <f>INDEX(Calc!$K:$K, (ROW(A223)-1)*5 + COLUMN(A223) + 1 )</f>
        <v/>
      </c>
      <c r="C224" s="178">
        <f>INDEX(Calc!$K:$K, (ROW(B223)-1)*5 + COLUMN(B223) + 1 )</f>
        <v/>
      </c>
      <c r="D224" s="179">
        <f>INDEX(Calc!$K:$K, (ROW(C223)-1)*5 + COLUMN(C223) + 1 )</f>
        <v/>
      </c>
      <c r="E224" s="180">
        <f>INDEX(Calc!$K:$K, (ROW(D223)-1)*5 + COLUMN(D223) + 1 )</f>
        <v/>
      </c>
      <c r="F224" s="181">
        <f>INDEX(Calc!$K:$K, (ROW(E223)-1)*5 + COLUMN(E223) + 1 )</f>
        <v/>
      </c>
      <c r="G224" s="182">
        <f>Закуп!O224</f>
        <v/>
      </c>
      <c r="H224" s="182">
        <f>Закуп!Q224</f>
        <v/>
      </c>
      <c r="I224" s="182">
        <f>Закуп!X224</f>
        <v/>
      </c>
      <c r="J224" s="182">
        <f>Закуп!Y224</f>
        <v/>
      </c>
      <c r="K224" s="182">
        <f>Закуп!Z224</f>
        <v/>
      </c>
      <c r="L224" s="182">
        <f>Закуп!AA224</f>
        <v/>
      </c>
      <c r="M224" s="182">
        <f>Закуп!V224</f>
        <v/>
      </c>
      <c r="N224" s="182">
        <f>Закуп!W224</f>
        <v/>
      </c>
      <c r="O224" s="183">
        <f>IF(OR(Закуп!L224="",Закуп!L224=0),"",Закуп!L224)</f>
        <v/>
      </c>
      <c r="P224" s="182">
        <f>Закуп!K224</f>
        <v/>
      </c>
      <c r="Q224" s="217">
        <f>IF(Закуп!D224="","",IF(LEFT(Закуп!D224,1)="0","0",Закуп!D224))</f>
        <v/>
      </c>
      <c r="R224" s="184">
        <f>Закуп!C224</f>
        <v/>
      </c>
    </row>
    <row r="225" ht="21.45" customHeight="1" s="55">
      <c r="A225" s="177">
        <f>Закуп!E225</f>
        <v/>
      </c>
      <c r="B225" s="178">
        <f>INDEX(Calc!$K:$K, (ROW(A224)-1)*5 + COLUMN(A224) + 1 )</f>
        <v/>
      </c>
      <c r="C225" s="178">
        <f>INDEX(Calc!$K:$K, (ROW(B224)-1)*5 + COLUMN(B224) + 1 )</f>
        <v/>
      </c>
      <c r="D225" s="179">
        <f>INDEX(Calc!$K:$K, (ROW(C224)-1)*5 + COLUMN(C224) + 1 )</f>
        <v/>
      </c>
      <c r="E225" s="180">
        <f>INDEX(Calc!$K:$K, (ROW(D224)-1)*5 + COLUMN(D224) + 1 )</f>
        <v/>
      </c>
      <c r="F225" s="181">
        <f>INDEX(Calc!$K:$K, (ROW(E224)-1)*5 + COLUMN(E224) + 1 )</f>
        <v/>
      </c>
      <c r="G225" s="182">
        <f>Закуп!O225</f>
        <v/>
      </c>
      <c r="H225" s="182">
        <f>Закуп!Q225</f>
        <v/>
      </c>
      <c r="I225" s="182">
        <f>Закуп!X225</f>
        <v/>
      </c>
      <c r="J225" s="182">
        <f>Закуп!Y225</f>
        <v/>
      </c>
      <c r="K225" s="182">
        <f>Закуп!Z225</f>
        <v/>
      </c>
      <c r="L225" s="182">
        <f>Закуп!AA225</f>
        <v/>
      </c>
      <c r="M225" s="182">
        <f>Закуп!V225</f>
        <v/>
      </c>
      <c r="N225" s="182">
        <f>Закуп!W225</f>
        <v/>
      </c>
      <c r="O225" s="183">
        <f>IF(OR(Закуп!L225="",Закуп!L225=0),"",Закуп!L225)</f>
        <v/>
      </c>
      <c r="P225" s="182">
        <f>Закуп!K225</f>
        <v/>
      </c>
      <c r="Q225" s="217">
        <f>IF(Закуп!D225="","",IF(LEFT(Закуп!D225,1)="0","0",Закуп!D225))</f>
        <v/>
      </c>
      <c r="R225" s="184">
        <f>Закуп!C225</f>
        <v/>
      </c>
    </row>
    <row r="226">
      <c r="A226" s="177">
        <f>Закуп!E226</f>
        <v/>
      </c>
      <c r="B226" s="178">
        <f>INDEX(Calc!$K:$K, (ROW(A225)-1)*5 + COLUMN(A225) + 1 )</f>
        <v/>
      </c>
      <c r="C226" s="178">
        <f>INDEX(Calc!$K:$K, (ROW(B225)-1)*5 + COLUMN(B225) + 1 )</f>
        <v/>
      </c>
      <c r="D226" s="179">
        <f>INDEX(Calc!$K:$K, (ROW(C225)-1)*5 + COLUMN(C225) + 1 )</f>
        <v/>
      </c>
      <c r="E226" s="180">
        <f>INDEX(Calc!$K:$K, (ROW(D225)-1)*5 + COLUMN(D225) + 1 )</f>
        <v/>
      </c>
      <c r="F226" s="181">
        <f>INDEX(Calc!$K:$K, (ROW(E225)-1)*5 + COLUMN(E225) + 1 )</f>
        <v/>
      </c>
      <c r="G226" s="182">
        <f>Закуп!O226</f>
        <v/>
      </c>
      <c r="H226" s="182">
        <f>Закуп!Q226</f>
        <v/>
      </c>
      <c r="I226" s="182">
        <f>Закуп!X226</f>
        <v/>
      </c>
      <c r="J226" s="182">
        <f>Закуп!Y226</f>
        <v/>
      </c>
      <c r="K226" s="182">
        <f>Закуп!Z226</f>
        <v/>
      </c>
      <c r="L226" s="182">
        <f>Закуп!AA226</f>
        <v/>
      </c>
      <c r="M226" s="182">
        <f>Закуп!V226</f>
        <v/>
      </c>
      <c r="N226" s="182">
        <f>Закуп!W226</f>
        <v/>
      </c>
      <c r="O226" s="183">
        <f>IF(OR(Закуп!L226="",Закуп!L226=0),"",Закуп!L226)</f>
        <v/>
      </c>
      <c r="P226" s="182">
        <f>Закуп!K226</f>
        <v/>
      </c>
      <c r="Q226" s="217">
        <f>IF(Закуп!D226="","",IF(LEFT(Закуп!D226,1)="0","0",Закуп!D226))</f>
        <v/>
      </c>
      <c r="R226" s="184">
        <f>Закуп!C226</f>
        <v/>
      </c>
    </row>
    <row r="227" ht="21.45" customHeight="1" s="55">
      <c r="A227" s="177">
        <f>Закуп!E227</f>
        <v/>
      </c>
      <c r="B227" s="178">
        <f>INDEX(Calc!$K:$K, (ROW(A226)-1)*5 + COLUMN(A226) + 1 )</f>
        <v/>
      </c>
      <c r="C227" s="178">
        <f>INDEX(Calc!$K:$K, (ROW(B226)-1)*5 + COLUMN(B226) + 1 )</f>
        <v/>
      </c>
      <c r="D227" s="179">
        <f>INDEX(Calc!$K:$K, (ROW(C226)-1)*5 + COLUMN(C226) + 1 )</f>
        <v/>
      </c>
      <c r="E227" s="180">
        <f>INDEX(Calc!$K:$K, (ROW(D226)-1)*5 + COLUMN(D226) + 1 )</f>
        <v/>
      </c>
      <c r="F227" s="181">
        <f>INDEX(Calc!$K:$K, (ROW(E226)-1)*5 + COLUMN(E226) + 1 )</f>
        <v/>
      </c>
      <c r="G227" s="182">
        <f>Закуп!O227</f>
        <v/>
      </c>
      <c r="H227" s="182">
        <f>Закуп!Q227</f>
        <v/>
      </c>
      <c r="I227" s="182">
        <f>Закуп!X227</f>
        <v/>
      </c>
      <c r="J227" s="182">
        <f>Закуп!Y227</f>
        <v/>
      </c>
      <c r="K227" s="182">
        <f>Закуп!Z227</f>
        <v/>
      </c>
      <c r="L227" s="182">
        <f>Закуп!AA227</f>
        <v/>
      </c>
      <c r="M227" s="182">
        <f>Закуп!V227</f>
        <v/>
      </c>
      <c r="N227" s="182">
        <f>Закуп!W227</f>
        <v/>
      </c>
      <c r="O227" s="183">
        <f>IF(OR(Закуп!L227="",Закуп!L227=0),"",Закуп!L227)</f>
        <v/>
      </c>
      <c r="P227" s="182">
        <f>Закуп!K227</f>
        <v/>
      </c>
      <c r="Q227" s="217">
        <f>IF(Закуп!D227="","",IF(LEFT(Закуп!D227,1)="0","0",Закуп!D227))</f>
        <v/>
      </c>
      <c r="R227" s="184">
        <f>Закуп!C227</f>
        <v/>
      </c>
    </row>
    <row r="228">
      <c r="A228" s="177">
        <f>Закуп!E228</f>
        <v/>
      </c>
      <c r="B228" s="178">
        <f>INDEX(Calc!$K:$K, (ROW(A227)-1)*5 + COLUMN(A227) + 1 )</f>
        <v/>
      </c>
      <c r="C228" s="178">
        <f>INDEX(Calc!$K:$K, (ROW(B227)-1)*5 + COLUMN(B227) + 1 )</f>
        <v/>
      </c>
      <c r="D228" s="179">
        <f>INDEX(Calc!$K:$K, (ROW(C227)-1)*5 + COLUMN(C227) + 1 )</f>
        <v/>
      </c>
      <c r="E228" s="180">
        <f>INDEX(Calc!$K:$K, (ROW(D227)-1)*5 + COLUMN(D227) + 1 )</f>
        <v/>
      </c>
      <c r="F228" s="181">
        <f>INDEX(Calc!$K:$K, (ROW(E227)-1)*5 + COLUMN(E227) + 1 )</f>
        <v/>
      </c>
      <c r="G228" s="182">
        <f>Закуп!O228</f>
        <v/>
      </c>
      <c r="H228" s="182">
        <f>Закуп!Q228</f>
        <v/>
      </c>
      <c r="I228" s="182">
        <f>Закуп!X228</f>
        <v/>
      </c>
      <c r="J228" s="182">
        <f>Закуп!Y228</f>
        <v/>
      </c>
      <c r="K228" s="182">
        <f>Закуп!Z228</f>
        <v/>
      </c>
      <c r="L228" s="182">
        <f>Закуп!AA228</f>
        <v/>
      </c>
      <c r="M228" s="182">
        <f>Закуп!V228</f>
        <v/>
      </c>
      <c r="N228" s="182">
        <f>Закуп!W228</f>
        <v/>
      </c>
      <c r="O228" s="183">
        <f>IF(OR(Закуп!L228="",Закуп!L228=0),"",Закуп!L228)</f>
        <v/>
      </c>
      <c r="P228" s="182">
        <f>Закуп!K228</f>
        <v/>
      </c>
      <c r="Q228" s="217">
        <f>IF(Закуп!D228="","",IF(LEFT(Закуп!D228,1)="0","0",Закуп!D228))</f>
        <v/>
      </c>
      <c r="R228" s="184">
        <f>Закуп!C228</f>
        <v/>
      </c>
    </row>
    <row r="229">
      <c r="A229" s="177">
        <f>Закуп!E229</f>
        <v/>
      </c>
      <c r="B229" s="178">
        <f>INDEX(Calc!$K:$K, (ROW(A228)-1)*5 + COLUMN(A228) + 1 )</f>
        <v/>
      </c>
      <c r="C229" s="178">
        <f>INDEX(Calc!$K:$K, (ROW(B228)-1)*5 + COLUMN(B228) + 1 )</f>
        <v/>
      </c>
      <c r="D229" s="179">
        <f>INDEX(Calc!$K:$K, (ROW(C228)-1)*5 + COLUMN(C228) + 1 )</f>
        <v/>
      </c>
      <c r="E229" s="180">
        <f>INDEX(Calc!$K:$K, (ROW(D228)-1)*5 + COLUMN(D228) + 1 )</f>
        <v/>
      </c>
      <c r="F229" s="181">
        <f>INDEX(Calc!$K:$K, (ROW(E228)-1)*5 + COLUMN(E228) + 1 )</f>
        <v/>
      </c>
      <c r="G229" s="182">
        <f>Закуп!O229</f>
        <v/>
      </c>
      <c r="H229" s="182">
        <f>Закуп!Q229</f>
        <v/>
      </c>
      <c r="I229" s="182">
        <f>Закуп!X229</f>
        <v/>
      </c>
      <c r="J229" s="182">
        <f>Закуп!Y229</f>
        <v/>
      </c>
      <c r="K229" s="182">
        <f>Закуп!Z229</f>
        <v/>
      </c>
      <c r="L229" s="182">
        <f>Закуп!AA229</f>
        <v/>
      </c>
      <c r="M229" s="182">
        <f>Закуп!V229</f>
        <v/>
      </c>
      <c r="N229" s="182">
        <f>Закуп!W229</f>
        <v/>
      </c>
      <c r="O229" s="183">
        <f>IF(OR(Закуп!L229="",Закуп!L229=0),"",Закуп!L229)</f>
        <v/>
      </c>
      <c r="P229" s="182">
        <f>Закуп!K229</f>
        <v/>
      </c>
      <c r="Q229" s="217">
        <f>IF(Закуп!D229="","",IF(LEFT(Закуп!D229,1)="0","0",Закуп!D229))</f>
        <v/>
      </c>
      <c r="R229" s="184">
        <f>Закуп!C229</f>
        <v/>
      </c>
    </row>
    <row r="230">
      <c r="A230" s="177">
        <f>Закуп!E230</f>
        <v/>
      </c>
      <c r="B230" s="178">
        <f>INDEX(Calc!$K:$K, (ROW(A229)-1)*5 + COLUMN(A229) + 1 )</f>
        <v/>
      </c>
      <c r="C230" s="178">
        <f>INDEX(Calc!$K:$K, (ROW(B229)-1)*5 + COLUMN(B229) + 1 )</f>
        <v/>
      </c>
      <c r="D230" s="179">
        <f>INDEX(Calc!$K:$K, (ROW(C229)-1)*5 + COLUMN(C229) + 1 )</f>
        <v/>
      </c>
      <c r="E230" s="180">
        <f>INDEX(Calc!$K:$K, (ROW(D229)-1)*5 + COLUMN(D229) + 1 )</f>
        <v/>
      </c>
      <c r="F230" s="181">
        <f>INDEX(Calc!$K:$K, (ROW(E229)-1)*5 + COLUMN(E229) + 1 )</f>
        <v/>
      </c>
      <c r="G230" s="182">
        <f>Закуп!O230</f>
        <v/>
      </c>
      <c r="H230" s="182">
        <f>Закуп!Q230</f>
        <v/>
      </c>
      <c r="I230" s="182">
        <f>Закуп!X230</f>
        <v/>
      </c>
      <c r="J230" s="182">
        <f>Закуп!Y230</f>
        <v/>
      </c>
      <c r="K230" s="182">
        <f>Закуп!Z230</f>
        <v/>
      </c>
      <c r="L230" s="182">
        <f>Закуп!AA230</f>
        <v/>
      </c>
      <c r="M230" s="182">
        <f>Закуп!V230</f>
        <v/>
      </c>
      <c r="N230" s="182">
        <f>Закуп!W230</f>
        <v/>
      </c>
      <c r="O230" s="183">
        <f>IF(OR(Закуп!L230="",Закуп!L230=0),"",Закуп!L230)</f>
        <v/>
      </c>
      <c r="P230" s="182">
        <f>Закуп!K230</f>
        <v/>
      </c>
      <c r="Q230" s="217">
        <f>IF(Закуп!D230="","",IF(LEFT(Закуп!D230,1)="0","0",Закуп!D230))</f>
        <v/>
      </c>
      <c r="R230" s="184">
        <f>Закуп!C230</f>
        <v/>
      </c>
    </row>
    <row r="231">
      <c r="A231" s="177">
        <f>Закуп!E231</f>
        <v/>
      </c>
      <c r="B231" s="178">
        <f>INDEX(Calc!$K:$K, (ROW(A230)-1)*5 + COLUMN(A230) + 1 )</f>
        <v/>
      </c>
      <c r="C231" s="178">
        <f>INDEX(Calc!$K:$K, (ROW(B230)-1)*5 + COLUMN(B230) + 1 )</f>
        <v/>
      </c>
      <c r="D231" s="179">
        <f>INDEX(Calc!$K:$K, (ROW(C230)-1)*5 + COLUMN(C230) + 1 )</f>
        <v/>
      </c>
      <c r="E231" s="180">
        <f>INDEX(Calc!$K:$K, (ROW(D230)-1)*5 + COLUMN(D230) + 1 )</f>
        <v/>
      </c>
      <c r="F231" s="181">
        <f>INDEX(Calc!$K:$K, (ROW(E230)-1)*5 + COLUMN(E230) + 1 )</f>
        <v/>
      </c>
      <c r="G231" s="182">
        <f>Закуп!O231</f>
        <v/>
      </c>
      <c r="H231" s="182">
        <f>Закуп!Q231</f>
        <v/>
      </c>
      <c r="I231" s="182">
        <f>Закуп!X231</f>
        <v/>
      </c>
      <c r="J231" s="182">
        <f>Закуп!Y231</f>
        <v/>
      </c>
      <c r="K231" s="182">
        <f>Закуп!Z231</f>
        <v/>
      </c>
      <c r="L231" s="182">
        <f>Закуп!AA231</f>
        <v/>
      </c>
      <c r="M231" s="182">
        <f>Закуп!V231</f>
        <v/>
      </c>
      <c r="N231" s="182">
        <f>Закуп!W231</f>
        <v/>
      </c>
      <c r="O231" s="183">
        <f>IF(OR(Закуп!L231="",Закуп!L231=0),"",Закуп!L231)</f>
        <v/>
      </c>
      <c r="P231" s="182">
        <f>Закуп!K231</f>
        <v/>
      </c>
      <c r="Q231" s="217">
        <f>IF(Закуп!D231="","",IF(LEFT(Закуп!D231,1)="0","0",Закуп!D231))</f>
        <v/>
      </c>
      <c r="R231" s="184">
        <f>Закуп!C231</f>
        <v/>
      </c>
    </row>
    <row r="232" ht="21.45" customHeight="1" s="55">
      <c r="A232" s="177">
        <f>Закуп!E232</f>
        <v/>
      </c>
      <c r="B232" s="178">
        <f>INDEX(Calc!$K:$K, (ROW(A231)-1)*5 + COLUMN(A231) + 1 )</f>
        <v/>
      </c>
      <c r="C232" s="178">
        <f>INDEX(Calc!$K:$K, (ROW(B231)-1)*5 + COLUMN(B231) + 1 )</f>
        <v/>
      </c>
      <c r="D232" s="179">
        <f>INDEX(Calc!$K:$K, (ROW(C231)-1)*5 + COLUMN(C231) + 1 )</f>
        <v/>
      </c>
      <c r="E232" s="180">
        <f>INDEX(Calc!$K:$K, (ROW(D231)-1)*5 + COLUMN(D231) + 1 )</f>
        <v/>
      </c>
      <c r="F232" s="181">
        <f>INDEX(Calc!$K:$K, (ROW(E231)-1)*5 + COLUMN(E231) + 1 )</f>
        <v/>
      </c>
      <c r="G232" s="182">
        <f>Закуп!O232</f>
        <v/>
      </c>
      <c r="H232" s="182">
        <f>Закуп!Q232</f>
        <v/>
      </c>
      <c r="I232" s="182">
        <f>Закуп!X232</f>
        <v/>
      </c>
      <c r="J232" s="182">
        <f>Закуп!Y232</f>
        <v/>
      </c>
      <c r="K232" s="182">
        <f>Закуп!Z232</f>
        <v/>
      </c>
      <c r="L232" s="182">
        <f>Закуп!AA232</f>
        <v/>
      </c>
      <c r="M232" s="182">
        <f>Закуп!V232</f>
        <v/>
      </c>
      <c r="N232" s="182">
        <f>Закуп!W232</f>
        <v/>
      </c>
      <c r="O232" s="183">
        <f>IF(OR(Закуп!L232="",Закуп!L232=0),"",Закуп!L232)</f>
        <v/>
      </c>
      <c r="P232" s="182">
        <f>Закуп!K232</f>
        <v/>
      </c>
      <c r="Q232" s="217">
        <f>IF(Закуп!D232="","",IF(LEFT(Закуп!D232,1)="0","0",Закуп!D232))</f>
        <v/>
      </c>
      <c r="R232" s="184">
        <f>Закуп!C232</f>
        <v/>
      </c>
    </row>
    <row r="233" ht="21.45" customHeight="1" s="55">
      <c r="A233" s="177">
        <f>Закуп!E233</f>
        <v/>
      </c>
      <c r="B233" s="178">
        <f>INDEX(Calc!$K:$K, (ROW(A232)-1)*5 + COLUMN(A232) + 1 )</f>
        <v/>
      </c>
      <c r="C233" s="178">
        <f>INDEX(Calc!$K:$K, (ROW(B232)-1)*5 + COLUMN(B232) + 1 )</f>
        <v/>
      </c>
      <c r="D233" s="179">
        <f>INDEX(Calc!$K:$K, (ROW(C232)-1)*5 + COLUMN(C232) + 1 )</f>
        <v/>
      </c>
      <c r="E233" s="180">
        <f>INDEX(Calc!$K:$K, (ROW(D232)-1)*5 + COLUMN(D232) + 1 )</f>
        <v/>
      </c>
      <c r="F233" s="181">
        <f>INDEX(Calc!$K:$K, (ROW(E232)-1)*5 + COLUMN(E232) + 1 )</f>
        <v/>
      </c>
      <c r="G233" s="182">
        <f>Закуп!O233</f>
        <v/>
      </c>
      <c r="H233" s="182">
        <f>Закуп!Q233</f>
        <v/>
      </c>
      <c r="I233" s="182">
        <f>Закуп!X233</f>
        <v/>
      </c>
      <c r="J233" s="182">
        <f>Закуп!Y233</f>
        <v/>
      </c>
      <c r="K233" s="182">
        <f>Закуп!Z233</f>
        <v/>
      </c>
      <c r="L233" s="182">
        <f>Закуп!AA233</f>
        <v/>
      </c>
      <c r="M233" s="182">
        <f>Закуп!V233</f>
        <v/>
      </c>
      <c r="N233" s="182">
        <f>Закуп!W233</f>
        <v/>
      </c>
      <c r="O233" s="183">
        <f>IF(OR(Закуп!L233="",Закуп!L233=0),"",Закуп!L233)</f>
        <v/>
      </c>
      <c r="P233" s="182">
        <f>Закуп!K233</f>
        <v/>
      </c>
      <c r="Q233" s="217">
        <f>IF(Закуп!D233="","",IF(LEFT(Закуп!D233,1)="0","0",Закуп!D233))</f>
        <v/>
      </c>
      <c r="R233" s="184">
        <f>Закуп!C233</f>
        <v/>
      </c>
    </row>
    <row r="234">
      <c r="A234" s="177">
        <f>Закуп!E234</f>
        <v/>
      </c>
      <c r="B234" s="178">
        <f>INDEX(Calc!$K:$K, (ROW(A233)-1)*5 + COLUMN(A233) + 1 )</f>
        <v/>
      </c>
      <c r="C234" s="178">
        <f>INDEX(Calc!$K:$K, (ROW(B233)-1)*5 + COLUMN(B233) + 1 )</f>
        <v/>
      </c>
      <c r="D234" s="179">
        <f>INDEX(Calc!$K:$K, (ROW(C233)-1)*5 + COLUMN(C233) + 1 )</f>
        <v/>
      </c>
      <c r="E234" s="180">
        <f>INDEX(Calc!$K:$K, (ROW(D233)-1)*5 + COLUMN(D233) + 1 )</f>
        <v/>
      </c>
      <c r="F234" s="181">
        <f>INDEX(Calc!$K:$K, (ROW(E233)-1)*5 + COLUMN(E233) + 1 )</f>
        <v/>
      </c>
      <c r="G234" s="182">
        <f>Закуп!O234</f>
        <v/>
      </c>
      <c r="H234" s="182">
        <f>Закуп!Q234</f>
        <v/>
      </c>
      <c r="I234" s="182">
        <f>Закуп!X234</f>
        <v/>
      </c>
      <c r="J234" s="182">
        <f>Закуп!Y234</f>
        <v/>
      </c>
      <c r="K234" s="182">
        <f>Закуп!Z234</f>
        <v/>
      </c>
      <c r="L234" s="182">
        <f>Закуп!AA234</f>
        <v/>
      </c>
      <c r="M234" s="182">
        <f>Закуп!V234</f>
        <v/>
      </c>
      <c r="N234" s="182">
        <f>Закуп!W234</f>
        <v/>
      </c>
      <c r="O234" s="183">
        <f>IF(OR(Закуп!L234="",Закуп!L234=0),"",Закуп!L234)</f>
        <v/>
      </c>
      <c r="P234" s="182">
        <f>Закуп!K234</f>
        <v/>
      </c>
      <c r="Q234" s="217">
        <f>IF(Закуп!D234="","",IF(LEFT(Закуп!D234,1)="0","0",Закуп!D234))</f>
        <v/>
      </c>
      <c r="R234" s="184">
        <f>Закуп!C234</f>
        <v/>
      </c>
    </row>
    <row r="235">
      <c r="A235" s="177">
        <f>Закуп!E235</f>
        <v/>
      </c>
      <c r="B235" s="178">
        <f>INDEX(Calc!$K:$K, (ROW(A234)-1)*5 + COLUMN(A234) + 1 )</f>
        <v/>
      </c>
      <c r="C235" s="178">
        <f>INDEX(Calc!$K:$K, (ROW(B234)-1)*5 + COLUMN(B234) + 1 )</f>
        <v/>
      </c>
      <c r="D235" s="179">
        <f>INDEX(Calc!$K:$K, (ROW(C234)-1)*5 + COLUMN(C234) + 1 )</f>
        <v/>
      </c>
      <c r="E235" s="180">
        <f>INDEX(Calc!$K:$K, (ROW(D234)-1)*5 + COLUMN(D234) + 1 )</f>
        <v/>
      </c>
      <c r="F235" s="181">
        <f>INDEX(Calc!$K:$K, (ROW(E234)-1)*5 + COLUMN(E234) + 1 )</f>
        <v/>
      </c>
      <c r="G235" s="182">
        <f>Закуп!O235</f>
        <v/>
      </c>
      <c r="H235" s="182">
        <f>Закуп!Q235</f>
        <v/>
      </c>
      <c r="I235" s="182">
        <f>Закуп!X235</f>
        <v/>
      </c>
      <c r="J235" s="182">
        <f>Закуп!Y235</f>
        <v/>
      </c>
      <c r="K235" s="182">
        <f>Закуп!Z235</f>
        <v/>
      </c>
      <c r="L235" s="182">
        <f>Закуп!AA235</f>
        <v/>
      </c>
      <c r="M235" s="182">
        <f>Закуп!V235</f>
        <v/>
      </c>
      <c r="N235" s="182">
        <f>Закуп!W235</f>
        <v/>
      </c>
      <c r="O235" s="183">
        <f>IF(OR(Закуп!L235="",Закуп!L235=0),"",Закуп!L235)</f>
        <v/>
      </c>
      <c r="P235" s="182">
        <f>Закуп!K235</f>
        <v/>
      </c>
      <c r="Q235" s="217">
        <f>IF(Закуп!D235="","",IF(LEFT(Закуп!D235,1)="0","0",Закуп!D235))</f>
        <v/>
      </c>
      <c r="R235" s="184">
        <f>Закуп!C235</f>
        <v/>
      </c>
    </row>
    <row r="236" ht="21.45" customHeight="1" s="55">
      <c r="A236" s="177">
        <f>Закуп!E236</f>
        <v/>
      </c>
      <c r="B236" s="178">
        <f>INDEX(Calc!$K:$K, (ROW(A235)-1)*5 + COLUMN(A235) + 1 )</f>
        <v/>
      </c>
      <c r="C236" s="178">
        <f>INDEX(Calc!$K:$K, (ROW(B235)-1)*5 + COLUMN(B235) + 1 )</f>
        <v/>
      </c>
      <c r="D236" s="179">
        <f>INDEX(Calc!$K:$K, (ROW(C235)-1)*5 + COLUMN(C235) + 1 )</f>
        <v/>
      </c>
      <c r="E236" s="180">
        <f>INDEX(Calc!$K:$K, (ROW(D235)-1)*5 + COLUMN(D235) + 1 )</f>
        <v/>
      </c>
      <c r="F236" s="181">
        <f>INDEX(Calc!$K:$K, (ROW(E235)-1)*5 + COLUMN(E235) + 1 )</f>
        <v/>
      </c>
      <c r="G236" s="182">
        <f>Закуп!O236</f>
        <v/>
      </c>
      <c r="H236" s="182">
        <f>Закуп!Q236</f>
        <v/>
      </c>
      <c r="I236" s="182">
        <f>Закуп!X236</f>
        <v/>
      </c>
      <c r="J236" s="182">
        <f>Закуп!Y236</f>
        <v/>
      </c>
      <c r="K236" s="182">
        <f>Закуп!Z236</f>
        <v/>
      </c>
      <c r="L236" s="182">
        <f>Закуп!AA236</f>
        <v/>
      </c>
      <c r="M236" s="182">
        <f>Закуп!V236</f>
        <v/>
      </c>
      <c r="N236" s="182">
        <f>Закуп!W236</f>
        <v/>
      </c>
      <c r="O236" s="183">
        <f>IF(OR(Закуп!L236="",Закуп!L236=0),"",Закуп!L236)</f>
        <v/>
      </c>
      <c r="P236" s="182">
        <f>Закуп!K236</f>
        <v/>
      </c>
      <c r="Q236" s="217">
        <f>IF(Закуп!D236="","",IF(LEFT(Закуп!D236,1)="0","0",Закуп!D236))</f>
        <v/>
      </c>
      <c r="R236" s="184">
        <f>Закуп!C236</f>
        <v/>
      </c>
    </row>
    <row r="237" ht="21.45" customHeight="1" s="55">
      <c r="A237" s="177">
        <f>Закуп!E237</f>
        <v/>
      </c>
      <c r="B237" s="178">
        <f>INDEX(Calc!$K:$K, (ROW(A236)-1)*5 + COLUMN(A236) + 1 )</f>
        <v/>
      </c>
      <c r="C237" s="178">
        <f>INDEX(Calc!$K:$K, (ROW(B236)-1)*5 + COLUMN(B236) + 1 )</f>
        <v/>
      </c>
      <c r="D237" s="179">
        <f>INDEX(Calc!$K:$K, (ROW(C236)-1)*5 + COLUMN(C236) + 1 )</f>
        <v/>
      </c>
      <c r="E237" s="180">
        <f>INDEX(Calc!$K:$K, (ROW(D236)-1)*5 + COLUMN(D236) + 1 )</f>
        <v/>
      </c>
      <c r="F237" s="181">
        <f>INDEX(Calc!$K:$K, (ROW(E236)-1)*5 + COLUMN(E236) + 1 )</f>
        <v/>
      </c>
      <c r="G237" s="182">
        <f>Закуп!O237</f>
        <v/>
      </c>
      <c r="H237" s="182">
        <f>Закуп!Q237</f>
        <v/>
      </c>
      <c r="I237" s="182">
        <f>Закуп!X237</f>
        <v/>
      </c>
      <c r="J237" s="182">
        <f>Закуп!Y237</f>
        <v/>
      </c>
      <c r="K237" s="182">
        <f>Закуп!Z237</f>
        <v/>
      </c>
      <c r="L237" s="182">
        <f>Закуп!AA237</f>
        <v/>
      </c>
      <c r="M237" s="182">
        <f>Закуп!V237</f>
        <v/>
      </c>
      <c r="N237" s="182">
        <f>Закуп!W237</f>
        <v/>
      </c>
      <c r="O237" s="183">
        <f>IF(OR(Закуп!L237="",Закуп!L237=0),"",Закуп!L237)</f>
        <v/>
      </c>
      <c r="P237" s="182">
        <f>Закуп!K237</f>
        <v/>
      </c>
      <c r="Q237" s="217">
        <f>IF(Закуп!D237="","",IF(LEFT(Закуп!D237,1)="0","0",Закуп!D237))</f>
        <v/>
      </c>
      <c r="R237" s="184">
        <f>Закуп!C237</f>
        <v/>
      </c>
    </row>
    <row r="238">
      <c r="A238" s="177">
        <f>Закуп!E238</f>
        <v/>
      </c>
      <c r="B238" s="178">
        <f>INDEX(Calc!$K:$K, (ROW(A237)-1)*5 + COLUMN(A237) + 1 )</f>
        <v/>
      </c>
      <c r="C238" s="178">
        <f>INDEX(Calc!$K:$K, (ROW(B237)-1)*5 + COLUMN(B237) + 1 )</f>
        <v/>
      </c>
      <c r="D238" s="179">
        <f>INDEX(Calc!$K:$K, (ROW(C237)-1)*5 + COLUMN(C237) + 1 )</f>
        <v/>
      </c>
      <c r="E238" s="180">
        <f>INDEX(Calc!$K:$K, (ROW(D237)-1)*5 + COLUMN(D237) + 1 )</f>
        <v/>
      </c>
      <c r="F238" s="181">
        <f>INDEX(Calc!$K:$K, (ROW(E237)-1)*5 + COLUMN(E237) + 1 )</f>
        <v/>
      </c>
      <c r="G238" s="182">
        <f>Закуп!O238</f>
        <v/>
      </c>
      <c r="H238" s="182">
        <f>Закуп!Q238</f>
        <v/>
      </c>
      <c r="I238" s="182">
        <f>Закуп!X238</f>
        <v/>
      </c>
      <c r="J238" s="182">
        <f>Закуп!Y238</f>
        <v/>
      </c>
      <c r="K238" s="182">
        <f>Закуп!Z238</f>
        <v/>
      </c>
      <c r="L238" s="182">
        <f>Закуп!AA238</f>
        <v/>
      </c>
      <c r="M238" s="182">
        <f>Закуп!V238</f>
        <v/>
      </c>
      <c r="N238" s="182">
        <f>Закуп!W238</f>
        <v/>
      </c>
      <c r="O238" s="183">
        <f>IF(OR(Закуп!L238="",Закуп!L238=0),"",Закуп!L238)</f>
        <v/>
      </c>
      <c r="P238" s="182">
        <f>Закуп!K238</f>
        <v/>
      </c>
      <c r="Q238" s="217">
        <f>IF(Закуп!D238="","",IF(LEFT(Закуп!D238,1)="0","0",Закуп!D238))</f>
        <v/>
      </c>
      <c r="R238" s="184">
        <f>Закуп!C238</f>
        <v/>
      </c>
    </row>
    <row r="239" ht="21.45" customHeight="1" s="55">
      <c r="A239" s="177">
        <f>Закуп!E239</f>
        <v/>
      </c>
      <c r="B239" s="178">
        <f>INDEX(Calc!$K:$K, (ROW(A238)-1)*5 + COLUMN(A238) + 1 )</f>
        <v/>
      </c>
      <c r="C239" s="178">
        <f>INDEX(Calc!$K:$K, (ROW(B238)-1)*5 + COLUMN(B238) + 1 )</f>
        <v/>
      </c>
      <c r="D239" s="179">
        <f>INDEX(Calc!$K:$K, (ROW(C238)-1)*5 + COLUMN(C238) + 1 )</f>
        <v/>
      </c>
      <c r="E239" s="180">
        <f>INDEX(Calc!$K:$K, (ROW(D238)-1)*5 + COLUMN(D238) + 1 )</f>
        <v/>
      </c>
      <c r="F239" s="181">
        <f>INDEX(Calc!$K:$K, (ROW(E238)-1)*5 + COLUMN(E238) + 1 )</f>
        <v/>
      </c>
      <c r="G239" s="182">
        <f>Закуп!O239</f>
        <v/>
      </c>
      <c r="H239" s="182">
        <f>Закуп!Q239</f>
        <v/>
      </c>
      <c r="I239" s="182">
        <f>Закуп!X239</f>
        <v/>
      </c>
      <c r="J239" s="182">
        <f>Закуп!Y239</f>
        <v/>
      </c>
      <c r="K239" s="182">
        <f>Закуп!Z239</f>
        <v/>
      </c>
      <c r="L239" s="182">
        <f>Закуп!AA239</f>
        <v/>
      </c>
      <c r="M239" s="182">
        <f>Закуп!V239</f>
        <v/>
      </c>
      <c r="N239" s="182">
        <f>Закуп!W239</f>
        <v/>
      </c>
      <c r="O239" s="183">
        <f>IF(OR(Закуп!L239="",Закуп!L239=0),"",Закуп!L239)</f>
        <v/>
      </c>
      <c r="P239" s="182">
        <f>Закуп!K239</f>
        <v/>
      </c>
      <c r="Q239" s="217">
        <f>IF(Закуп!D239="","",IF(LEFT(Закуп!D239,1)="0","0",Закуп!D239))</f>
        <v/>
      </c>
      <c r="R239" s="184">
        <f>Закуп!C239</f>
        <v/>
      </c>
    </row>
    <row r="240">
      <c r="A240" s="177">
        <f>Закуп!E240</f>
        <v/>
      </c>
      <c r="B240" s="178">
        <f>INDEX(Calc!$K:$K, (ROW(A239)-1)*5 + COLUMN(A239) + 1 )</f>
        <v/>
      </c>
      <c r="C240" s="178">
        <f>INDEX(Calc!$K:$K, (ROW(B239)-1)*5 + COLUMN(B239) + 1 )</f>
        <v/>
      </c>
      <c r="D240" s="179">
        <f>INDEX(Calc!$K:$K, (ROW(C239)-1)*5 + COLUMN(C239) + 1 )</f>
        <v/>
      </c>
      <c r="E240" s="180">
        <f>INDEX(Calc!$K:$K, (ROW(D239)-1)*5 + COLUMN(D239) + 1 )</f>
        <v/>
      </c>
      <c r="F240" s="181">
        <f>INDEX(Calc!$K:$K, (ROW(E239)-1)*5 + COLUMN(E239) + 1 )</f>
        <v/>
      </c>
      <c r="G240" s="182">
        <f>Закуп!O240</f>
        <v/>
      </c>
      <c r="H240" s="182">
        <f>Закуп!Q240</f>
        <v/>
      </c>
      <c r="I240" s="182">
        <f>Закуп!X240</f>
        <v/>
      </c>
      <c r="J240" s="182">
        <f>Закуп!Y240</f>
        <v/>
      </c>
      <c r="K240" s="182">
        <f>Закуп!Z240</f>
        <v/>
      </c>
      <c r="L240" s="182">
        <f>Закуп!AA240</f>
        <v/>
      </c>
      <c r="M240" s="182">
        <f>Закуп!V240</f>
        <v/>
      </c>
      <c r="N240" s="182">
        <f>Закуп!W240</f>
        <v/>
      </c>
      <c r="O240" s="183">
        <f>IF(OR(Закуп!L240="",Закуп!L240=0),"",Закуп!L240)</f>
        <v/>
      </c>
      <c r="P240" s="182">
        <f>Закуп!K240</f>
        <v/>
      </c>
      <c r="Q240" s="217">
        <f>IF(Закуп!D240="","",IF(LEFT(Закуп!D240,1)="0","0",Закуп!D240))</f>
        <v/>
      </c>
      <c r="R240" s="184">
        <f>Закуп!C240</f>
        <v/>
      </c>
    </row>
    <row r="241">
      <c r="A241" s="177">
        <f>Закуп!E241</f>
        <v/>
      </c>
      <c r="B241" s="178">
        <f>INDEX(Calc!$K:$K, (ROW(A240)-1)*5 + COLUMN(A240) + 1 )</f>
        <v/>
      </c>
      <c r="C241" s="178">
        <f>INDEX(Calc!$K:$K, (ROW(B240)-1)*5 + COLUMN(B240) + 1 )</f>
        <v/>
      </c>
      <c r="D241" s="179">
        <f>INDEX(Calc!$K:$K, (ROW(C240)-1)*5 + COLUMN(C240) + 1 )</f>
        <v/>
      </c>
      <c r="E241" s="180">
        <f>INDEX(Calc!$K:$K, (ROW(D240)-1)*5 + COLUMN(D240) + 1 )</f>
        <v/>
      </c>
      <c r="F241" s="181">
        <f>INDEX(Calc!$K:$K, (ROW(E240)-1)*5 + COLUMN(E240) + 1 )</f>
        <v/>
      </c>
      <c r="G241" s="182">
        <f>Закуп!O241</f>
        <v/>
      </c>
      <c r="H241" s="182">
        <f>Закуп!Q241</f>
        <v/>
      </c>
      <c r="I241" s="182">
        <f>Закуп!X241</f>
        <v/>
      </c>
      <c r="J241" s="182">
        <f>Закуп!Y241</f>
        <v/>
      </c>
      <c r="K241" s="182">
        <f>Закуп!Z241</f>
        <v/>
      </c>
      <c r="L241" s="182">
        <f>Закуп!AA241</f>
        <v/>
      </c>
      <c r="M241" s="182">
        <f>Закуп!V241</f>
        <v/>
      </c>
      <c r="N241" s="182">
        <f>Закуп!W241</f>
        <v/>
      </c>
      <c r="O241" s="183">
        <f>IF(OR(Закуп!L241="",Закуп!L241=0),"",Закуп!L241)</f>
        <v/>
      </c>
      <c r="P241" s="182">
        <f>Закуп!K241</f>
        <v/>
      </c>
      <c r="Q241" s="217">
        <f>IF(Закуп!D241="","",IF(LEFT(Закуп!D241,1)="0","0",Закуп!D241))</f>
        <v/>
      </c>
      <c r="R241" s="184">
        <f>Закуп!C241</f>
        <v/>
      </c>
    </row>
    <row r="242">
      <c r="A242" s="177">
        <f>Закуп!E242</f>
        <v/>
      </c>
      <c r="B242" s="178">
        <f>INDEX(Calc!$K:$K, (ROW(A241)-1)*5 + COLUMN(A241) + 1 )</f>
        <v/>
      </c>
      <c r="C242" s="178">
        <f>INDEX(Calc!$K:$K, (ROW(B241)-1)*5 + COLUMN(B241) + 1 )</f>
        <v/>
      </c>
      <c r="D242" s="179">
        <f>INDEX(Calc!$K:$K, (ROW(C241)-1)*5 + COLUMN(C241) + 1 )</f>
        <v/>
      </c>
      <c r="E242" s="180">
        <f>INDEX(Calc!$K:$K, (ROW(D241)-1)*5 + COLUMN(D241) + 1 )</f>
        <v/>
      </c>
      <c r="F242" s="181">
        <f>INDEX(Calc!$K:$K, (ROW(E241)-1)*5 + COLUMN(E241) + 1 )</f>
        <v/>
      </c>
      <c r="G242" s="182">
        <f>Закуп!O242</f>
        <v/>
      </c>
      <c r="H242" s="182">
        <f>Закуп!Q242</f>
        <v/>
      </c>
      <c r="I242" s="182">
        <f>Закуп!X242</f>
        <v/>
      </c>
      <c r="J242" s="182">
        <f>Закуп!Y242</f>
        <v/>
      </c>
      <c r="K242" s="182">
        <f>Закуп!Z242</f>
        <v/>
      </c>
      <c r="L242" s="182">
        <f>Закуп!AA242</f>
        <v/>
      </c>
      <c r="M242" s="182">
        <f>Закуп!V242</f>
        <v/>
      </c>
      <c r="N242" s="182">
        <f>Закуп!W242</f>
        <v/>
      </c>
      <c r="O242" s="183">
        <f>IF(OR(Закуп!L242="",Закуп!L242=0),"",Закуп!L242)</f>
        <v/>
      </c>
      <c r="P242" s="182">
        <f>Закуп!K242</f>
        <v/>
      </c>
      <c r="Q242" s="217">
        <f>IF(Закуп!D242="","",IF(LEFT(Закуп!D242,1)="0","0",Закуп!D242))</f>
        <v/>
      </c>
      <c r="R242" s="184">
        <f>Закуп!C242</f>
        <v/>
      </c>
    </row>
    <row r="243">
      <c r="A243" s="177">
        <f>Закуп!E243</f>
        <v/>
      </c>
      <c r="B243" s="178">
        <f>INDEX(Calc!$K:$K, (ROW(A242)-1)*5 + COLUMN(A242) + 1 )</f>
        <v/>
      </c>
      <c r="C243" s="178">
        <f>INDEX(Calc!$K:$K, (ROW(B242)-1)*5 + COLUMN(B242) + 1 )</f>
        <v/>
      </c>
      <c r="D243" s="179">
        <f>INDEX(Calc!$K:$K, (ROW(C242)-1)*5 + COLUMN(C242) + 1 )</f>
        <v/>
      </c>
      <c r="E243" s="180">
        <f>INDEX(Calc!$K:$K, (ROW(D242)-1)*5 + COLUMN(D242) + 1 )</f>
        <v/>
      </c>
      <c r="F243" s="181">
        <f>INDEX(Calc!$K:$K, (ROW(E242)-1)*5 + COLUMN(E242) + 1 )</f>
        <v/>
      </c>
      <c r="G243" s="182">
        <f>Закуп!O243</f>
        <v/>
      </c>
      <c r="H243" s="182">
        <f>Закуп!Q243</f>
        <v/>
      </c>
      <c r="I243" s="182">
        <f>Закуп!X243</f>
        <v/>
      </c>
      <c r="J243" s="182">
        <f>Закуп!Y243</f>
        <v/>
      </c>
      <c r="K243" s="182">
        <f>Закуп!Z243</f>
        <v/>
      </c>
      <c r="L243" s="182">
        <f>Закуп!AA243</f>
        <v/>
      </c>
      <c r="M243" s="182">
        <f>Закуп!V243</f>
        <v/>
      </c>
      <c r="N243" s="182">
        <f>Закуп!W243</f>
        <v/>
      </c>
      <c r="O243" s="183">
        <f>IF(OR(Закуп!L243="",Закуп!L243=0),"",Закуп!L243)</f>
        <v/>
      </c>
      <c r="P243" s="182">
        <f>Закуп!K243</f>
        <v/>
      </c>
      <c r="Q243" s="217">
        <f>IF(Закуп!D243="","",IF(LEFT(Закуп!D243,1)="0","0",Закуп!D243))</f>
        <v/>
      </c>
      <c r="R243" s="184">
        <f>Закуп!C243</f>
        <v/>
      </c>
    </row>
    <row r="244">
      <c r="A244" s="177">
        <f>Закуп!E244</f>
        <v/>
      </c>
      <c r="B244" s="178">
        <f>INDEX(Calc!$K:$K, (ROW(A243)-1)*5 + COLUMN(A243) + 1 )</f>
        <v/>
      </c>
      <c r="C244" s="178">
        <f>INDEX(Calc!$K:$K, (ROW(B243)-1)*5 + COLUMN(B243) + 1 )</f>
        <v/>
      </c>
      <c r="D244" s="179">
        <f>INDEX(Calc!$K:$K, (ROW(C243)-1)*5 + COLUMN(C243) + 1 )</f>
        <v/>
      </c>
      <c r="E244" s="180">
        <f>INDEX(Calc!$K:$K, (ROW(D243)-1)*5 + COLUMN(D243) + 1 )</f>
        <v/>
      </c>
      <c r="F244" s="181">
        <f>INDEX(Calc!$K:$K, (ROW(E243)-1)*5 + COLUMN(E243) + 1 )</f>
        <v/>
      </c>
      <c r="G244" s="182">
        <f>Закуп!O244</f>
        <v/>
      </c>
      <c r="H244" s="182">
        <f>Закуп!Q244</f>
        <v/>
      </c>
      <c r="I244" s="182">
        <f>Закуп!X244</f>
        <v/>
      </c>
      <c r="J244" s="182">
        <f>Закуп!Y244</f>
        <v/>
      </c>
      <c r="K244" s="182">
        <f>Закуп!Z244</f>
        <v/>
      </c>
      <c r="L244" s="182">
        <f>Закуп!AA244</f>
        <v/>
      </c>
      <c r="M244" s="182">
        <f>Закуп!V244</f>
        <v/>
      </c>
      <c r="N244" s="182">
        <f>Закуп!W244</f>
        <v/>
      </c>
      <c r="O244" s="183">
        <f>IF(OR(Закуп!L244="",Закуп!L244=0),"",Закуп!L244)</f>
        <v/>
      </c>
      <c r="P244" s="182">
        <f>Закуп!K244</f>
        <v/>
      </c>
      <c r="Q244" s="217">
        <f>IF(Закуп!D244="","",IF(LEFT(Закуп!D244,1)="0","0",Закуп!D244))</f>
        <v/>
      </c>
      <c r="R244" s="184">
        <f>Закуп!C244</f>
        <v/>
      </c>
    </row>
    <row r="245">
      <c r="A245" s="177">
        <f>Закуп!E245</f>
        <v/>
      </c>
      <c r="B245" s="178">
        <f>INDEX(Calc!$K:$K, (ROW(A244)-1)*5 + COLUMN(A244) + 1 )</f>
        <v/>
      </c>
      <c r="C245" s="178">
        <f>INDEX(Calc!$K:$K, (ROW(B244)-1)*5 + COLUMN(B244) + 1 )</f>
        <v/>
      </c>
      <c r="D245" s="179">
        <f>INDEX(Calc!$K:$K, (ROW(C244)-1)*5 + COLUMN(C244) + 1 )</f>
        <v/>
      </c>
      <c r="E245" s="180">
        <f>INDEX(Calc!$K:$K, (ROW(D244)-1)*5 + COLUMN(D244) + 1 )</f>
        <v/>
      </c>
      <c r="F245" s="181">
        <f>INDEX(Calc!$K:$K, (ROW(E244)-1)*5 + COLUMN(E244) + 1 )</f>
        <v/>
      </c>
      <c r="G245" s="182">
        <f>Закуп!O245</f>
        <v/>
      </c>
      <c r="H245" s="182">
        <f>Закуп!Q245</f>
        <v/>
      </c>
      <c r="I245" s="182">
        <f>Закуп!X245</f>
        <v/>
      </c>
      <c r="J245" s="182">
        <f>Закуп!Y245</f>
        <v/>
      </c>
      <c r="K245" s="182">
        <f>Закуп!Z245</f>
        <v/>
      </c>
      <c r="L245" s="182">
        <f>Закуп!AA245</f>
        <v/>
      </c>
      <c r="M245" s="182">
        <f>Закуп!V245</f>
        <v/>
      </c>
      <c r="N245" s="182">
        <f>Закуп!W245</f>
        <v/>
      </c>
      <c r="O245" s="183">
        <f>IF(OR(Закуп!L245="",Закуп!L245=0),"",Закуп!L245)</f>
        <v/>
      </c>
      <c r="P245" s="182">
        <f>Закуп!K245</f>
        <v/>
      </c>
      <c r="Q245" s="217">
        <f>IF(Закуп!D245="","",IF(LEFT(Закуп!D245,1)="0","0",Закуп!D245))</f>
        <v/>
      </c>
      <c r="R245" s="184">
        <f>Закуп!C245</f>
        <v/>
      </c>
    </row>
    <row r="246">
      <c r="A246" s="177">
        <f>Закуп!E246</f>
        <v/>
      </c>
      <c r="B246" s="178">
        <f>INDEX(Calc!$K:$K, (ROW(A245)-1)*5 + COLUMN(A245) + 1 )</f>
        <v/>
      </c>
      <c r="C246" s="178">
        <f>INDEX(Calc!$K:$K, (ROW(B245)-1)*5 + COLUMN(B245) + 1 )</f>
        <v/>
      </c>
      <c r="D246" s="179">
        <f>INDEX(Calc!$K:$K, (ROW(C245)-1)*5 + COLUMN(C245) + 1 )</f>
        <v/>
      </c>
      <c r="E246" s="180">
        <f>INDEX(Calc!$K:$K, (ROW(D245)-1)*5 + COLUMN(D245) + 1 )</f>
        <v/>
      </c>
      <c r="F246" s="181">
        <f>INDEX(Calc!$K:$K, (ROW(E245)-1)*5 + COLUMN(E245) + 1 )</f>
        <v/>
      </c>
      <c r="G246" s="182">
        <f>Закуп!O246</f>
        <v/>
      </c>
      <c r="H246" s="182">
        <f>Закуп!Q246</f>
        <v/>
      </c>
      <c r="I246" s="182">
        <f>Закуп!X246</f>
        <v/>
      </c>
      <c r="J246" s="182">
        <f>Закуп!Y246</f>
        <v/>
      </c>
      <c r="K246" s="182">
        <f>Закуп!Z246</f>
        <v/>
      </c>
      <c r="L246" s="182">
        <f>Закуп!AA246</f>
        <v/>
      </c>
      <c r="M246" s="182">
        <f>Закуп!V246</f>
        <v/>
      </c>
      <c r="N246" s="182">
        <f>Закуп!W246</f>
        <v/>
      </c>
      <c r="O246" s="183">
        <f>IF(OR(Закуп!L246="",Закуп!L246=0),"",Закуп!L246)</f>
        <v/>
      </c>
      <c r="P246" s="182">
        <f>Закуп!K246</f>
        <v/>
      </c>
      <c r="Q246" s="217">
        <f>IF(Закуп!D246="","",IF(LEFT(Закуп!D246,1)="0","0",Закуп!D246))</f>
        <v/>
      </c>
      <c r="R246" s="184">
        <f>Закуп!C246</f>
        <v/>
      </c>
    </row>
    <row r="247">
      <c r="A247" s="177">
        <f>Закуп!E247</f>
        <v/>
      </c>
      <c r="B247" s="178">
        <f>INDEX(Calc!$K:$K, (ROW(A246)-1)*5 + COLUMN(A246) + 1 )</f>
        <v/>
      </c>
      <c r="C247" s="178">
        <f>INDEX(Calc!$K:$K, (ROW(B246)-1)*5 + COLUMN(B246) + 1 )</f>
        <v/>
      </c>
      <c r="D247" s="179">
        <f>INDEX(Calc!$K:$K, (ROW(C246)-1)*5 + COLUMN(C246) + 1 )</f>
        <v/>
      </c>
      <c r="E247" s="180">
        <f>INDEX(Calc!$K:$K, (ROW(D246)-1)*5 + COLUMN(D246) + 1 )</f>
        <v/>
      </c>
      <c r="F247" s="181">
        <f>INDEX(Calc!$K:$K, (ROW(E246)-1)*5 + COLUMN(E246) + 1 )</f>
        <v/>
      </c>
      <c r="G247" s="182">
        <f>Закуп!O247</f>
        <v/>
      </c>
      <c r="H247" s="182">
        <f>Закуп!Q247</f>
        <v/>
      </c>
      <c r="I247" s="182">
        <f>Закуп!X247</f>
        <v/>
      </c>
      <c r="J247" s="182">
        <f>Закуп!Y247</f>
        <v/>
      </c>
      <c r="K247" s="182">
        <f>Закуп!Z247</f>
        <v/>
      </c>
      <c r="L247" s="182">
        <f>Закуп!AA247</f>
        <v/>
      </c>
      <c r="M247" s="182">
        <f>Закуп!V247</f>
        <v/>
      </c>
      <c r="N247" s="182">
        <f>Закуп!W247</f>
        <v/>
      </c>
      <c r="O247" s="183">
        <f>IF(OR(Закуп!L247="",Закуп!L247=0),"",Закуп!L247)</f>
        <v/>
      </c>
      <c r="P247" s="182">
        <f>Закуп!K247</f>
        <v/>
      </c>
      <c r="Q247" s="217">
        <f>IF(Закуп!D247="","",IF(LEFT(Закуп!D247,1)="0","0",Закуп!D247))</f>
        <v/>
      </c>
      <c r="R247" s="184">
        <f>Закуп!C247</f>
        <v/>
      </c>
    </row>
    <row r="248">
      <c r="A248" s="177">
        <f>Закуп!E248</f>
        <v/>
      </c>
      <c r="B248" s="178">
        <f>INDEX(Calc!$K:$K, (ROW(A247)-1)*5 + COLUMN(A247) + 1 )</f>
        <v/>
      </c>
      <c r="C248" s="178">
        <f>INDEX(Calc!$K:$K, (ROW(B247)-1)*5 + COLUMN(B247) + 1 )</f>
        <v/>
      </c>
      <c r="D248" s="179">
        <f>INDEX(Calc!$K:$K, (ROW(C247)-1)*5 + COLUMN(C247) + 1 )</f>
        <v/>
      </c>
      <c r="E248" s="180">
        <f>INDEX(Calc!$K:$K, (ROW(D247)-1)*5 + COLUMN(D247) + 1 )</f>
        <v/>
      </c>
      <c r="F248" s="181">
        <f>INDEX(Calc!$K:$K, (ROW(E247)-1)*5 + COLUMN(E247) + 1 )</f>
        <v/>
      </c>
      <c r="G248" s="182">
        <f>Закуп!O248</f>
        <v/>
      </c>
      <c r="H248" s="182">
        <f>Закуп!Q248</f>
        <v/>
      </c>
      <c r="I248" s="182">
        <f>Закуп!X248</f>
        <v/>
      </c>
      <c r="J248" s="182">
        <f>Закуп!Y248</f>
        <v/>
      </c>
      <c r="K248" s="182">
        <f>Закуп!Z248</f>
        <v/>
      </c>
      <c r="L248" s="182">
        <f>Закуп!AA248</f>
        <v/>
      </c>
      <c r="M248" s="182">
        <f>Закуп!V248</f>
        <v/>
      </c>
      <c r="N248" s="182">
        <f>Закуп!W248</f>
        <v/>
      </c>
      <c r="O248" s="183">
        <f>IF(OR(Закуп!L248="",Закуп!L248=0),"",Закуп!L248)</f>
        <v/>
      </c>
      <c r="P248" s="182">
        <f>Закуп!K248</f>
        <v/>
      </c>
      <c r="Q248" s="217">
        <f>IF(Закуп!D248="","",IF(LEFT(Закуп!D248,1)="0","0",Закуп!D248))</f>
        <v/>
      </c>
      <c r="R248" s="184">
        <f>Закуп!C248</f>
        <v/>
      </c>
    </row>
    <row r="249">
      <c r="A249" s="177">
        <f>Закуп!E249</f>
        <v/>
      </c>
      <c r="B249" s="178">
        <f>INDEX(Calc!$K:$K, (ROW(A248)-1)*5 + COLUMN(A248) + 1 )</f>
        <v/>
      </c>
      <c r="C249" s="178">
        <f>INDEX(Calc!$K:$K, (ROW(B248)-1)*5 + COLUMN(B248) + 1 )</f>
        <v/>
      </c>
      <c r="D249" s="179">
        <f>INDEX(Calc!$K:$K, (ROW(C248)-1)*5 + COLUMN(C248) + 1 )</f>
        <v/>
      </c>
      <c r="E249" s="180">
        <f>INDEX(Calc!$K:$K, (ROW(D248)-1)*5 + COLUMN(D248) + 1 )</f>
        <v/>
      </c>
      <c r="F249" s="181">
        <f>INDEX(Calc!$K:$K, (ROW(E248)-1)*5 + COLUMN(E248) + 1 )</f>
        <v/>
      </c>
      <c r="G249" s="182">
        <f>Закуп!O249</f>
        <v/>
      </c>
      <c r="H249" s="182">
        <f>Закуп!Q249</f>
        <v/>
      </c>
      <c r="I249" s="182">
        <f>Закуп!X249</f>
        <v/>
      </c>
      <c r="J249" s="182">
        <f>Закуп!Y249</f>
        <v/>
      </c>
      <c r="K249" s="182">
        <f>Закуп!Z249</f>
        <v/>
      </c>
      <c r="L249" s="182">
        <f>Закуп!AA249</f>
        <v/>
      </c>
      <c r="M249" s="182">
        <f>Закуп!V249</f>
        <v/>
      </c>
      <c r="N249" s="182">
        <f>Закуп!W249</f>
        <v/>
      </c>
      <c r="O249" s="183">
        <f>IF(OR(Закуп!L249="",Закуп!L249=0),"",Закуп!L249)</f>
        <v/>
      </c>
      <c r="P249" s="182">
        <f>Закуп!K249</f>
        <v/>
      </c>
      <c r="Q249" s="217">
        <f>IF(Закуп!D249="","",IF(LEFT(Закуп!D249,1)="0","0",Закуп!D249))</f>
        <v/>
      </c>
      <c r="R249" s="184">
        <f>Закуп!C249</f>
        <v/>
      </c>
    </row>
    <row r="250" ht="21.45" customHeight="1" s="55">
      <c r="A250" s="177">
        <f>Закуп!E250</f>
        <v/>
      </c>
      <c r="B250" s="178">
        <f>INDEX(Calc!$K:$K, (ROW(A249)-1)*5 + COLUMN(A249) + 1 )</f>
        <v/>
      </c>
      <c r="C250" s="178">
        <f>INDEX(Calc!$K:$K, (ROW(B249)-1)*5 + COLUMN(B249) + 1 )</f>
        <v/>
      </c>
      <c r="D250" s="179">
        <f>INDEX(Calc!$K:$K, (ROW(C249)-1)*5 + COLUMN(C249) + 1 )</f>
        <v/>
      </c>
      <c r="E250" s="180">
        <f>INDEX(Calc!$K:$K, (ROW(D249)-1)*5 + COLUMN(D249) + 1 )</f>
        <v/>
      </c>
      <c r="F250" s="181">
        <f>INDEX(Calc!$K:$K, (ROW(E249)-1)*5 + COLUMN(E249) + 1 )</f>
        <v/>
      </c>
      <c r="G250" s="182">
        <f>Закуп!O250</f>
        <v/>
      </c>
      <c r="H250" s="182">
        <f>Закуп!Q250</f>
        <v/>
      </c>
      <c r="I250" s="182">
        <f>Закуп!X250</f>
        <v/>
      </c>
      <c r="J250" s="182">
        <f>Закуп!Y250</f>
        <v/>
      </c>
      <c r="K250" s="182">
        <f>Закуп!Z250</f>
        <v/>
      </c>
      <c r="L250" s="182">
        <f>Закуп!AA250</f>
        <v/>
      </c>
      <c r="M250" s="182">
        <f>Закуп!V250</f>
        <v/>
      </c>
      <c r="N250" s="182">
        <f>Закуп!W250</f>
        <v/>
      </c>
      <c r="O250" s="183">
        <f>IF(OR(Закуп!L250="",Закуп!L250=0),"",Закуп!L250)</f>
        <v/>
      </c>
      <c r="P250" s="182">
        <f>Закуп!K250</f>
        <v/>
      </c>
      <c r="Q250" s="217">
        <f>IF(Закуп!D250="","",IF(LEFT(Закуп!D250,1)="0","0",Закуп!D250))</f>
        <v/>
      </c>
      <c r="R250" s="184">
        <f>Закуп!C250</f>
        <v/>
      </c>
    </row>
    <row r="251">
      <c r="A251" s="177">
        <f>Закуп!E251</f>
        <v/>
      </c>
      <c r="B251" s="178">
        <f>INDEX(Calc!$K:$K, (ROW(A250)-1)*5 + COLUMN(A250) + 1 )</f>
        <v/>
      </c>
      <c r="C251" s="178">
        <f>INDEX(Calc!$K:$K, (ROW(B250)-1)*5 + COLUMN(B250) + 1 )</f>
        <v/>
      </c>
      <c r="D251" s="179">
        <f>INDEX(Calc!$K:$K, (ROW(C250)-1)*5 + COLUMN(C250) + 1 )</f>
        <v/>
      </c>
      <c r="E251" s="180">
        <f>INDEX(Calc!$K:$K, (ROW(D250)-1)*5 + COLUMN(D250) + 1 )</f>
        <v/>
      </c>
      <c r="F251" s="181">
        <f>INDEX(Calc!$K:$K, (ROW(E250)-1)*5 + COLUMN(E250) + 1 )</f>
        <v/>
      </c>
      <c r="G251" s="182">
        <f>Закуп!O251</f>
        <v/>
      </c>
      <c r="H251" s="182">
        <f>Закуп!Q251</f>
        <v/>
      </c>
      <c r="I251" s="182">
        <f>Закуп!X251</f>
        <v/>
      </c>
      <c r="J251" s="182">
        <f>Закуп!Y251</f>
        <v/>
      </c>
      <c r="K251" s="182">
        <f>Закуп!Z251</f>
        <v/>
      </c>
      <c r="L251" s="182">
        <f>Закуп!AA251</f>
        <v/>
      </c>
      <c r="M251" s="182">
        <f>Закуп!V251</f>
        <v/>
      </c>
      <c r="N251" s="182">
        <f>Закуп!W251</f>
        <v/>
      </c>
      <c r="O251" s="183">
        <f>IF(OR(Закуп!L251="",Закуп!L251=0),"",Закуп!L251)</f>
        <v/>
      </c>
      <c r="P251" s="182">
        <f>Закуп!K251</f>
        <v/>
      </c>
      <c r="Q251" s="217">
        <f>IF(Закуп!D251="","",IF(LEFT(Закуп!D251,1)="0","0",Закуп!D251))</f>
        <v/>
      </c>
      <c r="R251" s="184">
        <f>Закуп!C251</f>
        <v/>
      </c>
    </row>
    <row r="252">
      <c r="A252" s="177">
        <f>Закуп!E252</f>
        <v/>
      </c>
      <c r="B252" s="178">
        <f>INDEX(Calc!$K:$K, (ROW(A251)-1)*5 + COLUMN(A251) + 1 )</f>
        <v/>
      </c>
      <c r="C252" s="178">
        <f>INDEX(Calc!$K:$K, (ROW(B251)-1)*5 + COLUMN(B251) + 1 )</f>
        <v/>
      </c>
      <c r="D252" s="179">
        <f>INDEX(Calc!$K:$K, (ROW(C251)-1)*5 + COLUMN(C251) + 1 )</f>
        <v/>
      </c>
      <c r="E252" s="180">
        <f>INDEX(Calc!$K:$K, (ROW(D251)-1)*5 + COLUMN(D251) + 1 )</f>
        <v/>
      </c>
      <c r="F252" s="181">
        <f>INDEX(Calc!$K:$K, (ROW(E251)-1)*5 + COLUMN(E251) + 1 )</f>
        <v/>
      </c>
      <c r="G252" s="182">
        <f>Закуп!O252</f>
        <v/>
      </c>
      <c r="H252" s="182">
        <f>Закуп!Q252</f>
        <v/>
      </c>
      <c r="I252" s="182">
        <f>Закуп!X252</f>
        <v/>
      </c>
      <c r="J252" s="182">
        <f>Закуп!Y252</f>
        <v/>
      </c>
      <c r="K252" s="182">
        <f>Закуп!Z252</f>
        <v/>
      </c>
      <c r="L252" s="182">
        <f>Закуп!AA252</f>
        <v/>
      </c>
      <c r="M252" s="182">
        <f>Закуп!V252</f>
        <v/>
      </c>
      <c r="N252" s="182">
        <f>Закуп!W252</f>
        <v/>
      </c>
      <c r="O252" s="183">
        <f>IF(OR(Закуп!L252="",Закуп!L252=0),"",Закуп!L252)</f>
        <v/>
      </c>
      <c r="P252" s="182">
        <f>Закуп!K252</f>
        <v/>
      </c>
      <c r="Q252" s="217">
        <f>IF(Закуп!D252="","",IF(LEFT(Закуп!D252,1)="0","0",Закуп!D252))</f>
        <v/>
      </c>
      <c r="R252" s="184">
        <f>Закуп!C252</f>
        <v/>
      </c>
    </row>
    <row r="253">
      <c r="A253" s="177">
        <f>Закуп!E253</f>
        <v/>
      </c>
      <c r="B253" s="178">
        <f>INDEX(Calc!$K:$K, (ROW(A252)-1)*5 + COLUMN(A252) + 1 )</f>
        <v/>
      </c>
      <c r="C253" s="178">
        <f>INDEX(Calc!$K:$K, (ROW(B252)-1)*5 + COLUMN(B252) + 1 )</f>
        <v/>
      </c>
      <c r="D253" s="179">
        <f>INDEX(Calc!$K:$K, (ROW(C252)-1)*5 + COLUMN(C252) + 1 )</f>
        <v/>
      </c>
      <c r="E253" s="180">
        <f>INDEX(Calc!$K:$K, (ROW(D252)-1)*5 + COLUMN(D252) + 1 )</f>
        <v/>
      </c>
      <c r="F253" s="181">
        <f>INDEX(Calc!$K:$K, (ROW(E252)-1)*5 + COLUMN(E252) + 1 )</f>
        <v/>
      </c>
      <c r="G253" s="182">
        <f>Закуп!O253</f>
        <v/>
      </c>
      <c r="H253" s="182">
        <f>Закуп!Q253</f>
        <v/>
      </c>
      <c r="I253" s="182">
        <f>Закуп!X253</f>
        <v/>
      </c>
      <c r="J253" s="182">
        <f>Закуп!Y253</f>
        <v/>
      </c>
      <c r="K253" s="182">
        <f>Закуп!Z253</f>
        <v/>
      </c>
      <c r="L253" s="182">
        <f>Закуп!AA253</f>
        <v/>
      </c>
      <c r="M253" s="182">
        <f>Закуп!V253</f>
        <v/>
      </c>
      <c r="N253" s="182">
        <f>Закуп!W253</f>
        <v/>
      </c>
      <c r="O253" s="183">
        <f>IF(OR(Закуп!L253="",Закуп!L253=0),"",Закуп!L253)</f>
        <v/>
      </c>
      <c r="P253" s="182">
        <f>Закуп!K253</f>
        <v/>
      </c>
      <c r="Q253" s="217">
        <f>IF(Закуп!D253="","",IF(LEFT(Закуп!D253,1)="0","0",Закуп!D253))</f>
        <v/>
      </c>
      <c r="R253" s="184">
        <f>Закуп!C253</f>
        <v/>
      </c>
    </row>
    <row r="254">
      <c r="A254" s="177">
        <f>Закуп!E254</f>
        <v/>
      </c>
      <c r="B254" s="178">
        <f>INDEX(Calc!$K:$K, (ROW(A253)-1)*5 + COLUMN(A253) + 1 )</f>
        <v/>
      </c>
      <c r="C254" s="178">
        <f>INDEX(Calc!$K:$K, (ROW(B253)-1)*5 + COLUMN(B253) + 1 )</f>
        <v/>
      </c>
      <c r="D254" s="179">
        <f>INDEX(Calc!$K:$K, (ROW(C253)-1)*5 + COLUMN(C253) + 1 )</f>
        <v/>
      </c>
      <c r="E254" s="180">
        <f>INDEX(Calc!$K:$K, (ROW(D253)-1)*5 + COLUMN(D253) + 1 )</f>
        <v/>
      </c>
      <c r="F254" s="181">
        <f>INDEX(Calc!$K:$K, (ROW(E253)-1)*5 + COLUMN(E253) + 1 )</f>
        <v/>
      </c>
      <c r="G254" s="182">
        <f>Закуп!O254</f>
        <v/>
      </c>
      <c r="H254" s="182">
        <f>Закуп!Q254</f>
        <v/>
      </c>
      <c r="I254" s="182">
        <f>Закуп!X254</f>
        <v/>
      </c>
      <c r="J254" s="182">
        <f>Закуп!Y254</f>
        <v/>
      </c>
      <c r="K254" s="182">
        <f>Закуп!Z254</f>
        <v/>
      </c>
      <c r="L254" s="182">
        <f>Закуп!AA254</f>
        <v/>
      </c>
      <c r="M254" s="182">
        <f>Закуп!V254</f>
        <v/>
      </c>
      <c r="N254" s="182">
        <f>Закуп!W254</f>
        <v/>
      </c>
      <c r="O254" s="183">
        <f>IF(OR(Закуп!L254="",Закуп!L254=0),"",Закуп!L254)</f>
        <v/>
      </c>
      <c r="P254" s="182">
        <f>Закуп!K254</f>
        <v/>
      </c>
      <c r="Q254" s="217">
        <f>IF(Закуп!D254="","",IF(LEFT(Закуп!D254,1)="0","0",Закуп!D254))</f>
        <v/>
      </c>
      <c r="R254" s="184">
        <f>Закуп!C254</f>
        <v/>
      </c>
    </row>
    <row r="255">
      <c r="A255" s="177">
        <f>Закуп!E255</f>
        <v/>
      </c>
      <c r="B255" s="178">
        <f>INDEX(Calc!$K:$K, (ROW(A254)-1)*5 + COLUMN(A254) + 1 )</f>
        <v/>
      </c>
      <c r="C255" s="178">
        <f>INDEX(Calc!$K:$K, (ROW(B254)-1)*5 + COLUMN(B254) + 1 )</f>
        <v/>
      </c>
      <c r="D255" s="179">
        <f>INDEX(Calc!$K:$K, (ROW(C254)-1)*5 + COLUMN(C254) + 1 )</f>
        <v/>
      </c>
      <c r="E255" s="180">
        <f>INDEX(Calc!$K:$K, (ROW(D254)-1)*5 + COLUMN(D254) + 1 )</f>
        <v/>
      </c>
      <c r="F255" s="181">
        <f>INDEX(Calc!$K:$K, (ROW(E254)-1)*5 + COLUMN(E254) + 1 )</f>
        <v/>
      </c>
      <c r="G255" s="182">
        <f>Закуп!O255</f>
        <v/>
      </c>
      <c r="H255" s="182">
        <f>Закуп!Q255</f>
        <v/>
      </c>
      <c r="I255" s="182">
        <f>Закуп!X255</f>
        <v/>
      </c>
      <c r="J255" s="182">
        <f>Закуп!Y255</f>
        <v/>
      </c>
      <c r="K255" s="182">
        <f>Закуп!Z255</f>
        <v/>
      </c>
      <c r="L255" s="182">
        <f>Закуп!AA255</f>
        <v/>
      </c>
      <c r="M255" s="182">
        <f>Закуп!V255</f>
        <v/>
      </c>
      <c r="N255" s="182">
        <f>Закуп!W255</f>
        <v/>
      </c>
      <c r="O255" s="183">
        <f>IF(OR(Закуп!L255="",Закуп!L255=0),"",Закуп!L255)</f>
        <v/>
      </c>
      <c r="P255" s="182">
        <f>Закуп!K255</f>
        <v/>
      </c>
      <c r="Q255" s="217">
        <f>IF(Закуп!D255="","",IF(LEFT(Закуп!D255,1)="0","0",Закуп!D255))</f>
        <v/>
      </c>
      <c r="R255" s="184">
        <f>Закуп!C255</f>
        <v/>
      </c>
    </row>
    <row r="256">
      <c r="A256" s="177">
        <f>Закуп!E256</f>
        <v/>
      </c>
      <c r="B256" s="178">
        <f>INDEX(Calc!$K:$K, (ROW(A255)-1)*5 + COLUMN(A255) + 1 )</f>
        <v/>
      </c>
      <c r="C256" s="178">
        <f>INDEX(Calc!$K:$K, (ROW(B255)-1)*5 + COLUMN(B255) + 1 )</f>
        <v/>
      </c>
      <c r="D256" s="179">
        <f>INDEX(Calc!$K:$K, (ROW(C255)-1)*5 + COLUMN(C255) + 1 )</f>
        <v/>
      </c>
      <c r="E256" s="180">
        <f>INDEX(Calc!$K:$K, (ROW(D255)-1)*5 + COLUMN(D255) + 1 )</f>
        <v/>
      </c>
      <c r="F256" s="181">
        <f>INDEX(Calc!$K:$K, (ROW(E255)-1)*5 + COLUMN(E255) + 1 )</f>
        <v/>
      </c>
      <c r="G256" s="182">
        <f>Закуп!O256</f>
        <v/>
      </c>
      <c r="H256" s="182">
        <f>Закуп!Q256</f>
        <v/>
      </c>
      <c r="I256" s="182">
        <f>Закуп!X256</f>
        <v/>
      </c>
      <c r="J256" s="182">
        <f>Закуп!Y256</f>
        <v/>
      </c>
      <c r="K256" s="182">
        <f>Закуп!Z256</f>
        <v/>
      </c>
      <c r="L256" s="182">
        <f>Закуп!AA256</f>
        <v/>
      </c>
      <c r="M256" s="182">
        <f>Закуп!V256</f>
        <v/>
      </c>
      <c r="N256" s="182">
        <f>Закуп!W256</f>
        <v/>
      </c>
      <c r="O256" s="183">
        <f>IF(OR(Закуп!L256="",Закуп!L256=0),"",Закуп!L256)</f>
        <v/>
      </c>
      <c r="P256" s="182">
        <f>Закуп!K256</f>
        <v/>
      </c>
      <c r="Q256" s="217">
        <f>IF(Закуп!D256="","",IF(LEFT(Закуп!D256,1)="0","0",Закуп!D256))</f>
        <v/>
      </c>
      <c r="R256" s="184">
        <f>Закуп!C256</f>
        <v/>
      </c>
    </row>
    <row r="257">
      <c r="A257" s="177">
        <f>Закуп!E257</f>
        <v/>
      </c>
      <c r="B257" s="178">
        <f>INDEX(Calc!$K:$K, (ROW(A256)-1)*5 + COLUMN(A256) + 1 )</f>
        <v/>
      </c>
      <c r="C257" s="178">
        <f>INDEX(Calc!$K:$K, (ROW(B256)-1)*5 + COLUMN(B256) + 1 )</f>
        <v/>
      </c>
      <c r="D257" s="179">
        <f>INDEX(Calc!$K:$K, (ROW(C256)-1)*5 + COLUMN(C256) + 1 )</f>
        <v/>
      </c>
      <c r="E257" s="180">
        <f>INDEX(Calc!$K:$K, (ROW(D256)-1)*5 + COLUMN(D256) + 1 )</f>
        <v/>
      </c>
      <c r="F257" s="181">
        <f>INDEX(Calc!$K:$K, (ROW(E256)-1)*5 + COLUMN(E256) + 1 )</f>
        <v/>
      </c>
      <c r="G257" s="182">
        <f>Закуп!O257</f>
        <v/>
      </c>
      <c r="H257" s="182">
        <f>Закуп!Q257</f>
        <v/>
      </c>
      <c r="I257" s="182">
        <f>Закуп!X257</f>
        <v/>
      </c>
      <c r="J257" s="182">
        <f>Закуп!Y257</f>
        <v/>
      </c>
      <c r="K257" s="182">
        <f>Закуп!Z257</f>
        <v/>
      </c>
      <c r="L257" s="182">
        <f>Закуп!AA257</f>
        <v/>
      </c>
      <c r="M257" s="182">
        <f>Закуп!V257</f>
        <v/>
      </c>
      <c r="N257" s="182">
        <f>Закуп!W257</f>
        <v/>
      </c>
      <c r="O257" s="183">
        <f>IF(OR(Закуп!L257="",Закуп!L257=0),"",Закуп!L257)</f>
        <v/>
      </c>
      <c r="P257" s="182">
        <f>Закуп!K257</f>
        <v/>
      </c>
      <c r="Q257" s="217">
        <f>IF(Закуп!D257="","",IF(LEFT(Закуп!D257,1)="0","0",Закуп!D257))</f>
        <v/>
      </c>
      <c r="R257" s="184">
        <f>Закуп!C257</f>
        <v/>
      </c>
    </row>
    <row r="258">
      <c r="A258" s="177">
        <f>Закуп!E258</f>
        <v/>
      </c>
      <c r="B258" s="178">
        <f>INDEX(Calc!$K:$K, (ROW(A257)-1)*5 + COLUMN(A257) + 1 )</f>
        <v/>
      </c>
      <c r="C258" s="178">
        <f>INDEX(Calc!$K:$K, (ROW(B257)-1)*5 + COLUMN(B257) + 1 )</f>
        <v/>
      </c>
      <c r="D258" s="179">
        <f>INDEX(Calc!$K:$K, (ROW(C257)-1)*5 + COLUMN(C257) + 1 )</f>
        <v/>
      </c>
      <c r="E258" s="180">
        <f>INDEX(Calc!$K:$K, (ROW(D257)-1)*5 + COLUMN(D257) + 1 )</f>
        <v/>
      </c>
      <c r="F258" s="181">
        <f>INDEX(Calc!$K:$K, (ROW(E257)-1)*5 + COLUMN(E257) + 1 )</f>
        <v/>
      </c>
      <c r="G258" s="182">
        <f>Закуп!O258</f>
        <v/>
      </c>
      <c r="H258" s="182">
        <f>Закуп!Q258</f>
        <v/>
      </c>
      <c r="I258" s="182">
        <f>Закуп!X258</f>
        <v/>
      </c>
      <c r="J258" s="182">
        <f>Закуп!Y258</f>
        <v/>
      </c>
      <c r="K258" s="182">
        <f>Закуп!Z258</f>
        <v/>
      </c>
      <c r="L258" s="182">
        <f>Закуп!AA258</f>
        <v/>
      </c>
      <c r="M258" s="182">
        <f>Закуп!V258</f>
        <v/>
      </c>
      <c r="N258" s="182">
        <f>Закуп!W258</f>
        <v/>
      </c>
      <c r="O258" s="183">
        <f>IF(OR(Закуп!L258="",Закуп!L258=0),"",Закуп!L258)</f>
        <v/>
      </c>
      <c r="P258" s="182">
        <f>Закуп!K258</f>
        <v/>
      </c>
      <c r="Q258" s="217">
        <f>IF(Закуп!D258="","",IF(LEFT(Закуп!D258,1)="0","0",Закуп!D258))</f>
        <v/>
      </c>
      <c r="R258" s="184">
        <f>Закуп!C258</f>
        <v/>
      </c>
    </row>
    <row r="259">
      <c r="A259" s="177">
        <f>Закуп!E259</f>
        <v/>
      </c>
      <c r="B259" s="178">
        <f>INDEX(Calc!$K:$K, (ROW(A258)-1)*5 + COLUMN(A258) + 1 )</f>
        <v/>
      </c>
      <c r="C259" s="178">
        <f>INDEX(Calc!$K:$K, (ROW(B258)-1)*5 + COLUMN(B258) + 1 )</f>
        <v/>
      </c>
      <c r="D259" s="179">
        <f>INDEX(Calc!$K:$K, (ROW(C258)-1)*5 + COLUMN(C258) + 1 )</f>
        <v/>
      </c>
      <c r="E259" s="180">
        <f>INDEX(Calc!$K:$K, (ROW(D258)-1)*5 + COLUMN(D258) + 1 )</f>
        <v/>
      </c>
      <c r="F259" s="181">
        <f>INDEX(Calc!$K:$K, (ROW(E258)-1)*5 + COLUMN(E258) + 1 )</f>
        <v/>
      </c>
      <c r="G259" s="182">
        <f>Закуп!O259</f>
        <v/>
      </c>
      <c r="H259" s="182">
        <f>Закуп!Q259</f>
        <v/>
      </c>
      <c r="I259" s="182">
        <f>Закуп!X259</f>
        <v/>
      </c>
      <c r="J259" s="182">
        <f>Закуп!Y259</f>
        <v/>
      </c>
      <c r="K259" s="182">
        <f>Закуп!Z259</f>
        <v/>
      </c>
      <c r="L259" s="182">
        <f>Закуп!AA259</f>
        <v/>
      </c>
      <c r="M259" s="182">
        <f>Закуп!V259</f>
        <v/>
      </c>
      <c r="N259" s="182">
        <f>Закуп!W259</f>
        <v/>
      </c>
      <c r="O259" s="183">
        <f>IF(OR(Закуп!L259="",Закуп!L259=0),"",Закуп!L259)</f>
        <v/>
      </c>
      <c r="P259" s="182">
        <f>Закуп!K259</f>
        <v/>
      </c>
      <c r="Q259" s="217">
        <f>IF(Закуп!D259="","",IF(LEFT(Закуп!D259,1)="0","0",Закуп!D259))</f>
        <v/>
      </c>
      <c r="R259" s="184">
        <f>Закуп!C259</f>
        <v/>
      </c>
    </row>
    <row r="260">
      <c r="A260" s="177">
        <f>Закуп!E260</f>
        <v/>
      </c>
      <c r="B260" s="178">
        <f>INDEX(Calc!$K:$K, (ROW(A259)-1)*5 + COLUMN(A259) + 1 )</f>
        <v/>
      </c>
      <c r="C260" s="178">
        <f>INDEX(Calc!$K:$K, (ROW(B259)-1)*5 + COLUMN(B259) + 1 )</f>
        <v/>
      </c>
      <c r="D260" s="179">
        <f>INDEX(Calc!$K:$K, (ROW(C259)-1)*5 + COLUMN(C259) + 1 )</f>
        <v/>
      </c>
      <c r="E260" s="180">
        <f>INDEX(Calc!$K:$K, (ROW(D259)-1)*5 + COLUMN(D259) + 1 )</f>
        <v/>
      </c>
      <c r="F260" s="181">
        <f>INDEX(Calc!$K:$K, (ROW(E259)-1)*5 + COLUMN(E259) + 1 )</f>
        <v/>
      </c>
      <c r="G260" s="182">
        <f>Закуп!O260</f>
        <v/>
      </c>
      <c r="H260" s="182">
        <f>Закуп!Q260</f>
        <v/>
      </c>
      <c r="I260" s="182">
        <f>Закуп!X260</f>
        <v/>
      </c>
      <c r="J260" s="182">
        <f>Закуп!Y260</f>
        <v/>
      </c>
      <c r="K260" s="182">
        <f>Закуп!Z260</f>
        <v/>
      </c>
      <c r="L260" s="182">
        <f>Закуп!AA260</f>
        <v/>
      </c>
      <c r="M260" s="182">
        <f>Закуп!V260</f>
        <v/>
      </c>
      <c r="N260" s="182">
        <f>Закуп!W260</f>
        <v/>
      </c>
      <c r="O260" s="183">
        <f>IF(OR(Закуп!L260="",Закуп!L260=0),"",Закуп!L260)</f>
        <v/>
      </c>
      <c r="P260" s="182">
        <f>Закуп!K260</f>
        <v/>
      </c>
      <c r="Q260" s="217">
        <f>IF(Закуп!D260="","",IF(LEFT(Закуп!D260,1)="0","0",Закуп!D260))</f>
        <v/>
      </c>
      <c r="R260" s="184">
        <f>Закуп!C260</f>
        <v/>
      </c>
    </row>
    <row r="261">
      <c r="A261" s="177">
        <f>Закуп!E261</f>
        <v/>
      </c>
      <c r="B261" s="178">
        <f>INDEX(Calc!$K:$K, (ROW(A260)-1)*5 + COLUMN(A260) + 1 )</f>
        <v/>
      </c>
      <c r="C261" s="178">
        <f>INDEX(Calc!$K:$K, (ROW(B260)-1)*5 + COLUMN(B260) + 1 )</f>
        <v/>
      </c>
      <c r="D261" s="179">
        <f>INDEX(Calc!$K:$K, (ROW(C260)-1)*5 + COLUMN(C260) + 1 )</f>
        <v/>
      </c>
      <c r="E261" s="180">
        <f>INDEX(Calc!$K:$K, (ROW(D260)-1)*5 + COLUMN(D260) + 1 )</f>
        <v/>
      </c>
      <c r="F261" s="181">
        <f>INDEX(Calc!$K:$K, (ROW(E260)-1)*5 + COLUMN(E260) + 1 )</f>
        <v/>
      </c>
      <c r="G261" s="182">
        <f>Закуп!O261</f>
        <v/>
      </c>
      <c r="H261" s="182">
        <f>Закуп!Q261</f>
        <v/>
      </c>
      <c r="I261" s="182">
        <f>Закуп!X261</f>
        <v/>
      </c>
      <c r="J261" s="182">
        <f>Закуп!Y261</f>
        <v/>
      </c>
      <c r="K261" s="182">
        <f>Закуп!Z261</f>
        <v/>
      </c>
      <c r="L261" s="182">
        <f>Закуп!AA261</f>
        <v/>
      </c>
      <c r="M261" s="182">
        <f>Закуп!V261</f>
        <v/>
      </c>
      <c r="N261" s="182">
        <f>Закуп!W261</f>
        <v/>
      </c>
      <c r="O261" s="183">
        <f>IF(OR(Закуп!L261="",Закуп!L261=0),"",Закуп!L261)</f>
        <v/>
      </c>
      <c r="P261" s="182">
        <f>Закуп!K261</f>
        <v/>
      </c>
      <c r="Q261" s="217">
        <f>IF(Закуп!D261="","",IF(LEFT(Закуп!D261,1)="0","0",Закуп!D261))</f>
        <v/>
      </c>
      <c r="R261" s="184">
        <f>Закуп!C261</f>
        <v/>
      </c>
    </row>
    <row r="262">
      <c r="A262" s="177">
        <f>Закуп!E262</f>
        <v/>
      </c>
      <c r="B262" s="178">
        <f>INDEX(Calc!$K:$K, (ROW(A261)-1)*5 + COLUMN(A261) + 1 )</f>
        <v/>
      </c>
      <c r="C262" s="178">
        <f>INDEX(Calc!$K:$K, (ROW(B261)-1)*5 + COLUMN(B261) + 1 )</f>
        <v/>
      </c>
      <c r="D262" s="179">
        <f>INDEX(Calc!$K:$K, (ROW(C261)-1)*5 + COLUMN(C261) + 1 )</f>
        <v/>
      </c>
      <c r="E262" s="180">
        <f>INDEX(Calc!$K:$K, (ROW(D261)-1)*5 + COLUMN(D261) + 1 )</f>
        <v/>
      </c>
      <c r="F262" s="181">
        <f>INDEX(Calc!$K:$K, (ROW(E261)-1)*5 + COLUMN(E261) + 1 )</f>
        <v/>
      </c>
      <c r="G262" s="182">
        <f>Закуп!O262</f>
        <v/>
      </c>
      <c r="H262" s="182">
        <f>Закуп!Q262</f>
        <v/>
      </c>
      <c r="I262" s="182">
        <f>Закуп!X262</f>
        <v/>
      </c>
      <c r="J262" s="182">
        <f>Закуп!Y262</f>
        <v/>
      </c>
      <c r="K262" s="182">
        <f>Закуп!Z262</f>
        <v/>
      </c>
      <c r="L262" s="182">
        <f>Закуп!AA262</f>
        <v/>
      </c>
      <c r="M262" s="182">
        <f>Закуп!V262</f>
        <v/>
      </c>
      <c r="N262" s="182">
        <f>Закуп!W262</f>
        <v/>
      </c>
      <c r="O262" s="183">
        <f>IF(OR(Закуп!L262="",Закуп!L262=0),"",Закуп!L262)</f>
        <v/>
      </c>
      <c r="P262" s="182">
        <f>Закуп!K262</f>
        <v/>
      </c>
      <c r="Q262" s="217">
        <f>IF(Закуп!D262="","",IF(LEFT(Закуп!D262,1)="0","0",Закуп!D262))</f>
        <v/>
      </c>
      <c r="R262" s="184">
        <f>Закуп!C262</f>
        <v/>
      </c>
    </row>
    <row r="263">
      <c r="A263" s="177">
        <f>Закуп!E263</f>
        <v/>
      </c>
      <c r="B263" s="178">
        <f>INDEX(Calc!$K:$K, (ROW(A262)-1)*5 + COLUMN(A262) + 1 )</f>
        <v/>
      </c>
      <c r="C263" s="178">
        <f>INDEX(Calc!$K:$K, (ROW(B262)-1)*5 + COLUMN(B262) + 1 )</f>
        <v/>
      </c>
      <c r="D263" s="179">
        <f>INDEX(Calc!$K:$K, (ROW(C262)-1)*5 + COLUMN(C262) + 1 )</f>
        <v/>
      </c>
      <c r="E263" s="180">
        <f>INDEX(Calc!$K:$K, (ROW(D262)-1)*5 + COLUMN(D262) + 1 )</f>
        <v/>
      </c>
      <c r="F263" s="181">
        <f>INDEX(Calc!$K:$K, (ROW(E262)-1)*5 + COLUMN(E262) + 1 )</f>
        <v/>
      </c>
      <c r="G263" s="182">
        <f>Закуп!O263</f>
        <v/>
      </c>
      <c r="H263" s="182">
        <f>Закуп!Q263</f>
        <v/>
      </c>
      <c r="I263" s="182">
        <f>Закуп!X263</f>
        <v/>
      </c>
      <c r="J263" s="182">
        <f>Закуп!Y263</f>
        <v/>
      </c>
      <c r="K263" s="182">
        <f>Закуп!Z263</f>
        <v/>
      </c>
      <c r="L263" s="182">
        <f>Закуп!AA263</f>
        <v/>
      </c>
      <c r="M263" s="182">
        <f>Закуп!V263</f>
        <v/>
      </c>
      <c r="N263" s="182">
        <f>Закуп!W263</f>
        <v/>
      </c>
      <c r="O263" s="183">
        <f>IF(OR(Закуп!L263="",Закуп!L263=0),"",Закуп!L263)</f>
        <v/>
      </c>
      <c r="P263" s="182">
        <f>Закуп!K263</f>
        <v/>
      </c>
      <c r="Q263" s="217">
        <f>IF(Закуп!D263="","",IF(LEFT(Закуп!D263,1)="0","0",Закуп!D263))</f>
        <v/>
      </c>
      <c r="R263" s="184">
        <f>Закуп!C263</f>
        <v/>
      </c>
    </row>
    <row r="264">
      <c r="A264" s="177">
        <f>Закуп!E264</f>
        <v/>
      </c>
      <c r="B264" s="178">
        <f>INDEX(Calc!$K:$K, (ROW(A263)-1)*5 + COLUMN(A263) + 1 )</f>
        <v/>
      </c>
      <c r="C264" s="178">
        <f>INDEX(Calc!$K:$K, (ROW(B263)-1)*5 + COLUMN(B263) + 1 )</f>
        <v/>
      </c>
      <c r="D264" s="179">
        <f>INDEX(Calc!$K:$K, (ROW(C263)-1)*5 + COLUMN(C263) + 1 )</f>
        <v/>
      </c>
      <c r="E264" s="180">
        <f>INDEX(Calc!$K:$K, (ROW(D263)-1)*5 + COLUMN(D263) + 1 )</f>
        <v/>
      </c>
      <c r="F264" s="181">
        <f>INDEX(Calc!$K:$K, (ROW(E263)-1)*5 + COLUMN(E263) + 1 )</f>
        <v/>
      </c>
      <c r="G264" s="182">
        <f>Закуп!O264</f>
        <v/>
      </c>
      <c r="H264" s="182">
        <f>Закуп!Q264</f>
        <v/>
      </c>
      <c r="I264" s="182">
        <f>Закуп!X264</f>
        <v/>
      </c>
      <c r="J264" s="182">
        <f>Закуп!Y264</f>
        <v/>
      </c>
      <c r="K264" s="182">
        <f>Закуп!Z264</f>
        <v/>
      </c>
      <c r="L264" s="182">
        <f>Закуп!AA264</f>
        <v/>
      </c>
      <c r="M264" s="182">
        <f>Закуп!V264</f>
        <v/>
      </c>
      <c r="N264" s="182">
        <f>Закуп!W264</f>
        <v/>
      </c>
      <c r="O264" s="183">
        <f>IF(OR(Закуп!L264="",Закуп!L264=0),"",Закуп!L264)</f>
        <v/>
      </c>
      <c r="P264" s="182">
        <f>Закуп!K264</f>
        <v/>
      </c>
      <c r="Q264" s="217">
        <f>IF(Закуп!D264="","",IF(LEFT(Закуп!D264,1)="0","0",Закуп!D264))</f>
        <v/>
      </c>
      <c r="R264" s="184">
        <f>Закуп!C264</f>
        <v/>
      </c>
    </row>
    <row r="265">
      <c r="A265" s="177">
        <f>Закуп!E265</f>
        <v/>
      </c>
      <c r="B265" s="178">
        <f>INDEX(Calc!$K:$K, (ROW(A264)-1)*5 + COLUMN(A264) + 1 )</f>
        <v/>
      </c>
      <c r="C265" s="178">
        <f>INDEX(Calc!$K:$K, (ROW(B264)-1)*5 + COLUMN(B264) + 1 )</f>
        <v/>
      </c>
      <c r="D265" s="179">
        <f>INDEX(Calc!$K:$K, (ROW(C264)-1)*5 + COLUMN(C264) + 1 )</f>
        <v/>
      </c>
      <c r="E265" s="180">
        <f>INDEX(Calc!$K:$K, (ROW(D264)-1)*5 + COLUMN(D264) + 1 )</f>
        <v/>
      </c>
      <c r="F265" s="181">
        <f>INDEX(Calc!$K:$K, (ROW(E264)-1)*5 + COLUMN(E264) + 1 )</f>
        <v/>
      </c>
      <c r="G265" s="182">
        <f>Закуп!O265</f>
        <v/>
      </c>
      <c r="H265" s="182">
        <f>Закуп!Q265</f>
        <v/>
      </c>
      <c r="I265" s="182">
        <f>Закуп!X265</f>
        <v/>
      </c>
      <c r="J265" s="182">
        <f>Закуп!Y265</f>
        <v/>
      </c>
      <c r="K265" s="182">
        <f>Закуп!Z265</f>
        <v/>
      </c>
      <c r="L265" s="182">
        <f>Закуп!AA265</f>
        <v/>
      </c>
      <c r="M265" s="182">
        <f>Закуп!V265</f>
        <v/>
      </c>
      <c r="N265" s="182">
        <f>Закуп!W265</f>
        <v/>
      </c>
      <c r="O265" s="183">
        <f>IF(OR(Закуп!L265="",Закуп!L265=0),"",Закуп!L265)</f>
        <v/>
      </c>
      <c r="P265" s="182">
        <f>Закуп!K265</f>
        <v/>
      </c>
      <c r="Q265" s="217">
        <f>IF(Закуп!D265="","",IF(LEFT(Закуп!D265,1)="0","0",Закуп!D265))</f>
        <v/>
      </c>
      <c r="R265" s="184">
        <f>Закуп!C265</f>
        <v/>
      </c>
    </row>
    <row r="266">
      <c r="A266" s="177">
        <f>Закуп!E266</f>
        <v/>
      </c>
      <c r="B266" s="178">
        <f>INDEX(Calc!$K:$K, (ROW(A265)-1)*5 + COLUMN(A265) + 1 )</f>
        <v/>
      </c>
      <c r="C266" s="178">
        <f>INDEX(Calc!$K:$K, (ROW(B265)-1)*5 + COLUMN(B265) + 1 )</f>
        <v/>
      </c>
      <c r="D266" s="179">
        <f>INDEX(Calc!$K:$K, (ROW(C265)-1)*5 + COLUMN(C265) + 1 )</f>
        <v/>
      </c>
      <c r="E266" s="180">
        <f>INDEX(Calc!$K:$K, (ROW(D265)-1)*5 + COLUMN(D265) + 1 )</f>
        <v/>
      </c>
      <c r="F266" s="181">
        <f>INDEX(Calc!$K:$K, (ROW(E265)-1)*5 + COLUMN(E265) + 1 )</f>
        <v/>
      </c>
      <c r="G266" s="182">
        <f>Закуп!O266</f>
        <v/>
      </c>
      <c r="H266" s="182">
        <f>Закуп!Q266</f>
        <v/>
      </c>
      <c r="I266" s="182">
        <f>Закуп!X266</f>
        <v/>
      </c>
      <c r="J266" s="182">
        <f>Закуп!Y266</f>
        <v/>
      </c>
      <c r="K266" s="182">
        <f>Закуп!Z266</f>
        <v/>
      </c>
      <c r="L266" s="182">
        <f>Закуп!AA266</f>
        <v/>
      </c>
      <c r="M266" s="182">
        <f>Закуп!V266</f>
        <v/>
      </c>
      <c r="N266" s="182">
        <f>Закуп!W266</f>
        <v/>
      </c>
      <c r="O266" s="183">
        <f>IF(OR(Закуп!L266="",Закуп!L266=0),"",Закуп!L266)</f>
        <v/>
      </c>
      <c r="P266" s="182">
        <f>Закуп!K266</f>
        <v/>
      </c>
      <c r="Q266" s="217">
        <f>IF(Закуп!D266="","",IF(LEFT(Закуп!D266,1)="0","0",Закуп!D266))</f>
        <v/>
      </c>
      <c r="R266" s="184">
        <f>Закуп!C266</f>
        <v/>
      </c>
    </row>
    <row r="267">
      <c r="A267" s="177">
        <f>Закуп!E267</f>
        <v/>
      </c>
      <c r="B267" s="178">
        <f>INDEX(Calc!$K:$K, (ROW(A266)-1)*5 + COLUMN(A266) + 1 )</f>
        <v/>
      </c>
      <c r="C267" s="178">
        <f>INDEX(Calc!$K:$K, (ROW(B266)-1)*5 + COLUMN(B266) + 1 )</f>
        <v/>
      </c>
      <c r="D267" s="179">
        <f>INDEX(Calc!$K:$K, (ROW(C266)-1)*5 + COLUMN(C266) + 1 )</f>
        <v/>
      </c>
      <c r="E267" s="180">
        <f>INDEX(Calc!$K:$K, (ROW(D266)-1)*5 + COLUMN(D266) + 1 )</f>
        <v/>
      </c>
      <c r="F267" s="181">
        <f>INDEX(Calc!$K:$K, (ROW(E266)-1)*5 + COLUMN(E266) + 1 )</f>
        <v/>
      </c>
      <c r="G267" s="182">
        <f>Закуп!O267</f>
        <v/>
      </c>
      <c r="H267" s="182">
        <f>Закуп!Q267</f>
        <v/>
      </c>
      <c r="I267" s="182">
        <f>Закуп!X267</f>
        <v/>
      </c>
      <c r="J267" s="182">
        <f>Закуп!Y267</f>
        <v/>
      </c>
      <c r="K267" s="182">
        <f>Закуп!Z267</f>
        <v/>
      </c>
      <c r="L267" s="182">
        <f>Закуп!AA267</f>
        <v/>
      </c>
      <c r="M267" s="182">
        <f>Закуп!V267</f>
        <v/>
      </c>
      <c r="N267" s="182">
        <f>Закуп!W267</f>
        <v/>
      </c>
      <c r="O267" s="183">
        <f>IF(OR(Закуп!L267="",Закуп!L267=0),"",Закуп!L267)</f>
        <v/>
      </c>
      <c r="P267" s="182">
        <f>Закуп!K267</f>
        <v/>
      </c>
      <c r="Q267" s="217">
        <f>IF(Закуп!D267="","",IF(LEFT(Закуп!D267,1)="0","0",Закуп!D267))</f>
        <v/>
      </c>
      <c r="R267" s="184">
        <f>Закуп!C267</f>
        <v/>
      </c>
    </row>
    <row r="268">
      <c r="A268" s="177">
        <f>Закуп!E268</f>
        <v/>
      </c>
      <c r="B268" s="178">
        <f>INDEX(Calc!$K:$K, (ROW(A267)-1)*5 + COLUMN(A267) + 1 )</f>
        <v/>
      </c>
      <c r="C268" s="178">
        <f>INDEX(Calc!$K:$K, (ROW(B267)-1)*5 + COLUMN(B267) + 1 )</f>
        <v/>
      </c>
      <c r="D268" s="179">
        <f>INDEX(Calc!$K:$K, (ROW(C267)-1)*5 + COLUMN(C267) + 1 )</f>
        <v/>
      </c>
      <c r="E268" s="180">
        <f>INDEX(Calc!$K:$K, (ROW(D267)-1)*5 + COLUMN(D267) + 1 )</f>
        <v/>
      </c>
      <c r="F268" s="181">
        <f>INDEX(Calc!$K:$K, (ROW(E267)-1)*5 + COLUMN(E267) + 1 )</f>
        <v/>
      </c>
      <c r="G268" s="182">
        <f>Закуп!O268</f>
        <v/>
      </c>
      <c r="H268" s="182">
        <f>Закуп!Q268</f>
        <v/>
      </c>
      <c r="I268" s="182">
        <f>Закуп!X268</f>
        <v/>
      </c>
      <c r="J268" s="182">
        <f>Закуп!Y268</f>
        <v/>
      </c>
      <c r="K268" s="182">
        <f>Закуп!Z268</f>
        <v/>
      </c>
      <c r="L268" s="182">
        <f>Закуп!AA268</f>
        <v/>
      </c>
      <c r="M268" s="182">
        <f>Закуп!V268</f>
        <v/>
      </c>
      <c r="N268" s="182">
        <f>Закуп!W268</f>
        <v/>
      </c>
      <c r="O268" s="183">
        <f>IF(OR(Закуп!L268="",Закуп!L268=0),"",Закуп!L268)</f>
        <v/>
      </c>
      <c r="P268" s="182">
        <f>Закуп!K268</f>
        <v/>
      </c>
      <c r="Q268" s="217">
        <f>IF(Закуп!D268="","",IF(LEFT(Закуп!D268,1)="0","0",Закуп!D268))</f>
        <v/>
      </c>
      <c r="R268" s="184">
        <f>Закуп!C268</f>
        <v/>
      </c>
    </row>
    <row r="269">
      <c r="A269" s="177">
        <f>Закуп!E269</f>
        <v/>
      </c>
      <c r="B269" s="178">
        <f>INDEX(Calc!$K:$K, (ROW(A268)-1)*5 + COLUMN(A268) + 1 )</f>
        <v/>
      </c>
      <c r="C269" s="178">
        <f>INDEX(Calc!$K:$K, (ROW(B268)-1)*5 + COLUMN(B268) + 1 )</f>
        <v/>
      </c>
      <c r="D269" s="179">
        <f>INDEX(Calc!$K:$K, (ROW(C268)-1)*5 + COLUMN(C268) + 1 )</f>
        <v/>
      </c>
      <c r="E269" s="180">
        <f>INDEX(Calc!$K:$K, (ROW(D268)-1)*5 + COLUMN(D268) + 1 )</f>
        <v/>
      </c>
      <c r="F269" s="181">
        <f>INDEX(Calc!$K:$K, (ROW(E268)-1)*5 + COLUMN(E268) + 1 )</f>
        <v/>
      </c>
      <c r="G269" s="182">
        <f>Закуп!O269</f>
        <v/>
      </c>
      <c r="H269" s="182">
        <f>Закуп!Q269</f>
        <v/>
      </c>
      <c r="I269" s="182">
        <f>Закуп!X269</f>
        <v/>
      </c>
      <c r="J269" s="182">
        <f>Закуп!Y269</f>
        <v/>
      </c>
      <c r="K269" s="182">
        <f>Закуп!Z269</f>
        <v/>
      </c>
      <c r="L269" s="182">
        <f>Закуп!AA269</f>
        <v/>
      </c>
      <c r="M269" s="182">
        <f>Закуп!V269</f>
        <v/>
      </c>
      <c r="N269" s="182">
        <f>Закуп!W269</f>
        <v/>
      </c>
      <c r="O269" s="183">
        <f>IF(OR(Закуп!L269="",Закуп!L269=0),"",Закуп!L269)</f>
        <v/>
      </c>
      <c r="P269" s="182">
        <f>Закуп!K269</f>
        <v/>
      </c>
      <c r="Q269" s="217">
        <f>IF(Закуп!D269="","",IF(LEFT(Закуп!D269,1)="0","0",Закуп!D269))</f>
        <v/>
      </c>
      <c r="R269" s="184">
        <f>Закуп!C269</f>
        <v/>
      </c>
    </row>
    <row r="270">
      <c r="A270" s="177">
        <f>Закуп!E270</f>
        <v/>
      </c>
      <c r="B270" s="178">
        <f>INDEX(Calc!$K:$K, (ROW(A269)-1)*5 + COLUMN(A269) + 1 )</f>
        <v/>
      </c>
      <c r="C270" s="178">
        <f>INDEX(Calc!$K:$K, (ROW(B269)-1)*5 + COLUMN(B269) + 1 )</f>
        <v/>
      </c>
      <c r="D270" s="179">
        <f>INDEX(Calc!$K:$K, (ROW(C269)-1)*5 + COLUMN(C269) + 1 )</f>
        <v/>
      </c>
      <c r="E270" s="180">
        <f>INDEX(Calc!$K:$K, (ROW(D269)-1)*5 + COLUMN(D269) + 1 )</f>
        <v/>
      </c>
      <c r="F270" s="181">
        <f>INDEX(Calc!$K:$K, (ROW(E269)-1)*5 + COLUMN(E269) + 1 )</f>
        <v/>
      </c>
      <c r="G270" s="182">
        <f>Закуп!O270</f>
        <v/>
      </c>
      <c r="H270" s="182">
        <f>Закуп!Q270</f>
        <v/>
      </c>
      <c r="I270" s="182">
        <f>Закуп!X270</f>
        <v/>
      </c>
      <c r="J270" s="182">
        <f>Закуп!Y270</f>
        <v/>
      </c>
      <c r="K270" s="182">
        <f>Закуп!Z270</f>
        <v/>
      </c>
      <c r="L270" s="182">
        <f>Закуп!AA270</f>
        <v/>
      </c>
      <c r="M270" s="182">
        <f>Закуп!V270</f>
        <v/>
      </c>
      <c r="N270" s="182">
        <f>Закуп!W270</f>
        <v/>
      </c>
      <c r="O270" s="183">
        <f>IF(OR(Закуп!L270="",Закуп!L270=0),"",Закуп!L270)</f>
        <v/>
      </c>
      <c r="P270" s="182">
        <f>Закуп!K270</f>
        <v/>
      </c>
      <c r="Q270" s="217">
        <f>IF(Закуп!D270="","",IF(LEFT(Закуп!D270,1)="0","0",Закуп!D270))</f>
        <v/>
      </c>
      <c r="R270" s="184">
        <f>Закуп!C270</f>
        <v/>
      </c>
    </row>
    <row r="271">
      <c r="A271" s="177">
        <f>Закуп!E271</f>
        <v/>
      </c>
      <c r="B271" s="178">
        <f>INDEX(Calc!$K:$K, (ROW(A270)-1)*5 + COLUMN(A270) + 1 )</f>
        <v/>
      </c>
      <c r="C271" s="178">
        <f>INDEX(Calc!$K:$K, (ROW(B270)-1)*5 + COLUMN(B270) + 1 )</f>
        <v/>
      </c>
      <c r="D271" s="179">
        <f>INDEX(Calc!$K:$K, (ROW(C270)-1)*5 + COLUMN(C270) + 1 )</f>
        <v/>
      </c>
      <c r="E271" s="180">
        <f>INDEX(Calc!$K:$K, (ROW(D270)-1)*5 + COLUMN(D270) + 1 )</f>
        <v/>
      </c>
      <c r="F271" s="181">
        <f>INDEX(Calc!$K:$K, (ROW(E270)-1)*5 + COLUMN(E270) + 1 )</f>
        <v/>
      </c>
      <c r="G271" s="182">
        <f>Закуп!O271</f>
        <v/>
      </c>
      <c r="H271" s="182">
        <f>Закуп!Q271</f>
        <v/>
      </c>
      <c r="I271" s="182">
        <f>Закуп!X271</f>
        <v/>
      </c>
      <c r="J271" s="182">
        <f>Закуп!Y271</f>
        <v/>
      </c>
      <c r="K271" s="182">
        <f>Закуп!Z271</f>
        <v/>
      </c>
      <c r="L271" s="182">
        <f>Закуп!AA271</f>
        <v/>
      </c>
      <c r="M271" s="182">
        <f>Закуп!V271</f>
        <v/>
      </c>
      <c r="N271" s="182">
        <f>Закуп!W271</f>
        <v/>
      </c>
      <c r="O271" s="183">
        <f>IF(OR(Закуп!L271="",Закуп!L271=0),"",Закуп!L271)</f>
        <v/>
      </c>
      <c r="P271" s="182">
        <f>Закуп!K271</f>
        <v/>
      </c>
      <c r="Q271" s="217">
        <f>IF(Закуп!D271="","",IF(LEFT(Закуп!D271,1)="0","0",Закуп!D271))</f>
        <v/>
      </c>
      <c r="R271" s="184">
        <f>Закуп!C271</f>
        <v/>
      </c>
    </row>
    <row r="272">
      <c r="A272" s="177">
        <f>Закуп!E272</f>
        <v/>
      </c>
      <c r="B272" s="178">
        <f>INDEX(Calc!$K:$K, (ROW(A271)-1)*5 + COLUMN(A271) + 1 )</f>
        <v/>
      </c>
      <c r="C272" s="178">
        <f>INDEX(Calc!$K:$K, (ROW(B271)-1)*5 + COLUMN(B271) + 1 )</f>
        <v/>
      </c>
      <c r="D272" s="179">
        <f>INDEX(Calc!$K:$K, (ROW(C271)-1)*5 + COLUMN(C271) + 1 )</f>
        <v/>
      </c>
      <c r="E272" s="180">
        <f>INDEX(Calc!$K:$K, (ROW(D271)-1)*5 + COLUMN(D271) + 1 )</f>
        <v/>
      </c>
      <c r="F272" s="181">
        <f>INDEX(Calc!$K:$K, (ROW(E271)-1)*5 + COLUMN(E271) + 1 )</f>
        <v/>
      </c>
      <c r="G272" s="182">
        <f>Закуп!O272</f>
        <v/>
      </c>
      <c r="H272" s="182">
        <f>Закуп!Q272</f>
        <v/>
      </c>
      <c r="I272" s="182">
        <f>Закуп!X272</f>
        <v/>
      </c>
      <c r="J272" s="182">
        <f>Закуп!Y272</f>
        <v/>
      </c>
      <c r="K272" s="182">
        <f>Закуп!Z272</f>
        <v/>
      </c>
      <c r="L272" s="182">
        <f>Закуп!AA272</f>
        <v/>
      </c>
      <c r="M272" s="182">
        <f>Закуп!V272</f>
        <v/>
      </c>
      <c r="N272" s="182">
        <f>Закуп!W272</f>
        <v/>
      </c>
      <c r="O272" s="183">
        <f>IF(OR(Закуп!L272="",Закуп!L272=0),"",Закуп!L272)</f>
        <v/>
      </c>
      <c r="P272" s="182">
        <f>Закуп!K272</f>
        <v/>
      </c>
      <c r="Q272" s="217">
        <f>IF(Закуп!D272="","",IF(LEFT(Закуп!D272,1)="0","0",Закуп!D272))</f>
        <v/>
      </c>
      <c r="R272" s="184">
        <f>Закуп!C272</f>
        <v/>
      </c>
    </row>
    <row r="273">
      <c r="A273" s="177">
        <f>Закуп!E273</f>
        <v/>
      </c>
      <c r="B273" s="178">
        <f>INDEX(Calc!$K:$K, (ROW(A272)-1)*5 + COLUMN(A272) + 1 )</f>
        <v/>
      </c>
      <c r="C273" s="178">
        <f>INDEX(Calc!$K:$K, (ROW(B272)-1)*5 + COLUMN(B272) + 1 )</f>
        <v/>
      </c>
      <c r="D273" s="179">
        <f>INDEX(Calc!$K:$K, (ROW(C272)-1)*5 + COLUMN(C272) + 1 )</f>
        <v/>
      </c>
      <c r="E273" s="180">
        <f>INDEX(Calc!$K:$K, (ROW(D272)-1)*5 + COLUMN(D272) + 1 )</f>
        <v/>
      </c>
      <c r="F273" s="181">
        <f>INDEX(Calc!$K:$K, (ROW(E272)-1)*5 + COLUMN(E272) + 1 )</f>
        <v/>
      </c>
      <c r="G273" s="182">
        <f>Закуп!O273</f>
        <v/>
      </c>
      <c r="H273" s="182">
        <f>Закуп!Q273</f>
        <v/>
      </c>
      <c r="I273" s="182">
        <f>Закуп!X273</f>
        <v/>
      </c>
      <c r="J273" s="182">
        <f>Закуп!Y273</f>
        <v/>
      </c>
      <c r="K273" s="182">
        <f>Закуп!Z273</f>
        <v/>
      </c>
      <c r="L273" s="182">
        <f>Закуп!AA273</f>
        <v/>
      </c>
      <c r="M273" s="182">
        <f>Закуп!V273</f>
        <v/>
      </c>
      <c r="N273" s="182">
        <f>Закуп!W273</f>
        <v/>
      </c>
      <c r="O273" s="183">
        <f>IF(OR(Закуп!L273="",Закуп!L273=0),"",Закуп!L273)</f>
        <v/>
      </c>
      <c r="P273" s="182">
        <f>Закуп!K273</f>
        <v/>
      </c>
      <c r="Q273" s="217">
        <f>IF(Закуп!D273="","",IF(LEFT(Закуп!D273,1)="0","0",Закуп!D273))</f>
        <v/>
      </c>
      <c r="R273" s="184">
        <f>Закуп!C273</f>
        <v/>
      </c>
    </row>
    <row r="274">
      <c r="A274" s="177">
        <f>Закуп!E274</f>
        <v/>
      </c>
      <c r="B274" s="178">
        <f>INDEX(Calc!$K:$K, (ROW(A273)-1)*5 + COLUMN(A273) + 1 )</f>
        <v/>
      </c>
      <c r="C274" s="178">
        <f>INDEX(Calc!$K:$K, (ROW(B273)-1)*5 + COLUMN(B273) + 1 )</f>
        <v/>
      </c>
      <c r="D274" s="179">
        <f>INDEX(Calc!$K:$K, (ROW(C273)-1)*5 + COLUMN(C273) + 1 )</f>
        <v/>
      </c>
      <c r="E274" s="180">
        <f>INDEX(Calc!$K:$K, (ROW(D273)-1)*5 + COLUMN(D273) + 1 )</f>
        <v/>
      </c>
      <c r="F274" s="181">
        <f>INDEX(Calc!$K:$K, (ROW(E273)-1)*5 + COLUMN(E273) + 1 )</f>
        <v/>
      </c>
      <c r="G274" s="182">
        <f>Закуп!O274</f>
        <v/>
      </c>
      <c r="H274" s="182">
        <f>Закуп!Q274</f>
        <v/>
      </c>
      <c r="I274" s="182">
        <f>Закуп!X274</f>
        <v/>
      </c>
      <c r="J274" s="182">
        <f>Закуп!Y274</f>
        <v/>
      </c>
      <c r="K274" s="182">
        <f>Закуп!Z274</f>
        <v/>
      </c>
      <c r="L274" s="182">
        <f>Закуп!AA274</f>
        <v/>
      </c>
      <c r="M274" s="182">
        <f>Закуп!V274</f>
        <v/>
      </c>
      <c r="N274" s="182">
        <f>Закуп!W274</f>
        <v/>
      </c>
      <c r="O274" s="183">
        <f>IF(OR(Закуп!L274="",Закуп!L274=0),"",Закуп!L274)</f>
        <v/>
      </c>
      <c r="P274" s="182">
        <f>Закуп!K274</f>
        <v/>
      </c>
      <c r="Q274" s="217">
        <f>IF(Закуп!D274="","",IF(LEFT(Закуп!D274,1)="0","0",Закуп!D274))</f>
        <v/>
      </c>
      <c r="R274" s="184">
        <f>Закуп!C274</f>
        <v/>
      </c>
    </row>
    <row r="275">
      <c r="A275" s="177">
        <f>Закуп!E275</f>
        <v/>
      </c>
      <c r="B275" s="178">
        <f>INDEX(Calc!$K:$K, (ROW(A274)-1)*5 + COLUMN(A274) + 1 )</f>
        <v/>
      </c>
      <c r="C275" s="178">
        <f>INDEX(Calc!$K:$K, (ROW(B274)-1)*5 + COLUMN(B274) + 1 )</f>
        <v/>
      </c>
      <c r="D275" s="179">
        <f>INDEX(Calc!$K:$K, (ROW(C274)-1)*5 + COLUMN(C274) + 1 )</f>
        <v/>
      </c>
      <c r="E275" s="180">
        <f>INDEX(Calc!$K:$K, (ROW(D274)-1)*5 + COLUMN(D274) + 1 )</f>
        <v/>
      </c>
      <c r="F275" s="181">
        <f>INDEX(Calc!$K:$K, (ROW(E274)-1)*5 + COLUMN(E274) + 1 )</f>
        <v/>
      </c>
      <c r="G275" s="182">
        <f>Закуп!O275</f>
        <v/>
      </c>
      <c r="H275" s="182">
        <f>Закуп!Q275</f>
        <v/>
      </c>
      <c r="I275" s="182">
        <f>Закуп!X275</f>
        <v/>
      </c>
      <c r="J275" s="182">
        <f>Закуп!Y275</f>
        <v/>
      </c>
      <c r="K275" s="182">
        <f>Закуп!Z275</f>
        <v/>
      </c>
      <c r="L275" s="182">
        <f>Закуп!AA275</f>
        <v/>
      </c>
      <c r="M275" s="182">
        <f>Закуп!V275</f>
        <v/>
      </c>
      <c r="N275" s="182">
        <f>Закуп!W275</f>
        <v/>
      </c>
      <c r="O275" s="183">
        <f>IF(OR(Закуп!L275="",Закуп!L275=0),"",Закуп!L275)</f>
        <v/>
      </c>
      <c r="P275" s="182">
        <f>Закуп!K275</f>
        <v/>
      </c>
      <c r="Q275" s="217">
        <f>IF(Закуп!D275="","",IF(LEFT(Закуп!D275,1)="0","0",Закуп!D275))</f>
        <v/>
      </c>
      <c r="R275" s="184">
        <f>Закуп!C275</f>
        <v/>
      </c>
    </row>
    <row r="276">
      <c r="A276" s="177">
        <f>Закуп!E276</f>
        <v/>
      </c>
      <c r="B276" s="178">
        <f>INDEX(Calc!$K:$K, (ROW(A275)-1)*5 + COLUMN(A275) + 1 )</f>
        <v/>
      </c>
      <c r="C276" s="178">
        <f>INDEX(Calc!$K:$K, (ROW(B275)-1)*5 + COLUMN(B275) + 1 )</f>
        <v/>
      </c>
      <c r="D276" s="179">
        <f>INDEX(Calc!$K:$K, (ROW(C275)-1)*5 + COLUMN(C275) + 1 )</f>
        <v/>
      </c>
      <c r="E276" s="180">
        <f>INDEX(Calc!$K:$K, (ROW(D275)-1)*5 + COLUMN(D275) + 1 )</f>
        <v/>
      </c>
      <c r="F276" s="181">
        <f>INDEX(Calc!$K:$K, (ROW(E275)-1)*5 + COLUMN(E275) + 1 )</f>
        <v/>
      </c>
      <c r="G276" s="182">
        <f>Закуп!O276</f>
        <v/>
      </c>
      <c r="H276" s="182">
        <f>Закуп!Q276</f>
        <v/>
      </c>
      <c r="I276" s="182">
        <f>Закуп!X276</f>
        <v/>
      </c>
      <c r="J276" s="182">
        <f>Закуп!Y276</f>
        <v/>
      </c>
      <c r="K276" s="182">
        <f>Закуп!Z276</f>
        <v/>
      </c>
      <c r="L276" s="182">
        <f>Закуп!AA276</f>
        <v/>
      </c>
      <c r="M276" s="182">
        <f>Закуп!V276</f>
        <v/>
      </c>
      <c r="N276" s="182">
        <f>Закуп!W276</f>
        <v/>
      </c>
      <c r="O276" s="183">
        <f>IF(OR(Закуп!L276="",Закуп!L276=0),"",Закуп!L276)</f>
        <v/>
      </c>
      <c r="P276" s="182">
        <f>Закуп!K276</f>
        <v/>
      </c>
      <c r="Q276" s="217">
        <f>IF(Закуп!D276="","",IF(LEFT(Закуп!D276,1)="0","0",Закуп!D276))</f>
        <v/>
      </c>
      <c r="R276" s="184">
        <f>Закуп!C276</f>
        <v/>
      </c>
    </row>
    <row r="277">
      <c r="A277" s="177">
        <f>Закуп!E277</f>
        <v/>
      </c>
      <c r="B277" s="178">
        <f>INDEX(Calc!$K:$K, (ROW(A276)-1)*5 + COLUMN(A276) + 1 )</f>
        <v/>
      </c>
      <c r="C277" s="178">
        <f>INDEX(Calc!$K:$K, (ROW(B276)-1)*5 + COLUMN(B276) + 1 )</f>
        <v/>
      </c>
      <c r="D277" s="179">
        <f>INDEX(Calc!$K:$K, (ROW(C276)-1)*5 + COLUMN(C276) + 1 )</f>
        <v/>
      </c>
      <c r="E277" s="180">
        <f>INDEX(Calc!$K:$K, (ROW(D276)-1)*5 + COLUMN(D276) + 1 )</f>
        <v/>
      </c>
      <c r="F277" s="181">
        <f>INDEX(Calc!$K:$K, (ROW(E276)-1)*5 + COLUMN(E276) + 1 )</f>
        <v/>
      </c>
      <c r="G277" s="182">
        <f>Закуп!O277</f>
        <v/>
      </c>
      <c r="H277" s="182">
        <f>Закуп!Q277</f>
        <v/>
      </c>
      <c r="I277" s="182">
        <f>Закуп!X277</f>
        <v/>
      </c>
      <c r="J277" s="182">
        <f>Закуп!Y277</f>
        <v/>
      </c>
      <c r="K277" s="182">
        <f>Закуп!Z277</f>
        <v/>
      </c>
      <c r="L277" s="182">
        <f>Закуп!AA277</f>
        <v/>
      </c>
      <c r="M277" s="182">
        <f>Закуп!V277</f>
        <v/>
      </c>
      <c r="N277" s="182">
        <f>Закуп!W277</f>
        <v/>
      </c>
      <c r="O277" s="183">
        <f>IF(OR(Закуп!L277="",Закуп!L277=0),"",Закуп!L277)</f>
        <v/>
      </c>
      <c r="P277" s="182">
        <f>Закуп!K277</f>
        <v/>
      </c>
      <c r="Q277" s="217">
        <f>IF(Закуп!D277="","",IF(LEFT(Закуп!D277,1)="0","0",Закуп!D277))</f>
        <v/>
      </c>
      <c r="R277" s="184">
        <f>Закуп!C277</f>
        <v/>
      </c>
    </row>
    <row r="278">
      <c r="A278" s="177">
        <f>Закуп!E278</f>
        <v/>
      </c>
      <c r="B278" s="178">
        <f>INDEX(Calc!$K:$K, (ROW(A277)-1)*5 + COLUMN(A277) + 1 )</f>
        <v/>
      </c>
      <c r="C278" s="178">
        <f>INDEX(Calc!$K:$K, (ROW(B277)-1)*5 + COLUMN(B277) + 1 )</f>
        <v/>
      </c>
      <c r="D278" s="179">
        <f>INDEX(Calc!$K:$K, (ROW(C277)-1)*5 + COLUMN(C277) + 1 )</f>
        <v/>
      </c>
      <c r="E278" s="180">
        <f>INDEX(Calc!$K:$K, (ROW(D277)-1)*5 + COLUMN(D277) + 1 )</f>
        <v/>
      </c>
      <c r="F278" s="181">
        <f>INDEX(Calc!$K:$K, (ROW(E277)-1)*5 + COLUMN(E277) + 1 )</f>
        <v/>
      </c>
      <c r="G278" s="182">
        <f>Закуп!O278</f>
        <v/>
      </c>
      <c r="H278" s="182">
        <f>Закуп!Q278</f>
        <v/>
      </c>
      <c r="I278" s="182">
        <f>Закуп!X278</f>
        <v/>
      </c>
      <c r="J278" s="182">
        <f>Закуп!Y278</f>
        <v/>
      </c>
      <c r="K278" s="182">
        <f>Закуп!Z278</f>
        <v/>
      </c>
      <c r="L278" s="182">
        <f>Закуп!AA278</f>
        <v/>
      </c>
      <c r="M278" s="182">
        <f>Закуп!V278</f>
        <v/>
      </c>
      <c r="N278" s="182">
        <f>Закуп!W278</f>
        <v/>
      </c>
      <c r="O278" s="183">
        <f>IF(OR(Закуп!L278="",Закуп!L278=0),"",Закуп!L278)</f>
        <v/>
      </c>
      <c r="P278" s="182">
        <f>Закуп!K278</f>
        <v/>
      </c>
      <c r="Q278" s="217">
        <f>IF(Закуп!D278="","",IF(LEFT(Закуп!D278,1)="0","0",Закуп!D278))</f>
        <v/>
      </c>
      <c r="R278" s="184">
        <f>Закуп!C278</f>
        <v/>
      </c>
    </row>
    <row r="279">
      <c r="A279" s="177">
        <f>Закуп!E279</f>
        <v/>
      </c>
      <c r="B279" s="178">
        <f>INDEX(Calc!$K:$K, (ROW(A278)-1)*5 + COLUMN(A278) + 1 )</f>
        <v/>
      </c>
      <c r="C279" s="178">
        <f>INDEX(Calc!$K:$K, (ROW(B278)-1)*5 + COLUMN(B278) + 1 )</f>
        <v/>
      </c>
      <c r="D279" s="179">
        <f>INDEX(Calc!$K:$K, (ROW(C278)-1)*5 + COLUMN(C278) + 1 )</f>
        <v/>
      </c>
      <c r="E279" s="180">
        <f>INDEX(Calc!$K:$K, (ROW(D278)-1)*5 + COLUMN(D278) + 1 )</f>
        <v/>
      </c>
      <c r="F279" s="181">
        <f>INDEX(Calc!$K:$K, (ROW(E278)-1)*5 + COLUMN(E278) + 1 )</f>
        <v/>
      </c>
      <c r="G279" s="182">
        <f>Закуп!O279</f>
        <v/>
      </c>
      <c r="H279" s="182">
        <f>Закуп!Q279</f>
        <v/>
      </c>
      <c r="I279" s="182">
        <f>Закуп!X279</f>
        <v/>
      </c>
      <c r="J279" s="182">
        <f>Закуп!Y279</f>
        <v/>
      </c>
      <c r="K279" s="182">
        <f>Закуп!Z279</f>
        <v/>
      </c>
      <c r="L279" s="182">
        <f>Закуп!AA279</f>
        <v/>
      </c>
      <c r="M279" s="182">
        <f>Закуп!V279</f>
        <v/>
      </c>
      <c r="N279" s="182">
        <f>Закуп!W279</f>
        <v/>
      </c>
      <c r="O279" s="183">
        <f>IF(OR(Закуп!L279="",Закуп!L279=0),"",Закуп!L279)</f>
        <v/>
      </c>
      <c r="P279" s="182">
        <f>Закуп!K279</f>
        <v/>
      </c>
      <c r="Q279" s="217">
        <f>IF(Закуп!D279="","",IF(LEFT(Закуп!D279,1)="0","0",Закуп!D279))</f>
        <v/>
      </c>
      <c r="R279" s="184">
        <f>Закуп!C279</f>
        <v/>
      </c>
    </row>
    <row r="280">
      <c r="A280" s="177">
        <f>Закуп!E280</f>
        <v/>
      </c>
      <c r="B280" s="178">
        <f>INDEX(Calc!$K:$K, (ROW(A279)-1)*5 + COLUMN(A279) + 1 )</f>
        <v/>
      </c>
      <c r="C280" s="178">
        <f>INDEX(Calc!$K:$K, (ROW(B279)-1)*5 + COLUMN(B279) + 1 )</f>
        <v/>
      </c>
      <c r="D280" s="179">
        <f>INDEX(Calc!$K:$K, (ROW(C279)-1)*5 + COLUMN(C279) + 1 )</f>
        <v/>
      </c>
      <c r="E280" s="180">
        <f>INDEX(Calc!$K:$K, (ROW(D279)-1)*5 + COLUMN(D279) + 1 )</f>
        <v/>
      </c>
      <c r="F280" s="181">
        <f>INDEX(Calc!$K:$K, (ROW(E279)-1)*5 + COLUMN(E279) + 1 )</f>
        <v/>
      </c>
      <c r="G280" s="182">
        <f>Закуп!O280</f>
        <v/>
      </c>
      <c r="H280" s="182">
        <f>Закуп!Q280</f>
        <v/>
      </c>
      <c r="I280" s="182">
        <f>Закуп!X280</f>
        <v/>
      </c>
      <c r="J280" s="182">
        <f>Закуп!Y280</f>
        <v/>
      </c>
      <c r="K280" s="182">
        <f>Закуп!Z280</f>
        <v/>
      </c>
      <c r="L280" s="182">
        <f>Закуп!AA280</f>
        <v/>
      </c>
      <c r="M280" s="182">
        <f>Закуп!V280</f>
        <v/>
      </c>
      <c r="N280" s="182">
        <f>Закуп!W280</f>
        <v/>
      </c>
      <c r="O280" s="183">
        <f>IF(OR(Закуп!L280="",Закуп!L280=0),"",Закуп!L280)</f>
        <v/>
      </c>
      <c r="P280" s="182">
        <f>Закуп!K280</f>
        <v/>
      </c>
      <c r="Q280" s="217">
        <f>IF(Закуп!D280="","",IF(LEFT(Закуп!D280,1)="0","0",Закуп!D280))</f>
        <v/>
      </c>
      <c r="R280" s="184">
        <f>Закуп!C280</f>
        <v/>
      </c>
    </row>
    <row r="281">
      <c r="A281" s="177">
        <f>Закуп!E281</f>
        <v/>
      </c>
      <c r="B281" s="178">
        <f>INDEX(Calc!$K:$K, (ROW(A280)-1)*5 + COLUMN(A280) + 1 )</f>
        <v/>
      </c>
      <c r="C281" s="178">
        <f>INDEX(Calc!$K:$K, (ROW(B280)-1)*5 + COLUMN(B280) + 1 )</f>
        <v/>
      </c>
      <c r="D281" s="179">
        <f>INDEX(Calc!$K:$K, (ROW(C280)-1)*5 + COLUMN(C280) + 1 )</f>
        <v/>
      </c>
      <c r="E281" s="180">
        <f>INDEX(Calc!$K:$K, (ROW(D280)-1)*5 + COLUMN(D280) + 1 )</f>
        <v/>
      </c>
      <c r="F281" s="181">
        <f>INDEX(Calc!$K:$K, (ROW(E280)-1)*5 + COLUMN(E280) + 1 )</f>
        <v/>
      </c>
      <c r="G281" s="182">
        <f>Закуп!O281</f>
        <v/>
      </c>
      <c r="H281" s="182">
        <f>Закуп!Q281</f>
        <v/>
      </c>
      <c r="I281" s="182">
        <f>Закуп!X281</f>
        <v/>
      </c>
      <c r="J281" s="182">
        <f>Закуп!Y281</f>
        <v/>
      </c>
      <c r="K281" s="182">
        <f>Закуп!Z281</f>
        <v/>
      </c>
      <c r="L281" s="182">
        <f>Закуп!AA281</f>
        <v/>
      </c>
      <c r="M281" s="182">
        <f>Закуп!V281</f>
        <v/>
      </c>
      <c r="N281" s="182">
        <f>Закуп!W281</f>
        <v/>
      </c>
      <c r="O281" s="183">
        <f>IF(OR(Закуп!L281="",Закуп!L281=0),"",Закуп!L281)</f>
        <v/>
      </c>
      <c r="P281" s="182">
        <f>Закуп!K281</f>
        <v/>
      </c>
      <c r="Q281" s="217">
        <f>IF(Закуп!D281="","",IF(LEFT(Закуп!D281,1)="0","0",Закуп!D281))</f>
        <v/>
      </c>
      <c r="R281" s="184">
        <f>Закуп!C281</f>
        <v/>
      </c>
    </row>
    <row r="282">
      <c r="A282" s="177">
        <f>Закуп!E282</f>
        <v/>
      </c>
      <c r="B282" s="178">
        <f>INDEX(Calc!$K:$K, (ROW(A281)-1)*5 + COLUMN(A281) + 1 )</f>
        <v/>
      </c>
      <c r="C282" s="178">
        <f>INDEX(Calc!$K:$K, (ROW(B281)-1)*5 + COLUMN(B281) + 1 )</f>
        <v/>
      </c>
      <c r="D282" s="179">
        <f>INDEX(Calc!$K:$K, (ROW(C281)-1)*5 + COLUMN(C281) + 1 )</f>
        <v/>
      </c>
      <c r="E282" s="180">
        <f>INDEX(Calc!$K:$K, (ROW(D281)-1)*5 + COLUMN(D281) + 1 )</f>
        <v/>
      </c>
      <c r="F282" s="181">
        <f>INDEX(Calc!$K:$K, (ROW(E281)-1)*5 + COLUMN(E281) + 1 )</f>
        <v/>
      </c>
      <c r="G282" s="182">
        <f>Закуп!O282</f>
        <v/>
      </c>
      <c r="H282" s="182">
        <f>Закуп!Q282</f>
        <v/>
      </c>
      <c r="I282" s="182">
        <f>Закуп!X282</f>
        <v/>
      </c>
      <c r="J282" s="182">
        <f>Закуп!Y282</f>
        <v/>
      </c>
      <c r="K282" s="182">
        <f>Закуп!Z282</f>
        <v/>
      </c>
      <c r="L282" s="182">
        <f>Закуп!AA282</f>
        <v/>
      </c>
      <c r="M282" s="182">
        <f>Закуп!V282</f>
        <v/>
      </c>
      <c r="N282" s="182">
        <f>Закуп!W282</f>
        <v/>
      </c>
      <c r="O282" s="183">
        <f>IF(OR(Закуп!L282="",Закуп!L282=0),"",Закуп!L282)</f>
        <v/>
      </c>
      <c r="P282" s="182">
        <f>Закуп!K282</f>
        <v/>
      </c>
      <c r="Q282" s="217">
        <f>IF(Закуп!D282="","",IF(LEFT(Закуп!D282,1)="0","0",Закуп!D282))</f>
        <v/>
      </c>
      <c r="R282" s="184">
        <f>Закуп!C282</f>
        <v/>
      </c>
    </row>
    <row r="283">
      <c r="A283" s="177">
        <f>Закуп!E283</f>
        <v/>
      </c>
      <c r="B283" s="178">
        <f>INDEX(Calc!$K:$K, (ROW(A282)-1)*5 + COLUMN(A282) + 1 )</f>
        <v/>
      </c>
      <c r="C283" s="178">
        <f>INDEX(Calc!$K:$K, (ROW(B282)-1)*5 + COLUMN(B282) + 1 )</f>
        <v/>
      </c>
      <c r="D283" s="179">
        <f>INDEX(Calc!$K:$K, (ROW(C282)-1)*5 + COLUMN(C282) + 1 )</f>
        <v/>
      </c>
      <c r="E283" s="180">
        <f>INDEX(Calc!$K:$K, (ROW(D282)-1)*5 + COLUMN(D282) + 1 )</f>
        <v/>
      </c>
      <c r="F283" s="181">
        <f>INDEX(Calc!$K:$K, (ROW(E282)-1)*5 + COLUMN(E282) + 1 )</f>
        <v/>
      </c>
      <c r="G283" s="182">
        <f>Закуп!O283</f>
        <v/>
      </c>
      <c r="H283" s="182">
        <f>Закуп!Q283</f>
        <v/>
      </c>
      <c r="I283" s="182">
        <f>Закуп!X283</f>
        <v/>
      </c>
      <c r="J283" s="182">
        <f>Закуп!Y283</f>
        <v/>
      </c>
      <c r="K283" s="182">
        <f>Закуп!Z283</f>
        <v/>
      </c>
      <c r="L283" s="182">
        <f>Закуп!AA283</f>
        <v/>
      </c>
      <c r="M283" s="182">
        <f>Закуп!V283</f>
        <v/>
      </c>
      <c r="N283" s="182">
        <f>Закуп!W283</f>
        <v/>
      </c>
      <c r="O283" s="183">
        <f>IF(OR(Закуп!L283="",Закуп!L283=0),"",Закуп!L283)</f>
        <v/>
      </c>
      <c r="P283" s="182">
        <f>Закуп!K283</f>
        <v/>
      </c>
      <c r="Q283" s="217">
        <f>IF(Закуп!D283="","",IF(LEFT(Закуп!D283,1)="0","0",Закуп!D283))</f>
        <v/>
      </c>
      <c r="R283" s="184">
        <f>Закуп!C283</f>
        <v/>
      </c>
    </row>
    <row r="284">
      <c r="A284" s="177">
        <f>Закуп!E284</f>
        <v/>
      </c>
      <c r="B284" s="178">
        <f>INDEX(Calc!$K:$K, (ROW(A283)-1)*5 + COLUMN(A283) + 1 )</f>
        <v/>
      </c>
      <c r="C284" s="178">
        <f>INDEX(Calc!$K:$K, (ROW(B283)-1)*5 + COLUMN(B283) + 1 )</f>
        <v/>
      </c>
      <c r="D284" s="179">
        <f>INDEX(Calc!$K:$K, (ROW(C283)-1)*5 + COLUMN(C283) + 1 )</f>
        <v/>
      </c>
      <c r="E284" s="180">
        <f>INDEX(Calc!$K:$K, (ROW(D283)-1)*5 + COLUMN(D283) + 1 )</f>
        <v/>
      </c>
      <c r="F284" s="181">
        <f>INDEX(Calc!$K:$K, (ROW(E283)-1)*5 + COLUMN(E283) + 1 )</f>
        <v/>
      </c>
      <c r="G284" s="182">
        <f>Закуп!O284</f>
        <v/>
      </c>
      <c r="H284" s="182">
        <f>Закуп!Q284</f>
        <v/>
      </c>
      <c r="I284" s="182">
        <f>Закуп!X284</f>
        <v/>
      </c>
      <c r="J284" s="182">
        <f>Закуп!Y284</f>
        <v/>
      </c>
      <c r="K284" s="182">
        <f>Закуп!Z284</f>
        <v/>
      </c>
      <c r="L284" s="182">
        <f>Закуп!AA284</f>
        <v/>
      </c>
      <c r="M284" s="182">
        <f>Закуп!V284</f>
        <v/>
      </c>
      <c r="N284" s="182">
        <f>Закуп!W284</f>
        <v/>
      </c>
      <c r="O284" s="183">
        <f>IF(OR(Закуп!L284="",Закуп!L284=0),"",Закуп!L284)</f>
        <v/>
      </c>
      <c r="P284" s="182">
        <f>Закуп!K284</f>
        <v/>
      </c>
      <c r="Q284" s="217">
        <f>IF(Закуп!D284="","",IF(LEFT(Закуп!D284,1)="0","0",Закуп!D284))</f>
        <v/>
      </c>
      <c r="R284" s="184">
        <f>Закуп!C284</f>
        <v/>
      </c>
    </row>
    <row r="285">
      <c r="A285" s="177">
        <f>Закуп!E285</f>
        <v/>
      </c>
      <c r="B285" s="178">
        <f>INDEX(Calc!$K:$K, (ROW(A284)-1)*5 + COLUMN(A284) + 1 )</f>
        <v/>
      </c>
      <c r="C285" s="178">
        <f>INDEX(Calc!$K:$K, (ROW(B284)-1)*5 + COLUMN(B284) + 1 )</f>
        <v/>
      </c>
      <c r="D285" s="179">
        <f>INDEX(Calc!$K:$K, (ROW(C284)-1)*5 + COLUMN(C284) + 1 )</f>
        <v/>
      </c>
      <c r="E285" s="180">
        <f>INDEX(Calc!$K:$K, (ROW(D284)-1)*5 + COLUMN(D284) + 1 )</f>
        <v/>
      </c>
      <c r="F285" s="181">
        <f>INDEX(Calc!$K:$K, (ROW(E284)-1)*5 + COLUMN(E284) + 1 )</f>
        <v/>
      </c>
      <c r="G285" s="182">
        <f>Закуп!O285</f>
        <v/>
      </c>
      <c r="H285" s="182">
        <f>Закуп!Q285</f>
        <v/>
      </c>
      <c r="I285" s="182">
        <f>Закуп!X285</f>
        <v/>
      </c>
      <c r="J285" s="182">
        <f>Закуп!Y285</f>
        <v/>
      </c>
      <c r="K285" s="182">
        <f>Закуп!Z285</f>
        <v/>
      </c>
      <c r="L285" s="182">
        <f>Закуп!AA285</f>
        <v/>
      </c>
      <c r="M285" s="182">
        <f>Закуп!V285</f>
        <v/>
      </c>
      <c r="N285" s="182">
        <f>Закуп!W285</f>
        <v/>
      </c>
      <c r="O285" s="183">
        <f>IF(OR(Закуп!L285="",Закуп!L285=0),"",Закуп!L285)</f>
        <v/>
      </c>
      <c r="P285" s="182">
        <f>Закуп!K285</f>
        <v/>
      </c>
      <c r="Q285" s="217">
        <f>IF(Закуп!D285="","",IF(LEFT(Закуп!D285,1)="0","0",Закуп!D285))</f>
        <v/>
      </c>
      <c r="R285" s="184">
        <f>Закуп!C285</f>
        <v/>
      </c>
    </row>
    <row r="286">
      <c r="A286" s="177">
        <f>Закуп!E286</f>
        <v/>
      </c>
      <c r="B286" s="178">
        <f>INDEX(Calc!$K:$K, (ROW(A285)-1)*5 + COLUMN(A285) + 1 )</f>
        <v/>
      </c>
      <c r="C286" s="178">
        <f>INDEX(Calc!$K:$K, (ROW(B285)-1)*5 + COLUMN(B285) + 1 )</f>
        <v/>
      </c>
      <c r="D286" s="179">
        <f>INDEX(Calc!$K:$K, (ROW(C285)-1)*5 + COLUMN(C285) + 1 )</f>
        <v/>
      </c>
      <c r="E286" s="180">
        <f>INDEX(Calc!$K:$K, (ROW(D285)-1)*5 + COLUMN(D285) + 1 )</f>
        <v/>
      </c>
      <c r="F286" s="181">
        <f>INDEX(Calc!$K:$K, (ROW(E285)-1)*5 + COLUMN(E285) + 1 )</f>
        <v/>
      </c>
      <c r="G286" s="182">
        <f>Закуп!O286</f>
        <v/>
      </c>
      <c r="H286" s="182">
        <f>Закуп!Q286</f>
        <v/>
      </c>
      <c r="I286" s="182">
        <f>Закуп!X286</f>
        <v/>
      </c>
      <c r="J286" s="182">
        <f>Закуп!Y286</f>
        <v/>
      </c>
      <c r="K286" s="182">
        <f>Закуп!Z286</f>
        <v/>
      </c>
      <c r="L286" s="182">
        <f>Закуп!AA286</f>
        <v/>
      </c>
      <c r="M286" s="182">
        <f>Закуп!V286</f>
        <v/>
      </c>
      <c r="N286" s="182">
        <f>Закуп!W286</f>
        <v/>
      </c>
      <c r="O286" s="183">
        <f>IF(OR(Закуп!L286="",Закуп!L286=0),"",Закуп!L286)</f>
        <v/>
      </c>
      <c r="P286" s="182">
        <f>Закуп!K286</f>
        <v/>
      </c>
      <c r="Q286" s="217">
        <f>IF(Закуп!D286="","",IF(LEFT(Закуп!D286,1)="0","0",Закуп!D286))</f>
        <v/>
      </c>
      <c r="R286" s="184">
        <f>Закуп!C286</f>
        <v/>
      </c>
    </row>
    <row r="287">
      <c r="A287" s="177">
        <f>Закуп!E287</f>
        <v/>
      </c>
      <c r="B287" s="178">
        <f>INDEX(Calc!$K:$K, (ROW(A286)-1)*5 + COLUMN(A286) + 1 )</f>
        <v/>
      </c>
      <c r="C287" s="178">
        <f>INDEX(Calc!$K:$K, (ROW(B286)-1)*5 + COLUMN(B286) + 1 )</f>
        <v/>
      </c>
      <c r="D287" s="179">
        <f>INDEX(Calc!$K:$K, (ROW(C286)-1)*5 + COLUMN(C286) + 1 )</f>
        <v/>
      </c>
      <c r="E287" s="180">
        <f>INDEX(Calc!$K:$K, (ROW(D286)-1)*5 + COLUMN(D286) + 1 )</f>
        <v/>
      </c>
      <c r="F287" s="181">
        <f>INDEX(Calc!$K:$K, (ROW(E286)-1)*5 + COLUMN(E286) + 1 )</f>
        <v/>
      </c>
      <c r="G287" s="182">
        <f>Закуп!O287</f>
        <v/>
      </c>
      <c r="H287" s="182">
        <f>Закуп!Q287</f>
        <v/>
      </c>
      <c r="I287" s="182">
        <f>Закуп!X287</f>
        <v/>
      </c>
      <c r="J287" s="182">
        <f>Закуп!Y287</f>
        <v/>
      </c>
      <c r="K287" s="182">
        <f>Закуп!Z287</f>
        <v/>
      </c>
      <c r="L287" s="182">
        <f>Закуп!AA287</f>
        <v/>
      </c>
      <c r="M287" s="182">
        <f>Закуп!V287</f>
        <v/>
      </c>
      <c r="N287" s="182">
        <f>Закуп!W287</f>
        <v/>
      </c>
      <c r="O287" s="183">
        <f>IF(OR(Закуп!L287="",Закуп!L287=0),"",Закуп!L287)</f>
        <v/>
      </c>
      <c r="P287" s="182">
        <f>Закуп!K287</f>
        <v/>
      </c>
      <c r="Q287" s="217">
        <f>IF(Закуп!D287="","",IF(LEFT(Закуп!D287,1)="0","0",Закуп!D287))</f>
        <v/>
      </c>
      <c r="R287" s="184">
        <f>Закуп!C287</f>
        <v/>
      </c>
    </row>
    <row r="288">
      <c r="A288" s="177">
        <f>Закуп!E288</f>
        <v/>
      </c>
      <c r="B288" s="178">
        <f>INDEX(Calc!$K:$K, (ROW(A287)-1)*5 + COLUMN(A287) + 1 )</f>
        <v/>
      </c>
      <c r="C288" s="178">
        <f>INDEX(Calc!$K:$K, (ROW(B287)-1)*5 + COLUMN(B287) + 1 )</f>
        <v/>
      </c>
      <c r="D288" s="179">
        <f>INDEX(Calc!$K:$K, (ROW(C287)-1)*5 + COLUMN(C287) + 1 )</f>
        <v/>
      </c>
      <c r="E288" s="180">
        <f>INDEX(Calc!$K:$K, (ROW(D287)-1)*5 + COLUMN(D287) + 1 )</f>
        <v/>
      </c>
      <c r="F288" s="181">
        <f>INDEX(Calc!$K:$K, (ROW(E287)-1)*5 + COLUMN(E287) + 1 )</f>
        <v/>
      </c>
      <c r="G288" s="182">
        <f>Закуп!O288</f>
        <v/>
      </c>
      <c r="H288" s="182">
        <f>Закуп!Q288</f>
        <v/>
      </c>
      <c r="I288" s="182">
        <f>Закуп!X288</f>
        <v/>
      </c>
      <c r="J288" s="182">
        <f>Закуп!Y288</f>
        <v/>
      </c>
      <c r="K288" s="182">
        <f>Закуп!Z288</f>
        <v/>
      </c>
      <c r="L288" s="182">
        <f>Закуп!AA288</f>
        <v/>
      </c>
      <c r="M288" s="182">
        <f>Закуп!V288</f>
        <v/>
      </c>
      <c r="N288" s="182">
        <f>Закуп!W288</f>
        <v/>
      </c>
      <c r="O288" s="183">
        <f>IF(OR(Закуп!L288="",Закуп!L288=0),"",Закуп!L288)</f>
        <v/>
      </c>
      <c r="P288" s="182">
        <f>Закуп!K288</f>
        <v/>
      </c>
      <c r="Q288" s="217">
        <f>IF(Закуп!D288="","",IF(LEFT(Закуп!D288,1)="0","0",Закуп!D288))</f>
        <v/>
      </c>
      <c r="R288" s="184">
        <f>Закуп!C288</f>
        <v/>
      </c>
    </row>
    <row r="289">
      <c r="A289" s="177">
        <f>Закуп!E289</f>
        <v/>
      </c>
      <c r="B289" s="178">
        <f>INDEX(Calc!$K:$K, (ROW(A288)-1)*5 + COLUMN(A288) + 1 )</f>
        <v/>
      </c>
      <c r="C289" s="178">
        <f>INDEX(Calc!$K:$K, (ROW(B288)-1)*5 + COLUMN(B288) + 1 )</f>
        <v/>
      </c>
      <c r="D289" s="179">
        <f>INDEX(Calc!$K:$K, (ROW(C288)-1)*5 + COLUMN(C288) + 1 )</f>
        <v/>
      </c>
      <c r="E289" s="180">
        <f>INDEX(Calc!$K:$K, (ROW(D288)-1)*5 + COLUMN(D288) + 1 )</f>
        <v/>
      </c>
      <c r="F289" s="181">
        <f>INDEX(Calc!$K:$K, (ROW(E288)-1)*5 + COLUMN(E288) + 1 )</f>
        <v/>
      </c>
      <c r="G289" s="182">
        <f>Закуп!O289</f>
        <v/>
      </c>
      <c r="H289" s="182">
        <f>Закуп!Q289</f>
        <v/>
      </c>
      <c r="I289" s="182">
        <f>Закуп!X289</f>
        <v/>
      </c>
      <c r="J289" s="182">
        <f>Закуп!Y289</f>
        <v/>
      </c>
      <c r="K289" s="182">
        <f>Закуп!Z289</f>
        <v/>
      </c>
      <c r="L289" s="182">
        <f>Закуп!AA289</f>
        <v/>
      </c>
      <c r="M289" s="182">
        <f>Закуп!V289</f>
        <v/>
      </c>
      <c r="N289" s="182">
        <f>Закуп!W289</f>
        <v/>
      </c>
      <c r="O289" s="183">
        <f>IF(OR(Закуп!L289="",Закуп!L289=0),"",Закуп!L289)</f>
        <v/>
      </c>
      <c r="P289" s="182">
        <f>Закуп!K289</f>
        <v/>
      </c>
      <c r="Q289" s="217">
        <f>IF(Закуп!D289="","",IF(LEFT(Закуп!D289,1)="0","0",Закуп!D289))</f>
        <v/>
      </c>
      <c r="R289" s="184">
        <f>Закуп!C289</f>
        <v/>
      </c>
    </row>
    <row r="290">
      <c r="A290" s="177">
        <f>Закуп!E290</f>
        <v/>
      </c>
      <c r="B290" s="178">
        <f>INDEX(Calc!$K:$K, (ROW(A289)-1)*5 + COLUMN(A289) + 1 )</f>
        <v/>
      </c>
      <c r="C290" s="178">
        <f>INDEX(Calc!$K:$K, (ROW(B289)-1)*5 + COLUMN(B289) + 1 )</f>
        <v/>
      </c>
      <c r="D290" s="179">
        <f>INDEX(Calc!$K:$K, (ROW(C289)-1)*5 + COLUMN(C289) + 1 )</f>
        <v/>
      </c>
      <c r="E290" s="180">
        <f>INDEX(Calc!$K:$K, (ROW(D289)-1)*5 + COLUMN(D289) + 1 )</f>
        <v/>
      </c>
      <c r="F290" s="181">
        <f>INDEX(Calc!$K:$K, (ROW(E289)-1)*5 + COLUMN(E289) + 1 )</f>
        <v/>
      </c>
      <c r="G290" s="182">
        <f>Закуп!O290</f>
        <v/>
      </c>
      <c r="H290" s="182">
        <f>Закуп!Q290</f>
        <v/>
      </c>
      <c r="I290" s="182">
        <f>Закуп!X290</f>
        <v/>
      </c>
      <c r="J290" s="182">
        <f>Закуп!Y290</f>
        <v/>
      </c>
      <c r="K290" s="182">
        <f>Закуп!Z290</f>
        <v/>
      </c>
      <c r="L290" s="182">
        <f>Закуп!AA290</f>
        <v/>
      </c>
      <c r="M290" s="182">
        <f>Закуп!V290</f>
        <v/>
      </c>
      <c r="N290" s="182">
        <f>Закуп!W290</f>
        <v/>
      </c>
      <c r="O290" s="183">
        <f>IF(OR(Закуп!L290="",Закуп!L290=0),"",Закуп!L290)</f>
        <v/>
      </c>
      <c r="P290" s="182">
        <f>Закуп!K290</f>
        <v/>
      </c>
      <c r="Q290" s="217">
        <f>IF(Закуп!D290="","",IF(LEFT(Закуп!D290,1)="0","0",Закуп!D290))</f>
        <v/>
      </c>
      <c r="R290" s="184">
        <f>Закуп!C290</f>
        <v/>
      </c>
    </row>
    <row r="291">
      <c r="A291" s="177">
        <f>Закуп!E291</f>
        <v/>
      </c>
      <c r="B291" s="178">
        <f>INDEX(Calc!$K:$K, (ROW(A290)-1)*5 + COLUMN(A290) + 1 )</f>
        <v/>
      </c>
      <c r="C291" s="178">
        <f>INDEX(Calc!$K:$K, (ROW(B290)-1)*5 + COLUMN(B290) + 1 )</f>
        <v/>
      </c>
      <c r="D291" s="179">
        <f>INDEX(Calc!$K:$K, (ROW(C290)-1)*5 + COLUMN(C290) + 1 )</f>
        <v/>
      </c>
      <c r="E291" s="180">
        <f>INDEX(Calc!$K:$K, (ROW(D290)-1)*5 + COLUMN(D290) + 1 )</f>
        <v/>
      </c>
      <c r="F291" s="181">
        <f>INDEX(Calc!$K:$K, (ROW(E290)-1)*5 + COLUMN(E290) + 1 )</f>
        <v/>
      </c>
      <c r="G291" s="182">
        <f>Закуп!O291</f>
        <v/>
      </c>
      <c r="H291" s="182">
        <f>Закуп!Q291</f>
        <v/>
      </c>
      <c r="I291" s="182">
        <f>Закуп!X291</f>
        <v/>
      </c>
      <c r="J291" s="182">
        <f>Закуп!Y291</f>
        <v/>
      </c>
      <c r="K291" s="182">
        <f>Закуп!Z291</f>
        <v/>
      </c>
      <c r="L291" s="182">
        <f>Закуп!AA291</f>
        <v/>
      </c>
      <c r="M291" s="182">
        <f>Закуп!V291</f>
        <v/>
      </c>
      <c r="N291" s="182">
        <f>Закуп!W291</f>
        <v/>
      </c>
      <c r="O291" s="183">
        <f>IF(OR(Закуп!L291="",Закуп!L291=0),"",Закуп!L291)</f>
        <v/>
      </c>
      <c r="P291" s="182">
        <f>Закуп!K291</f>
        <v/>
      </c>
      <c r="Q291" s="217">
        <f>IF(Закуп!D291="","",IF(LEFT(Закуп!D291,1)="0","0",Закуп!D291))</f>
        <v/>
      </c>
      <c r="R291" s="184">
        <f>Закуп!C291</f>
        <v/>
      </c>
    </row>
    <row r="292">
      <c r="A292" s="177">
        <f>Закуп!E292</f>
        <v/>
      </c>
      <c r="B292" s="178">
        <f>INDEX(Calc!$K:$K, (ROW(A291)-1)*5 + COLUMN(A291) + 1 )</f>
        <v/>
      </c>
      <c r="C292" s="178">
        <f>INDEX(Calc!$K:$K, (ROW(B291)-1)*5 + COLUMN(B291) + 1 )</f>
        <v/>
      </c>
      <c r="D292" s="179">
        <f>INDEX(Calc!$K:$K, (ROW(C291)-1)*5 + COLUMN(C291) + 1 )</f>
        <v/>
      </c>
      <c r="E292" s="180">
        <f>INDEX(Calc!$K:$K, (ROW(D291)-1)*5 + COLUMN(D291) + 1 )</f>
        <v/>
      </c>
      <c r="F292" s="181">
        <f>INDEX(Calc!$K:$K, (ROW(E291)-1)*5 + COLUMN(E291) + 1 )</f>
        <v/>
      </c>
      <c r="G292" s="182">
        <f>Закуп!O292</f>
        <v/>
      </c>
      <c r="H292" s="182">
        <f>Закуп!Q292</f>
        <v/>
      </c>
      <c r="I292" s="182">
        <f>Закуп!X292</f>
        <v/>
      </c>
      <c r="J292" s="182">
        <f>Закуп!Y292</f>
        <v/>
      </c>
      <c r="K292" s="182">
        <f>Закуп!Z292</f>
        <v/>
      </c>
      <c r="L292" s="182">
        <f>Закуп!AA292</f>
        <v/>
      </c>
      <c r="M292" s="182">
        <f>Закуп!V292</f>
        <v/>
      </c>
      <c r="N292" s="182">
        <f>Закуп!W292</f>
        <v/>
      </c>
      <c r="O292" s="183">
        <f>IF(OR(Закуп!L292="",Закуп!L292=0),"",Закуп!L292)</f>
        <v/>
      </c>
      <c r="P292" s="182">
        <f>Закуп!K292</f>
        <v/>
      </c>
      <c r="Q292" s="217">
        <f>IF(Закуп!D292="","",IF(LEFT(Закуп!D292,1)="0","0",Закуп!D292))</f>
        <v/>
      </c>
      <c r="R292" s="184">
        <f>Закуп!C292</f>
        <v/>
      </c>
    </row>
    <row r="293">
      <c r="A293" s="177">
        <f>Закуп!E293</f>
        <v/>
      </c>
      <c r="B293" s="178">
        <f>INDEX(Calc!$K:$K, (ROW(A292)-1)*5 + COLUMN(A292) + 1 )</f>
        <v/>
      </c>
      <c r="C293" s="178">
        <f>INDEX(Calc!$K:$K, (ROW(B292)-1)*5 + COLUMN(B292) + 1 )</f>
        <v/>
      </c>
      <c r="D293" s="179">
        <f>INDEX(Calc!$K:$K, (ROW(C292)-1)*5 + COLUMN(C292) + 1 )</f>
        <v/>
      </c>
      <c r="E293" s="180">
        <f>INDEX(Calc!$K:$K, (ROW(D292)-1)*5 + COLUMN(D292) + 1 )</f>
        <v/>
      </c>
      <c r="F293" s="181">
        <f>INDEX(Calc!$K:$K, (ROW(E292)-1)*5 + COLUMN(E292) + 1 )</f>
        <v/>
      </c>
      <c r="G293" s="182">
        <f>Закуп!O293</f>
        <v/>
      </c>
      <c r="H293" s="182">
        <f>Закуп!Q293</f>
        <v/>
      </c>
      <c r="I293" s="182">
        <f>Закуп!X293</f>
        <v/>
      </c>
      <c r="J293" s="182">
        <f>Закуп!Y293</f>
        <v/>
      </c>
      <c r="K293" s="182">
        <f>Закуп!Z293</f>
        <v/>
      </c>
      <c r="L293" s="182">
        <f>Закуп!AA293</f>
        <v/>
      </c>
      <c r="M293" s="182">
        <f>Закуп!V293</f>
        <v/>
      </c>
      <c r="N293" s="182">
        <f>Закуп!W293</f>
        <v/>
      </c>
      <c r="O293" s="183">
        <f>IF(OR(Закуп!L293="",Закуп!L293=0),"",Закуп!L293)</f>
        <v/>
      </c>
      <c r="P293" s="182">
        <f>Закуп!K293</f>
        <v/>
      </c>
      <c r="Q293" s="217">
        <f>IF(Закуп!D293="","",IF(LEFT(Закуп!D293,1)="0","0",Закуп!D293))</f>
        <v/>
      </c>
      <c r="R293" s="184">
        <f>Закуп!C293</f>
        <v/>
      </c>
    </row>
    <row r="294">
      <c r="A294" s="177">
        <f>Закуп!E294</f>
        <v/>
      </c>
      <c r="B294" s="178">
        <f>INDEX(Calc!$K:$K, (ROW(A293)-1)*5 + COLUMN(A293) + 1 )</f>
        <v/>
      </c>
      <c r="C294" s="178">
        <f>INDEX(Calc!$K:$K, (ROW(B293)-1)*5 + COLUMN(B293) + 1 )</f>
        <v/>
      </c>
      <c r="D294" s="179">
        <f>INDEX(Calc!$K:$K, (ROW(C293)-1)*5 + COLUMN(C293) + 1 )</f>
        <v/>
      </c>
      <c r="E294" s="180">
        <f>INDEX(Calc!$K:$K, (ROW(D293)-1)*5 + COLUMN(D293) + 1 )</f>
        <v/>
      </c>
      <c r="F294" s="181">
        <f>INDEX(Calc!$K:$K, (ROW(E293)-1)*5 + COLUMN(E293) + 1 )</f>
        <v/>
      </c>
      <c r="G294" s="182">
        <f>Закуп!O294</f>
        <v/>
      </c>
      <c r="H294" s="182">
        <f>Закуп!Q294</f>
        <v/>
      </c>
      <c r="I294" s="182">
        <f>Закуп!X294</f>
        <v/>
      </c>
      <c r="J294" s="182">
        <f>Закуп!Y294</f>
        <v/>
      </c>
      <c r="K294" s="182">
        <f>Закуп!Z294</f>
        <v/>
      </c>
      <c r="L294" s="182">
        <f>Закуп!AA294</f>
        <v/>
      </c>
      <c r="M294" s="182">
        <f>Закуп!V294</f>
        <v/>
      </c>
      <c r="N294" s="182">
        <f>Закуп!W294</f>
        <v/>
      </c>
      <c r="O294" s="183">
        <f>IF(OR(Закуп!L294="",Закуп!L294=0),"",Закуп!L294)</f>
        <v/>
      </c>
      <c r="P294" s="182">
        <f>Закуп!K294</f>
        <v/>
      </c>
      <c r="Q294" s="217">
        <f>IF(Закуп!D294="","",IF(LEFT(Закуп!D294,1)="0","0",Закуп!D294))</f>
        <v/>
      </c>
      <c r="R294" s="184">
        <f>Закуп!C294</f>
        <v/>
      </c>
    </row>
    <row r="295">
      <c r="A295" s="177">
        <f>Закуп!E295</f>
        <v/>
      </c>
      <c r="B295" s="178">
        <f>INDEX(Calc!$K:$K, (ROW(A294)-1)*5 + COLUMN(A294) + 1 )</f>
        <v/>
      </c>
      <c r="C295" s="178">
        <f>INDEX(Calc!$K:$K, (ROW(B294)-1)*5 + COLUMN(B294) + 1 )</f>
        <v/>
      </c>
      <c r="D295" s="179">
        <f>INDEX(Calc!$K:$K, (ROW(C294)-1)*5 + COLUMN(C294) + 1 )</f>
        <v/>
      </c>
      <c r="E295" s="180">
        <f>INDEX(Calc!$K:$K, (ROW(D294)-1)*5 + COLUMN(D294) + 1 )</f>
        <v/>
      </c>
      <c r="F295" s="181">
        <f>INDEX(Calc!$K:$K, (ROW(E294)-1)*5 + COLUMN(E294) + 1 )</f>
        <v/>
      </c>
      <c r="G295" s="182">
        <f>Закуп!O295</f>
        <v/>
      </c>
      <c r="H295" s="182">
        <f>Закуп!Q295</f>
        <v/>
      </c>
      <c r="I295" s="182">
        <f>Закуп!X295</f>
        <v/>
      </c>
      <c r="J295" s="182">
        <f>Закуп!Y295</f>
        <v/>
      </c>
      <c r="K295" s="182">
        <f>Закуп!Z295</f>
        <v/>
      </c>
      <c r="L295" s="182">
        <f>Закуп!AA295</f>
        <v/>
      </c>
      <c r="M295" s="182">
        <f>Закуп!V295</f>
        <v/>
      </c>
      <c r="N295" s="182">
        <f>Закуп!W295</f>
        <v/>
      </c>
      <c r="O295" s="183">
        <f>IF(OR(Закуп!L295="",Закуп!L295=0),"",Закуп!L295)</f>
        <v/>
      </c>
      <c r="P295" s="182">
        <f>Закуп!K295</f>
        <v/>
      </c>
      <c r="Q295" s="217">
        <f>IF(Закуп!D295="","",IF(LEFT(Закуп!D295,1)="0","0",Закуп!D295))</f>
        <v/>
      </c>
      <c r="R295" s="184">
        <f>Закуп!C295</f>
        <v/>
      </c>
    </row>
    <row r="296">
      <c r="A296" s="177">
        <f>Закуп!E296</f>
        <v/>
      </c>
      <c r="B296" s="178">
        <f>INDEX(Calc!$K:$K, (ROW(A295)-1)*5 + COLUMN(A295) + 1 )</f>
        <v/>
      </c>
      <c r="C296" s="178">
        <f>INDEX(Calc!$K:$K, (ROW(B295)-1)*5 + COLUMN(B295) + 1 )</f>
        <v/>
      </c>
      <c r="D296" s="179">
        <f>INDEX(Calc!$K:$K, (ROW(C295)-1)*5 + COLUMN(C295) + 1 )</f>
        <v/>
      </c>
      <c r="E296" s="180">
        <f>INDEX(Calc!$K:$K, (ROW(D295)-1)*5 + COLUMN(D295) + 1 )</f>
        <v/>
      </c>
      <c r="F296" s="181">
        <f>INDEX(Calc!$K:$K, (ROW(E295)-1)*5 + COLUMN(E295) + 1 )</f>
        <v/>
      </c>
      <c r="G296" s="182">
        <f>Закуп!O296</f>
        <v/>
      </c>
      <c r="H296" s="182">
        <f>Закуп!Q296</f>
        <v/>
      </c>
      <c r="I296" s="182">
        <f>Закуп!X296</f>
        <v/>
      </c>
      <c r="J296" s="182">
        <f>Закуп!Y296</f>
        <v/>
      </c>
      <c r="K296" s="182">
        <f>Закуп!Z296</f>
        <v/>
      </c>
      <c r="L296" s="182">
        <f>Закуп!AA296</f>
        <v/>
      </c>
      <c r="M296" s="182">
        <f>Закуп!V296</f>
        <v/>
      </c>
      <c r="N296" s="182">
        <f>Закуп!W296</f>
        <v/>
      </c>
      <c r="O296" s="183">
        <f>IF(OR(Закуп!L296="",Закуп!L296=0),"",Закуп!L296)</f>
        <v/>
      </c>
      <c r="P296" s="182">
        <f>Закуп!K296</f>
        <v/>
      </c>
      <c r="Q296" s="217">
        <f>IF(Закуп!D296="","",IF(LEFT(Закуп!D296,1)="0","0",Закуп!D296))</f>
        <v/>
      </c>
      <c r="R296" s="184">
        <f>Закуп!C296</f>
        <v/>
      </c>
    </row>
    <row r="297">
      <c r="A297" s="177">
        <f>Закуп!E297</f>
        <v/>
      </c>
      <c r="B297" s="178">
        <f>INDEX(Calc!$K:$K, (ROW(A296)-1)*5 + COLUMN(A296) + 1 )</f>
        <v/>
      </c>
      <c r="C297" s="178">
        <f>INDEX(Calc!$K:$K, (ROW(B296)-1)*5 + COLUMN(B296) + 1 )</f>
        <v/>
      </c>
      <c r="D297" s="179">
        <f>INDEX(Calc!$K:$K, (ROW(C296)-1)*5 + COLUMN(C296) + 1 )</f>
        <v/>
      </c>
      <c r="E297" s="180">
        <f>INDEX(Calc!$K:$K, (ROW(D296)-1)*5 + COLUMN(D296) + 1 )</f>
        <v/>
      </c>
      <c r="F297" s="181">
        <f>INDEX(Calc!$K:$K, (ROW(E296)-1)*5 + COLUMN(E296) + 1 )</f>
        <v/>
      </c>
      <c r="G297" s="182">
        <f>Закуп!O297</f>
        <v/>
      </c>
      <c r="H297" s="182">
        <f>Закуп!Q297</f>
        <v/>
      </c>
      <c r="I297" s="182">
        <f>Закуп!X297</f>
        <v/>
      </c>
      <c r="J297" s="182">
        <f>Закуп!Y297</f>
        <v/>
      </c>
      <c r="K297" s="182">
        <f>Закуп!Z297</f>
        <v/>
      </c>
      <c r="L297" s="182">
        <f>Закуп!AA297</f>
        <v/>
      </c>
      <c r="M297" s="182">
        <f>Закуп!V297</f>
        <v/>
      </c>
      <c r="N297" s="182">
        <f>Закуп!W297</f>
        <v/>
      </c>
      <c r="O297" s="183">
        <f>IF(OR(Закуп!L297="",Закуп!L297=0),"",Закуп!L297)</f>
        <v/>
      </c>
      <c r="P297" s="182">
        <f>Закуп!K297</f>
        <v/>
      </c>
      <c r="Q297" s="217">
        <f>IF(Закуп!D297="","",IF(LEFT(Закуп!D297,1)="0","0",Закуп!D297))</f>
        <v/>
      </c>
      <c r="R297" s="184">
        <f>Закуп!C297</f>
        <v/>
      </c>
    </row>
    <row r="298">
      <c r="A298" s="177">
        <f>Закуп!E298</f>
        <v/>
      </c>
      <c r="B298" s="178">
        <f>INDEX(Calc!$K:$K, (ROW(A297)-1)*5 + COLUMN(A297) + 1 )</f>
        <v/>
      </c>
      <c r="C298" s="178">
        <f>INDEX(Calc!$K:$K, (ROW(B297)-1)*5 + COLUMN(B297) + 1 )</f>
        <v/>
      </c>
      <c r="D298" s="179">
        <f>INDEX(Calc!$K:$K, (ROW(C297)-1)*5 + COLUMN(C297) + 1 )</f>
        <v/>
      </c>
      <c r="E298" s="180">
        <f>INDEX(Calc!$K:$K, (ROW(D297)-1)*5 + COLUMN(D297) + 1 )</f>
        <v/>
      </c>
      <c r="F298" s="181">
        <f>INDEX(Calc!$K:$K, (ROW(E297)-1)*5 + COLUMN(E297) + 1 )</f>
        <v/>
      </c>
      <c r="G298" s="182">
        <f>Закуп!O298</f>
        <v/>
      </c>
      <c r="H298" s="182">
        <f>Закуп!Q298</f>
        <v/>
      </c>
      <c r="I298" s="182">
        <f>Закуп!X298</f>
        <v/>
      </c>
      <c r="J298" s="182">
        <f>Закуп!Y298</f>
        <v/>
      </c>
      <c r="K298" s="182">
        <f>Закуп!Z298</f>
        <v/>
      </c>
      <c r="L298" s="182">
        <f>Закуп!AA298</f>
        <v/>
      </c>
      <c r="M298" s="182">
        <f>Закуп!V298</f>
        <v/>
      </c>
      <c r="N298" s="182">
        <f>Закуп!W298</f>
        <v/>
      </c>
      <c r="O298" s="183">
        <f>IF(OR(Закуп!L298="",Закуп!L298=0),"",Закуп!L298)</f>
        <v/>
      </c>
      <c r="P298" s="182">
        <f>Закуп!K298</f>
        <v/>
      </c>
      <c r="Q298" s="217">
        <f>IF(Закуп!D298="","",IF(LEFT(Закуп!D298,1)="0","0",Закуп!D298))</f>
        <v/>
      </c>
      <c r="R298" s="184">
        <f>Закуп!C298</f>
        <v/>
      </c>
    </row>
    <row r="299">
      <c r="A299" s="177">
        <f>Закуп!E299</f>
        <v/>
      </c>
      <c r="B299" s="178">
        <f>INDEX(Calc!$K:$K, (ROW(A298)-1)*5 + COLUMN(A298) + 1 )</f>
        <v/>
      </c>
      <c r="C299" s="178">
        <f>INDEX(Calc!$K:$K, (ROW(B298)-1)*5 + COLUMN(B298) + 1 )</f>
        <v/>
      </c>
      <c r="D299" s="179">
        <f>INDEX(Calc!$K:$K, (ROW(C298)-1)*5 + COLUMN(C298) + 1 )</f>
        <v/>
      </c>
      <c r="E299" s="180">
        <f>INDEX(Calc!$K:$K, (ROW(D298)-1)*5 + COLUMN(D298) + 1 )</f>
        <v/>
      </c>
      <c r="F299" s="181">
        <f>INDEX(Calc!$K:$K, (ROW(E298)-1)*5 + COLUMN(E298) + 1 )</f>
        <v/>
      </c>
      <c r="G299" s="182">
        <f>Закуп!O299</f>
        <v/>
      </c>
      <c r="H299" s="182">
        <f>Закуп!Q299</f>
        <v/>
      </c>
      <c r="I299" s="182">
        <f>Закуп!X299</f>
        <v/>
      </c>
      <c r="J299" s="182">
        <f>Закуп!Y299</f>
        <v/>
      </c>
      <c r="K299" s="182">
        <f>Закуп!Z299</f>
        <v/>
      </c>
      <c r="L299" s="182">
        <f>Закуп!AA299</f>
        <v/>
      </c>
      <c r="M299" s="182">
        <f>Закуп!V299</f>
        <v/>
      </c>
      <c r="N299" s="182">
        <f>Закуп!W299</f>
        <v/>
      </c>
      <c r="O299" s="183">
        <f>IF(OR(Закуп!L299="",Закуп!L299=0),"",Закуп!L299)</f>
        <v/>
      </c>
      <c r="P299" s="182">
        <f>Закуп!K299</f>
        <v/>
      </c>
      <c r="Q299" s="217">
        <f>IF(Закуп!D299="","",IF(LEFT(Закуп!D299,1)="0","0",Закуп!D299))</f>
        <v/>
      </c>
      <c r="R299" s="184">
        <f>Закуп!C299</f>
        <v/>
      </c>
    </row>
    <row r="300">
      <c r="A300" s="177">
        <f>Закуп!E300</f>
        <v/>
      </c>
      <c r="B300" s="178">
        <f>INDEX(Calc!$K:$K, (ROW(A299)-1)*5 + COLUMN(A299) + 1 )</f>
        <v/>
      </c>
      <c r="C300" s="178">
        <f>INDEX(Calc!$K:$K, (ROW(B299)-1)*5 + COLUMN(B299) + 1 )</f>
        <v/>
      </c>
      <c r="D300" s="179">
        <f>INDEX(Calc!$K:$K, (ROW(C299)-1)*5 + COLUMN(C299) + 1 )</f>
        <v/>
      </c>
      <c r="E300" s="180">
        <f>INDEX(Calc!$K:$K, (ROW(D299)-1)*5 + COLUMN(D299) + 1 )</f>
        <v/>
      </c>
      <c r="F300" s="181">
        <f>INDEX(Calc!$K:$K, (ROW(E299)-1)*5 + COLUMN(E299) + 1 )</f>
        <v/>
      </c>
      <c r="G300" s="182">
        <f>Закуп!O300</f>
        <v/>
      </c>
      <c r="H300" s="182">
        <f>Закуп!Q300</f>
        <v/>
      </c>
      <c r="I300" s="182">
        <f>Закуп!X300</f>
        <v/>
      </c>
      <c r="J300" s="182">
        <f>Закуп!Y300</f>
        <v/>
      </c>
      <c r="K300" s="182">
        <f>Закуп!Z300</f>
        <v/>
      </c>
      <c r="L300" s="182">
        <f>Закуп!AA300</f>
        <v/>
      </c>
      <c r="M300" s="182">
        <f>Закуп!V300</f>
        <v/>
      </c>
      <c r="N300" s="182">
        <f>Закуп!W300</f>
        <v/>
      </c>
      <c r="O300" s="183">
        <f>IF(OR(Закуп!L300="",Закуп!L300=0),"",Закуп!L300)</f>
        <v/>
      </c>
      <c r="P300" s="182">
        <f>Закуп!K300</f>
        <v/>
      </c>
      <c r="Q300" s="217">
        <f>IF(Закуп!D300="","",IF(LEFT(Закуп!D300,1)="0","0",Закуп!D300))</f>
        <v/>
      </c>
      <c r="R300" s="184">
        <f>Закуп!C300</f>
        <v/>
      </c>
    </row>
    <row r="301">
      <c r="A301" s="177">
        <f>Закуп!E301</f>
        <v/>
      </c>
      <c r="B301" s="178">
        <f>INDEX(Calc!$K:$K, (ROW(A300)-1)*5 + COLUMN(A300) + 1 )</f>
        <v/>
      </c>
      <c r="C301" s="178">
        <f>INDEX(Calc!$K:$K, (ROW(B300)-1)*5 + COLUMN(B300) + 1 )</f>
        <v/>
      </c>
      <c r="D301" s="179">
        <f>INDEX(Calc!$K:$K, (ROW(C300)-1)*5 + COLUMN(C300) + 1 )</f>
        <v/>
      </c>
      <c r="E301" s="180">
        <f>INDEX(Calc!$K:$K, (ROW(D300)-1)*5 + COLUMN(D300) + 1 )</f>
        <v/>
      </c>
      <c r="F301" s="181">
        <f>INDEX(Calc!$K:$K, (ROW(E300)-1)*5 + COLUMN(E300) + 1 )</f>
        <v/>
      </c>
      <c r="G301" s="182">
        <f>Закуп!O301</f>
        <v/>
      </c>
      <c r="H301" s="182">
        <f>Закуп!Q301</f>
        <v/>
      </c>
      <c r="I301" s="182">
        <f>Закуп!X301</f>
        <v/>
      </c>
      <c r="J301" s="182">
        <f>Закуп!Y301</f>
        <v/>
      </c>
      <c r="K301" s="182">
        <f>Закуп!Z301</f>
        <v/>
      </c>
      <c r="L301" s="182">
        <f>Закуп!AA301</f>
        <v/>
      </c>
      <c r="M301" s="182">
        <f>Закуп!V301</f>
        <v/>
      </c>
      <c r="N301" s="182">
        <f>Закуп!W301</f>
        <v/>
      </c>
      <c r="O301" s="183">
        <f>IF(OR(Закуп!L301="",Закуп!L301=0),"",Закуп!L301)</f>
        <v/>
      </c>
      <c r="P301" s="182">
        <f>Закуп!K301</f>
        <v/>
      </c>
      <c r="Q301" s="217">
        <f>IF(Закуп!D301="","",IF(LEFT(Закуп!D301,1)="0","0",Закуп!D301))</f>
        <v/>
      </c>
      <c r="R301" s="184">
        <f>Закуп!C301</f>
        <v/>
      </c>
    </row>
    <row r="302">
      <c r="A302" s="177">
        <f>Закуп!E302</f>
        <v/>
      </c>
      <c r="B302" s="178">
        <f>INDEX(Calc!$K:$K, (ROW(A301)-1)*5 + COLUMN(A301) + 1 )</f>
        <v/>
      </c>
      <c r="C302" s="178">
        <f>INDEX(Calc!$K:$K, (ROW(B301)-1)*5 + COLUMN(B301) + 1 )</f>
        <v/>
      </c>
      <c r="D302" s="179">
        <f>INDEX(Calc!$K:$K, (ROW(C301)-1)*5 + COLUMN(C301) + 1 )</f>
        <v/>
      </c>
      <c r="E302" s="180">
        <f>INDEX(Calc!$K:$K, (ROW(D301)-1)*5 + COLUMN(D301) + 1 )</f>
        <v/>
      </c>
      <c r="F302" s="181">
        <f>INDEX(Calc!$K:$K, (ROW(E301)-1)*5 + COLUMN(E301) + 1 )</f>
        <v/>
      </c>
      <c r="G302" s="182">
        <f>Закуп!O302</f>
        <v/>
      </c>
      <c r="H302" s="182">
        <f>Закуп!Q302</f>
        <v/>
      </c>
      <c r="I302" s="182">
        <f>Закуп!X302</f>
        <v/>
      </c>
      <c r="J302" s="182">
        <f>Закуп!Y302</f>
        <v/>
      </c>
      <c r="K302" s="182">
        <f>Закуп!Z302</f>
        <v/>
      </c>
      <c r="L302" s="182">
        <f>Закуп!AA302</f>
        <v/>
      </c>
      <c r="M302" s="182">
        <f>Закуп!V302</f>
        <v/>
      </c>
      <c r="N302" s="182">
        <f>Закуп!W302</f>
        <v/>
      </c>
      <c r="O302" s="183">
        <f>IF(OR(Закуп!L302="",Закуп!L302=0),"",Закуп!L302)</f>
        <v/>
      </c>
      <c r="P302" s="182">
        <f>Закуп!K302</f>
        <v/>
      </c>
      <c r="Q302" s="217">
        <f>IF(Закуп!D302="","",IF(LEFT(Закуп!D302,1)="0","0",Закуп!D302))</f>
        <v/>
      </c>
      <c r="R302" s="184">
        <f>Закуп!C302</f>
        <v/>
      </c>
    </row>
    <row r="303">
      <c r="A303" s="177">
        <f>Закуп!E303</f>
        <v/>
      </c>
      <c r="B303" s="178">
        <f>INDEX(Calc!$K:$K, (ROW(A302)-1)*5 + COLUMN(A302) + 1 )</f>
        <v/>
      </c>
      <c r="C303" s="178">
        <f>INDEX(Calc!$K:$K, (ROW(B302)-1)*5 + COLUMN(B302) + 1 )</f>
        <v/>
      </c>
      <c r="D303" s="179">
        <f>INDEX(Calc!$K:$K, (ROW(C302)-1)*5 + COLUMN(C302) + 1 )</f>
        <v/>
      </c>
      <c r="E303" s="180">
        <f>INDEX(Calc!$K:$K, (ROW(D302)-1)*5 + COLUMN(D302) + 1 )</f>
        <v/>
      </c>
      <c r="F303" s="181">
        <f>INDEX(Calc!$K:$K, (ROW(E302)-1)*5 + COLUMN(E302) + 1 )</f>
        <v/>
      </c>
      <c r="G303" s="182">
        <f>Закуп!O303</f>
        <v/>
      </c>
      <c r="H303" s="182">
        <f>Закуп!Q303</f>
        <v/>
      </c>
      <c r="I303" s="182">
        <f>Закуп!X303</f>
        <v/>
      </c>
      <c r="J303" s="182">
        <f>Закуп!Y303</f>
        <v/>
      </c>
      <c r="K303" s="182">
        <f>Закуп!Z303</f>
        <v/>
      </c>
      <c r="L303" s="182">
        <f>Закуп!AA303</f>
        <v/>
      </c>
      <c r="M303" s="182">
        <f>Закуп!V303</f>
        <v/>
      </c>
      <c r="N303" s="182">
        <f>Закуп!W303</f>
        <v/>
      </c>
      <c r="O303" s="183">
        <f>IF(OR(Закуп!L303="",Закуп!L303=0),"",Закуп!L303)</f>
        <v/>
      </c>
      <c r="P303" s="182">
        <f>Закуп!K303</f>
        <v/>
      </c>
      <c r="Q303" s="217">
        <f>IF(Закуп!D303="","",IF(LEFT(Закуп!D303,1)="0","0",Закуп!D303))</f>
        <v/>
      </c>
      <c r="R303" s="184">
        <f>Закуп!C303</f>
        <v/>
      </c>
    </row>
    <row r="304">
      <c r="A304" s="177">
        <f>Закуп!E304</f>
        <v/>
      </c>
      <c r="B304" s="178">
        <f>INDEX(Calc!$K:$K, (ROW(A303)-1)*5 + COLUMN(A303) + 1 )</f>
        <v/>
      </c>
      <c r="C304" s="178">
        <f>INDEX(Calc!$K:$K, (ROW(B303)-1)*5 + COLUMN(B303) + 1 )</f>
        <v/>
      </c>
      <c r="D304" s="179">
        <f>INDEX(Calc!$K:$K, (ROW(C303)-1)*5 + COLUMN(C303) + 1 )</f>
        <v/>
      </c>
      <c r="E304" s="180">
        <f>INDEX(Calc!$K:$K, (ROW(D303)-1)*5 + COLUMN(D303) + 1 )</f>
        <v/>
      </c>
      <c r="F304" s="181">
        <f>INDEX(Calc!$K:$K, (ROW(E303)-1)*5 + COLUMN(E303) + 1 )</f>
        <v/>
      </c>
      <c r="G304" s="182">
        <f>Закуп!O304</f>
        <v/>
      </c>
      <c r="H304" s="182">
        <f>Закуп!Q304</f>
        <v/>
      </c>
      <c r="I304" s="182">
        <f>Закуп!X304</f>
        <v/>
      </c>
      <c r="J304" s="182">
        <f>Закуп!Y304</f>
        <v/>
      </c>
      <c r="K304" s="182">
        <f>Закуп!Z304</f>
        <v/>
      </c>
      <c r="L304" s="182">
        <f>Закуп!AA304</f>
        <v/>
      </c>
      <c r="M304" s="182">
        <f>Закуп!V304</f>
        <v/>
      </c>
      <c r="N304" s="182">
        <f>Закуп!W304</f>
        <v/>
      </c>
      <c r="O304" s="183">
        <f>IF(OR(Закуп!L304="",Закуп!L304=0),"",Закуп!L304)</f>
        <v/>
      </c>
      <c r="P304" s="182">
        <f>Закуп!K304</f>
        <v/>
      </c>
      <c r="Q304" s="217">
        <f>IF(Закуп!D304="","",IF(LEFT(Закуп!D304,1)="0","0",Закуп!D304))</f>
        <v/>
      </c>
      <c r="R304" s="184">
        <f>Закуп!C304</f>
        <v/>
      </c>
    </row>
    <row r="305">
      <c r="A305" s="177">
        <f>Закуп!E305</f>
        <v/>
      </c>
      <c r="B305" s="178">
        <f>INDEX(Calc!$K:$K, (ROW(A304)-1)*5 + COLUMN(A304) + 1 )</f>
        <v/>
      </c>
      <c r="C305" s="178">
        <f>INDEX(Calc!$K:$K, (ROW(B304)-1)*5 + COLUMN(B304) + 1 )</f>
        <v/>
      </c>
      <c r="D305" s="179">
        <f>INDEX(Calc!$K:$K, (ROW(C304)-1)*5 + COLUMN(C304) + 1 )</f>
        <v/>
      </c>
      <c r="E305" s="180">
        <f>INDEX(Calc!$K:$K, (ROW(D304)-1)*5 + COLUMN(D304) + 1 )</f>
        <v/>
      </c>
      <c r="F305" s="181">
        <f>INDEX(Calc!$K:$K, (ROW(E304)-1)*5 + COLUMN(E304) + 1 )</f>
        <v/>
      </c>
      <c r="G305" s="182">
        <f>Закуп!O305</f>
        <v/>
      </c>
      <c r="H305" s="182">
        <f>Закуп!Q305</f>
        <v/>
      </c>
      <c r="I305" s="182">
        <f>Закуп!X305</f>
        <v/>
      </c>
      <c r="J305" s="182">
        <f>Закуп!Y305</f>
        <v/>
      </c>
      <c r="K305" s="182">
        <f>Закуп!Z305</f>
        <v/>
      </c>
      <c r="L305" s="182">
        <f>Закуп!AA305</f>
        <v/>
      </c>
      <c r="M305" s="182">
        <f>Закуп!V305</f>
        <v/>
      </c>
      <c r="N305" s="182">
        <f>Закуп!W305</f>
        <v/>
      </c>
      <c r="O305" s="183">
        <f>IF(OR(Закуп!L305="",Закуп!L305=0),"",Закуп!L305)</f>
        <v/>
      </c>
      <c r="P305" s="182">
        <f>Закуп!K305</f>
        <v/>
      </c>
      <c r="Q305" s="217">
        <f>IF(Закуп!D305="","",IF(LEFT(Закуп!D305,1)="0","0",Закуп!D305))</f>
        <v/>
      </c>
      <c r="R305" s="184">
        <f>Закуп!C305</f>
        <v/>
      </c>
    </row>
    <row r="306">
      <c r="A306" s="177">
        <f>Закуп!E306</f>
        <v/>
      </c>
      <c r="B306" s="178">
        <f>INDEX(Calc!$K:$K, (ROW(A305)-1)*5 + COLUMN(A305) + 1 )</f>
        <v/>
      </c>
      <c r="C306" s="178">
        <f>INDEX(Calc!$K:$K, (ROW(B305)-1)*5 + COLUMN(B305) + 1 )</f>
        <v/>
      </c>
      <c r="D306" s="179">
        <f>INDEX(Calc!$K:$K, (ROW(C305)-1)*5 + COLUMN(C305) + 1 )</f>
        <v/>
      </c>
      <c r="E306" s="180">
        <f>INDEX(Calc!$K:$K, (ROW(D305)-1)*5 + COLUMN(D305) + 1 )</f>
        <v/>
      </c>
      <c r="F306" s="181">
        <f>INDEX(Calc!$K:$K, (ROW(E305)-1)*5 + COLUMN(E305) + 1 )</f>
        <v/>
      </c>
      <c r="G306" s="182">
        <f>Закуп!O306</f>
        <v/>
      </c>
      <c r="H306" s="182">
        <f>Закуп!Q306</f>
        <v/>
      </c>
      <c r="I306" s="182">
        <f>Закуп!X306</f>
        <v/>
      </c>
      <c r="J306" s="182">
        <f>Закуп!Y306</f>
        <v/>
      </c>
      <c r="K306" s="182">
        <f>Закуп!Z306</f>
        <v/>
      </c>
      <c r="L306" s="182">
        <f>Закуп!AA306</f>
        <v/>
      </c>
      <c r="M306" s="182">
        <f>Закуп!V306</f>
        <v/>
      </c>
      <c r="N306" s="182">
        <f>Закуп!W306</f>
        <v/>
      </c>
      <c r="O306" s="183">
        <f>IF(OR(Закуп!L306="",Закуп!L306=0),"",Закуп!L306)</f>
        <v/>
      </c>
      <c r="P306" s="182">
        <f>Закуп!K306</f>
        <v/>
      </c>
      <c r="Q306" s="217">
        <f>IF(Закуп!D306="","",IF(LEFT(Закуп!D306,1)="0","0",Закуп!D306))</f>
        <v/>
      </c>
      <c r="R306" s="184">
        <f>Закуп!C306</f>
        <v/>
      </c>
    </row>
    <row r="307">
      <c r="A307" s="177">
        <f>Закуп!E307</f>
        <v/>
      </c>
      <c r="B307" s="178">
        <f>INDEX(Calc!$K:$K, (ROW(A306)-1)*5 + COLUMN(A306) + 1 )</f>
        <v/>
      </c>
      <c r="C307" s="178">
        <f>INDEX(Calc!$K:$K, (ROW(B306)-1)*5 + COLUMN(B306) + 1 )</f>
        <v/>
      </c>
      <c r="D307" s="179">
        <f>INDEX(Calc!$K:$K, (ROW(C306)-1)*5 + COLUMN(C306) + 1 )</f>
        <v/>
      </c>
      <c r="E307" s="180">
        <f>INDEX(Calc!$K:$K, (ROW(D306)-1)*5 + COLUMN(D306) + 1 )</f>
        <v/>
      </c>
      <c r="F307" s="181">
        <f>INDEX(Calc!$K:$K, (ROW(E306)-1)*5 + COLUMN(E306) + 1 )</f>
        <v/>
      </c>
      <c r="G307" s="182">
        <f>Закуп!O307</f>
        <v/>
      </c>
      <c r="H307" s="182">
        <f>Закуп!Q307</f>
        <v/>
      </c>
      <c r="I307" s="182">
        <f>Закуп!X307</f>
        <v/>
      </c>
      <c r="J307" s="182">
        <f>Закуп!Y307</f>
        <v/>
      </c>
      <c r="K307" s="182">
        <f>Закуп!Z307</f>
        <v/>
      </c>
      <c r="L307" s="182">
        <f>Закуп!AA307</f>
        <v/>
      </c>
      <c r="M307" s="182">
        <f>Закуп!V307</f>
        <v/>
      </c>
      <c r="N307" s="182">
        <f>Закуп!W307</f>
        <v/>
      </c>
      <c r="O307" s="183">
        <f>IF(OR(Закуп!L307="",Закуп!L307=0),"",Закуп!L307)</f>
        <v/>
      </c>
      <c r="P307" s="182">
        <f>Закуп!K307</f>
        <v/>
      </c>
      <c r="Q307" s="217">
        <f>IF(Закуп!D307="","",IF(LEFT(Закуп!D307,1)="0","0",Закуп!D307))</f>
        <v/>
      </c>
      <c r="R307" s="184">
        <f>Закуп!C307</f>
        <v/>
      </c>
    </row>
    <row r="308">
      <c r="A308" s="177">
        <f>Закуп!E308</f>
        <v/>
      </c>
      <c r="B308" s="178">
        <f>INDEX(Calc!$K:$K, (ROW(A307)-1)*5 + COLUMN(A307) + 1 )</f>
        <v/>
      </c>
      <c r="C308" s="178">
        <f>INDEX(Calc!$K:$K, (ROW(B307)-1)*5 + COLUMN(B307) + 1 )</f>
        <v/>
      </c>
      <c r="D308" s="179">
        <f>INDEX(Calc!$K:$K, (ROW(C307)-1)*5 + COLUMN(C307) + 1 )</f>
        <v/>
      </c>
      <c r="E308" s="180">
        <f>INDEX(Calc!$K:$K, (ROW(D307)-1)*5 + COLUMN(D307) + 1 )</f>
        <v/>
      </c>
      <c r="F308" s="181">
        <f>INDEX(Calc!$K:$K, (ROW(E307)-1)*5 + COLUMN(E307) + 1 )</f>
        <v/>
      </c>
      <c r="G308" s="182">
        <f>Закуп!O308</f>
        <v/>
      </c>
      <c r="H308" s="182">
        <f>Закуп!Q308</f>
        <v/>
      </c>
      <c r="I308" s="182">
        <f>Закуп!X308</f>
        <v/>
      </c>
      <c r="J308" s="182">
        <f>Закуп!Y308</f>
        <v/>
      </c>
      <c r="K308" s="182">
        <f>Закуп!Z308</f>
        <v/>
      </c>
      <c r="L308" s="182">
        <f>Закуп!AA308</f>
        <v/>
      </c>
      <c r="M308" s="182">
        <f>Закуп!V308</f>
        <v/>
      </c>
      <c r="N308" s="182">
        <f>Закуп!W308</f>
        <v/>
      </c>
      <c r="O308" s="183">
        <f>IF(OR(Закуп!L308="",Закуп!L308=0),"",Закуп!L308)</f>
        <v/>
      </c>
      <c r="P308" s="182">
        <f>Закуп!K308</f>
        <v/>
      </c>
      <c r="Q308" s="217">
        <f>IF(Закуп!D308="","",IF(LEFT(Закуп!D308,1)="0","0",Закуп!D308))</f>
        <v/>
      </c>
      <c r="R308" s="184">
        <f>Закуп!C308</f>
        <v/>
      </c>
    </row>
    <row r="309">
      <c r="A309" s="177">
        <f>Закуп!E309</f>
        <v/>
      </c>
      <c r="B309" s="178">
        <f>INDEX(Calc!$K:$K, (ROW(A308)-1)*5 + COLUMN(A308) + 1 )</f>
        <v/>
      </c>
      <c r="C309" s="178">
        <f>INDEX(Calc!$K:$K, (ROW(B308)-1)*5 + COLUMN(B308) + 1 )</f>
        <v/>
      </c>
      <c r="D309" s="179">
        <f>INDEX(Calc!$K:$K, (ROW(C308)-1)*5 + COLUMN(C308) + 1 )</f>
        <v/>
      </c>
      <c r="E309" s="180">
        <f>INDEX(Calc!$K:$K, (ROW(D308)-1)*5 + COLUMN(D308) + 1 )</f>
        <v/>
      </c>
      <c r="F309" s="181">
        <f>INDEX(Calc!$K:$K, (ROW(E308)-1)*5 + COLUMN(E308) + 1 )</f>
        <v/>
      </c>
      <c r="G309" s="182">
        <f>Закуп!O309</f>
        <v/>
      </c>
      <c r="H309" s="182">
        <f>Закуп!Q309</f>
        <v/>
      </c>
      <c r="I309" s="182">
        <f>Закуп!X309</f>
        <v/>
      </c>
      <c r="J309" s="182">
        <f>Закуп!Y309</f>
        <v/>
      </c>
      <c r="K309" s="182">
        <f>Закуп!Z309</f>
        <v/>
      </c>
      <c r="L309" s="182">
        <f>Закуп!AA309</f>
        <v/>
      </c>
      <c r="M309" s="182">
        <f>Закуп!V309</f>
        <v/>
      </c>
      <c r="N309" s="182">
        <f>Закуп!W309</f>
        <v/>
      </c>
      <c r="O309" s="183">
        <f>IF(OR(Закуп!L309="",Закуп!L309=0),"",Закуп!L309)</f>
        <v/>
      </c>
      <c r="P309" s="182">
        <f>Закуп!K309</f>
        <v/>
      </c>
      <c r="Q309" s="217">
        <f>IF(Закуп!D309="","",IF(LEFT(Закуп!D309,1)="0","0",Закуп!D309))</f>
        <v/>
      </c>
      <c r="R309" s="184">
        <f>Закуп!C309</f>
        <v/>
      </c>
    </row>
    <row r="310">
      <c r="A310" s="177">
        <f>Закуп!E310</f>
        <v/>
      </c>
      <c r="B310" s="178">
        <f>INDEX(Calc!$K:$K, (ROW(A309)-1)*5 + COLUMN(A309) + 1 )</f>
        <v/>
      </c>
      <c r="C310" s="178">
        <f>INDEX(Calc!$K:$K, (ROW(B309)-1)*5 + COLUMN(B309) + 1 )</f>
        <v/>
      </c>
      <c r="D310" s="179">
        <f>INDEX(Calc!$K:$K, (ROW(C309)-1)*5 + COLUMN(C309) + 1 )</f>
        <v/>
      </c>
      <c r="E310" s="180">
        <f>INDEX(Calc!$K:$K, (ROW(D309)-1)*5 + COLUMN(D309) + 1 )</f>
        <v/>
      </c>
      <c r="F310" s="181">
        <f>INDEX(Calc!$K:$K, (ROW(E309)-1)*5 + COLUMN(E309) + 1 )</f>
        <v/>
      </c>
      <c r="G310" s="182">
        <f>Закуп!O310</f>
        <v/>
      </c>
      <c r="H310" s="182">
        <f>Закуп!Q310</f>
        <v/>
      </c>
      <c r="I310" s="182">
        <f>Закуп!X310</f>
        <v/>
      </c>
      <c r="J310" s="182">
        <f>Закуп!Y310</f>
        <v/>
      </c>
      <c r="K310" s="182">
        <f>Закуп!Z310</f>
        <v/>
      </c>
      <c r="L310" s="182">
        <f>Закуп!AA310</f>
        <v/>
      </c>
      <c r="M310" s="182">
        <f>Закуп!V310</f>
        <v/>
      </c>
      <c r="N310" s="182">
        <f>Закуп!W310</f>
        <v/>
      </c>
      <c r="O310" s="183">
        <f>IF(OR(Закуп!L310="",Закуп!L310=0),"",Закуп!L310)</f>
        <v/>
      </c>
      <c r="P310" s="182">
        <f>Закуп!K310</f>
        <v/>
      </c>
      <c r="Q310" s="217">
        <f>IF(Закуп!D310="","",IF(LEFT(Закуп!D310,1)="0","0",Закуп!D310))</f>
        <v/>
      </c>
      <c r="R310" s="184">
        <f>Закуп!C310</f>
        <v/>
      </c>
    </row>
    <row r="311">
      <c r="A311" s="177">
        <f>Закуп!E311</f>
        <v/>
      </c>
      <c r="B311" s="178">
        <f>INDEX(Calc!$K:$K, (ROW(A310)-1)*5 + COLUMN(A310) + 1 )</f>
        <v/>
      </c>
      <c r="C311" s="178">
        <f>INDEX(Calc!$K:$K, (ROW(B310)-1)*5 + COLUMN(B310) + 1 )</f>
        <v/>
      </c>
      <c r="D311" s="179">
        <f>INDEX(Calc!$K:$K, (ROW(C310)-1)*5 + COLUMN(C310) + 1 )</f>
        <v/>
      </c>
      <c r="E311" s="180">
        <f>INDEX(Calc!$K:$K, (ROW(D310)-1)*5 + COLUMN(D310) + 1 )</f>
        <v/>
      </c>
      <c r="F311" s="181">
        <f>INDEX(Calc!$K:$K, (ROW(E310)-1)*5 + COLUMN(E310) + 1 )</f>
        <v/>
      </c>
      <c r="G311" s="182">
        <f>Закуп!O311</f>
        <v/>
      </c>
      <c r="H311" s="182">
        <f>Закуп!Q311</f>
        <v/>
      </c>
      <c r="I311" s="182">
        <f>Закуп!X311</f>
        <v/>
      </c>
      <c r="J311" s="182">
        <f>Закуп!Y311</f>
        <v/>
      </c>
      <c r="K311" s="182">
        <f>Закуп!Z311</f>
        <v/>
      </c>
      <c r="L311" s="182">
        <f>Закуп!AA311</f>
        <v/>
      </c>
      <c r="M311" s="182">
        <f>Закуп!V311</f>
        <v/>
      </c>
      <c r="N311" s="182">
        <f>Закуп!W311</f>
        <v/>
      </c>
      <c r="O311" s="183">
        <f>IF(OR(Закуп!L311="",Закуп!L311=0),"",Закуп!L311)</f>
        <v/>
      </c>
      <c r="P311" s="182">
        <f>Закуп!K311</f>
        <v/>
      </c>
      <c r="Q311" s="217">
        <f>IF(Закуп!D311="","",IF(LEFT(Закуп!D311,1)="0","0",Закуп!D311))</f>
        <v/>
      </c>
      <c r="R311" s="184">
        <f>Закуп!C311</f>
        <v/>
      </c>
    </row>
    <row r="312">
      <c r="A312" s="177">
        <f>Закуп!E312</f>
        <v/>
      </c>
      <c r="B312" s="178">
        <f>INDEX(Calc!$K:$K, (ROW(A311)-1)*5 + COLUMN(A311) + 1 )</f>
        <v/>
      </c>
      <c r="C312" s="178">
        <f>INDEX(Calc!$K:$K, (ROW(B311)-1)*5 + COLUMN(B311) + 1 )</f>
        <v/>
      </c>
      <c r="D312" s="179">
        <f>INDEX(Calc!$K:$K, (ROW(C311)-1)*5 + COLUMN(C311) + 1 )</f>
        <v/>
      </c>
      <c r="E312" s="180">
        <f>INDEX(Calc!$K:$K, (ROW(D311)-1)*5 + COLUMN(D311) + 1 )</f>
        <v/>
      </c>
      <c r="F312" s="181">
        <f>INDEX(Calc!$K:$K, (ROW(E311)-1)*5 + COLUMN(E311) + 1 )</f>
        <v/>
      </c>
      <c r="G312" s="182">
        <f>Закуп!O312</f>
        <v/>
      </c>
      <c r="H312" s="182">
        <f>Закуп!Q312</f>
        <v/>
      </c>
      <c r="I312" s="182">
        <f>Закуп!X312</f>
        <v/>
      </c>
      <c r="J312" s="182">
        <f>Закуп!Y312</f>
        <v/>
      </c>
      <c r="K312" s="182">
        <f>Закуп!Z312</f>
        <v/>
      </c>
      <c r="L312" s="182">
        <f>Закуп!AA312</f>
        <v/>
      </c>
      <c r="M312" s="182">
        <f>Закуп!V312</f>
        <v/>
      </c>
      <c r="N312" s="182">
        <f>Закуп!W312</f>
        <v/>
      </c>
      <c r="O312" s="183">
        <f>IF(OR(Закуп!L312="",Закуп!L312=0),"",Закуп!L312)</f>
        <v/>
      </c>
      <c r="P312" s="182">
        <f>Закуп!K312</f>
        <v/>
      </c>
      <c r="Q312" s="217">
        <f>IF(Закуп!D312="","",IF(LEFT(Закуп!D312,1)="0","0",Закуп!D312))</f>
        <v/>
      </c>
      <c r="R312" s="184">
        <f>Закуп!C312</f>
        <v/>
      </c>
    </row>
    <row r="313">
      <c r="A313" s="177">
        <f>Закуп!E313</f>
        <v/>
      </c>
      <c r="B313" s="178">
        <f>INDEX(Calc!$K:$K, (ROW(A312)-1)*5 + COLUMN(A312) + 1 )</f>
        <v/>
      </c>
      <c r="C313" s="178">
        <f>INDEX(Calc!$K:$K, (ROW(B312)-1)*5 + COLUMN(B312) + 1 )</f>
        <v/>
      </c>
      <c r="D313" s="179">
        <f>INDEX(Calc!$K:$K, (ROW(C312)-1)*5 + COLUMN(C312) + 1 )</f>
        <v/>
      </c>
      <c r="E313" s="180">
        <f>INDEX(Calc!$K:$K, (ROW(D312)-1)*5 + COLUMN(D312) + 1 )</f>
        <v/>
      </c>
      <c r="F313" s="181">
        <f>INDEX(Calc!$K:$K, (ROW(E312)-1)*5 + COLUMN(E312) + 1 )</f>
        <v/>
      </c>
      <c r="G313" s="182">
        <f>Закуп!O313</f>
        <v/>
      </c>
      <c r="H313" s="182">
        <f>Закуп!Q313</f>
        <v/>
      </c>
      <c r="I313" s="182">
        <f>Закуп!X313</f>
        <v/>
      </c>
      <c r="J313" s="182">
        <f>Закуп!Y313</f>
        <v/>
      </c>
      <c r="K313" s="182">
        <f>Закуп!Z313</f>
        <v/>
      </c>
      <c r="L313" s="182">
        <f>Закуп!AA313</f>
        <v/>
      </c>
      <c r="M313" s="182">
        <f>Закуп!V313</f>
        <v/>
      </c>
      <c r="N313" s="182">
        <f>Закуп!W313</f>
        <v/>
      </c>
      <c r="O313" s="183">
        <f>IF(OR(Закуп!L313="",Закуп!L313=0),"",Закуп!L313)</f>
        <v/>
      </c>
      <c r="P313" s="182">
        <f>Закуп!K313</f>
        <v/>
      </c>
      <c r="Q313" s="217">
        <f>IF(Закуп!D313="","",IF(LEFT(Закуп!D313,1)="0","0",Закуп!D313))</f>
        <v/>
      </c>
      <c r="R313" s="184">
        <f>Закуп!C313</f>
        <v/>
      </c>
    </row>
    <row r="314">
      <c r="A314" s="177">
        <f>Закуп!E314</f>
        <v/>
      </c>
      <c r="B314" s="178">
        <f>INDEX(Calc!$K:$K, (ROW(A313)-1)*5 + COLUMN(A313) + 1 )</f>
        <v/>
      </c>
      <c r="C314" s="178">
        <f>INDEX(Calc!$K:$K, (ROW(B313)-1)*5 + COLUMN(B313) + 1 )</f>
        <v/>
      </c>
      <c r="D314" s="179">
        <f>INDEX(Calc!$K:$K, (ROW(C313)-1)*5 + COLUMN(C313) + 1 )</f>
        <v/>
      </c>
      <c r="E314" s="180">
        <f>INDEX(Calc!$K:$K, (ROW(D313)-1)*5 + COLUMN(D313) + 1 )</f>
        <v/>
      </c>
      <c r="F314" s="181">
        <f>INDEX(Calc!$K:$K, (ROW(E313)-1)*5 + COLUMN(E313) + 1 )</f>
        <v/>
      </c>
      <c r="G314" s="182">
        <f>Закуп!O314</f>
        <v/>
      </c>
      <c r="H314" s="182">
        <f>Закуп!Q314</f>
        <v/>
      </c>
      <c r="I314" s="182">
        <f>Закуп!X314</f>
        <v/>
      </c>
      <c r="J314" s="182">
        <f>Закуп!Y314</f>
        <v/>
      </c>
      <c r="K314" s="182">
        <f>Закуп!Z314</f>
        <v/>
      </c>
      <c r="L314" s="182">
        <f>Закуп!AA314</f>
        <v/>
      </c>
      <c r="M314" s="182">
        <f>Закуп!V314</f>
        <v/>
      </c>
      <c r="N314" s="182">
        <f>Закуп!W314</f>
        <v/>
      </c>
      <c r="O314" s="183">
        <f>IF(OR(Закуп!L314="",Закуп!L314=0),"",Закуп!L314)</f>
        <v/>
      </c>
      <c r="P314" s="182">
        <f>Закуп!K314</f>
        <v/>
      </c>
      <c r="Q314" s="217">
        <f>IF(Закуп!D314="","",IF(LEFT(Закуп!D314,1)="0","0",Закуп!D314))</f>
        <v/>
      </c>
      <c r="R314" s="184">
        <f>Закуп!C314</f>
        <v/>
      </c>
    </row>
    <row r="315">
      <c r="A315" s="177">
        <f>Закуп!E315</f>
        <v/>
      </c>
      <c r="B315" s="178">
        <f>INDEX(Calc!$K:$K, (ROW(A314)-1)*5 + COLUMN(A314) + 1 )</f>
        <v/>
      </c>
      <c r="C315" s="178">
        <f>INDEX(Calc!$K:$K, (ROW(B314)-1)*5 + COLUMN(B314) + 1 )</f>
        <v/>
      </c>
      <c r="D315" s="179">
        <f>INDEX(Calc!$K:$K, (ROW(C314)-1)*5 + COLUMN(C314) + 1 )</f>
        <v/>
      </c>
      <c r="E315" s="180">
        <f>INDEX(Calc!$K:$K, (ROW(D314)-1)*5 + COLUMN(D314) + 1 )</f>
        <v/>
      </c>
      <c r="F315" s="181">
        <f>INDEX(Calc!$K:$K, (ROW(E314)-1)*5 + COLUMN(E314) + 1 )</f>
        <v/>
      </c>
      <c r="G315" s="182">
        <f>Закуп!O315</f>
        <v/>
      </c>
      <c r="H315" s="182">
        <f>Закуп!Q315</f>
        <v/>
      </c>
      <c r="I315" s="182">
        <f>Закуп!X315</f>
        <v/>
      </c>
      <c r="J315" s="182">
        <f>Закуп!Y315</f>
        <v/>
      </c>
      <c r="K315" s="182">
        <f>Закуп!Z315</f>
        <v/>
      </c>
      <c r="L315" s="182">
        <f>Закуп!AA315</f>
        <v/>
      </c>
      <c r="M315" s="182">
        <f>Закуп!V315</f>
        <v/>
      </c>
      <c r="N315" s="182">
        <f>Закуп!W315</f>
        <v/>
      </c>
      <c r="O315" s="183">
        <f>IF(OR(Закуп!L315="",Закуп!L315=0),"",Закуп!L315)</f>
        <v/>
      </c>
      <c r="P315" s="182">
        <f>Закуп!K315</f>
        <v/>
      </c>
      <c r="Q315" s="217">
        <f>IF(Закуп!D315="","",IF(LEFT(Закуп!D315,1)="0","0",Закуп!D315))</f>
        <v/>
      </c>
      <c r="R315" s="184">
        <f>Закуп!C315</f>
        <v/>
      </c>
    </row>
    <row r="316">
      <c r="A316" s="177">
        <f>Закуп!E316</f>
        <v/>
      </c>
      <c r="B316" s="178">
        <f>INDEX(Calc!$K:$K, (ROW(A315)-1)*5 + COLUMN(A315) + 1 )</f>
        <v/>
      </c>
      <c r="C316" s="178">
        <f>INDEX(Calc!$K:$K, (ROW(B315)-1)*5 + COLUMN(B315) + 1 )</f>
        <v/>
      </c>
      <c r="D316" s="179">
        <f>INDEX(Calc!$K:$K, (ROW(C315)-1)*5 + COLUMN(C315) + 1 )</f>
        <v/>
      </c>
      <c r="E316" s="180">
        <f>INDEX(Calc!$K:$K, (ROW(D315)-1)*5 + COLUMN(D315) + 1 )</f>
        <v/>
      </c>
      <c r="F316" s="181">
        <f>INDEX(Calc!$K:$K, (ROW(E315)-1)*5 + COLUMN(E315) + 1 )</f>
        <v/>
      </c>
      <c r="G316" s="182">
        <f>Закуп!O316</f>
        <v/>
      </c>
      <c r="H316" s="182">
        <f>Закуп!Q316</f>
        <v/>
      </c>
      <c r="I316" s="182">
        <f>Закуп!X316</f>
        <v/>
      </c>
      <c r="J316" s="182">
        <f>Закуп!Y316</f>
        <v/>
      </c>
      <c r="K316" s="182">
        <f>Закуп!Z316</f>
        <v/>
      </c>
      <c r="L316" s="182">
        <f>Закуп!AA316</f>
        <v/>
      </c>
      <c r="M316" s="182">
        <f>Закуп!V316</f>
        <v/>
      </c>
      <c r="N316" s="182">
        <f>Закуп!W316</f>
        <v/>
      </c>
      <c r="O316" s="183">
        <f>IF(OR(Закуп!L316="",Закуп!L316=0),"",Закуп!L316)</f>
        <v/>
      </c>
      <c r="P316" s="182">
        <f>Закуп!K316</f>
        <v/>
      </c>
      <c r="Q316" s="217">
        <f>IF(Закуп!D316="","",IF(LEFT(Закуп!D316,1)="0","0",Закуп!D316))</f>
        <v/>
      </c>
      <c r="R316" s="184">
        <f>Закуп!C316</f>
        <v/>
      </c>
    </row>
    <row r="317">
      <c r="A317" s="177">
        <f>Закуп!E317</f>
        <v/>
      </c>
      <c r="B317" s="178">
        <f>INDEX(Calc!$K:$K, (ROW(A316)-1)*5 + COLUMN(A316) + 1 )</f>
        <v/>
      </c>
      <c r="C317" s="178">
        <f>INDEX(Calc!$K:$K, (ROW(B316)-1)*5 + COLUMN(B316) + 1 )</f>
        <v/>
      </c>
      <c r="D317" s="179">
        <f>INDEX(Calc!$K:$K, (ROW(C316)-1)*5 + COLUMN(C316) + 1 )</f>
        <v/>
      </c>
      <c r="E317" s="180">
        <f>INDEX(Calc!$K:$K, (ROW(D316)-1)*5 + COLUMN(D316) + 1 )</f>
        <v/>
      </c>
      <c r="F317" s="181">
        <f>INDEX(Calc!$K:$K, (ROW(E316)-1)*5 + COLUMN(E316) + 1 )</f>
        <v/>
      </c>
      <c r="G317" s="182">
        <f>Закуп!O317</f>
        <v/>
      </c>
      <c r="H317" s="182">
        <f>Закуп!Q317</f>
        <v/>
      </c>
      <c r="I317" s="182">
        <f>Закуп!X317</f>
        <v/>
      </c>
      <c r="J317" s="182">
        <f>Закуп!Y317</f>
        <v/>
      </c>
      <c r="K317" s="182">
        <f>Закуп!Z317</f>
        <v/>
      </c>
      <c r="L317" s="182">
        <f>Закуп!AA317</f>
        <v/>
      </c>
      <c r="M317" s="182">
        <f>Закуп!V317</f>
        <v/>
      </c>
      <c r="N317" s="182">
        <f>Закуп!W317</f>
        <v/>
      </c>
      <c r="O317" s="183">
        <f>IF(OR(Закуп!L317="",Закуп!L317=0),"",Закуп!L317)</f>
        <v/>
      </c>
      <c r="P317" s="182">
        <f>Закуп!K317</f>
        <v/>
      </c>
      <c r="Q317" s="217">
        <f>IF(Закуп!D317="","",IF(LEFT(Закуп!D317,1)="0","0",Закуп!D317))</f>
        <v/>
      </c>
      <c r="R317" s="184">
        <f>Закуп!C317</f>
        <v/>
      </c>
    </row>
    <row r="318">
      <c r="A318" s="177">
        <f>Закуп!E318</f>
        <v/>
      </c>
      <c r="B318" s="178">
        <f>INDEX(Calc!$K:$K, (ROW(A317)-1)*5 + COLUMN(A317) + 1 )</f>
        <v/>
      </c>
      <c r="C318" s="178">
        <f>INDEX(Calc!$K:$K, (ROW(B317)-1)*5 + COLUMN(B317) + 1 )</f>
        <v/>
      </c>
      <c r="D318" s="179">
        <f>INDEX(Calc!$K:$K, (ROW(C317)-1)*5 + COLUMN(C317) + 1 )</f>
        <v/>
      </c>
      <c r="E318" s="180">
        <f>INDEX(Calc!$K:$K, (ROW(D317)-1)*5 + COLUMN(D317) + 1 )</f>
        <v/>
      </c>
      <c r="F318" s="181">
        <f>INDEX(Calc!$K:$K, (ROW(E317)-1)*5 + COLUMN(E317) + 1 )</f>
        <v/>
      </c>
      <c r="G318" s="182">
        <f>Закуп!O318</f>
        <v/>
      </c>
      <c r="H318" s="182">
        <f>Закуп!Q318</f>
        <v/>
      </c>
      <c r="I318" s="182">
        <f>Закуп!X318</f>
        <v/>
      </c>
      <c r="J318" s="182">
        <f>Закуп!Y318</f>
        <v/>
      </c>
      <c r="K318" s="182">
        <f>Закуп!Z318</f>
        <v/>
      </c>
      <c r="L318" s="182">
        <f>Закуп!AA318</f>
        <v/>
      </c>
      <c r="M318" s="182">
        <f>Закуп!V318</f>
        <v/>
      </c>
      <c r="N318" s="182">
        <f>Закуп!W318</f>
        <v/>
      </c>
      <c r="O318" s="183">
        <f>IF(OR(Закуп!L318="",Закуп!L318=0),"",Закуп!L318)</f>
        <v/>
      </c>
      <c r="P318" s="182">
        <f>Закуп!K318</f>
        <v/>
      </c>
      <c r="Q318" s="217">
        <f>IF(Закуп!D318="","",IF(LEFT(Закуп!D318,1)="0","0",Закуп!D318))</f>
        <v/>
      </c>
      <c r="R318" s="184">
        <f>Закуп!C318</f>
        <v/>
      </c>
    </row>
    <row r="319">
      <c r="A319" s="177">
        <f>Закуп!E319</f>
        <v/>
      </c>
      <c r="B319" s="178">
        <f>INDEX(Calc!$K:$K, (ROW(A318)-1)*5 + COLUMN(A318) + 1 )</f>
        <v/>
      </c>
      <c r="C319" s="178">
        <f>INDEX(Calc!$K:$K, (ROW(B318)-1)*5 + COLUMN(B318) + 1 )</f>
        <v/>
      </c>
      <c r="D319" s="179">
        <f>INDEX(Calc!$K:$K, (ROW(C318)-1)*5 + COLUMN(C318) + 1 )</f>
        <v/>
      </c>
      <c r="E319" s="180">
        <f>INDEX(Calc!$K:$K, (ROW(D318)-1)*5 + COLUMN(D318) + 1 )</f>
        <v/>
      </c>
      <c r="F319" s="181">
        <f>INDEX(Calc!$K:$K, (ROW(E318)-1)*5 + COLUMN(E318) + 1 )</f>
        <v/>
      </c>
      <c r="G319" s="182">
        <f>Закуп!O319</f>
        <v/>
      </c>
      <c r="H319" s="182">
        <f>Закуп!Q319</f>
        <v/>
      </c>
      <c r="I319" s="182">
        <f>Закуп!X319</f>
        <v/>
      </c>
      <c r="J319" s="182">
        <f>Закуп!Y319</f>
        <v/>
      </c>
      <c r="K319" s="182">
        <f>Закуп!Z319</f>
        <v/>
      </c>
      <c r="L319" s="182">
        <f>Закуп!AA319</f>
        <v/>
      </c>
      <c r="M319" s="182">
        <f>Закуп!V319</f>
        <v/>
      </c>
      <c r="N319" s="182">
        <f>Закуп!W319</f>
        <v/>
      </c>
      <c r="O319" s="183">
        <f>IF(OR(Закуп!L319="",Закуп!L319=0),"",Закуп!L319)</f>
        <v/>
      </c>
      <c r="P319" s="182">
        <f>Закуп!K319</f>
        <v/>
      </c>
      <c r="Q319" s="217">
        <f>IF(Закуп!D319="","",IF(LEFT(Закуп!D319,1)="0","0",Закуп!D319))</f>
        <v/>
      </c>
      <c r="R319" s="184">
        <f>Закуп!C319</f>
        <v/>
      </c>
    </row>
    <row r="320">
      <c r="A320" s="177">
        <f>Закуп!E320</f>
        <v/>
      </c>
      <c r="B320" s="178">
        <f>INDEX(Calc!$K:$K, (ROW(A319)-1)*5 + COLUMN(A319) + 1 )</f>
        <v/>
      </c>
      <c r="C320" s="178">
        <f>INDEX(Calc!$K:$K, (ROW(B319)-1)*5 + COLUMN(B319) + 1 )</f>
        <v/>
      </c>
      <c r="D320" s="179">
        <f>INDEX(Calc!$K:$K, (ROW(C319)-1)*5 + COLUMN(C319) + 1 )</f>
        <v/>
      </c>
      <c r="E320" s="180">
        <f>INDEX(Calc!$K:$K, (ROW(D319)-1)*5 + COLUMN(D319) + 1 )</f>
        <v/>
      </c>
      <c r="F320" s="181">
        <f>INDEX(Calc!$K:$K, (ROW(E319)-1)*5 + COLUMN(E319) + 1 )</f>
        <v/>
      </c>
      <c r="G320" s="182">
        <f>Закуп!O320</f>
        <v/>
      </c>
      <c r="H320" s="182">
        <f>Закуп!Q320</f>
        <v/>
      </c>
      <c r="I320" s="182">
        <f>Закуп!X320</f>
        <v/>
      </c>
      <c r="J320" s="182">
        <f>Закуп!Y320</f>
        <v/>
      </c>
      <c r="K320" s="182">
        <f>Закуп!Z320</f>
        <v/>
      </c>
      <c r="L320" s="182">
        <f>Закуп!AA320</f>
        <v/>
      </c>
      <c r="M320" s="182">
        <f>Закуп!V320</f>
        <v/>
      </c>
      <c r="N320" s="182">
        <f>Закуп!W320</f>
        <v/>
      </c>
      <c r="O320" s="183">
        <f>IF(OR(Закуп!L320="",Закуп!L320=0),"",Закуп!L320)</f>
        <v/>
      </c>
      <c r="P320" s="182">
        <f>Закуп!K320</f>
        <v/>
      </c>
      <c r="Q320" s="217">
        <f>IF(Закуп!D320="","",IF(LEFT(Закуп!D320,1)="0","0",Закуп!D320))</f>
        <v/>
      </c>
      <c r="R320" s="184">
        <f>Закуп!C320</f>
        <v/>
      </c>
    </row>
    <row r="321">
      <c r="A321" s="177">
        <f>Закуп!E321</f>
        <v/>
      </c>
      <c r="B321" s="178">
        <f>INDEX(Calc!$K:$K, (ROW(A320)-1)*5 + COLUMN(A320) + 1 )</f>
        <v/>
      </c>
      <c r="C321" s="178">
        <f>INDEX(Calc!$K:$K, (ROW(B320)-1)*5 + COLUMN(B320) + 1 )</f>
        <v/>
      </c>
      <c r="D321" s="179">
        <f>INDEX(Calc!$K:$K, (ROW(C320)-1)*5 + COLUMN(C320) + 1 )</f>
        <v/>
      </c>
      <c r="E321" s="180">
        <f>INDEX(Calc!$K:$K, (ROW(D320)-1)*5 + COLUMN(D320) + 1 )</f>
        <v/>
      </c>
      <c r="F321" s="181">
        <f>INDEX(Calc!$K:$K, (ROW(E320)-1)*5 + COLUMN(E320) + 1 )</f>
        <v/>
      </c>
      <c r="G321" s="182">
        <f>Закуп!O321</f>
        <v/>
      </c>
      <c r="H321" s="182">
        <f>Закуп!Q321</f>
        <v/>
      </c>
      <c r="I321" s="182">
        <f>Закуп!X321</f>
        <v/>
      </c>
      <c r="J321" s="182">
        <f>Закуп!Y321</f>
        <v/>
      </c>
      <c r="K321" s="182">
        <f>Закуп!Z321</f>
        <v/>
      </c>
      <c r="L321" s="182">
        <f>Закуп!AA321</f>
        <v/>
      </c>
      <c r="M321" s="182">
        <f>Закуп!V321</f>
        <v/>
      </c>
      <c r="N321" s="182">
        <f>Закуп!W321</f>
        <v/>
      </c>
      <c r="O321" s="183">
        <f>IF(OR(Закуп!L321="",Закуп!L321=0),"",Закуп!L321)</f>
        <v/>
      </c>
      <c r="P321" s="182">
        <f>Закуп!K321</f>
        <v/>
      </c>
      <c r="Q321" s="217">
        <f>IF(Закуп!D321="","",IF(LEFT(Закуп!D321,1)="0","0",Закуп!D321))</f>
        <v/>
      </c>
      <c r="R321" s="184">
        <f>Закуп!C321</f>
        <v/>
      </c>
    </row>
    <row r="322">
      <c r="A322" s="177">
        <f>Закуп!E322</f>
        <v/>
      </c>
      <c r="B322" s="178">
        <f>INDEX(Calc!$K:$K, (ROW(A321)-1)*5 + COLUMN(A321) + 1 )</f>
        <v/>
      </c>
      <c r="C322" s="178">
        <f>INDEX(Calc!$K:$K, (ROW(B321)-1)*5 + COLUMN(B321) + 1 )</f>
        <v/>
      </c>
      <c r="D322" s="179">
        <f>INDEX(Calc!$K:$K, (ROW(C321)-1)*5 + COLUMN(C321) + 1 )</f>
        <v/>
      </c>
      <c r="E322" s="180">
        <f>INDEX(Calc!$K:$K, (ROW(D321)-1)*5 + COLUMN(D321) + 1 )</f>
        <v/>
      </c>
      <c r="F322" s="181">
        <f>INDEX(Calc!$K:$K, (ROW(E321)-1)*5 + COLUMN(E321) + 1 )</f>
        <v/>
      </c>
      <c r="G322" s="182">
        <f>Закуп!O322</f>
        <v/>
      </c>
      <c r="H322" s="182">
        <f>Закуп!Q322</f>
        <v/>
      </c>
      <c r="I322" s="182">
        <f>Закуп!X322</f>
        <v/>
      </c>
      <c r="J322" s="182">
        <f>Закуп!Y322</f>
        <v/>
      </c>
      <c r="K322" s="182">
        <f>Закуп!Z322</f>
        <v/>
      </c>
      <c r="L322" s="182">
        <f>Закуп!AA322</f>
        <v/>
      </c>
      <c r="M322" s="182">
        <f>Закуп!V322</f>
        <v/>
      </c>
      <c r="N322" s="182">
        <f>Закуп!W322</f>
        <v/>
      </c>
      <c r="O322" s="183">
        <f>IF(OR(Закуп!L322="",Закуп!L322=0),"",Закуп!L322)</f>
        <v/>
      </c>
      <c r="P322" s="182">
        <f>Закуп!K322</f>
        <v/>
      </c>
      <c r="Q322" s="217">
        <f>IF(Закуп!D322="","",IF(LEFT(Закуп!D322,1)="0","0",Закуп!D322))</f>
        <v/>
      </c>
      <c r="R322" s="184">
        <f>Закуп!C322</f>
        <v/>
      </c>
    </row>
    <row r="323">
      <c r="A323" s="177">
        <f>Закуп!E323</f>
        <v/>
      </c>
      <c r="B323" s="178">
        <f>INDEX(Calc!$K:$K, (ROW(A322)-1)*5 + COLUMN(A322) + 1 )</f>
        <v/>
      </c>
      <c r="C323" s="178">
        <f>INDEX(Calc!$K:$K, (ROW(B322)-1)*5 + COLUMN(B322) + 1 )</f>
        <v/>
      </c>
      <c r="D323" s="179">
        <f>INDEX(Calc!$K:$K, (ROW(C322)-1)*5 + COLUMN(C322) + 1 )</f>
        <v/>
      </c>
      <c r="E323" s="180">
        <f>INDEX(Calc!$K:$K, (ROW(D322)-1)*5 + COLUMN(D322) + 1 )</f>
        <v/>
      </c>
      <c r="F323" s="181">
        <f>INDEX(Calc!$K:$K, (ROW(E322)-1)*5 + COLUMN(E322) + 1 )</f>
        <v/>
      </c>
      <c r="G323" s="182">
        <f>Закуп!O323</f>
        <v/>
      </c>
      <c r="H323" s="182">
        <f>Закуп!Q323</f>
        <v/>
      </c>
      <c r="I323" s="182">
        <f>Закуп!X323</f>
        <v/>
      </c>
      <c r="J323" s="182">
        <f>Закуп!Y323</f>
        <v/>
      </c>
      <c r="K323" s="182">
        <f>Закуп!Z323</f>
        <v/>
      </c>
      <c r="L323" s="182">
        <f>Закуп!AA323</f>
        <v/>
      </c>
      <c r="M323" s="182">
        <f>Закуп!V323</f>
        <v/>
      </c>
      <c r="N323" s="182">
        <f>Закуп!W323</f>
        <v/>
      </c>
      <c r="O323" s="183">
        <f>IF(OR(Закуп!L323="",Закуп!L323=0),"",Закуп!L323)</f>
        <v/>
      </c>
      <c r="P323" s="182">
        <f>Закуп!K323</f>
        <v/>
      </c>
      <c r="Q323" s="217">
        <f>IF(Закуп!D323="","",IF(LEFT(Закуп!D323,1)="0","0",Закуп!D323))</f>
        <v/>
      </c>
      <c r="R323" s="184">
        <f>Закуп!C323</f>
        <v/>
      </c>
    </row>
    <row r="324">
      <c r="A324" s="177">
        <f>Закуп!E324</f>
        <v/>
      </c>
      <c r="B324" s="178">
        <f>INDEX(Calc!$K:$K, (ROW(A323)-1)*5 + COLUMN(A323) + 1 )</f>
        <v/>
      </c>
      <c r="C324" s="178">
        <f>INDEX(Calc!$K:$K, (ROW(B323)-1)*5 + COLUMN(B323) + 1 )</f>
        <v/>
      </c>
      <c r="D324" s="179">
        <f>INDEX(Calc!$K:$K, (ROW(C323)-1)*5 + COLUMN(C323) + 1 )</f>
        <v/>
      </c>
      <c r="E324" s="180">
        <f>INDEX(Calc!$K:$K, (ROW(D323)-1)*5 + COLUMN(D323) + 1 )</f>
        <v/>
      </c>
      <c r="F324" s="181">
        <f>INDEX(Calc!$K:$K, (ROW(E323)-1)*5 + COLUMN(E323) + 1 )</f>
        <v/>
      </c>
      <c r="G324" s="182">
        <f>Закуп!O324</f>
        <v/>
      </c>
      <c r="H324" s="182">
        <f>Закуп!Q324</f>
        <v/>
      </c>
      <c r="I324" s="182">
        <f>Закуп!X324</f>
        <v/>
      </c>
      <c r="J324" s="182">
        <f>Закуп!Y324</f>
        <v/>
      </c>
      <c r="K324" s="182">
        <f>Закуп!Z324</f>
        <v/>
      </c>
      <c r="L324" s="182">
        <f>Закуп!AA324</f>
        <v/>
      </c>
      <c r="M324" s="182">
        <f>Закуп!V324</f>
        <v/>
      </c>
      <c r="N324" s="182">
        <f>Закуп!W324</f>
        <v/>
      </c>
      <c r="O324" s="183">
        <f>IF(OR(Закуп!L324="",Закуп!L324=0),"",Закуп!L324)</f>
        <v/>
      </c>
      <c r="P324" s="182">
        <f>Закуп!K324</f>
        <v/>
      </c>
      <c r="Q324" s="217">
        <f>IF(Закуп!D324="","",IF(LEFT(Закуп!D324,1)="0","0",Закуп!D324))</f>
        <v/>
      </c>
      <c r="R324" s="184">
        <f>Закуп!C324</f>
        <v/>
      </c>
    </row>
    <row r="325">
      <c r="A325" s="177">
        <f>Закуп!E325</f>
        <v/>
      </c>
      <c r="B325" s="178">
        <f>INDEX(Calc!$K:$K, (ROW(A324)-1)*5 + COLUMN(A324) + 1 )</f>
        <v/>
      </c>
      <c r="C325" s="178">
        <f>INDEX(Calc!$K:$K, (ROW(B324)-1)*5 + COLUMN(B324) + 1 )</f>
        <v/>
      </c>
      <c r="D325" s="179">
        <f>INDEX(Calc!$K:$K, (ROW(C324)-1)*5 + COLUMN(C324) + 1 )</f>
        <v/>
      </c>
      <c r="E325" s="180">
        <f>INDEX(Calc!$K:$K, (ROW(D324)-1)*5 + COLUMN(D324) + 1 )</f>
        <v/>
      </c>
      <c r="F325" s="181">
        <f>INDEX(Calc!$K:$K, (ROW(E324)-1)*5 + COLUMN(E324) + 1 )</f>
        <v/>
      </c>
      <c r="G325" s="182">
        <f>Закуп!O325</f>
        <v/>
      </c>
      <c r="H325" s="182">
        <f>Закуп!Q325</f>
        <v/>
      </c>
      <c r="I325" s="182">
        <f>Закуп!X325</f>
        <v/>
      </c>
      <c r="J325" s="182">
        <f>Закуп!Y325</f>
        <v/>
      </c>
      <c r="K325" s="182">
        <f>Закуп!Z325</f>
        <v/>
      </c>
      <c r="L325" s="182">
        <f>Закуп!AA325</f>
        <v/>
      </c>
      <c r="M325" s="182">
        <f>Закуп!V325</f>
        <v/>
      </c>
      <c r="N325" s="182">
        <f>Закуп!W325</f>
        <v/>
      </c>
      <c r="O325" s="183">
        <f>IF(OR(Закуп!L325="",Закуп!L325=0),"",Закуп!L325)</f>
        <v/>
      </c>
      <c r="P325" s="182">
        <f>Закуп!K325</f>
        <v/>
      </c>
      <c r="Q325" s="217">
        <f>IF(Закуп!D325="","",IF(LEFT(Закуп!D325,1)="0","0",Закуп!D325))</f>
        <v/>
      </c>
      <c r="R325" s="184">
        <f>Закуп!C325</f>
        <v/>
      </c>
    </row>
    <row r="326">
      <c r="A326" s="177">
        <f>Закуп!E326</f>
        <v/>
      </c>
      <c r="B326" s="178">
        <f>INDEX(Calc!$K:$K, (ROW(A325)-1)*5 + COLUMN(A325) + 1 )</f>
        <v/>
      </c>
      <c r="C326" s="178">
        <f>INDEX(Calc!$K:$K, (ROW(B325)-1)*5 + COLUMN(B325) + 1 )</f>
        <v/>
      </c>
      <c r="D326" s="179">
        <f>INDEX(Calc!$K:$K, (ROW(C325)-1)*5 + COLUMN(C325) + 1 )</f>
        <v/>
      </c>
      <c r="E326" s="180">
        <f>INDEX(Calc!$K:$K, (ROW(D325)-1)*5 + COLUMN(D325) + 1 )</f>
        <v/>
      </c>
      <c r="F326" s="181">
        <f>INDEX(Calc!$K:$K, (ROW(E325)-1)*5 + COLUMN(E325) + 1 )</f>
        <v/>
      </c>
      <c r="G326" s="182">
        <f>Закуп!O326</f>
        <v/>
      </c>
      <c r="H326" s="182">
        <f>Закуп!Q326</f>
        <v/>
      </c>
      <c r="I326" s="182">
        <f>Закуп!X326</f>
        <v/>
      </c>
      <c r="J326" s="182">
        <f>Закуп!Y326</f>
        <v/>
      </c>
      <c r="K326" s="182">
        <f>Закуп!Z326</f>
        <v/>
      </c>
      <c r="L326" s="182">
        <f>Закуп!AA326</f>
        <v/>
      </c>
      <c r="M326" s="182">
        <f>Закуп!V326</f>
        <v/>
      </c>
      <c r="N326" s="182">
        <f>Закуп!W326</f>
        <v/>
      </c>
      <c r="O326" s="183">
        <f>IF(OR(Закуп!L326="",Закуп!L326=0),"",Закуп!L326)</f>
        <v/>
      </c>
      <c r="P326" s="182">
        <f>Закуп!K326</f>
        <v/>
      </c>
      <c r="Q326" s="217">
        <f>IF(Закуп!D326="","",IF(LEFT(Закуп!D326,1)="0","0",Закуп!D326))</f>
        <v/>
      </c>
      <c r="R326" s="184">
        <f>Закуп!C326</f>
        <v/>
      </c>
    </row>
    <row r="327">
      <c r="A327" s="177">
        <f>Закуп!E327</f>
        <v/>
      </c>
      <c r="B327" s="178">
        <f>INDEX(Calc!$K:$K, (ROW(A326)-1)*5 + COLUMN(A326) + 1 )</f>
        <v/>
      </c>
      <c r="C327" s="178">
        <f>INDEX(Calc!$K:$K, (ROW(B326)-1)*5 + COLUMN(B326) + 1 )</f>
        <v/>
      </c>
      <c r="D327" s="179">
        <f>INDEX(Calc!$K:$K, (ROW(C326)-1)*5 + COLUMN(C326) + 1 )</f>
        <v/>
      </c>
      <c r="E327" s="180">
        <f>INDEX(Calc!$K:$K, (ROW(D326)-1)*5 + COLUMN(D326) + 1 )</f>
        <v/>
      </c>
      <c r="F327" s="181">
        <f>INDEX(Calc!$K:$K, (ROW(E326)-1)*5 + COLUMN(E326) + 1 )</f>
        <v/>
      </c>
      <c r="G327" s="182">
        <f>Закуп!O327</f>
        <v/>
      </c>
      <c r="H327" s="182">
        <f>Закуп!Q327</f>
        <v/>
      </c>
      <c r="I327" s="182">
        <f>Закуп!X327</f>
        <v/>
      </c>
      <c r="J327" s="182">
        <f>Закуп!Y327</f>
        <v/>
      </c>
      <c r="K327" s="182">
        <f>Закуп!Z327</f>
        <v/>
      </c>
      <c r="L327" s="182">
        <f>Закуп!AA327</f>
        <v/>
      </c>
      <c r="M327" s="182">
        <f>Закуп!V327</f>
        <v/>
      </c>
      <c r="N327" s="182">
        <f>Закуп!W327</f>
        <v/>
      </c>
      <c r="O327" s="183">
        <f>IF(OR(Закуп!L327="",Закуп!L327=0),"",Закуп!L327)</f>
        <v/>
      </c>
      <c r="P327" s="182">
        <f>Закуп!K327</f>
        <v/>
      </c>
      <c r="Q327" s="217">
        <f>IF(Закуп!D327="","",IF(LEFT(Закуп!D327,1)="0","0",Закуп!D327))</f>
        <v/>
      </c>
      <c r="R327" s="184">
        <f>Закуп!C327</f>
        <v/>
      </c>
    </row>
    <row r="328">
      <c r="A328" s="177">
        <f>Закуп!E328</f>
        <v/>
      </c>
      <c r="B328" s="178">
        <f>INDEX(Calc!$K:$K, (ROW(A327)-1)*5 + COLUMN(A327) + 1 )</f>
        <v/>
      </c>
      <c r="C328" s="178">
        <f>INDEX(Calc!$K:$K, (ROW(B327)-1)*5 + COLUMN(B327) + 1 )</f>
        <v/>
      </c>
      <c r="D328" s="179">
        <f>INDEX(Calc!$K:$K, (ROW(C327)-1)*5 + COLUMN(C327) + 1 )</f>
        <v/>
      </c>
      <c r="E328" s="180">
        <f>INDEX(Calc!$K:$K, (ROW(D327)-1)*5 + COLUMN(D327) + 1 )</f>
        <v/>
      </c>
      <c r="F328" s="181">
        <f>INDEX(Calc!$K:$K, (ROW(E327)-1)*5 + COLUMN(E327) + 1 )</f>
        <v/>
      </c>
      <c r="G328" s="182">
        <f>Закуп!O328</f>
        <v/>
      </c>
      <c r="H328" s="182">
        <f>Закуп!Q328</f>
        <v/>
      </c>
      <c r="I328" s="182">
        <f>Закуп!X328</f>
        <v/>
      </c>
      <c r="J328" s="182">
        <f>Закуп!Y328</f>
        <v/>
      </c>
      <c r="K328" s="182">
        <f>Закуп!Z328</f>
        <v/>
      </c>
      <c r="L328" s="182">
        <f>Закуп!AA328</f>
        <v/>
      </c>
      <c r="M328" s="182">
        <f>Закуп!V328</f>
        <v/>
      </c>
      <c r="N328" s="182">
        <f>Закуп!W328</f>
        <v/>
      </c>
      <c r="O328" s="183">
        <f>IF(OR(Закуп!L328="",Закуп!L328=0),"",Закуп!L328)</f>
        <v/>
      </c>
      <c r="P328" s="182">
        <f>Закуп!K328</f>
        <v/>
      </c>
      <c r="Q328" s="217">
        <f>IF(Закуп!D328="","",IF(LEFT(Закуп!D328,1)="0","0",Закуп!D328))</f>
        <v/>
      </c>
      <c r="R328" s="184">
        <f>Закуп!C328</f>
        <v/>
      </c>
    </row>
    <row r="329">
      <c r="A329" s="177">
        <f>Закуп!E329</f>
        <v/>
      </c>
      <c r="B329" s="178">
        <f>INDEX(Calc!$K:$K, (ROW(A328)-1)*5 + COLUMN(A328) + 1 )</f>
        <v/>
      </c>
      <c r="C329" s="178">
        <f>INDEX(Calc!$K:$K, (ROW(B328)-1)*5 + COLUMN(B328) + 1 )</f>
        <v/>
      </c>
      <c r="D329" s="179">
        <f>INDEX(Calc!$K:$K, (ROW(C328)-1)*5 + COLUMN(C328) + 1 )</f>
        <v/>
      </c>
      <c r="E329" s="180">
        <f>INDEX(Calc!$K:$K, (ROW(D328)-1)*5 + COLUMN(D328) + 1 )</f>
        <v/>
      </c>
      <c r="F329" s="181">
        <f>INDEX(Calc!$K:$K, (ROW(E328)-1)*5 + COLUMN(E328) + 1 )</f>
        <v/>
      </c>
      <c r="G329" s="182">
        <f>Закуп!O329</f>
        <v/>
      </c>
      <c r="H329" s="182">
        <f>Закуп!Q329</f>
        <v/>
      </c>
      <c r="I329" s="182">
        <f>Закуп!X329</f>
        <v/>
      </c>
      <c r="J329" s="182">
        <f>Закуп!Y329</f>
        <v/>
      </c>
      <c r="K329" s="182">
        <f>Закуп!Z329</f>
        <v/>
      </c>
      <c r="L329" s="182">
        <f>Закуп!AA329</f>
        <v/>
      </c>
      <c r="M329" s="182">
        <f>Закуп!V329</f>
        <v/>
      </c>
      <c r="N329" s="182">
        <f>Закуп!W329</f>
        <v/>
      </c>
      <c r="O329" s="183">
        <f>IF(OR(Закуп!L329="",Закуп!L329=0),"",Закуп!L329)</f>
        <v/>
      </c>
      <c r="P329" s="182">
        <f>Закуп!K329</f>
        <v/>
      </c>
      <c r="Q329" s="217">
        <f>IF(Закуп!D329="","",IF(LEFT(Закуп!D329,1)="0","0",Закуп!D329))</f>
        <v/>
      </c>
      <c r="R329" s="184">
        <f>Закуп!C329</f>
        <v/>
      </c>
    </row>
    <row r="330">
      <c r="A330" s="177">
        <f>Закуп!E330</f>
        <v/>
      </c>
      <c r="B330" s="178">
        <f>INDEX(Calc!$K:$K, (ROW(A329)-1)*5 + COLUMN(A329) + 1 )</f>
        <v/>
      </c>
      <c r="C330" s="178">
        <f>INDEX(Calc!$K:$K, (ROW(B329)-1)*5 + COLUMN(B329) + 1 )</f>
        <v/>
      </c>
      <c r="D330" s="179">
        <f>INDEX(Calc!$K:$K, (ROW(C329)-1)*5 + COLUMN(C329) + 1 )</f>
        <v/>
      </c>
      <c r="E330" s="180">
        <f>INDEX(Calc!$K:$K, (ROW(D329)-1)*5 + COLUMN(D329) + 1 )</f>
        <v/>
      </c>
      <c r="F330" s="181">
        <f>INDEX(Calc!$K:$K, (ROW(E329)-1)*5 + COLUMN(E329) + 1 )</f>
        <v/>
      </c>
      <c r="G330" s="182">
        <f>Закуп!O330</f>
        <v/>
      </c>
      <c r="H330" s="182">
        <f>Закуп!Q330</f>
        <v/>
      </c>
      <c r="I330" s="182">
        <f>Закуп!X330</f>
        <v/>
      </c>
      <c r="J330" s="182">
        <f>Закуп!Y330</f>
        <v/>
      </c>
      <c r="K330" s="182">
        <f>Закуп!Z330</f>
        <v/>
      </c>
      <c r="L330" s="182">
        <f>Закуп!AA330</f>
        <v/>
      </c>
      <c r="M330" s="182">
        <f>Закуп!V330</f>
        <v/>
      </c>
      <c r="N330" s="182">
        <f>Закуп!W330</f>
        <v/>
      </c>
      <c r="O330" s="183">
        <f>IF(OR(Закуп!L330="",Закуп!L330=0),"",Закуп!L330)</f>
        <v/>
      </c>
      <c r="P330" s="182">
        <f>Закуп!K330</f>
        <v/>
      </c>
      <c r="Q330" s="217">
        <f>IF(Закуп!D330="","",IF(LEFT(Закуп!D330,1)="0","0",Закуп!D330))</f>
        <v/>
      </c>
      <c r="R330" s="184">
        <f>Закуп!C330</f>
        <v/>
      </c>
    </row>
    <row r="331">
      <c r="A331" s="177">
        <f>Закуп!E331</f>
        <v/>
      </c>
      <c r="B331" s="178">
        <f>INDEX(Calc!$K:$K, (ROW(A330)-1)*5 + COLUMN(A330) + 1 )</f>
        <v/>
      </c>
      <c r="C331" s="178">
        <f>INDEX(Calc!$K:$K, (ROW(B330)-1)*5 + COLUMN(B330) + 1 )</f>
        <v/>
      </c>
      <c r="D331" s="179">
        <f>INDEX(Calc!$K:$K, (ROW(C330)-1)*5 + COLUMN(C330) + 1 )</f>
        <v/>
      </c>
      <c r="E331" s="180">
        <f>INDEX(Calc!$K:$K, (ROW(D330)-1)*5 + COLUMN(D330) + 1 )</f>
        <v/>
      </c>
      <c r="F331" s="181">
        <f>INDEX(Calc!$K:$K, (ROW(E330)-1)*5 + COLUMN(E330) + 1 )</f>
        <v/>
      </c>
      <c r="G331" s="182">
        <f>Закуп!O331</f>
        <v/>
      </c>
      <c r="H331" s="182">
        <f>Закуп!Q331</f>
        <v/>
      </c>
      <c r="I331" s="182">
        <f>Закуп!X331</f>
        <v/>
      </c>
      <c r="J331" s="182">
        <f>Закуп!Y331</f>
        <v/>
      </c>
      <c r="K331" s="182">
        <f>Закуп!Z331</f>
        <v/>
      </c>
      <c r="L331" s="182">
        <f>Закуп!AA331</f>
        <v/>
      </c>
      <c r="M331" s="182">
        <f>Закуп!V331</f>
        <v/>
      </c>
      <c r="N331" s="182">
        <f>Закуп!W331</f>
        <v/>
      </c>
      <c r="O331" s="183">
        <f>IF(OR(Закуп!L331="",Закуп!L331=0),"",Закуп!L331)</f>
        <v/>
      </c>
      <c r="P331" s="182">
        <f>Закуп!K331</f>
        <v/>
      </c>
      <c r="Q331" s="217">
        <f>IF(Закуп!D331="","",IF(LEFT(Закуп!D331,1)="0","0",Закуп!D331))</f>
        <v/>
      </c>
      <c r="R331" s="184">
        <f>Закуп!C331</f>
        <v/>
      </c>
    </row>
    <row r="332">
      <c r="A332" s="177">
        <f>Закуп!E332</f>
        <v/>
      </c>
      <c r="B332" s="178">
        <f>INDEX(Calc!$K:$K, (ROW(A331)-1)*5 + COLUMN(A331) + 1 )</f>
        <v/>
      </c>
      <c r="C332" s="178">
        <f>INDEX(Calc!$K:$K, (ROW(B331)-1)*5 + COLUMN(B331) + 1 )</f>
        <v/>
      </c>
      <c r="D332" s="179">
        <f>INDEX(Calc!$K:$K, (ROW(C331)-1)*5 + COLUMN(C331) + 1 )</f>
        <v/>
      </c>
      <c r="E332" s="180">
        <f>INDEX(Calc!$K:$K, (ROW(D331)-1)*5 + COLUMN(D331) + 1 )</f>
        <v/>
      </c>
      <c r="F332" s="181">
        <f>INDEX(Calc!$K:$K, (ROW(E331)-1)*5 + COLUMN(E331) + 1 )</f>
        <v/>
      </c>
      <c r="G332" s="182">
        <f>Закуп!O332</f>
        <v/>
      </c>
      <c r="H332" s="182">
        <f>Закуп!Q332</f>
        <v/>
      </c>
      <c r="I332" s="182">
        <f>Закуп!X332</f>
        <v/>
      </c>
      <c r="J332" s="182">
        <f>Закуп!Y332</f>
        <v/>
      </c>
      <c r="K332" s="182">
        <f>Закуп!Z332</f>
        <v/>
      </c>
      <c r="L332" s="182">
        <f>Закуп!AA332</f>
        <v/>
      </c>
      <c r="M332" s="182">
        <f>Закуп!V332</f>
        <v/>
      </c>
      <c r="N332" s="182">
        <f>Закуп!W332</f>
        <v/>
      </c>
      <c r="O332" s="183">
        <f>IF(OR(Закуп!L332="",Закуп!L332=0),"",Закуп!L332)</f>
        <v/>
      </c>
      <c r="P332" s="182">
        <f>Закуп!K332</f>
        <v/>
      </c>
      <c r="Q332" s="217">
        <f>IF(Закуп!D332="","",IF(LEFT(Закуп!D332,1)="0","0",Закуп!D332))</f>
        <v/>
      </c>
      <c r="R332" s="184">
        <f>Закуп!C332</f>
        <v/>
      </c>
    </row>
    <row r="333">
      <c r="A333" s="177">
        <f>Закуп!E333</f>
        <v/>
      </c>
      <c r="B333" s="178">
        <f>INDEX(Calc!$K:$K, (ROW(A332)-1)*5 + COLUMN(A332) + 1 )</f>
        <v/>
      </c>
      <c r="C333" s="178">
        <f>INDEX(Calc!$K:$K, (ROW(B332)-1)*5 + COLUMN(B332) + 1 )</f>
        <v/>
      </c>
      <c r="D333" s="179">
        <f>INDEX(Calc!$K:$K, (ROW(C332)-1)*5 + COLUMN(C332) + 1 )</f>
        <v/>
      </c>
      <c r="E333" s="180">
        <f>INDEX(Calc!$K:$K, (ROW(D332)-1)*5 + COLUMN(D332) + 1 )</f>
        <v/>
      </c>
      <c r="F333" s="181">
        <f>INDEX(Calc!$K:$K, (ROW(E332)-1)*5 + COLUMN(E332) + 1 )</f>
        <v/>
      </c>
      <c r="G333" s="182">
        <f>Закуп!O333</f>
        <v/>
      </c>
      <c r="H333" s="182">
        <f>Закуп!Q333</f>
        <v/>
      </c>
      <c r="I333" s="182">
        <f>Закуп!X333</f>
        <v/>
      </c>
      <c r="J333" s="182">
        <f>Закуп!Y333</f>
        <v/>
      </c>
      <c r="K333" s="182">
        <f>Закуп!Z333</f>
        <v/>
      </c>
      <c r="L333" s="182">
        <f>Закуп!AA333</f>
        <v/>
      </c>
      <c r="M333" s="182">
        <f>Закуп!V333</f>
        <v/>
      </c>
      <c r="N333" s="182">
        <f>Закуп!W333</f>
        <v/>
      </c>
      <c r="O333" s="183">
        <f>IF(OR(Закуп!L333="",Закуп!L333=0),"",Закуп!L333)</f>
        <v/>
      </c>
      <c r="P333" s="182">
        <f>Закуп!K333</f>
        <v/>
      </c>
      <c r="Q333" s="217">
        <f>IF(Закуп!D333="","",IF(LEFT(Закуп!D333,1)="0","0",Закуп!D333))</f>
        <v/>
      </c>
      <c r="R333" s="184">
        <f>Закуп!C333</f>
        <v/>
      </c>
    </row>
    <row r="334">
      <c r="A334" s="177">
        <f>Закуп!E334</f>
        <v/>
      </c>
      <c r="B334" s="178">
        <f>INDEX(Calc!$K:$K, (ROW(A333)-1)*5 + COLUMN(A333) + 1 )</f>
        <v/>
      </c>
      <c r="C334" s="178">
        <f>INDEX(Calc!$K:$K, (ROW(B333)-1)*5 + COLUMN(B333) + 1 )</f>
        <v/>
      </c>
      <c r="D334" s="179">
        <f>INDEX(Calc!$K:$K, (ROW(C333)-1)*5 + COLUMN(C333) + 1 )</f>
        <v/>
      </c>
      <c r="E334" s="180">
        <f>INDEX(Calc!$K:$K, (ROW(D333)-1)*5 + COLUMN(D333) + 1 )</f>
        <v/>
      </c>
      <c r="F334" s="181">
        <f>INDEX(Calc!$K:$K, (ROW(E333)-1)*5 + COLUMN(E333) + 1 )</f>
        <v/>
      </c>
      <c r="G334" s="182">
        <f>Закуп!O334</f>
        <v/>
      </c>
      <c r="H334" s="182">
        <f>Закуп!Q334</f>
        <v/>
      </c>
      <c r="I334" s="182">
        <f>Закуп!X334</f>
        <v/>
      </c>
      <c r="J334" s="182">
        <f>Закуп!Y334</f>
        <v/>
      </c>
      <c r="K334" s="182">
        <f>Закуп!Z334</f>
        <v/>
      </c>
      <c r="L334" s="182">
        <f>Закуп!AA334</f>
        <v/>
      </c>
      <c r="M334" s="182">
        <f>Закуп!V334</f>
        <v/>
      </c>
      <c r="N334" s="182">
        <f>Закуп!W334</f>
        <v/>
      </c>
      <c r="O334" s="183">
        <f>IF(OR(Закуп!L334="",Закуп!L334=0),"",Закуп!L334)</f>
        <v/>
      </c>
      <c r="P334" s="182">
        <f>Закуп!K334</f>
        <v/>
      </c>
      <c r="Q334" s="217">
        <f>IF(Закуп!D334="","",IF(LEFT(Закуп!D334,1)="0","0",Закуп!D334))</f>
        <v/>
      </c>
      <c r="R334" s="184">
        <f>Закуп!C334</f>
        <v/>
      </c>
    </row>
    <row r="335">
      <c r="A335" s="177">
        <f>Закуп!E335</f>
        <v/>
      </c>
      <c r="B335" s="178">
        <f>INDEX(Calc!$K:$K, (ROW(A334)-1)*5 + COLUMN(A334) + 1 )</f>
        <v/>
      </c>
      <c r="C335" s="178">
        <f>INDEX(Calc!$K:$K, (ROW(B334)-1)*5 + COLUMN(B334) + 1 )</f>
        <v/>
      </c>
      <c r="D335" s="179">
        <f>INDEX(Calc!$K:$K, (ROW(C334)-1)*5 + COLUMN(C334) + 1 )</f>
        <v/>
      </c>
      <c r="E335" s="180">
        <f>INDEX(Calc!$K:$K, (ROW(D334)-1)*5 + COLUMN(D334) + 1 )</f>
        <v/>
      </c>
      <c r="F335" s="181">
        <f>INDEX(Calc!$K:$K, (ROW(E334)-1)*5 + COLUMN(E334) + 1 )</f>
        <v/>
      </c>
      <c r="G335" s="182">
        <f>Закуп!O335</f>
        <v/>
      </c>
      <c r="H335" s="182">
        <f>Закуп!Q335</f>
        <v/>
      </c>
      <c r="I335" s="182">
        <f>Закуп!X335</f>
        <v/>
      </c>
      <c r="J335" s="182">
        <f>Закуп!Y335</f>
        <v/>
      </c>
      <c r="K335" s="182">
        <f>Закуп!Z335</f>
        <v/>
      </c>
      <c r="L335" s="182">
        <f>Закуп!AA335</f>
        <v/>
      </c>
      <c r="M335" s="182">
        <f>Закуп!V335</f>
        <v/>
      </c>
      <c r="N335" s="182">
        <f>Закуп!W335</f>
        <v/>
      </c>
      <c r="O335" s="183">
        <f>IF(OR(Закуп!L335="",Закуп!L335=0),"",Закуп!L335)</f>
        <v/>
      </c>
      <c r="P335" s="182">
        <f>Закуп!K335</f>
        <v/>
      </c>
      <c r="Q335" s="217">
        <f>IF(Закуп!D335="","",IF(LEFT(Закуп!D335,1)="0","0",Закуп!D335))</f>
        <v/>
      </c>
      <c r="R335" s="184">
        <f>Закуп!C335</f>
        <v/>
      </c>
    </row>
    <row r="336">
      <c r="A336" s="177">
        <f>Закуп!E336</f>
        <v/>
      </c>
      <c r="B336" s="178">
        <f>INDEX(Calc!$K:$K, (ROW(A335)-1)*5 + COLUMN(A335) + 1 )</f>
        <v/>
      </c>
      <c r="C336" s="178">
        <f>INDEX(Calc!$K:$K, (ROW(B335)-1)*5 + COLUMN(B335) + 1 )</f>
        <v/>
      </c>
      <c r="D336" s="179">
        <f>INDEX(Calc!$K:$K, (ROW(C335)-1)*5 + COLUMN(C335) + 1 )</f>
        <v/>
      </c>
      <c r="E336" s="180">
        <f>INDEX(Calc!$K:$K, (ROW(D335)-1)*5 + COLUMN(D335) + 1 )</f>
        <v/>
      </c>
      <c r="F336" s="181">
        <f>INDEX(Calc!$K:$K, (ROW(E335)-1)*5 + COLUMN(E335) + 1 )</f>
        <v/>
      </c>
      <c r="G336" s="182">
        <f>Закуп!O336</f>
        <v/>
      </c>
      <c r="H336" s="182">
        <f>Закуп!Q336</f>
        <v/>
      </c>
      <c r="I336" s="182">
        <f>Закуп!X336</f>
        <v/>
      </c>
      <c r="J336" s="182">
        <f>Закуп!Y336</f>
        <v/>
      </c>
      <c r="K336" s="182">
        <f>Закуп!Z336</f>
        <v/>
      </c>
      <c r="L336" s="182">
        <f>Закуп!AA336</f>
        <v/>
      </c>
      <c r="M336" s="182">
        <f>Закуп!V336</f>
        <v/>
      </c>
      <c r="N336" s="182">
        <f>Закуп!W336</f>
        <v/>
      </c>
      <c r="O336" s="183">
        <f>IF(OR(Закуп!L336="",Закуп!L336=0),"",Закуп!L336)</f>
        <v/>
      </c>
      <c r="P336" s="182">
        <f>Закуп!K336</f>
        <v/>
      </c>
      <c r="Q336" s="217">
        <f>IF(Закуп!D336="","",IF(LEFT(Закуп!D336,1)="0","0",Закуп!D336))</f>
        <v/>
      </c>
      <c r="R336" s="184">
        <f>Закуп!C336</f>
        <v/>
      </c>
    </row>
    <row r="337">
      <c r="A337" s="177">
        <f>Закуп!E337</f>
        <v/>
      </c>
      <c r="B337" s="178">
        <f>INDEX(Calc!$K:$K, (ROW(A336)-1)*5 + COLUMN(A336) + 1 )</f>
        <v/>
      </c>
      <c r="C337" s="178">
        <f>INDEX(Calc!$K:$K, (ROW(B336)-1)*5 + COLUMN(B336) + 1 )</f>
        <v/>
      </c>
      <c r="D337" s="179">
        <f>INDEX(Calc!$K:$K, (ROW(C336)-1)*5 + COLUMN(C336) + 1 )</f>
        <v/>
      </c>
      <c r="E337" s="180">
        <f>INDEX(Calc!$K:$K, (ROW(D336)-1)*5 + COLUMN(D336) + 1 )</f>
        <v/>
      </c>
      <c r="F337" s="181">
        <f>INDEX(Calc!$K:$K, (ROW(E336)-1)*5 + COLUMN(E336) + 1 )</f>
        <v/>
      </c>
      <c r="G337" s="182">
        <f>Закуп!O337</f>
        <v/>
      </c>
      <c r="H337" s="182">
        <f>Закуп!Q337</f>
        <v/>
      </c>
      <c r="I337" s="182">
        <f>Закуп!X337</f>
        <v/>
      </c>
      <c r="J337" s="182">
        <f>Закуп!Y337</f>
        <v/>
      </c>
      <c r="K337" s="182">
        <f>Закуп!Z337</f>
        <v/>
      </c>
      <c r="L337" s="182">
        <f>Закуп!AA337</f>
        <v/>
      </c>
      <c r="M337" s="182">
        <f>Закуп!V337</f>
        <v/>
      </c>
      <c r="N337" s="182">
        <f>Закуп!W337</f>
        <v/>
      </c>
      <c r="O337" s="183">
        <f>IF(OR(Закуп!L337="",Закуп!L337=0),"",Закуп!L337)</f>
        <v/>
      </c>
      <c r="P337" s="182">
        <f>Закуп!K337</f>
        <v/>
      </c>
      <c r="Q337" s="217">
        <f>IF(Закуп!D337="","",IF(LEFT(Закуп!D337,1)="0","0",Закуп!D337))</f>
        <v/>
      </c>
      <c r="R337" s="184">
        <f>Закуп!C337</f>
        <v/>
      </c>
    </row>
    <row r="338">
      <c r="A338" s="177">
        <f>Закуп!E338</f>
        <v/>
      </c>
      <c r="B338" s="178">
        <f>INDEX(Calc!$K:$K, (ROW(A337)-1)*5 + COLUMN(A337) + 1 )</f>
        <v/>
      </c>
      <c r="C338" s="178">
        <f>INDEX(Calc!$K:$K, (ROW(B337)-1)*5 + COLUMN(B337) + 1 )</f>
        <v/>
      </c>
      <c r="D338" s="179">
        <f>INDEX(Calc!$K:$K, (ROW(C337)-1)*5 + COLUMN(C337) + 1 )</f>
        <v/>
      </c>
      <c r="E338" s="180">
        <f>INDEX(Calc!$K:$K, (ROW(D337)-1)*5 + COLUMN(D337) + 1 )</f>
        <v/>
      </c>
      <c r="F338" s="181">
        <f>INDEX(Calc!$K:$K, (ROW(E337)-1)*5 + COLUMN(E337) + 1 )</f>
        <v/>
      </c>
      <c r="G338" s="182">
        <f>Закуп!O338</f>
        <v/>
      </c>
      <c r="H338" s="182">
        <f>Закуп!Q338</f>
        <v/>
      </c>
      <c r="I338" s="182">
        <f>Закуп!X338</f>
        <v/>
      </c>
      <c r="J338" s="182">
        <f>Закуп!Y338</f>
        <v/>
      </c>
      <c r="K338" s="182">
        <f>Закуп!Z338</f>
        <v/>
      </c>
      <c r="L338" s="182">
        <f>Закуп!AA338</f>
        <v/>
      </c>
      <c r="M338" s="182">
        <f>Закуп!V338</f>
        <v/>
      </c>
      <c r="N338" s="182">
        <f>Закуп!W338</f>
        <v/>
      </c>
      <c r="O338" s="183">
        <f>IF(OR(Закуп!L338="",Закуп!L338=0),"",Закуп!L338)</f>
        <v/>
      </c>
      <c r="P338" s="182">
        <f>Закуп!K338</f>
        <v/>
      </c>
      <c r="Q338" s="217">
        <f>IF(Закуп!D338="","",IF(LEFT(Закуп!D338,1)="0","0",Закуп!D338))</f>
        <v/>
      </c>
      <c r="R338" s="184">
        <f>Закуп!C338</f>
        <v/>
      </c>
    </row>
    <row r="339">
      <c r="A339" s="177">
        <f>Закуп!E339</f>
        <v/>
      </c>
      <c r="B339" s="178">
        <f>INDEX(Calc!$K:$K, (ROW(A338)-1)*5 + COLUMN(A338) + 1 )</f>
        <v/>
      </c>
      <c r="C339" s="178">
        <f>INDEX(Calc!$K:$K, (ROW(B338)-1)*5 + COLUMN(B338) + 1 )</f>
        <v/>
      </c>
      <c r="D339" s="179">
        <f>INDEX(Calc!$K:$K, (ROW(C338)-1)*5 + COLUMN(C338) + 1 )</f>
        <v/>
      </c>
      <c r="E339" s="180">
        <f>INDEX(Calc!$K:$K, (ROW(D338)-1)*5 + COLUMN(D338) + 1 )</f>
        <v/>
      </c>
      <c r="F339" s="181">
        <f>INDEX(Calc!$K:$K, (ROW(E338)-1)*5 + COLUMN(E338) + 1 )</f>
        <v/>
      </c>
      <c r="G339" s="182">
        <f>Закуп!O339</f>
        <v/>
      </c>
      <c r="H339" s="182">
        <f>Закуп!Q339</f>
        <v/>
      </c>
      <c r="I339" s="182">
        <f>Закуп!X339</f>
        <v/>
      </c>
      <c r="J339" s="182">
        <f>Закуп!Y339</f>
        <v/>
      </c>
      <c r="K339" s="182">
        <f>Закуп!Z339</f>
        <v/>
      </c>
      <c r="L339" s="182">
        <f>Закуп!AA339</f>
        <v/>
      </c>
      <c r="M339" s="182">
        <f>Закуп!V339</f>
        <v/>
      </c>
      <c r="N339" s="182">
        <f>Закуп!W339</f>
        <v/>
      </c>
      <c r="O339" s="183">
        <f>IF(OR(Закуп!L339="",Закуп!L339=0),"",Закуп!L339)</f>
        <v/>
      </c>
      <c r="P339" s="182">
        <f>Закуп!K339</f>
        <v/>
      </c>
      <c r="Q339" s="217">
        <f>IF(Закуп!D339="","",IF(LEFT(Закуп!D339,1)="0","0",Закуп!D339))</f>
        <v/>
      </c>
      <c r="R339" s="184">
        <f>Закуп!C339</f>
        <v/>
      </c>
    </row>
    <row r="340">
      <c r="A340" s="177">
        <f>Закуп!E340</f>
        <v/>
      </c>
      <c r="B340" s="178">
        <f>INDEX(Calc!$K:$K, (ROW(A339)-1)*5 + COLUMN(A339) + 1 )</f>
        <v/>
      </c>
      <c r="C340" s="178">
        <f>INDEX(Calc!$K:$K, (ROW(B339)-1)*5 + COLUMN(B339) + 1 )</f>
        <v/>
      </c>
      <c r="D340" s="179">
        <f>INDEX(Calc!$K:$K, (ROW(C339)-1)*5 + COLUMN(C339) + 1 )</f>
        <v/>
      </c>
      <c r="E340" s="180">
        <f>INDEX(Calc!$K:$K, (ROW(D339)-1)*5 + COLUMN(D339) + 1 )</f>
        <v/>
      </c>
      <c r="F340" s="181">
        <f>INDEX(Calc!$K:$K, (ROW(E339)-1)*5 + COLUMN(E339) + 1 )</f>
        <v/>
      </c>
      <c r="G340" s="182">
        <f>Закуп!O340</f>
        <v/>
      </c>
      <c r="H340" s="182">
        <f>Закуп!Q340</f>
        <v/>
      </c>
      <c r="I340" s="182">
        <f>Закуп!X340</f>
        <v/>
      </c>
      <c r="J340" s="182">
        <f>Закуп!Y340</f>
        <v/>
      </c>
      <c r="K340" s="182">
        <f>Закуп!Z340</f>
        <v/>
      </c>
      <c r="L340" s="182">
        <f>Закуп!AA340</f>
        <v/>
      </c>
      <c r="M340" s="182">
        <f>Закуп!V340</f>
        <v/>
      </c>
      <c r="N340" s="182">
        <f>Закуп!W340</f>
        <v/>
      </c>
      <c r="O340" s="183">
        <f>IF(OR(Закуп!L340="",Закуп!L340=0),"",Закуп!L340)</f>
        <v/>
      </c>
      <c r="P340" s="182">
        <f>Закуп!K340</f>
        <v/>
      </c>
      <c r="Q340" s="217">
        <f>IF(Закуп!D340="","",IF(LEFT(Закуп!D340,1)="0","0",Закуп!D340))</f>
        <v/>
      </c>
      <c r="R340" s="184">
        <f>Закуп!C340</f>
        <v/>
      </c>
    </row>
    <row r="341">
      <c r="A341" s="177">
        <f>Закуп!E341</f>
        <v/>
      </c>
      <c r="B341" s="178">
        <f>INDEX(Calc!$K:$K, (ROW(A340)-1)*5 + COLUMN(A340) + 1 )</f>
        <v/>
      </c>
      <c r="C341" s="178">
        <f>INDEX(Calc!$K:$K, (ROW(B340)-1)*5 + COLUMN(B340) + 1 )</f>
        <v/>
      </c>
      <c r="D341" s="179">
        <f>INDEX(Calc!$K:$K, (ROW(C340)-1)*5 + COLUMN(C340) + 1 )</f>
        <v/>
      </c>
      <c r="E341" s="180">
        <f>INDEX(Calc!$K:$K, (ROW(D340)-1)*5 + COLUMN(D340) + 1 )</f>
        <v/>
      </c>
      <c r="F341" s="181">
        <f>INDEX(Calc!$K:$K, (ROW(E340)-1)*5 + COLUMN(E340) + 1 )</f>
        <v/>
      </c>
      <c r="G341" s="182">
        <f>Закуп!O341</f>
        <v/>
      </c>
      <c r="H341" s="182">
        <f>Закуп!Q341</f>
        <v/>
      </c>
      <c r="I341" s="182">
        <f>Закуп!X341</f>
        <v/>
      </c>
      <c r="J341" s="182">
        <f>Закуп!Y341</f>
        <v/>
      </c>
      <c r="K341" s="182">
        <f>Закуп!Z341</f>
        <v/>
      </c>
      <c r="L341" s="182">
        <f>Закуп!AA341</f>
        <v/>
      </c>
      <c r="M341" s="182">
        <f>Закуп!V341</f>
        <v/>
      </c>
      <c r="N341" s="182">
        <f>Закуп!W341</f>
        <v/>
      </c>
      <c r="O341" s="183">
        <f>IF(OR(Закуп!L341="",Закуп!L341=0),"",Закуп!L341)</f>
        <v/>
      </c>
      <c r="P341" s="182">
        <f>Закуп!K341</f>
        <v/>
      </c>
      <c r="Q341" s="217">
        <f>IF(Закуп!D341="","",IF(LEFT(Закуп!D341,1)="0","0",Закуп!D341))</f>
        <v/>
      </c>
      <c r="R341" s="184">
        <f>Закуп!C341</f>
        <v/>
      </c>
    </row>
    <row r="342">
      <c r="A342" s="177">
        <f>Закуп!E342</f>
        <v/>
      </c>
      <c r="B342" s="178">
        <f>INDEX(Calc!$K:$K, (ROW(A341)-1)*5 + COLUMN(A341) + 1 )</f>
        <v/>
      </c>
      <c r="C342" s="178">
        <f>INDEX(Calc!$K:$K, (ROW(B341)-1)*5 + COLUMN(B341) + 1 )</f>
        <v/>
      </c>
      <c r="D342" s="179">
        <f>INDEX(Calc!$K:$K, (ROW(C341)-1)*5 + COLUMN(C341) + 1 )</f>
        <v/>
      </c>
      <c r="E342" s="180">
        <f>INDEX(Calc!$K:$K, (ROW(D341)-1)*5 + COLUMN(D341) + 1 )</f>
        <v/>
      </c>
      <c r="F342" s="181">
        <f>INDEX(Calc!$K:$K, (ROW(E341)-1)*5 + COLUMN(E341) + 1 )</f>
        <v/>
      </c>
      <c r="G342" s="182">
        <f>Закуп!O342</f>
        <v/>
      </c>
      <c r="H342" s="182">
        <f>Закуп!Q342</f>
        <v/>
      </c>
      <c r="I342" s="182">
        <f>Закуп!X342</f>
        <v/>
      </c>
      <c r="J342" s="182">
        <f>Закуп!Y342</f>
        <v/>
      </c>
      <c r="K342" s="182">
        <f>Закуп!Z342</f>
        <v/>
      </c>
      <c r="L342" s="182">
        <f>Закуп!AA342</f>
        <v/>
      </c>
      <c r="M342" s="182">
        <f>Закуп!V342</f>
        <v/>
      </c>
      <c r="N342" s="182">
        <f>Закуп!W342</f>
        <v/>
      </c>
      <c r="O342" s="183">
        <f>IF(OR(Закуп!L342="",Закуп!L342=0),"",Закуп!L342)</f>
        <v/>
      </c>
      <c r="P342" s="182">
        <f>Закуп!K342</f>
        <v/>
      </c>
      <c r="Q342" s="217">
        <f>IF(Закуп!D342="","",IF(LEFT(Закуп!D342,1)="0","0",Закуп!D342))</f>
        <v/>
      </c>
      <c r="R342" s="184">
        <f>Закуп!C342</f>
        <v/>
      </c>
    </row>
    <row r="343">
      <c r="A343" s="177">
        <f>Закуп!E343</f>
        <v/>
      </c>
      <c r="B343" s="178">
        <f>INDEX(Calc!$K:$K, (ROW(A342)-1)*5 + COLUMN(A342) + 1 )</f>
        <v/>
      </c>
      <c r="C343" s="178">
        <f>INDEX(Calc!$K:$K, (ROW(B342)-1)*5 + COLUMN(B342) + 1 )</f>
        <v/>
      </c>
      <c r="D343" s="179">
        <f>INDEX(Calc!$K:$K, (ROW(C342)-1)*5 + COLUMN(C342) + 1 )</f>
        <v/>
      </c>
      <c r="E343" s="180">
        <f>INDEX(Calc!$K:$K, (ROW(D342)-1)*5 + COLUMN(D342) + 1 )</f>
        <v/>
      </c>
      <c r="F343" s="181">
        <f>INDEX(Calc!$K:$K, (ROW(E342)-1)*5 + COLUMN(E342) + 1 )</f>
        <v/>
      </c>
      <c r="G343" s="182">
        <f>Закуп!O343</f>
        <v/>
      </c>
      <c r="H343" s="182">
        <f>Закуп!Q343</f>
        <v/>
      </c>
      <c r="I343" s="182">
        <f>Закуп!X343</f>
        <v/>
      </c>
      <c r="J343" s="182">
        <f>Закуп!Y343</f>
        <v/>
      </c>
      <c r="K343" s="182">
        <f>Закуп!Z343</f>
        <v/>
      </c>
      <c r="L343" s="182">
        <f>Закуп!AA343</f>
        <v/>
      </c>
      <c r="M343" s="182">
        <f>Закуп!V343</f>
        <v/>
      </c>
      <c r="N343" s="182">
        <f>Закуп!W343</f>
        <v/>
      </c>
      <c r="O343" s="183">
        <f>IF(OR(Закуп!L343="",Закуп!L343=0),"",Закуп!L343)</f>
        <v/>
      </c>
      <c r="P343" s="182">
        <f>Закуп!K343</f>
        <v/>
      </c>
      <c r="Q343" s="217">
        <f>IF(Закуп!D343="","",IF(LEFT(Закуп!D343,1)="0","0",Закуп!D343))</f>
        <v/>
      </c>
      <c r="R343" s="184">
        <f>Закуп!C343</f>
        <v/>
      </c>
    </row>
    <row r="344">
      <c r="A344" s="177">
        <f>Закуп!E344</f>
        <v/>
      </c>
      <c r="B344" s="178">
        <f>INDEX(Calc!$K:$K, (ROW(A343)-1)*5 + COLUMN(A343) + 1 )</f>
        <v/>
      </c>
      <c r="C344" s="178">
        <f>INDEX(Calc!$K:$K, (ROW(B343)-1)*5 + COLUMN(B343) + 1 )</f>
        <v/>
      </c>
      <c r="D344" s="179">
        <f>INDEX(Calc!$K:$K, (ROW(C343)-1)*5 + COLUMN(C343) + 1 )</f>
        <v/>
      </c>
      <c r="E344" s="180">
        <f>INDEX(Calc!$K:$K, (ROW(D343)-1)*5 + COLUMN(D343) + 1 )</f>
        <v/>
      </c>
      <c r="F344" s="181">
        <f>INDEX(Calc!$K:$K, (ROW(E343)-1)*5 + COLUMN(E343) + 1 )</f>
        <v/>
      </c>
      <c r="G344" s="182">
        <f>Закуп!O344</f>
        <v/>
      </c>
      <c r="H344" s="182">
        <f>Закуп!Q344</f>
        <v/>
      </c>
      <c r="I344" s="182">
        <f>Закуп!X344</f>
        <v/>
      </c>
      <c r="J344" s="182">
        <f>Закуп!Y344</f>
        <v/>
      </c>
      <c r="K344" s="182">
        <f>Закуп!Z344</f>
        <v/>
      </c>
      <c r="L344" s="182">
        <f>Закуп!AA344</f>
        <v/>
      </c>
      <c r="M344" s="182">
        <f>Закуп!V344</f>
        <v/>
      </c>
      <c r="N344" s="182">
        <f>Закуп!W344</f>
        <v/>
      </c>
      <c r="O344" s="183">
        <f>IF(OR(Закуп!L344="",Закуп!L344=0),"",Закуп!L344)</f>
        <v/>
      </c>
      <c r="P344" s="182">
        <f>Закуп!K344</f>
        <v/>
      </c>
      <c r="Q344" s="217">
        <f>IF(Закуп!D344="","",IF(LEFT(Закуп!D344,1)="0","0",Закуп!D344))</f>
        <v/>
      </c>
      <c r="R344" s="184">
        <f>Закуп!C344</f>
        <v/>
      </c>
    </row>
    <row r="345">
      <c r="A345" s="177">
        <f>Закуп!E345</f>
        <v/>
      </c>
      <c r="B345" s="178">
        <f>INDEX(Calc!$K:$K, (ROW(A344)-1)*5 + COLUMN(A344) + 1 )</f>
        <v/>
      </c>
      <c r="C345" s="178">
        <f>INDEX(Calc!$K:$K, (ROW(B344)-1)*5 + COLUMN(B344) + 1 )</f>
        <v/>
      </c>
      <c r="D345" s="179">
        <f>INDEX(Calc!$K:$K, (ROW(C344)-1)*5 + COLUMN(C344) + 1 )</f>
        <v/>
      </c>
      <c r="E345" s="180">
        <f>INDEX(Calc!$K:$K, (ROW(D344)-1)*5 + COLUMN(D344) + 1 )</f>
        <v/>
      </c>
      <c r="F345" s="181">
        <f>INDEX(Calc!$K:$K, (ROW(E344)-1)*5 + COLUMN(E344) + 1 )</f>
        <v/>
      </c>
      <c r="G345" s="182">
        <f>Закуп!O345</f>
        <v/>
      </c>
      <c r="H345" s="182">
        <f>Закуп!Q345</f>
        <v/>
      </c>
      <c r="I345" s="182">
        <f>Закуп!X345</f>
        <v/>
      </c>
      <c r="J345" s="182">
        <f>Закуп!Y345</f>
        <v/>
      </c>
      <c r="K345" s="182">
        <f>Закуп!Z345</f>
        <v/>
      </c>
      <c r="L345" s="182">
        <f>Закуп!AA345</f>
        <v/>
      </c>
      <c r="M345" s="182">
        <f>Закуп!V345</f>
        <v/>
      </c>
      <c r="N345" s="182">
        <f>Закуп!W345</f>
        <v/>
      </c>
      <c r="O345" s="183">
        <f>IF(OR(Закуп!L345="",Закуп!L345=0),"",Закуп!L345)</f>
        <v/>
      </c>
      <c r="P345" s="182">
        <f>Закуп!K345</f>
        <v/>
      </c>
      <c r="Q345" s="217">
        <f>IF(Закуп!D345="","",IF(LEFT(Закуп!D345,1)="0","0",Закуп!D345))</f>
        <v/>
      </c>
      <c r="R345" s="184">
        <f>Закуп!C345</f>
        <v/>
      </c>
    </row>
    <row r="346">
      <c r="A346" s="177">
        <f>Закуп!E346</f>
        <v/>
      </c>
      <c r="B346" s="178">
        <f>INDEX(Calc!$K:$K, (ROW(A345)-1)*5 + COLUMN(A345) + 1 )</f>
        <v/>
      </c>
      <c r="C346" s="178">
        <f>INDEX(Calc!$K:$K, (ROW(B345)-1)*5 + COLUMN(B345) + 1 )</f>
        <v/>
      </c>
      <c r="D346" s="179">
        <f>INDEX(Calc!$K:$K, (ROW(C345)-1)*5 + COLUMN(C345) + 1 )</f>
        <v/>
      </c>
      <c r="E346" s="180">
        <f>INDEX(Calc!$K:$K, (ROW(D345)-1)*5 + COLUMN(D345) + 1 )</f>
        <v/>
      </c>
      <c r="F346" s="181">
        <f>INDEX(Calc!$K:$K, (ROW(E345)-1)*5 + COLUMN(E345) + 1 )</f>
        <v/>
      </c>
      <c r="G346" s="182">
        <f>Закуп!O346</f>
        <v/>
      </c>
      <c r="H346" s="182">
        <f>Закуп!Q346</f>
        <v/>
      </c>
      <c r="I346" s="182">
        <f>Закуп!X346</f>
        <v/>
      </c>
      <c r="J346" s="182">
        <f>Закуп!Y346</f>
        <v/>
      </c>
      <c r="K346" s="182">
        <f>Закуп!Z346</f>
        <v/>
      </c>
      <c r="L346" s="182">
        <f>Закуп!AA346</f>
        <v/>
      </c>
      <c r="M346" s="182">
        <f>Закуп!V346</f>
        <v/>
      </c>
      <c r="N346" s="182">
        <f>Закуп!W346</f>
        <v/>
      </c>
      <c r="O346" s="183">
        <f>IF(OR(Закуп!L346="",Закуп!L346=0),"",Закуп!L346)</f>
        <v/>
      </c>
      <c r="P346" s="182">
        <f>Закуп!K346</f>
        <v/>
      </c>
      <c r="Q346" s="217">
        <f>IF(Закуп!D346="","",IF(LEFT(Закуп!D346,1)="0","0",Закуп!D346))</f>
        <v/>
      </c>
      <c r="R346" s="184">
        <f>Закуп!C346</f>
        <v/>
      </c>
    </row>
    <row r="347">
      <c r="A347" s="177">
        <f>Закуп!E347</f>
        <v/>
      </c>
      <c r="B347" s="178">
        <f>INDEX(Calc!$K:$K, (ROW(A346)-1)*5 + COLUMN(A346) + 1 )</f>
        <v/>
      </c>
      <c r="C347" s="178">
        <f>INDEX(Calc!$K:$K, (ROW(B346)-1)*5 + COLUMN(B346) + 1 )</f>
        <v/>
      </c>
      <c r="D347" s="179">
        <f>INDEX(Calc!$K:$K, (ROW(C346)-1)*5 + COLUMN(C346) + 1 )</f>
        <v/>
      </c>
      <c r="E347" s="180">
        <f>INDEX(Calc!$K:$K, (ROW(D346)-1)*5 + COLUMN(D346) + 1 )</f>
        <v/>
      </c>
      <c r="F347" s="181">
        <f>INDEX(Calc!$K:$K, (ROW(E346)-1)*5 + COLUMN(E346) + 1 )</f>
        <v/>
      </c>
      <c r="G347" s="182">
        <f>Закуп!O347</f>
        <v/>
      </c>
      <c r="H347" s="182">
        <f>Закуп!Q347</f>
        <v/>
      </c>
      <c r="I347" s="182">
        <f>Закуп!X347</f>
        <v/>
      </c>
      <c r="J347" s="182">
        <f>Закуп!Y347</f>
        <v/>
      </c>
      <c r="K347" s="182">
        <f>Закуп!Z347</f>
        <v/>
      </c>
      <c r="L347" s="182">
        <f>Закуп!AA347</f>
        <v/>
      </c>
      <c r="M347" s="182">
        <f>Закуп!V347</f>
        <v/>
      </c>
      <c r="N347" s="182">
        <f>Закуп!W347</f>
        <v/>
      </c>
      <c r="O347" s="183">
        <f>IF(OR(Закуп!L347="",Закуп!L347=0),"",Закуп!L347)</f>
        <v/>
      </c>
      <c r="P347" s="182">
        <f>Закуп!K347</f>
        <v/>
      </c>
      <c r="Q347" s="217">
        <f>IF(Закуп!D347="","",IF(LEFT(Закуп!D347,1)="0","0",Закуп!D347))</f>
        <v/>
      </c>
      <c r="R347" s="184">
        <f>Закуп!C347</f>
        <v/>
      </c>
    </row>
    <row r="348">
      <c r="A348" s="177">
        <f>Закуп!E348</f>
        <v/>
      </c>
      <c r="B348" s="178">
        <f>INDEX(Calc!$K:$K, (ROW(A347)-1)*5 + COLUMN(A347) + 1 )</f>
        <v/>
      </c>
      <c r="C348" s="178">
        <f>INDEX(Calc!$K:$K, (ROW(B347)-1)*5 + COLUMN(B347) + 1 )</f>
        <v/>
      </c>
      <c r="D348" s="179">
        <f>INDEX(Calc!$K:$K, (ROW(C347)-1)*5 + COLUMN(C347) + 1 )</f>
        <v/>
      </c>
      <c r="E348" s="180">
        <f>INDEX(Calc!$K:$K, (ROW(D347)-1)*5 + COLUMN(D347) + 1 )</f>
        <v/>
      </c>
      <c r="F348" s="181">
        <f>INDEX(Calc!$K:$K, (ROW(E347)-1)*5 + COLUMN(E347) + 1 )</f>
        <v/>
      </c>
      <c r="G348" s="182">
        <f>Закуп!O348</f>
        <v/>
      </c>
      <c r="H348" s="182">
        <f>Закуп!Q348</f>
        <v/>
      </c>
      <c r="I348" s="182">
        <f>Закуп!X348</f>
        <v/>
      </c>
      <c r="J348" s="182">
        <f>Закуп!Y348</f>
        <v/>
      </c>
      <c r="K348" s="182">
        <f>Закуп!Z348</f>
        <v/>
      </c>
      <c r="L348" s="182">
        <f>Закуп!AA348</f>
        <v/>
      </c>
      <c r="M348" s="182">
        <f>Закуп!V348</f>
        <v/>
      </c>
      <c r="N348" s="182">
        <f>Закуп!W348</f>
        <v/>
      </c>
      <c r="O348" s="183">
        <f>IF(OR(Закуп!L348="",Закуп!L348=0),"",Закуп!L348)</f>
        <v/>
      </c>
      <c r="P348" s="182">
        <f>Закуп!K348</f>
        <v/>
      </c>
      <c r="Q348" s="217">
        <f>IF(Закуп!D348="","",IF(LEFT(Закуп!D348,1)="0","0",Закуп!D348))</f>
        <v/>
      </c>
      <c r="R348" s="184">
        <f>Закуп!C348</f>
        <v/>
      </c>
    </row>
    <row r="349">
      <c r="A349" s="185">
        <f>Закуп!E349</f>
        <v/>
      </c>
      <c r="B349" s="186">
        <f>INDEX(Calc!$K:$K, (ROW(A348)-1)*5 + COLUMN(A348) + 1 )</f>
        <v/>
      </c>
      <c r="C349" s="186">
        <f>INDEX(Calc!$K:$K, (ROW(B348)-1)*5 + COLUMN(B348) + 1 )</f>
        <v/>
      </c>
      <c r="D349" s="187">
        <f>INDEX(Calc!$K:$K, (ROW(C348)-1)*5 + COLUMN(C348) + 1 )</f>
        <v/>
      </c>
      <c r="E349" s="188">
        <f>INDEX(Calc!$K:$K, (ROW(D348)-1)*5 + COLUMN(D348) + 1 )</f>
        <v/>
      </c>
      <c r="F349" s="189">
        <f>INDEX(Calc!$K:$K, (ROW(E348)-1)*5 + COLUMN(E348) + 1 )</f>
        <v/>
      </c>
      <c r="G349" s="190">
        <f>Закуп!O349</f>
        <v/>
      </c>
      <c r="H349" s="190">
        <f>Закуп!Q349</f>
        <v/>
      </c>
      <c r="I349" s="190">
        <f>Закуп!X349</f>
        <v/>
      </c>
      <c r="J349" s="190">
        <f>Закуп!Y349</f>
        <v/>
      </c>
      <c r="K349" s="190">
        <f>Закуп!Z349</f>
        <v/>
      </c>
      <c r="L349" s="190">
        <f>Закуп!AA349</f>
        <v/>
      </c>
      <c r="M349" s="190">
        <f>Закуп!V349</f>
        <v/>
      </c>
      <c r="N349" s="190">
        <f>Закуп!W349</f>
        <v/>
      </c>
      <c r="O349" s="191">
        <f>IF(OR(Закуп!L349="",Закуп!L349=0),"",Закуп!L349)</f>
        <v/>
      </c>
      <c r="P349" s="190">
        <f>Закуп!K349</f>
        <v/>
      </c>
      <c r="Q349" s="218">
        <f>Закуп!D349</f>
        <v/>
      </c>
      <c r="R349" s="192">
        <f>Закуп!C349</f>
        <v/>
      </c>
    </row>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sheetData>
  <autoFilter ref="A1:R349"/>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57"/>
  <sheetViews>
    <sheetView workbookViewId="0">
      <selection activeCell="G27" sqref="G27"/>
    </sheetView>
  </sheetViews>
  <sheetFormatPr baseColWidth="8" defaultRowHeight="14.6"/>
  <sheetData>
    <row r="1">
      <c r="A1" t="inlineStr">
        <is>
          <t>напишите закупочные цены на эти коробки и кому и за сколько мы их продаем</t>
        </is>
      </c>
    </row>
    <row r="2">
      <c r="A2" t="inlineStr">
        <is>
          <t xml:space="preserve">эти размеры есть в наличии. какие из них </t>
        </is>
      </c>
    </row>
    <row r="4">
      <c r="A4" t="inlineStr">
        <is>
          <t>900х250х120</t>
        </is>
      </c>
    </row>
    <row r="5">
      <c r="A5" t="inlineStr">
        <is>
          <t>320х220х150</t>
        </is>
      </c>
    </row>
    <row r="6">
      <c r="A6" t="inlineStr">
        <is>
          <t>700х390х390</t>
        </is>
      </c>
    </row>
    <row r="7">
      <c r="A7" t="inlineStr">
        <is>
          <t>270х220х100</t>
        </is>
      </c>
    </row>
    <row r="8">
      <c r="A8" t="inlineStr">
        <is>
          <t>540х540х230</t>
        </is>
      </c>
    </row>
    <row r="9">
      <c r="A9" t="inlineStr">
        <is>
          <t>550х330х600</t>
        </is>
      </c>
    </row>
    <row r="10">
      <c r="A10" t="inlineStr">
        <is>
          <t>640х410х510</t>
        </is>
      </c>
    </row>
    <row r="11">
      <c r="A11" t="inlineStr">
        <is>
          <t>600х400х440</t>
        </is>
      </c>
    </row>
    <row r="12">
      <c r="A12" t="inlineStr">
        <is>
          <t>300х300х246</t>
        </is>
      </c>
    </row>
    <row r="13">
      <c r="A13" t="inlineStr">
        <is>
          <t>650х540х230</t>
        </is>
      </c>
    </row>
    <row r="14">
      <c r="A14" t="inlineStr">
        <is>
          <t>300х300х40</t>
        </is>
      </c>
    </row>
    <row r="15">
      <c r="A15" t="inlineStr">
        <is>
          <t>340х220х130</t>
        </is>
      </c>
    </row>
    <row r="16">
      <c r="A16" t="inlineStr">
        <is>
          <t>225х115х80</t>
        </is>
      </c>
    </row>
    <row r="17">
      <c r="A17" t="inlineStr">
        <is>
          <t>125х125х250</t>
        </is>
      </c>
    </row>
    <row r="18">
      <c r="A18" t="inlineStr">
        <is>
          <t>150х150х130</t>
        </is>
      </c>
    </row>
    <row r="19">
      <c r="A19" t="inlineStr">
        <is>
          <t>500х390х390</t>
        </is>
      </c>
    </row>
    <row r="20">
      <c r="A20" t="inlineStr">
        <is>
          <t>342х342х192</t>
        </is>
      </c>
    </row>
    <row r="21">
      <c r="A21" t="inlineStr">
        <is>
          <t>400х330х185</t>
        </is>
      </c>
    </row>
    <row r="22">
      <c r="A22" t="inlineStr">
        <is>
          <t>260х260х120</t>
        </is>
      </c>
    </row>
    <row r="23">
      <c r="A23" t="inlineStr">
        <is>
          <t>280х190х90</t>
        </is>
      </c>
    </row>
    <row r="24">
      <c r="A24" t="inlineStr">
        <is>
          <t>460х180х440</t>
        </is>
      </c>
    </row>
    <row r="25">
      <c r="A25" t="inlineStr">
        <is>
          <t>400х165х135</t>
        </is>
      </c>
    </row>
    <row r="26">
      <c r="A26" t="inlineStr">
        <is>
          <t>270х270х100</t>
        </is>
      </c>
    </row>
    <row r="27">
      <c r="A27" t="inlineStr">
        <is>
          <t>300х105х105</t>
        </is>
      </c>
    </row>
    <row r="28">
      <c r="A28" t="inlineStr">
        <is>
          <t>110х110х45</t>
        </is>
      </c>
    </row>
    <row r="29">
      <c r="A29" t="inlineStr">
        <is>
          <t>125х125х330</t>
        </is>
      </c>
    </row>
    <row r="30">
      <c r="A30" t="inlineStr">
        <is>
          <t>265х96х27</t>
        </is>
      </c>
    </row>
    <row r="31">
      <c r="A31" t="inlineStr">
        <is>
          <t>120х100х150</t>
        </is>
      </c>
    </row>
    <row r="32">
      <c r="A32" t="inlineStr">
        <is>
          <t>400х300х100</t>
        </is>
      </c>
    </row>
    <row r="33">
      <c r="A33" t="inlineStr">
        <is>
          <t>120х120х400</t>
        </is>
      </c>
    </row>
    <row r="34">
      <c r="A34" t="inlineStr">
        <is>
          <t>180х100х270</t>
        </is>
      </c>
    </row>
    <row r="35">
      <c r="A35" t="inlineStr">
        <is>
          <t>225х170х110</t>
        </is>
      </c>
    </row>
    <row r="36">
      <c r="A36" t="inlineStr">
        <is>
          <t>125х125х450</t>
        </is>
      </c>
    </row>
    <row r="37">
      <c r="A37" t="inlineStr">
        <is>
          <t>125х125х360</t>
        </is>
      </c>
    </row>
    <row r="38">
      <c r="A38" t="inlineStr">
        <is>
          <t>290х230х265</t>
        </is>
      </c>
    </row>
    <row r="39">
      <c r="A39" t="inlineStr">
        <is>
          <t>225х175х150</t>
        </is>
      </c>
    </row>
    <row r="40">
      <c r="A40" t="inlineStr">
        <is>
          <t>705х505х15</t>
        </is>
      </c>
    </row>
    <row r="41">
      <c r="A41" t="inlineStr">
        <is>
          <t>730х70х50</t>
        </is>
      </c>
    </row>
    <row r="42">
      <c r="A42" t="inlineStr">
        <is>
          <t>430х350х250</t>
        </is>
      </c>
    </row>
    <row r="43">
      <c r="A43" t="inlineStr">
        <is>
          <t>365х245х145</t>
        </is>
      </c>
    </row>
    <row r="44">
      <c r="A44" t="inlineStr">
        <is>
          <t>382х283х318</t>
        </is>
      </c>
    </row>
    <row r="45">
      <c r="A45" t="inlineStr">
        <is>
          <t>250х210х50</t>
        </is>
      </c>
    </row>
    <row r="46">
      <c r="A46" t="inlineStr">
        <is>
          <t>220х220х530</t>
        </is>
      </c>
    </row>
    <row r="47">
      <c r="A47" t="inlineStr">
        <is>
          <t>207х157х347</t>
        </is>
      </c>
    </row>
    <row r="48">
      <c r="A48" t="inlineStr">
        <is>
          <t>200х160х85</t>
        </is>
      </c>
    </row>
    <row r="49">
      <c r="A49" t="inlineStr">
        <is>
          <t>150х150х170</t>
        </is>
      </c>
    </row>
    <row r="50">
      <c r="A50" t="inlineStr">
        <is>
          <t>327х157х347</t>
        </is>
      </c>
    </row>
    <row r="51">
      <c r="A51" t="inlineStr">
        <is>
          <t>253х253х245</t>
        </is>
      </c>
    </row>
    <row r="52">
      <c r="A52" t="inlineStr">
        <is>
          <t>170х125х60</t>
        </is>
      </c>
    </row>
    <row r="53">
      <c r="A53" t="inlineStr">
        <is>
          <t>400х160х130</t>
        </is>
      </c>
    </row>
    <row r="54">
      <c r="A54" t="inlineStr">
        <is>
          <t>500х350х250</t>
        </is>
      </c>
    </row>
    <row r="55">
      <c r="A55" t="inlineStr">
        <is>
          <t>340х120х190</t>
        </is>
      </c>
    </row>
    <row r="56">
      <c r="A56" t="inlineStr">
        <is>
          <t>250х230х100</t>
        </is>
      </c>
    </row>
    <row r="57">
      <c r="A57" t="inlineStr">
        <is>
          <t>400х400х150</t>
        </is>
      </c>
    </row>
  </sheetData>
  <pageMargins left="0.7" right="0.7" top="0.75" bottom="0.75" header="0.3" footer="0.3"/>
</worksheet>
</file>

<file path=xl/worksheets/sheet6.xml><?xml version="1.0" encoding="utf-8"?>
<worksheet xmlns="http://schemas.openxmlformats.org/spreadsheetml/2006/main">
  <sheetPr>
    <tabColor rgb="FF0070C0"/>
    <outlinePr summaryBelow="1" summaryRight="1"/>
    <pageSetUpPr/>
  </sheetPr>
  <dimension ref="A1:R8"/>
  <sheetViews>
    <sheetView workbookViewId="0">
      <selection activeCell="E11" sqref="E11"/>
    </sheetView>
  </sheetViews>
  <sheetFormatPr baseColWidth="8" defaultRowHeight="14.6"/>
  <cols>
    <col width="9.84375" bestFit="1" customWidth="1" style="55" min="2" max="2"/>
    <col width="11.53515625" bestFit="1" customWidth="1" style="55" min="18" max="18"/>
  </cols>
  <sheetData>
    <row r="1" customFormat="1" s="57">
      <c r="A1" s="57" t="inlineStr">
        <is>
          <t>Закуп
Без НДС</t>
        </is>
      </c>
      <c r="B1" s="57" t="inlineStr">
        <is>
          <t>Размер</t>
        </is>
      </c>
      <c r="C1" s="57" t="inlineStr">
        <is>
          <t>Коммен тарий</t>
        </is>
      </c>
      <c r="E1" s="57" t="inlineStr">
        <is>
          <t>Размер</t>
        </is>
      </c>
      <c r="F1" s="57" t="inlineStr">
        <is>
          <t>Тип</t>
        </is>
      </c>
      <c r="G1" s="57" t="inlineStr">
        <is>
          <t>Fefco</t>
        </is>
      </c>
      <c r="H1" s="57" t="inlineStr">
        <is>
          <t>Профиль В Е</t>
        </is>
      </c>
      <c r="J1" s="57" t="inlineStr">
        <is>
          <t>Размер</t>
        </is>
      </c>
      <c r="K1" s="57" t="inlineStr">
        <is>
          <t>Тип</t>
        </is>
      </c>
      <c r="L1" s="57" t="inlineStr">
        <is>
          <t>Fefco</t>
        </is>
      </c>
      <c r="M1" s="57" t="inlineStr">
        <is>
          <t>Профиль В Е</t>
        </is>
      </c>
      <c r="P1" s="57" t="inlineStr">
        <is>
          <t>Тип</t>
        </is>
      </c>
      <c r="Q1" s="57" t="inlineStr">
        <is>
          <t>Fefco</t>
        </is>
      </c>
      <c r="R1" s="57" t="inlineStr">
        <is>
          <t>Профиль В Е</t>
        </is>
      </c>
    </row>
    <row r="2">
      <c r="B2" s="56" t="inlineStr">
        <is>
          <t>2200х1200</t>
        </is>
      </c>
      <c r="K2" t="inlineStr">
        <is>
          <t>Лист</t>
        </is>
      </c>
    </row>
    <row r="3">
      <c r="B3" s="56" t="inlineStr">
        <is>
          <t>2000х1100</t>
        </is>
      </c>
      <c r="K3" t="inlineStr">
        <is>
          <t>Лист</t>
        </is>
      </c>
    </row>
    <row r="4">
      <c r="B4" s="56" t="inlineStr">
        <is>
          <t>1500х850</t>
        </is>
      </c>
      <c r="K4" t="inlineStr">
        <is>
          <t>Лист</t>
        </is>
      </c>
    </row>
    <row r="5">
      <c r="B5" s="56" t="inlineStr">
        <is>
          <t>1400х700</t>
        </is>
      </c>
      <c r="K5" t="inlineStr">
        <is>
          <t>Лист</t>
        </is>
      </c>
    </row>
    <row r="6">
      <c r="B6" s="56" t="inlineStr">
        <is>
          <t>1900х950</t>
        </is>
      </c>
      <c r="K6" t="inlineStr">
        <is>
          <t>Лист</t>
        </is>
      </c>
    </row>
    <row r="7">
      <c r="B7" s="56" t="inlineStr">
        <is>
          <t>1700х900</t>
        </is>
      </c>
      <c r="K7" t="inlineStr">
        <is>
          <t>Лист</t>
        </is>
      </c>
    </row>
    <row r="8">
      <c r="B8" t="inlineStr">
        <is>
          <t>2070х830</t>
        </is>
      </c>
      <c r="C8" t="inlineStr">
        <is>
          <t xml:space="preserve"> лист г/к</t>
        </is>
      </c>
      <c r="E8" t="inlineStr">
        <is>
          <t>0900</t>
        </is>
      </c>
      <c r="F8" t="inlineStr">
        <is>
          <t>В</t>
        </is>
      </c>
    </row>
  </sheetData>
  <pageMargins left="0.7" right="0.7" top="0.75" bottom="0.75" header="0.3" footer="0.3"/>
  <pageSetup orientation="portrait" paperSize="9"/>
</worksheet>
</file>

<file path=xl/worksheets/sheet7.xml><?xml version="1.0" encoding="utf-8"?>
<worksheet xmlns="http://schemas.openxmlformats.org/spreadsheetml/2006/main">
  <sheetPr>
    <tabColor theme="5" tint="0.3999755851924192"/>
    <outlinePr summaryBelow="1" summaryRight="1"/>
    <pageSetUpPr/>
  </sheetPr>
  <dimension ref="A1:D17"/>
  <sheetViews>
    <sheetView zoomScale="175" zoomScaleNormal="175" workbookViewId="0">
      <selection activeCell="G14" sqref="G14"/>
    </sheetView>
  </sheetViews>
  <sheetFormatPr baseColWidth="8" defaultRowHeight="14.6"/>
  <cols>
    <col width="9.3046875" bestFit="1" customWidth="1" style="55" min="1" max="1"/>
    <col width="14.4609375" bestFit="1" customWidth="1" style="55" min="2" max="2"/>
  </cols>
  <sheetData>
    <row r="1">
      <c r="A1" s="22" t="inlineStr">
        <is>
          <t>Прайс</t>
        </is>
      </c>
      <c r="B1" s="22" t="inlineStr">
        <is>
          <t>Сайт</t>
        </is>
      </c>
    </row>
    <row r="2">
      <c r="A2" s="60" t="inlineStr">
        <is>
          <t>&lt;1 л</t>
        </is>
      </c>
      <c r="B2" s="60" t="inlineStr">
        <is>
          <t>0-1 литров</t>
        </is>
      </c>
      <c r="C2" t="inlineStr">
        <is>
          <t>&lt;1 л</t>
        </is>
      </c>
    </row>
    <row r="3">
      <c r="A3" s="60" t="inlineStr">
        <is>
          <t>1-2 л</t>
        </is>
      </c>
      <c r="B3" s="60" t="inlineStr">
        <is>
          <t>2-3 литра</t>
        </is>
      </c>
      <c r="C3" t="inlineStr">
        <is>
          <t>1-1,9</t>
        </is>
      </c>
    </row>
    <row r="4">
      <c r="A4" s="60" t="inlineStr">
        <is>
          <t>2-3 л</t>
        </is>
      </c>
      <c r="B4" s="60" t="inlineStr">
        <is>
          <t>4-5 литра</t>
        </is>
      </c>
      <c r="C4" t="inlineStr">
        <is>
          <t>2-2,9</t>
        </is>
      </c>
    </row>
    <row r="5">
      <c r="A5" s="60" t="inlineStr">
        <is>
          <t>3-5 л</t>
        </is>
      </c>
      <c r="B5" s="60" t="inlineStr">
        <is>
          <t>6-7 литра</t>
        </is>
      </c>
      <c r="C5" t="inlineStr">
        <is>
          <t>3-3,9</t>
        </is>
      </c>
    </row>
    <row r="6">
      <c r="A6" s="60" t="inlineStr">
        <is>
          <t>5-10 л</t>
        </is>
      </c>
      <c r="B6" s="60" t="inlineStr">
        <is>
          <t>8-9 литров</t>
        </is>
      </c>
      <c r="C6" t="inlineStr">
        <is>
          <t>4-5,9</t>
        </is>
      </c>
    </row>
    <row r="7">
      <c r="A7" s="60" t="inlineStr">
        <is>
          <t>10-20 л</t>
        </is>
      </c>
      <c r="B7" s="60" t="inlineStr">
        <is>
          <t>10-14 литров</t>
        </is>
      </c>
      <c r="C7" t="inlineStr">
        <is>
          <t>6-7,9</t>
        </is>
      </c>
    </row>
    <row r="8">
      <c r="A8" s="60" t="inlineStr">
        <is>
          <t>20-50 л</t>
        </is>
      </c>
      <c r="B8" s="60" t="inlineStr">
        <is>
          <t>15-19 литров</t>
        </is>
      </c>
      <c r="C8" t="inlineStr">
        <is>
          <t>8-9,9</t>
        </is>
      </c>
    </row>
    <row r="9">
      <c r="A9" s="60" t="inlineStr">
        <is>
          <t>50-100 л</t>
        </is>
      </c>
      <c r="B9" s="60" t="inlineStr">
        <is>
          <t>20-29 литров</t>
        </is>
      </c>
      <c r="C9" s="106" t="inlineStr">
        <is>
          <t>10-14</t>
        </is>
      </c>
    </row>
    <row r="10">
      <c r="A10" s="60" t="inlineStr">
        <is>
          <t>100+ л</t>
        </is>
      </c>
      <c r="B10" s="60" t="inlineStr">
        <is>
          <t>30-49 литров</t>
        </is>
      </c>
      <c r="C10" t="inlineStr">
        <is>
          <t>15-19</t>
        </is>
      </c>
    </row>
    <row r="11">
      <c r="B11" s="60" t="inlineStr">
        <is>
          <t>50-59 литров</t>
        </is>
      </c>
      <c r="C11" t="inlineStr">
        <is>
          <t>20-29</t>
        </is>
      </c>
    </row>
    <row r="12">
      <c r="B12" s="60" t="inlineStr">
        <is>
          <t>60-70 литров</t>
        </is>
      </c>
      <c r="C12" t="inlineStr">
        <is>
          <t>30-49</t>
        </is>
      </c>
      <c r="D12" t="inlineStr">
        <is>
          <t>?</t>
        </is>
      </c>
    </row>
    <row r="13">
      <c r="B13" s="60" t="inlineStr">
        <is>
          <t>70-79 литров</t>
        </is>
      </c>
      <c r="C13" t="inlineStr">
        <is>
          <t>40-49</t>
        </is>
      </c>
      <c r="D13" t="inlineStr">
        <is>
          <t>?</t>
        </is>
      </c>
    </row>
    <row r="14">
      <c r="B14" s="60" t="inlineStr">
        <is>
          <t>80-89 литров</t>
        </is>
      </c>
      <c r="C14" t="inlineStr">
        <is>
          <t>50-59</t>
        </is>
      </c>
    </row>
    <row r="15">
      <c r="B15" s="60" t="inlineStr">
        <is>
          <t>90-99 литров</t>
        </is>
      </c>
    </row>
    <row r="16">
      <c r="B16" s="60" t="inlineStr">
        <is>
          <t>100-200 литров</t>
        </is>
      </c>
    </row>
    <row r="17">
      <c r="B17" s="60" t="inlineStr">
        <is>
          <t>200+ литров</t>
        </is>
      </c>
    </row>
  </sheetData>
  <pageMargins left="0.7" right="0.7" top="0.75" bottom="0.75" header="0.3" footer="0.3"/>
  <pageSetup orientation="portrait" paperSize="9"/>
</worksheet>
</file>

<file path=xl/worksheets/sheet8.xml><?xml version="1.0" encoding="utf-8"?>
<worksheet xmlns="http://schemas.openxmlformats.org/spreadsheetml/2006/main">
  <sheetPr>
    <tabColor theme="4" tint="-0.499984740745262"/>
    <outlinePr summaryBelow="1" summaryRight="1"/>
    <pageSetUpPr/>
  </sheetPr>
  <dimension ref="A1:H33"/>
  <sheetViews>
    <sheetView workbookViewId="0">
      <selection activeCell="M26" sqref="M26"/>
    </sheetView>
  </sheetViews>
  <sheetFormatPr baseColWidth="8" defaultRowHeight="14.6"/>
  <cols>
    <col width="24.69140625" bestFit="1" customWidth="1" style="55" min="1" max="1"/>
    <col width="8.84375" customWidth="1" style="46" min="2" max="2"/>
    <col width="15.07421875" bestFit="1" customWidth="1" style="55" min="3" max="3"/>
    <col width="7.84375" bestFit="1" customWidth="1" style="55" min="4" max="4"/>
    <col width="8.3046875" customWidth="1" style="55" min="5" max="5"/>
    <col width="8.84375" customWidth="1" style="42" min="6" max="7"/>
  </cols>
  <sheetData>
    <row r="1" ht="15.9" customHeight="1" s="55">
      <c r="A1" s="23" t="inlineStr">
        <is>
          <t>Размер</t>
        </is>
      </c>
      <c r="B1" s="43" t="inlineStr">
        <is>
          <t>Без НДС</t>
        </is>
      </c>
      <c r="C1" s="24" t="inlineStr">
        <is>
          <t>Тип</t>
        </is>
      </c>
      <c r="D1" s="25" t="inlineStr">
        <is>
          <t>S загот, м2</t>
        </is>
      </c>
      <c r="E1" s="26" t="inlineStr">
        <is>
          <t>SKU</t>
        </is>
      </c>
      <c r="F1" s="47" t="n"/>
      <c r="G1" s="47" t="n"/>
      <c r="H1" t="inlineStr">
        <is>
          <t>Тип</t>
        </is>
      </c>
    </row>
    <row r="2">
      <c r="A2" s="28" t="inlineStr">
        <is>
          <t>1100х700х1000 кр П32</t>
        </is>
      </c>
      <c r="B2" s="44" t="n">
        <v>10.6722</v>
      </c>
      <c r="C2" s="29" t="inlineStr">
        <is>
          <t>Крышка П32</t>
        </is>
      </c>
      <c r="D2" s="30" t="n"/>
      <c r="E2" s="40">
        <f>CONCATENATE(F2,G2)</f>
        <v/>
      </c>
      <c r="F2" s="47" t="inlineStr">
        <is>
          <t>Kr</t>
        </is>
      </c>
      <c r="G2" s="47" t="n">
        <v>1</v>
      </c>
      <c r="H2" s="214" t="inlineStr">
        <is>
          <t>Гофротара</t>
        </is>
      </c>
    </row>
    <row r="3">
      <c r="A3" s="28" t="inlineStr">
        <is>
          <t>1100х700х1000 кр Т22В</t>
        </is>
      </c>
      <c r="B3" s="44" t="n">
        <v>6.548850000000002</v>
      </c>
      <c r="C3" s="29" t="inlineStr">
        <is>
          <t>Крышка Т22В</t>
        </is>
      </c>
      <c r="D3" s="30" t="n"/>
      <c r="E3" s="40">
        <f>CONCATENATE(F3,G3)</f>
        <v/>
      </c>
      <c r="F3" s="47" t="inlineStr">
        <is>
          <t>Kr</t>
        </is>
      </c>
      <c r="G3" s="47" t="n">
        <v>2</v>
      </c>
      <c r="H3" s="214" t="inlineStr">
        <is>
          <t>Гофротара</t>
        </is>
      </c>
    </row>
    <row r="4">
      <c r="A4" s="28" t="inlineStr">
        <is>
          <t>1100х700х1000 без кр П32</t>
        </is>
      </c>
      <c r="B4" s="44" t="n">
        <v>5.457375000000001</v>
      </c>
      <c r="C4" s="29" t="inlineStr">
        <is>
          <t>Без верх П32</t>
        </is>
      </c>
      <c r="D4" s="30" t="n"/>
      <c r="E4" s="40">
        <f>CONCATENATE(F4,G4)</f>
        <v/>
      </c>
      <c r="F4" s="47" t="inlineStr">
        <is>
          <t>Kr</t>
        </is>
      </c>
      <c r="G4" s="47" t="n">
        <v>3</v>
      </c>
      <c r="H4" s="214" t="inlineStr">
        <is>
          <t>Гофротара</t>
        </is>
      </c>
    </row>
    <row r="5">
      <c r="A5" s="32" t="inlineStr">
        <is>
          <t>1100х700х1000 без кр Т22В</t>
        </is>
      </c>
      <c r="B5" s="44" t="n">
        <v>5.457375000000001</v>
      </c>
      <c r="C5" s="29" t="inlineStr">
        <is>
          <t>Без верх Т22В</t>
        </is>
      </c>
      <c r="D5" s="30" t="n"/>
      <c r="E5" s="40">
        <f>CONCATENATE(F5,G5)</f>
        <v/>
      </c>
      <c r="F5" s="47" t="inlineStr">
        <is>
          <t>Kr</t>
        </is>
      </c>
      <c r="G5" s="47" t="n">
        <v>4</v>
      </c>
      <c r="H5" s="214" t="inlineStr">
        <is>
          <t>Гофротара</t>
        </is>
      </c>
    </row>
    <row r="6">
      <c r="A6" s="32" t="inlineStr">
        <is>
          <t>795х510х870 кр П32</t>
        </is>
      </c>
      <c r="B6" s="44" t="n">
        <v>8.853075</v>
      </c>
      <c r="C6" s="33" t="inlineStr">
        <is>
          <t>Крышка П32</t>
        </is>
      </c>
      <c r="D6" s="30" t="n"/>
      <c r="E6" s="40">
        <f>CONCATENATE(F6,G6)</f>
        <v/>
      </c>
      <c r="F6" s="47" t="inlineStr">
        <is>
          <t>Kr</t>
        </is>
      </c>
      <c r="G6" s="47" t="n">
        <v>5</v>
      </c>
      <c r="H6" s="214" t="inlineStr">
        <is>
          <t>Гофротара</t>
        </is>
      </c>
    </row>
    <row r="7">
      <c r="A7" s="32" t="inlineStr">
        <is>
          <t>795х510х870 кр Т22В</t>
        </is>
      </c>
      <c r="B7" s="44" t="n"/>
      <c r="C7" s="33" t="inlineStr">
        <is>
          <t>Крышка Т22В</t>
        </is>
      </c>
      <c r="D7" s="30" t="n"/>
      <c r="E7" s="40">
        <f>CONCATENATE(F7,G7)</f>
        <v/>
      </c>
      <c r="F7" s="47" t="inlineStr">
        <is>
          <t>Kr</t>
        </is>
      </c>
      <c r="G7" s="47" t="n">
        <v>6</v>
      </c>
      <c r="H7" s="214" t="inlineStr">
        <is>
          <t>Гофротара</t>
        </is>
      </c>
    </row>
    <row r="8">
      <c r="A8" s="32" t="inlineStr">
        <is>
          <t>795х510х870  без кр П32</t>
        </is>
      </c>
      <c r="B8" s="44" t="n"/>
      <c r="C8" s="33" t="inlineStr">
        <is>
          <t>Без верх П32</t>
        </is>
      </c>
      <c r="D8" s="30" t="n"/>
      <c r="E8" s="40">
        <f>CONCATENATE(F8,G8)</f>
        <v/>
      </c>
      <c r="F8" s="47" t="inlineStr">
        <is>
          <t>Kr</t>
        </is>
      </c>
      <c r="G8" s="47" t="n">
        <v>7</v>
      </c>
      <c r="H8" s="214" t="inlineStr">
        <is>
          <t>Гофротара</t>
        </is>
      </c>
    </row>
    <row r="9">
      <c r="A9" s="32" t="inlineStr">
        <is>
          <t>795х510х870 без кр Т22В</t>
        </is>
      </c>
      <c r="B9" s="44" t="n">
        <v>2.304225</v>
      </c>
      <c r="C9" s="33" t="inlineStr">
        <is>
          <t>Без верх Т22В</t>
        </is>
      </c>
      <c r="D9" s="30" t="n"/>
      <c r="E9" s="40">
        <f>CONCATENATE(F9,G9)</f>
        <v/>
      </c>
      <c r="F9" s="47" t="inlineStr">
        <is>
          <t>Kr</t>
        </is>
      </c>
      <c r="G9" s="47" t="n">
        <v>8</v>
      </c>
      <c r="H9" s="214" t="inlineStr">
        <is>
          <t>Гофротара</t>
        </is>
      </c>
    </row>
    <row r="10">
      <c r="A10" s="32" t="inlineStr">
        <is>
          <t>590х393х100</t>
        </is>
      </c>
      <c r="B10" s="44" t="n">
        <v>1.642725</v>
      </c>
      <c r="C10" s="34" t="n"/>
      <c r="D10" s="30" t="n"/>
      <c r="E10" s="40">
        <f>CONCATENATE(F10,G10)</f>
        <v/>
      </c>
      <c r="F10" s="47" t="inlineStr">
        <is>
          <t>Kr</t>
        </is>
      </c>
      <c r="G10" s="47" t="n">
        <v>9</v>
      </c>
      <c r="H10" s="214" t="inlineStr">
        <is>
          <t>Гофротара</t>
        </is>
      </c>
    </row>
    <row r="11">
      <c r="A11" s="32" t="inlineStr">
        <is>
          <t>545х370х115</t>
        </is>
      </c>
      <c r="B11" s="44" t="n">
        <v>30.31875</v>
      </c>
      <c r="C11" s="34" t="inlineStr">
        <is>
          <t>Мясо Т24 Бурый</t>
        </is>
      </c>
      <c r="D11" s="30" t="n"/>
      <c r="E11" s="40">
        <f>CONCATENATE(F11,G11)</f>
        <v/>
      </c>
      <c r="F11" s="47" t="inlineStr">
        <is>
          <t>Kr</t>
        </is>
      </c>
      <c r="G11" s="47" t="n">
        <v>10</v>
      </c>
      <c r="H11" s="214" t="inlineStr">
        <is>
          <t>Гофротара</t>
        </is>
      </c>
    </row>
    <row r="12">
      <c r="A12" s="32" t="inlineStr">
        <is>
          <t>1200х800х1550</t>
        </is>
      </c>
      <c r="B12" s="44" t="n">
        <v>0.7386750000000002</v>
      </c>
      <c r="C12" s="34" t="inlineStr">
        <is>
          <t>Октабин</t>
        </is>
      </c>
      <c r="D12" s="30" t="n"/>
      <c r="E12" s="40">
        <f>CONCATENATE(F12,G12)</f>
        <v/>
      </c>
      <c r="F12" s="47" t="inlineStr">
        <is>
          <t>Kr</t>
        </is>
      </c>
      <c r="G12" s="47" t="n">
        <v>11</v>
      </c>
      <c r="H12" s="214" t="inlineStr">
        <is>
          <t>Гофротара</t>
        </is>
      </c>
    </row>
    <row r="13">
      <c r="A13" s="32" t="inlineStr">
        <is>
          <t>280х230х62</t>
        </is>
      </c>
      <c r="B13" s="44" t="n">
        <v>0.672525</v>
      </c>
      <c r="C13" s="34" t="inlineStr">
        <is>
          <t>Печенье</t>
        </is>
      </c>
      <c r="D13" s="30" t="n"/>
      <c r="E13" s="40">
        <f>CONCATENATE(F13,G13)</f>
        <v/>
      </c>
      <c r="F13" s="47" t="inlineStr">
        <is>
          <t>Kr</t>
        </is>
      </c>
      <c r="G13" s="47" t="n">
        <v>12</v>
      </c>
      <c r="H13" s="214" t="inlineStr">
        <is>
          <t>Гофротара</t>
        </is>
      </c>
    </row>
    <row r="14">
      <c r="A14" s="32" t="inlineStr">
        <is>
          <t>380х280х80</t>
        </is>
      </c>
      <c r="B14" s="44" t="n">
        <v>0.6063750000000001</v>
      </c>
      <c r="C14" s="34" t="inlineStr">
        <is>
          <t>Печенье</t>
        </is>
      </c>
      <c r="D14" s="30" t="n"/>
      <c r="E14" s="40">
        <f>CONCATENATE(F14,G14)</f>
        <v/>
      </c>
      <c r="F14" s="47" t="inlineStr">
        <is>
          <t>Kr</t>
        </is>
      </c>
      <c r="G14" s="47" t="n">
        <v>13</v>
      </c>
      <c r="H14" s="214" t="inlineStr">
        <is>
          <t>Гофротара</t>
        </is>
      </c>
    </row>
    <row r="15">
      <c r="A15" s="35" t="inlineStr">
        <is>
          <t>260х260х35</t>
        </is>
      </c>
      <c r="B15" s="44" t="n">
        <v>0.672525</v>
      </c>
      <c r="C15" s="36" t="inlineStr">
        <is>
          <t>Пицца 26</t>
        </is>
      </c>
      <c r="D15" s="30" t="n"/>
      <c r="E15" s="27">
        <f>CONCATENATE(F15,G15)</f>
        <v/>
      </c>
      <c r="F15" s="47" t="inlineStr">
        <is>
          <t>Kr</t>
        </is>
      </c>
      <c r="G15" s="47" t="n">
        <v>14</v>
      </c>
      <c r="H15" s="214" t="inlineStr">
        <is>
          <t>Гофротара</t>
        </is>
      </c>
    </row>
    <row r="16">
      <c r="A16" s="32" t="inlineStr">
        <is>
          <t>320х320х35</t>
        </is>
      </c>
      <c r="B16" s="44" t="n">
        <v>0.8489250000000002</v>
      </c>
      <c r="C16" s="34" t="inlineStr">
        <is>
          <t>Пицца 32</t>
        </is>
      </c>
      <c r="D16" s="30" t="n"/>
      <c r="E16" s="40">
        <f>CONCATENATE(F16,G16)</f>
        <v/>
      </c>
      <c r="F16" s="47" t="inlineStr">
        <is>
          <t>Kr</t>
        </is>
      </c>
      <c r="G16" s="47" t="n">
        <v>15</v>
      </c>
      <c r="H16" s="214" t="inlineStr">
        <is>
          <t>Гофротара</t>
        </is>
      </c>
    </row>
    <row r="17">
      <c r="A17" s="35" t="inlineStr">
        <is>
          <t>430х430х40</t>
        </is>
      </c>
      <c r="B17" s="44" t="n">
        <v>2.18295</v>
      </c>
      <c r="C17" s="36" t="inlineStr">
        <is>
          <t>Пицца 43</t>
        </is>
      </c>
      <c r="D17" s="30" t="n"/>
      <c r="E17" s="27">
        <f>CONCATENATE(F17,G17)</f>
        <v/>
      </c>
      <c r="F17" s="47" t="inlineStr">
        <is>
          <t>Kr</t>
        </is>
      </c>
      <c r="G17" s="47" t="n">
        <v>16</v>
      </c>
      <c r="H17" s="214" t="inlineStr">
        <is>
          <t>Гофротара</t>
        </is>
      </c>
    </row>
    <row r="18">
      <c r="A18" s="35" t="inlineStr">
        <is>
          <t>250х250х200</t>
        </is>
      </c>
      <c r="B18" s="44" t="n">
        <v>2.4255</v>
      </c>
      <c r="C18" s="36" t="inlineStr">
        <is>
          <t>Торты 25</t>
        </is>
      </c>
      <c r="D18" s="30" t="n"/>
      <c r="E18" s="27">
        <f>CONCATENATE(F18,G18)</f>
        <v/>
      </c>
      <c r="F18" s="47" t="inlineStr">
        <is>
          <t>Kr</t>
        </is>
      </c>
      <c r="G18" s="47" t="n">
        <v>17</v>
      </c>
      <c r="H18" s="214" t="inlineStr">
        <is>
          <t>Гофротара</t>
        </is>
      </c>
    </row>
    <row r="19">
      <c r="A19" s="35" t="inlineStr">
        <is>
          <t>290х290х300</t>
        </is>
      </c>
      <c r="B19" s="44" t="n">
        <v>0.496125</v>
      </c>
      <c r="C19" s="36" t="inlineStr">
        <is>
          <t>Торты 29</t>
        </is>
      </c>
      <c r="D19" s="30" t="n"/>
      <c r="E19" s="27">
        <f>CONCATENATE(F19,G19)</f>
        <v/>
      </c>
      <c r="F19" s="47" t="inlineStr">
        <is>
          <t>Kr</t>
        </is>
      </c>
      <c r="G19" s="47" t="n">
        <v>18</v>
      </c>
      <c r="H19" s="214" t="inlineStr">
        <is>
          <t>Гофротара</t>
        </is>
      </c>
    </row>
    <row r="20">
      <c r="A20" s="32" t="inlineStr">
        <is>
          <t>300х300х40</t>
        </is>
      </c>
      <c r="B20" s="44" t="n">
        <v>0.4851</v>
      </c>
      <c r="C20" s="34" t="inlineStr">
        <is>
          <t>Часы квадрат</t>
        </is>
      </c>
      <c r="D20" s="30" t="n"/>
      <c r="E20" s="40">
        <f>CONCATENATE(F20,G20)</f>
        <v/>
      </c>
      <c r="F20" s="47" t="inlineStr">
        <is>
          <t>Kr</t>
        </is>
      </c>
      <c r="G20" s="47" t="n">
        <v>19</v>
      </c>
      <c r="H20" s="214" t="inlineStr">
        <is>
          <t>Гофротара</t>
        </is>
      </c>
    </row>
    <row r="21">
      <c r="A21" s="32" t="inlineStr">
        <is>
          <t>297х295х40</t>
        </is>
      </c>
      <c r="B21" s="44" t="n">
        <v>1.003275</v>
      </c>
      <c r="C21" s="34" t="inlineStr">
        <is>
          <t>Часы ромб</t>
        </is>
      </c>
      <c r="D21" s="31" t="n">
        <v>0.08</v>
      </c>
      <c r="E21" s="40">
        <f>CONCATENATE(F21,G21)</f>
        <v/>
      </c>
      <c r="F21" s="47" t="inlineStr">
        <is>
          <t>Kr</t>
        </is>
      </c>
      <c r="G21" s="47" t="n">
        <v>20</v>
      </c>
      <c r="H21" s="214" t="inlineStr">
        <is>
          <t>Гофротара</t>
        </is>
      </c>
    </row>
    <row r="22">
      <c r="A22" s="35" t="inlineStr">
        <is>
          <t>285х245х235</t>
        </is>
      </c>
      <c r="B22" s="44" t="n">
        <v>1.378125</v>
      </c>
      <c r="C22" s="36" t="inlineStr">
        <is>
          <t>Шлем 1</t>
        </is>
      </c>
      <c r="D22" s="31" t="n">
        <v>0.1</v>
      </c>
      <c r="E22" s="27">
        <f>CONCATENATE(F22,G22)</f>
        <v/>
      </c>
      <c r="F22" s="47" t="inlineStr">
        <is>
          <t>Kr</t>
        </is>
      </c>
      <c r="G22" s="47" t="n">
        <v>21</v>
      </c>
      <c r="H22" s="214" t="inlineStr">
        <is>
          <t>Гофротара</t>
        </is>
      </c>
    </row>
    <row r="23">
      <c r="A23" s="35" t="inlineStr">
        <is>
          <t>300х270х290</t>
        </is>
      </c>
      <c r="B23" s="44" t="n">
        <v>2.2491</v>
      </c>
      <c r="C23" s="36" t="inlineStr">
        <is>
          <t>Шлем 2</t>
        </is>
      </c>
      <c r="D23" s="31" t="n"/>
      <c r="E23" s="27">
        <f>CONCATENATE(F23,G23)</f>
        <v/>
      </c>
      <c r="F23" s="47" t="inlineStr">
        <is>
          <t>Kr</t>
        </is>
      </c>
      <c r="G23" s="47" t="n">
        <v>22</v>
      </c>
      <c r="H23" s="214" t="inlineStr">
        <is>
          <t>Гофротара</t>
        </is>
      </c>
    </row>
    <row r="24" ht="29.15" customHeight="1" s="55">
      <c r="A24" s="32" t="inlineStr">
        <is>
          <t>585х385х175</t>
        </is>
      </c>
      <c r="B24" s="44" t="n"/>
      <c r="C24" s="34" t="inlineStr">
        <is>
          <t>Яблоко П-34 Бурый</t>
        </is>
      </c>
      <c r="D24" s="31" t="n"/>
      <c r="E24" s="40">
        <f>CONCATENATE(F24,G24)</f>
        <v/>
      </c>
      <c r="F24" s="47" t="inlineStr">
        <is>
          <t>Kr</t>
        </is>
      </c>
      <c r="G24" s="47" t="n">
        <v>23</v>
      </c>
      <c r="H24" s="214" t="inlineStr">
        <is>
          <t>Гофротара</t>
        </is>
      </c>
    </row>
    <row r="25">
      <c r="A25" s="32" t="inlineStr">
        <is>
          <t>150х60х60</t>
        </is>
      </c>
      <c r="B25" s="45" t="n"/>
      <c r="C25" s="37" t="inlineStr">
        <is>
          <t>лоток, верх открытый</t>
        </is>
      </c>
      <c r="D25" s="31" t="n"/>
      <c r="E25" s="27">
        <f>CONCATENATE(F25,G25)</f>
        <v/>
      </c>
      <c r="F25" s="47" t="inlineStr">
        <is>
          <t>Kr</t>
        </is>
      </c>
      <c r="G25" s="47" t="n">
        <v>24</v>
      </c>
      <c r="H25" s="214" t="inlineStr">
        <is>
          <t>Гофротара</t>
        </is>
      </c>
    </row>
    <row r="26">
      <c r="A26" s="38" t="inlineStr">
        <is>
          <t>150х60х75</t>
        </is>
      </c>
      <c r="B26" s="44" t="n"/>
      <c r="C26" s="37" t="inlineStr">
        <is>
          <t>лоток, верх открытый</t>
        </is>
      </c>
      <c r="D26" s="31" t="n"/>
      <c r="E26" s="27">
        <f>CONCATENATE(F26,G26)</f>
        <v/>
      </c>
      <c r="F26" s="47" t="inlineStr">
        <is>
          <t>Kr</t>
        </is>
      </c>
      <c r="G26" s="47" t="n">
        <v>25</v>
      </c>
      <c r="H26" s="214" t="inlineStr">
        <is>
          <t>Гофротара</t>
        </is>
      </c>
    </row>
    <row r="27">
      <c r="A27" s="26" t="inlineStr">
        <is>
          <t>120х50х50</t>
        </is>
      </c>
      <c r="B27" s="44" t="n"/>
      <c r="C27" s="37" t="inlineStr">
        <is>
          <t>лоток, верх открытый</t>
        </is>
      </c>
      <c r="D27" s="31" t="n"/>
      <c r="E27" s="27">
        <f>CONCATENATE(F27,G27)</f>
        <v/>
      </c>
      <c r="F27" s="47" t="inlineStr">
        <is>
          <t>Kr</t>
        </is>
      </c>
      <c r="G27" s="47" t="n">
        <v>26</v>
      </c>
      <c r="H27" s="214" t="inlineStr">
        <is>
          <t>Гофротара</t>
        </is>
      </c>
    </row>
    <row r="28">
      <c r="A28" t="inlineStr">
        <is>
          <t>179х70х60</t>
        </is>
      </c>
      <c r="B28" s="44" t="n"/>
      <c r="C28" s="37" t="inlineStr">
        <is>
          <t>лоток, верх открытый</t>
        </is>
      </c>
      <c r="D28" s="31" t="n"/>
      <c r="E28" s="27">
        <f>CONCATENATE(F28,G28)</f>
        <v/>
      </c>
      <c r="F28" s="47" t="inlineStr">
        <is>
          <t>Kr</t>
        </is>
      </c>
      <c r="G28" s="47" t="n">
        <v>27</v>
      </c>
      <c r="H28" s="214" t="inlineStr">
        <is>
          <t>Гофротара</t>
        </is>
      </c>
    </row>
    <row r="29">
      <c r="B29" s="44" t="n">
        <v>26</v>
      </c>
      <c r="C29" s="39" t="inlineStr">
        <is>
          <t xml:space="preserve">Корзина для цветов </t>
        </is>
      </c>
      <c r="D29" s="31" t="n"/>
      <c r="E29" s="27">
        <f>CONCATENATE(F29,G29)</f>
        <v/>
      </c>
      <c r="F29" s="47" t="inlineStr">
        <is>
          <t>Kr</t>
        </is>
      </c>
      <c r="G29" s="47" t="n">
        <v>28</v>
      </c>
      <c r="H29" s="214" t="inlineStr">
        <is>
          <t>Гофротара</t>
        </is>
      </c>
    </row>
    <row r="30">
      <c r="B30" s="44" t="n">
        <v>3</v>
      </c>
      <c r="C30" s="34" t="inlineStr">
        <is>
          <t>Октабин П34</t>
        </is>
      </c>
      <c r="D30" s="31" t="n"/>
      <c r="E30" s="27">
        <f>CONCATENATE(F30,G30)</f>
        <v/>
      </c>
      <c r="F30" s="47" t="inlineStr">
        <is>
          <t>Kr</t>
        </is>
      </c>
      <c r="G30" s="47" t="n">
        <v>29</v>
      </c>
      <c r="H30" s="214" t="inlineStr">
        <is>
          <t>Гофротара</t>
        </is>
      </c>
    </row>
    <row r="31" ht="29.15" customHeight="1" s="55">
      <c r="B31" s="44" t="n">
        <v>5.5</v>
      </c>
      <c r="C31" s="34" t="inlineStr">
        <is>
          <t>Крышка/Дно Октабин</t>
        </is>
      </c>
      <c r="D31" s="31" t="n"/>
      <c r="E31" s="27">
        <f>CONCATENATE(F31,G31)</f>
        <v/>
      </c>
      <c r="F31" s="47" t="inlineStr">
        <is>
          <t>Kr</t>
        </is>
      </c>
      <c r="G31" s="47" t="n">
        <v>29</v>
      </c>
      <c r="H31" s="214" t="inlineStr">
        <is>
          <t>Гофротара</t>
        </is>
      </c>
    </row>
    <row r="32">
      <c r="B32" s="44" t="n"/>
      <c r="C32" s="34" t="inlineStr">
        <is>
          <t>Вкладыш п/э</t>
        </is>
      </c>
      <c r="D32" s="31" t="n"/>
      <c r="E32" s="27">
        <f>CONCATENATE(F32,G32)</f>
        <v/>
      </c>
      <c r="F32" s="47" t="inlineStr">
        <is>
          <t>Kr</t>
        </is>
      </c>
      <c r="G32" s="47" t="n">
        <v>29</v>
      </c>
      <c r="H32" s="214" t="inlineStr">
        <is>
          <t>Гофротара</t>
        </is>
      </c>
    </row>
    <row r="33" ht="21.45" customHeight="1" s="55">
      <c r="A33" s="26" t="inlineStr">
        <is>
          <t>95х95х275</t>
        </is>
      </c>
      <c r="B33" s="44" t="n"/>
      <c r="C33" s="37" t="inlineStr">
        <is>
          <t>С прорезью для растений</t>
        </is>
      </c>
      <c r="D33" s="31" t="n"/>
      <c r="E33" s="27">
        <f>CONCATENATE(F33,G33)</f>
        <v/>
      </c>
      <c r="F33" s="47" t="inlineStr">
        <is>
          <t>Kr</t>
        </is>
      </c>
      <c r="G33" s="47" t="n">
        <v>32</v>
      </c>
      <c r="H33" s="214" t="inlineStr">
        <is>
          <t>Гофротара</t>
        </is>
      </c>
    </row>
  </sheetData>
  <conditionalFormatting sqref="A1:A33">
    <cfRule type="duplicateValues" priority="1" dxfId="0"/>
  </conditionalFormatting>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mr</dc:creator>
  <dcterms:created xsi:type="dcterms:W3CDTF">2015-06-05T18:19:34Z</dcterms:created>
  <dcterms:modified xsi:type="dcterms:W3CDTF">2026-10-28T00:07:05Z</dcterms:modified>
  <cp:lastModifiedBy>mr</cp:lastModifiedBy>
</cp:coreProperties>
</file>